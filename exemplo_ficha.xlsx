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gol1-my.sharepoint.com/personal/rvcluz_voegol_com_br/Documents/Área de Trabalho/"/>
    </mc:Choice>
  </mc:AlternateContent>
  <xr:revisionPtr revIDLastSave="0" documentId="8_{120BB826-B48A-4DE2-ABF1-5D4160EB380F}" xr6:coauthVersionLast="47" xr6:coauthVersionMax="47" xr10:uidLastSave="{00000000-0000-0000-0000-000000000000}"/>
  <bookViews>
    <workbookView xWindow="-120" yWindow="-120" windowWidth="19440" windowHeight="14880" xr2:uid="{2B7A5435-C80D-4C5D-B942-0B890997367F}"/>
  </bookViews>
  <sheets>
    <sheet name="Ficha de pesagem - Template" sheetId="1" r:id="rId1"/>
  </sheets>
  <externalReferences>
    <externalReference r:id="rId2"/>
  </externalReferences>
  <definedNames>
    <definedName name="aprovador">INDEX([1]Planilha2!$C:$C,MATCH('Ficha de pesagem - Template'!$AU$67,[1]Planilha2!$A:$A,0))</definedName>
    <definedName name="emissor">INDEX([1]Planilha2!$C:$C,MATCH('Ficha de pesagem - Template'!$AU$66,[1]Planilha2!$A:$A,0))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Z135" i="1" l="1"/>
  <c r="AZ134" i="1"/>
  <c r="AZ133" i="1"/>
  <c r="BH132" i="1"/>
  <c r="AZ132" i="1"/>
  <c r="BH131" i="1"/>
  <c r="AZ131" i="1"/>
  <c r="BH130" i="1"/>
  <c r="AZ130" i="1"/>
  <c r="BH135" i="1" s="1"/>
  <c r="R126" i="1"/>
  <c r="V126" i="1" s="1"/>
  <c r="Z126" i="1" s="1"/>
  <c r="B126" i="1"/>
  <c r="R125" i="1"/>
  <c r="B125" i="1"/>
  <c r="V125" i="1" s="1"/>
  <c r="Z125" i="1" s="1"/>
  <c r="R124" i="1"/>
  <c r="V124" i="1" s="1"/>
  <c r="Z124" i="1" s="1"/>
  <c r="B124" i="1"/>
  <c r="R123" i="1"/>
  <c r="V123" i="1" s="1"/>
  <c r="Z123" i="1" s="1"/>
  <c r="B123" i="1"/>
  <c r="R122" i="1"/>
  <c r="B122" i="1"/>
  <c r="R121" i="1"/>
  <c r="B121" i="1"/>
  <c r="V121" i="1" s="1"/>
  <c r="R120" i="1"/>
  <c r="V120" i="1" s="1"/>
  <c r="B120" i="1"/>
  <c r="R119" i="1"/>
  <c r="B119" i="1"/>
  <c r="Z91" i="1"/>
  <c r="Z90" i="1"/>
  <c r="Z89" i="1"/>
  <c r="Z88" i="1"/>
  <c r="Z87" i="1"/>
  <c r="Z86" i="1"/>
  <c r="V84" i="1"/>
  <c r="R84" i="1"/>
  <c r="Z84" i="1" s="1"/>
  <c r="BA83" i="1" a="1"/>
  <c r="BA83" i="1" s="1"/>
  <c r="Z69" i="1"/>
  <c r="V69" i="1"/>
  <c r="R69" i="1"/>
  <c r="U67" i="1"/>
  <c r="A62" i="1"/>
  <c r="A61" i="1"/>
  <c r="A60" i="1"/>
  <c r="AC43" i="1"/>
  <c r="V67" i="1" s="1"/>
  <c r="X43" i="1"/>
  <c r="O67" i="1" s="1"/>
  <c r="X34" i="1"/>
  <c r="S34" i="1"/>
  <c r="G8" i="1"/>
  <c r="BC105" i="1" s="1" a="1"/>
  <c r="BC105" i="1" s="1"/>
  <c r="BG105" i="1" s="1"/>
  <c r="AT83" i="1" l="1"/>
  <c r="BE83" i="1"/>
  <c r="B83" i="1" s="1"/>
  <c r="Z121" i="1"/>
  <c r="BC129" i="1" a="1"/>
  <c r="BC129" i="1" s="1"/>
  <c r="G14" i="1"/>
  <c r="V9" i="1" a="1"/>
  <c r="V9" i="1" s="1"/>
  <c r="S24" i="1" a="1"/>
  <c r="S24" i="1" s="1"/>
  <c r="S31" i="1" s="1"/>
  <c r="N33" i="1" a="1"/>
  <c r="N33" i="1" s="1"/>
  <c r="AU66" i="1" a="1"/>
  <c r="AU66" i="1" s="1"/>
  <c r="BA72" i="1" a="1"/>
  <c r="BA72" i="1" s="1"/>
  <c r="BA76" i="1" a="1"/>
  <c r="BA76" i="1" s="1"/>
  <c r="BA80" i="1" a="1"/>
  <c r="BA80" i="1" s="1"/>
  <c r="BA93" i="1" a="1"/>
  <c r="BA93" i="1" s="1"/>
  <c r="BB98" i="1" a="1"/>
  <c r="BB98" i="1" s="1"/>
  <c r="BF98" i="1" s="1"/>
  <c r="R108" i="1" s="1"/>
  <c r="BB102" i="1" a="1"/>
  <c r="BB102" i="1" s="1"/>
  <c r="BF102" i="1" s="1"/>
  <c r="R112" i="1" s="1"/>
  <c r="BB106" i="1" a="1"/>
  <c r="BB106" i="1" s="1"/>
  <c r="BF106" i="1" s="1"/>
  <c r="R116" i="1" s="1"/>
  <c r="Z120" i="1"/>
  <c r="BA71" i="1" a="1"/>
  <c r="BA71" i="1" s="1"/>
  <c r="BB94" i="1" a="1"/>
  <c r="BB94" i="1" s="1"/>
  <c r="BF94" i="1" s="1"/>
  <c r="R104" i="1" s="1"/>
  <c r="BC130" i="1" a="1"/>
  <c r="BC130" i="1" s="1"/>
  <c r="BC133" i="1" a="1"/>
  <c r="BC133" i="1" s="1"/>
  <c r="N32" i="1" a="1"/>
  <c r="N32" i="1" s="1"/>
  <c r="X32" i="1" s="1"/>
  <c r="BB88" i="1" a="1"/>
  <c r="BB88" i="1" s="1"/>
  <c r="BF88" i="1" s="1"/>
  <c r="R98" i="1" s="1"/>
  <c r="BA103" i="1" a="1"/>
  <c r="BA103" i="1" s="1"/>
  <c r="BC98" i="1" a="1"/>
  <c r="BC98" i="1" s="1"/>
  <c r="BG98" i="1" s="1"/>
  <c r="BC102" i="1" a="1"/>
  <c r="BC102" i="1" s="1"/>
  <c r="BG102" i="1" s="1"/>
  <c r="BC106" i="1" a="1"/>
  <c r="BC106" i="1" s="1"/>
  <c r="BG106" i="1" s="1"/>
  <c r="BC128" i="1" a="1"/>
  <c r="BC128" i="1" s="1"/>
  <c r="G13" i="1"/>
  <c r="BB101" i="1" a="1"/>
  <c r="BB101" i="1" s="1"/>
  <c r="BF101" i="1" s="1"/>
  <c r="R111" i="1" s="1"/>
  <c r="BC83" i="1" a="1"/>
  <c r="BC83" i="1" s="1"/>
  <c r="BG83" i="1" s="1"/>
  <c r="BB91" i="1" a="1"/>
  <c r="BB91" i="1" s="1"/>
  <c r="BF91" i="1" s="1"/>
  <c r="R101" i="1" s="1"/>
  <c r="BA99" i="1" a="1"/>
  <c r="BA99" i="1" s="1"/>
  <c r="BA107" i="1" a="1"/>
  <c r="BA107" i="1" s="1"/>
  <c r="G10" i="1"/>
  <c r="S25" i="1" a="1"/>
  <c r="S25" i="1" s="1"/>
  <c r="S32" i="1" s="1"/>
  <c r="BB72" i="1" a="1"/>
  <c r="BB72" i="1" s="1"/>
  <c r="BF72" i="1" s="1"/>
  <c r="R72" i="1" s="1"/>
  <c r="BA73" i="1" a="1"/>
  <c r="BA73" i="1" s="1"/>
  <c r="BC86" i="1" a="1"/>
  <c r="BC86" i="1" s="1"/>
  <c r="BG86" i="1" s="1"/>
  <c r="BC89" i="1" a="1"/>
  <c r="BC89" i="1" s="1"/>
  <c r="BG89" i="1" s="1"/>
  <c r="BC90" i="1" a="1"/>
  <c r="BC90" i="1" s="1"/>
  <c r="BG90" i="1" s="1"/>
  <c r="BC91" i="1" a="1"/>
  <c r="BC91" i="1" s="1"/>
  <c r="BG91" i="1" s="1"/>
  <c r="BB92" i="1" a="1"/>
  <c r="BB92" i="1" s="1"/>
  <c r="BF92" i="1" s="1"/>
  <c r="R102" i="1" s="1"/>
  <c r="BC94" i="1" a="1"/>
  <c r="BC94" i="1" s="1"/>
  <c r="BG94" i="1" s="1"/>
  <c r="BB95" i="1" a="1"/>
  <c r="BB95" i="1" s="1"/>
  <c r="BF95" i="1" s="1"/>
  <c r="R105" i="1" s="1"/>
  <c r="BB99" i="1" a="1"/>
  <c r="BB99" i="1" s="1"/>
  <c r="BF99" i="1" s="1"/>
  <c r="R109" i="1" s="1"/>
  <c r="BB103" i="1" a="1"/>
  <c r="BB103" i="1" s="1"/>
  <c r="BF103" i="1" s="1"/>
  <c r="R113" i="1" s="1"/>
  <c r="BB107" i="1" a="1"/>
  <c r="BB107" i="1" s="1"/>
  <c r="BF107" i="1" s="1"/>
  <c r="R117" i="1" s="1"/>
  <c r="BC126" i="1" a="1"/>
  <c r="BC126" i="1" s="1"/>
  <c r="BH133" i="1"/>
  <c r="A63" i="1" s="1"/>
  <c r="V8" i="1" a="1"/>
  <c r="V8" i="1" s="1"/>
  <c r="BA79" i="1" a="1"/>
  <c r="BA79" i="1" s="1"/>
  <c r="BB86" i="1" a="1"/>
  <c r="BB86" i="1" s="1"/>
  <c r="BF86" i="1" s="1"/>
  <c r="R96" i="1" s="1"/>
  <c r="BA95" i="1" a="1"/>
  <c r="BA95" i="1" s="1"/>
  <c r="BB93" i="1" a="1"/>
  <c r="BB93" i="1" s="1"/>
  <c r="BF93" i="1" s="1"/>
  <c r="R103" i="1" s="1"/>
  <c r="N31" i="1" a="1"/>
  <c r="N31" i="1" s="1"/>
  <c r="BC72" i="1" a="1"/>
  <c r="BC72" i="1" s="1"/>
  <c r="BG72" i="1" s="1"/>
  <c r="BC76" i="1" a="1"/>
  <c r="BC76" i="1" s="1"/>
  <c r="BG76" i="1" s="1"/>
  <c r="BC80" i="1" a="1"/>
  <c r="BC80" i="1" s="1"/>
  <c r="BG80" i="1" s="1"/>
  <c r="BC93" i="1" a="1"/>
  <c r="BC93" i="1" s="1"/>
  <c r="BG93" i="1" s="1"/>
  <c r="BA96" i="1" a="1"/>
  <c r="BA96" i="1" s="1"/>
  <c r="BA100" i="1" a="1"/>
  <c r="BA100" i="1" s="1"/>
  <c r="BA104" i="1" a="1"/>
  <c r="BA104" i="1" s="1"/>
  <c r="BA108" i="1" a="1"/>
  <c r="BA108" i="1" s="1"/>
  <c r="BB80" i="1" a="1"/>
  <c r="BB80" i="1" s="1"/>
  <c r="BF80" i="1" s="1"/>
  <c r="R80" i="1" s="1"/>
  <c r="V10" i="1" a="1"/>
  <c r="V10" i="1" s="1"/>
  <c r="BA77" i="1" a="1"/>
  <c r="BA77" i="1" s="1"/>
  <c r="BA81" i="1" a="1"/>
  <c r="BA81" i="1" s="1"/>
  <c r="BC85" i="1" a="1"/>
  <c r="BC85" i="1" s="1"/>
  <c r="BG85" i="1" s="1"/>
  <c r="BC87" i="1" a="1"/>
  <c r="BC87" i="1" s="1"/>
  <c r="BG87" i="1" s="1"/>
  <c r="BC88" i="1" a="1"/>
  <c r="BC88" i="1" s="1"/>
  <c r="BG88" i="1" s="1"/>
  <c r="G11" i="1"/>
  <c r="BB73" i="1" a="1"/>
  <c r="BB73" i="1" s="1"/>
  <c r="BF73" i="1" s="1"/>
  <c r="R73" i="1" s="1"/>
  <c r="BB77" i="1" a="1"/>
  <c r="BB77" i="1" s="1"/>
  <c r="BF77" i="1" s="1"/>
  <c r="R77" i="1" s="1"/>
  <c r="BB81" i="1" a="1"/>
  <c r="BB81" i="1" s="1"/>
  <c r="BF81" i="1" s="1"/>
  <c r="R81" i="1" s="1"/>
  <c r="BC92" i="1" a="1"/>
  <c r="BC92" i="1" s="1"/>
  <c r="BG92" i="1" s="1"/>
  <c r="BC95" i="1" a="1"/>
  <c r="BC95" i="1" s="1"/>
  <c r="BG95" i="1" s="1"/>
  <c r="BC99" i="1" a="1"/>
  <c r="BC99" i="1" s="1"/>
  <c r="BG99" i="1" s="1"/>
  <c r="BC103" i="1" a="1"/>
  <c r="BC103" i="1" s="1"/>
  <c r="BG103" i="1" s="1"/>
  <c r="BC107" i="1" a="1"/>
  <c r="BC107" i="1" s="1"/>
  <c r="BG107" i="1" s="1"/>
  <c r="BC131" i="1" a="1"/>
  <c r="BC131" i="1" s="1"/>
  <c r="BC134" i="1" a="1"/>
  <c r="BC134" i="1" s="1"/>
  <c r="BA75" i="1" a="1"/>
  <c r="BA75" i="1" s="1"/>
  <c r="BB76" i="1" a="1"/>
  <c r="BB76" i="1" s="1"/>
  <c r="BF76" i="1" s="1"/>
  <c r="R76" i="1" s="1"/>
  <c r="G12" i="1"/>
  <c r="P43" i="1"/>
  <c r="AA67" i="1" s="1"/>
  <c r="BA70" i="1" a="1"/>
  <c r="BA70" i="1" s="1"/>
  <c r="BA74" i="1" a="1"/>
  <c r="BA74" i="1" s="1"/>
  <c r="BA78" i="1" a="1"/>
  <c r="BA78" i="1" s="1"/>
  <c r="BA82" i="1" a="1"/>
  <c r="BA82" i="1" s="1"/>
  <c r="BB96" i="1" a="1"/>
  <c r="BB96" i="1" s="1"/>
  <c r="BF96" i="1" s="1"/>
  <c r="R106" i="1" s="1"/>
  <c r="BB100" i="1" a="1"/>
  <c r="BB100" i="1" s="1"/>
  <c r="BF100" i="1" s="1"/>
  <c r="R110" i="1" s="1"/>
  <c r="BB104" i="1" a="1"/>
  <c r="BB104" i="1" s="1"/>
  <c r="BF104" i="1" s="1"/>
  <c r="R114" i="1" s="1"/>
  <c r="BB108" i="1" a="1"/>
  <c r="BB108" i="1" s="1"/>
  <c r="BF108" i="1" s="1"/>
  <c r="R118" i="1" s="1"/>
  <c r="BC71" i="1" a="1"/>
  <c r="BC71" i="1" s="1"/>
  <c r="BG71" i="1" s="1"/>
  <c r="BC75" i="1" a="1"/>
  <c r="BC75" i="1" s="1"/>
  <c r="BG75" i="1" s="1"/>
  <c r="BC79" i="1" a="1"/>
  <c r="BC79" i="1" s="1"/>
  <c r="BG79" i="1" s="1"/>
  <c r="BB85" i="1" a="1"/>
  <c r="BB85" i="1" s="1"/>
  <c r="BF85" i="1" s="1"/>
  <c r="R95" i="1" s="1"/>
  <c r="BB87" i="1" a="1"/>
  <c r="BB87" i="1" s="1"/>
  <c r="BF87" i="1" s="1"/>
  <c r="R97" i="1" s="1"/>
  <c r="BB89" i="1" a="1"/>
  <c r="BB89" i="1" s="1"/>
  <c r="BF89" i="1" s="1"/>
  <c r="R99" i="1" s="1"/>
  <c r="BB90" i="1" a="1"/>
  <c r="BB90" i="1" s="1"/>
  <c r="BF90" i="1" s="1"/>
  <c r="R100" i="1" s="1"/>
  <c r="BA92" i="1" a="1"/>
  <c r="BA92" i="1" s="1"/>
  <c r="V12" i="1" a="1"/>
  <c r="V12" i="1" s="1"/>
  <c r="V43" i="1"/>
  <c r="M67" i="1" s="1"/>
  <c r="AU67" i="1" a="1"/>
  <c r="AU67" i="1" s="1"/>
  <c r="BC73" i="1" a="1"/>
  <c r="BC73" i="1" s="1"/>
  <c r="BG73" i="1" s="1"/>
  <c r="BC77" i="1" a="1"/>
  <c r="BC77" i="1" s="1"/>
  <c r="BG77" i="1" s="1"/>
  <c r="BC81" i="1" a="1"/>
  <c r="BC81" i="1" s="1"/>
  <c r="BG81" i="1" s="1"/>
  <c r="BA97" i="1" a="1"/>
  <c r="BA97" i="1" s="1"/>
  <c r="BA101" i="1" a="1"/>
  <c r="BA101" i="1" s="1"/>
  <c r="BA105" i="1" a="1"/>
  <c r="BA105" i="1" s="1"/>
  <c r="V119" i="1"/>
  <c r="Z119" i="1" s="1"/>
  <c r="V122" i="1"/>
  <c r="Z122" i="1" s="1"/>
  <c r="BH134" i="1"/>
  <c r="O65" i="1" a="1"/>
  <c r="O65" i="1" s="1"/>
  <c r="O129" i="1" s="1"/>
  <c r="BB70" i="1" a="1"/>
  <c r="BB70" i="1" s="1"/>
  <c r="BF70" i="1" s="1"/>
  <c r="R70" i="1" s="1"/>
  <c r="BB74" i="1" a="1"/>
  <c r="BB74" i="1" s="1"/>
  <c r="BF74" i="1" s="1"/>
  <c r="R74" i="1" s="1"/>
  <c r="BB78" i="1" a="1"/>
  <c r="BB78" i="1" s="1"/>
  <c r="BF78" i="1" s="1"/>
  <c r="R78" i="1" s="1"/>
  <c r="BB82" i="1" a="1"/>
  <c r="BB82" i="1" s="1"/>
  <c r="BF82" i="1" s="1"/>
  <c r="R82" i="1" s="1"/>
  <c r="BC96" i="1" a="1"/>
  <c r="BC96" i="1" s="1"/>
  <c r="BG96" i="1" s="1"/>
  <c r="BC100" i="1" a="1"/>
  <c r="BC100" i="1" s="1"/>
  <c r="BG100" i="1" s="1"/>
  <c r="BC104" i="1" a="1"/>
  <c r="BC104" i="1" s="1"/>
  <c r="BG104" i="1" s="1"/>
  <c r="BC108" i="1" a="1"/>
  <c r="BC108" i="1" s="1"/>
  <c r="BG108" i="1" s="1"/>
  <c r="BC132" i="1" a="1"/>
  <c r="BC132" i="1" s="1"/>
  <c r="BC135" i="1" a="1"/>
  <c r="BC135" i="1" s="1"/>
  <c r="BB97" i="1" a="1"/>
  <c r="BB97" i="1" s="1"/>
  <c r="BF97" i="1" s="1"/>
  <c r="R107" i="1" s="1"/>
  <c r="BB105" i="1" a="1"/>
  <c r="BB105" i="1" s="1"/>
  <c r="BF105" i="1" s="1"/>
  <c r="R115" i="1" s="1"/>
  <c r="W65" i="1" a="1"/>
  <c r="W65" i="1" s="1"/>
  <c r="W129" i="1" s="1"/>
  <c r="BC70" i="1" a="1"/>
  <c r="BC70" i="1" s="1"/>
  <c r="BG70" i="1" s="1"/>
  <c r="BC78" i="1" a="1"/>
  <c r="BC78" i="1" s="1"/>
  <c r="BG78" i="1" s="1"/>
  <c r="BA98" i="1" a="1"/>
  <c r="BA98" i="1" s="1"/>
  <c r="BA106" i="1" a="1"/>
  <c r="BA106" i="1" s="1"/>
  <c r="BC127" i="1" a="1"/>
  <c r="BC127" i="1" s="1"/>
  <c r="BC74" i="1" a="1"/>
  <c r="BC74" i="1" s="1"/>
  <c r="BG74" i="1" s="1"/>
  <c r="BC82" i="1" a="1"/>
  <c r="BC82" i="1" s="1"/>
  <c r="BG82" i="1" s="1"/>
  <c r="BA102" i="1" a="1"/>
  <c r="BA102" i="1" s="1"/>
  <c r="G9" i="1"/>
  <c r="S22" i="1"/>
  <c r="S33" i="1" s="1"/>
  <c r="BB71" i="1" a="1"/>
  <c r="BB71" i="1" s="1"/>
  <c r="BF71" i="1" s="1"/>
  <c r="R71" i="1" s="1"/>
  <c r="BB75" i="1" a="1"/>
  <c r="BB75" i="1" s="1"/>
  <c r="BF75" i="1" s="1"/>
  <c r="R75" i="1" s="1"/>
  <c r="BB79" i="1" a="1"/>
  <c r="BB79" i="1" s="1"/>
  <c r="BF79" i="1" s="1"/>
  <c r="R79" i="1" s="1"/>
  <c r="BB83" i="1" a="1"/>
  <c r="BB83" i="1" s="1"/>
  <c r="BF83" i="1" s="1"/>
  <c r="R83" i="1" s="1"/>
  <c r="BA85" i="1" a="1"/>
  <c r="BA85" i="1" s="1"/>
  <c r="BA86" i="1" a="1"/>
  <c r="BA86" i="1" s="1"/>
  <c r="BA87" i="1" a="1"/>
  <c r="BA87" i="1" s="1"/>
  <c r="BA88" i="1" a="1"/>
  <c r="BA88" i="1" s="1"/>
  <c r="BA89" i="1" a="1"/>
  <c r="BA89" i="1" s="1"/>
  <c r="BA90" i="1" a="1"/>
  <c r="BA90" i="1" s="1"/>
  <c r="BA91" i="1" a="1"/>
  <c r="BA91" i="1" s="1"/>
  <c r="BA94" i="1" a="1"/>
  <c r="BA94" i="1" s="1"/>
  <c r="BC97" i="1" a="1"/>
  <c r="BC97" i="1" s="1"/>
  <c r="BG97" i="1" s="1"/>
  <c r="BC101" i="1" a="1"/>
  <c r="BC101" i="1" s="1"/>
  <c r="BG101" i="1" s="1"/>
  <c r="AT107" i="1" l="1"/>
  <c r="BE107" i="1"/>
  <c r="B117" i="1" s="1"/>
  <c r="AT72" i="1"/>
  <c r="BE72" i="1"/>
  <c r="B72" i="1" s="1"/>
  <c r="V79" i="1"/>
  <c r="Z79" i="1" s="1"/>
  <c r="Z74" i="1"/>
  <c r="V74" i="1"/>
  <c r="AT99" i="1"/>
  <c r="BE99" i="1"/>
  <c r="B109" i="1" s="1"/>
  <c r="V109" i="1" s="1"/>
  <c r="Z109" i="1" s="1"/>
  <c r="X31" i="1"/>
  <c r="N35" i="1"/>
  <c r="V101" i="1"/>
  <c r="Z101" i="1" s="1"/>
  <c r="X33" i="1"/>
  <c r="Z83" i="1"/>
  <c r="V83" i="1"/>
  <c r="AT77" i="1"/>
  <c r="BE77" i="1"/>
  <c r="B77" i="1" s="1"/>
  <c r="AT81" i="1"/>
  <c r="BE81" i="1"/>
  <c r="B81" i="1" s="1"/>
  <c r="AT94" i="1"/>
  <c r="BE94" i="1"/>
  <c r="B104" i="1" s="1"/>
  <c r="V104" i="1" s="1"/>
  <c r="Z104" i="1" s="1"/>
  <c r="AT92" i="1"/>
  <c r="BE92" i="1"/>
  <c r="B102" i="1" s="1"/>
  <c r="V102" i="1" s="1"/>
  <c r="Z102" i="1" s="1"/>
  <c r="AT82" i="1"/>
  <c r="BE82" i="1"/>
  <c r="B82" i="1" s="1"/>
  <c r="AT95" i="1"/>
  <c r="BE95" i="1"/>
  <c r="B105" i="1" s="1"/>
  <c r="V105" i="1" s="1"/>
  <c r="Z105" i="1" s="1"/>
  <c r="AT71" i="1"/>
  <c r="BE71" i="1"/>
  <c r="B71" i="1" s="1"/>
  <c r="V71" i="1" s="1"/>
  <c r="Z71" i="1" s="1"/>
  <c r="AT91" i="1"/>
  <c r="BE91" i="1"/>
  <c r="B101" i="1" s="1"/>
  <c r="V100" i="1"/>
  <c r="Z100" i="1" s="1"/>
  <c r="AT78" i="1"/>
  <c r="BE78" i="1"/>
  <c r="B78" i="1" s="1"/>
  <c r="AT90" i="1"/>
  <c r="BE90" i="1"/>
  <c r="B100" i="1" s="1"/>
  <c r="AT102" i="1"/>
  <c r="BE102" i="1"/>
  <c r="B112" i="1" s="1"/>
  <c r="V112" i="1" s="1"/>
  <c r="Z112" i="1" s="1"/>
  <c r="V99" i="1"/>
  <c r="Z99" i="1" s="1"/>
  <c r="AT74" i="1"/>
  <c r="BE74" i="1"/>
  <c r="B74" i="1" s="1"/>
  <c r="BE108" i="1"/>
  <c r="B118" i="1" s="1"/>
  <c r="V118" i="1" s="1"/>
  <c r="Z118" i="1" s="1"/>
  <c r="AT108" i="1"/>
  <c r="AT79" i="1"/>
  <c r="BE79" i="1"/>
  <c r="B79" i="1" s="1"/>
  <c r="BH128" i="1"/>
  <c r="BB128" i="1"/>
  <c r="BH129" i="1"/>
  <c r="A59" i="1" s="1"/>
  <c r="BB129" i="1"/>
  <c r="BE89" i="1"/>
  <c r="B99" i="1" s="1"/>
  <c r="AT89" i="1"/>
  <c r="AT105" i="1"/>
  <c r="BE105" i="1"/>
  <c r="B115" i="1" s="1"/>
  <c r="V115" i="1" s="1"/>
  <c r="Z115" i="1" s="1"/>
  <c r="AT70" i="1"/>
  <c r="AZ70" i="1" s="1"/>
  <c r="BE70" i="1"/>
  <c r="B70" i="1" s="1"/>
  <c r="V81" i="1"/>
  <c r="Z81" i="1"/>
  <c r="BE104" i="1"/>
  <c r="B114" i="1" s="1"/>
  <c r="V114" i="1" s="1"/>
  <c r="Z114" i="1" s="1"/>
  <c r="AT104" i="1"/>
  <c r="AT101" i="1"/>
  <c r="BE101" i="1"/>
  <c r="B111" i="1" s="1"/>
  <c r="V111" i="1" s="1"/>
  <c r="Z111" i="1" s="1"/>
  <c r="R127" i="1"/>
  <c r="N37" i="1" s="1"/>
  <c r="V77" i="1"/>
  <c r="Z77" i="1" s="1"/>
  <c r="BE100" i="1"/>
  <c r="B110" i="1" s="1"/>
  <c r="V110" i="1" s="1"/>
  <c r="Z110" i="1" s="1"/>
  <c r="AT100" i="1"/>
  <c r="AT73" i="1"/>
  <c r="AZ73" i="1" s="1"/>
  <c r="BE73" i="1"/>
  <c r="B73" i="1" s="1"/>
  <c r="V73" i="1" s="1"/>
  <c r="Z73" i="1" s="1"/>
  <c r="V78" i="1"/>
  <c r="Z78" i="1"/>
  <c r="AT88" i="1"/>
  <c r="BE88" i="1"/>
  <c r="B98" i="1" s="1"/>
  <c r="AT87" i="1"/>
  <c r="AZ87" i="1" s="1"/>
  <c r="BE87" i="1"/>
  <c r="B97" i="1" s="1"/>
  <c r="V97" i="1" s="1"/>
  <c r="Z97" i="1" s="1"/>
  <c r="BH127" i="1"/>
  <c r="BB127" i="1"/>
  <c r="BE122" i="1"/>
  <c r="AT97" i="1"/>
  <c r="BE97" i="1"/>
  <c r="B107" i="1" s="1"/>
  <c r="V107" i="1" s="1"/>
  <c r="Z107" i="1" s="1"/>
  <c r="BE96" i="1"/>
  <c r="B106" i="1" s="1"/>
  <c r="V106" i="1" s="1"/>
  <c r="Z106" i="1" s="1"/>
  <c r="AT96" i="1"/>
  <c r="BH126" i="1"/>
  <c r="A56" i="1" s="1"/>
  <c r="BB126" i="1"/>
  <c r="V72" i="1"/>
  <c r="Z72" i="1"/>
  <c r="AT93" i="1"/>
  <c r="BE93" i="1"/>
  <c r="B103" i="1" s="1"/>
  <c r="V103" i="1" s="1"/>
  <c r="Z103" i="1" s="1"/>
  <c r="AT86" i="1"/>
  <c r="BE86" i="1"/>
  <c r="B96" i="1" s="1"/>
  <c r="V96" i="1" s="1"/>
  <c r="Z96" i="1" s="1"/>
  <c r="AT106" i="1"/>
  <c r="BE106" i="1"/>
  <c r="B116" i="1" s="1"/>
  <c r="V116" i="1" s="1"/>
  <c r="Z116" i="1" s="1"/>
  <c r="V117" i="1"/>
  <c r="Z117" i="1"/>
  <c r="AT103" i="1"/>
  <c r="BE103" i="1"/>
  <c r="B113" i="1" s="1"/>
  <c r="V113" i="1" s="1"/>
  <c r="Z113" i="1" s="1"/>
  <c r="AT80" i="1"/>
  <c r="BE80" i="1"/>
  <c r="B80" i="1" s="1"/>
  <c r="V80" i="1" s="1"/>
  <c r="Z80" i="1" s="1"/>
  <c r="R92" i="1"/>
  <c r="N36" i="1" s="1"/>
  <c r="V70" i="1"/>
  <c r="Z70" i="1" s="1"/>
  <c r="M65" i="1"/>
  <c r="N129" i="1"/>
  <c r="BE85" i="1"/>
  <c r="B95" i="1" s="1"/>
  <c r="V95" i="1" s="1"/>
  <c r="AT85" i="1"/>
  <c r="AZ85" i="1" s="1"/>
  <c r="AT98" i="1"/>
  <c r="BE98" i="1"/>
  <c r="B108" i="1" s="1"/>
  <c r="V108" i="1" s="1"/>
  <c r="Z108" i="1" s="1"/>
  <c r="V82" i="1"/>
  <c r="Z82" i="1" s="1"/>
  <c r="AT75" i="1"/>
  <c r="BE75" i="1"/>
  <c r="B75" i="1" s="1"/>
  <c r="V75" i="1" s="1"/>
  <c r="Z75" i="1" s="1"/>
  <c r="V98" i="1"/>
  <c r="Z98" i="1" s="1"/>
  <c r="AT76" i="1"/>
  <c r="AZ76" i="1" s="1"/>
  <c r="BE76" i="1"/>
  <c r="B76" i="1" s="1"/>
  <c r="V76" i="1" s="1"/>
  <c r="Z76" i="1" s="1"/>
  <c r="Z127" i="1" l="1"/>
  <c r="Z92" i="1"/>
  <c r="AZ74" i="1"/>
  <c r="AZ78" i="1"/>
  <c r="AZ82" i="1"/>
  <c r="AZ103" i="1"/>
  <c r="AZ93" i="1"/>
  <c r="AZ100" i="1"/>
  <c r="AZ83" i="1"/>
  <c r="AZ98" i="1"/>
  <c r="A58" i="1"/>
  <c r="A57" i="1"/>
  <c r="AZ92" i="1"/>
  <c r="AZ102" i="1"/>
  <c r="AZ91" i="1"/>
  <c r="AZ77" i="1"/>
  <c r="N38" i="1"/>
  <c r="X35" i="1"/>
  <c r="AZ72" i="1"/>
  <c r="AZ96" i="1"/>
  <c r="AZ88" i="1"/>
  <c r="AZ90" i="1"/>
  <c r="AZ71" i="1"/>
  <c r="AZ94" i="1"/>
  <c r="AZ106" i="1"/>
  <c r="AZ99" i="1"/>
  <c r="AZ107" i="1"/>
  <c r="AZ101" i="1"/>
  <c r="AZ105" i="1"/>
  <c r="AZ79" i="1"/>
  <c r="AZ81" i="1"/>
  <c r="AZ86" i="1"/>
  <c r="AZ89" i="1"/>
  <c r="AZ108" i="1"/>
  <c r="AZ75" i="1"/>
  <c r="AZ95" i="1"/>
  <c r="AZ80" i="1"/>
  <c r="AZ97" i="1"/>
  <c r="AZ104" i="1"/>
  <c r="S35" i="1" l="1"/>
  <c r="X38" i="1"/>
  <c r="S38" i="1" s="1"/>
  <c r="J44" i="1" s="1"/>
  <c r="X36" i="1"/>
  <c r="V92" i="1"/>
  <c r="S36" i="1" s="1"/>
  <c r="V127" i="1"/>
  <c r="S37" i="1" s="1"/>
  <c r="X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<sst xmlns="http://schemas.openxmlformats.org/spreadsheetml/2006/main" count="85" uniqueCount="75">
  <si>
    <t>W E I G H I N G    R E P O R T</t>
  </si>
  <si>
    <t>AIRCRAFT DATA</t>
  </si>
  <si>
    <t>WEIGHING DATA</t>
  </si>
  <si>
    <t>REGISTRATION</t>
  </si>
  <si>
    <t>WEIGHED BY</t>
  </si>
  <si>
    <t>TYPE / MODEL</t>
  </si>
  <si>
    <t>SITE</t>
  </si>
  <si>
    <t>VRBL. NUMBER</t>
  </si>
  <si>
    <t>DATE</t>
  </si>
  <si>
    <t>SERIAL NUMBER</t>
  </si>
  <si>
    <t xml:space="preserve">JACK POINTS </t>
  </si>
  <si>
    <t>Landing Gear Wheels</t>
  </si>
  <si>
    <t>LINE NUMBER</t>
  </si>
  <si>
    <t>REASON</t>
  </si>
  <si>
    <t>CONFIGURATION</t>
  </si>
  <si>
    <t>CERTIFIED GROSS WEIGHTS (kgf)</t>
  </si>
  <si>
    <t>LOPA</t>
  </si>
  <si>
    <t>Maximum Taxi Weight</t>
  </si>
  <si>
    <t>(MTW)</t>
  </si>
  <si>
    <t>Check the applicable WBM</t>
  </si>
  <si>
    <t>Maximum Takeoff Weight</t>
  </si>
  <si>
    <t>(MTOW)</t>
  </si>
  <si>
    <t>Maximum Landing Weight</t>
  </si>
  <si>
    <t>(MLW)</t>
  </si>
  <si>
    <t>Maximum Zero Fuel Weight</t>
  </si>
  <si>
    <t>(MZFW)</t>
  </si>
  <si>
    <t>JACK POINTS</t>
  </si>
  <si>
    <t>REACTION</t>
  </si>
  <si>
    <t xml:space="preserve">UNITS USED </t>
  </si>
  <si>
    <t>POINTS ARMS</t>
  </si>
  <si>
    <t>ON THIS REPORT</t>
  </si>
  <si>
    <t>A:</t>
  </si>
  <si>
    <t>WEIGHT:</t>
  </si>
  <si>
    <t>kgf</t>
  </si>
  <si>
    <t>B (LH):</t>
  </si>
  <si>
    <t>ARM:</t>
  </si>
  <si>
    <t>inch</t>
  </si>
  <si>
    <t>B (RH):</t>
  </si>
  <si>
    <t>MOMENT:</t>
  </si>
  <si>
    <t>kgf x inch</t>
  </si>
  <si>
    <t>C:</t>
  </si>
  <si>
    <t>REACTIONS</t>
  </si>
  <si>
    <t>WEIGHT</t>
  </si>
  <si>
    <t>ARM</t>
  </si>
  <si>
    <t>MOMENT</t>
  </si>
  <si>
    <t>LH</t>
  </si>
  <si>
    <t>RH</t>
  </si>
  <si>
    <t>NOSE</t>
  </si>
  <si>
    <t>TAIL</t>
  </si>
  <si>
    <t>TOTAL REGISTERED</t>
  </si>
  <si>
    <t>DEDUCTIONS</t>
  </si>
  <si>
    <t>ADDITIONS</t>
  </si>
  <si>
    <t xml:space="preserve">AIRCRAFT BASIC WEIGHT </t>
  </si>
  <si>
    <t>LEVEL CORRECTION (value added to CG)</t>
  </si>
  <si>
    <t>0,000</t>
  </si>
  <si>
    <t>ISSUE DATE</t>
  </si>
  <si>
    <t>NUMBER</t>
  </si>
  <si>
    <t>REVISION</t>
  </si>
  <si>
    <t>C.G. =</t>
  </si>
  <si>
    <t>ARM - 627,1</t>
  </si>
  <si>
    <t>=</t>
  </si>
  <si>
    <t>R</t>
  </si>
  <si>
    <t>% MAC</t>
  </si>
  <si>
    <t>COM 0411-01/ANAC</t>
  </si>
  <si>
    <t>PREPARED BY</t>
  </si>
  <si>
    <t>APPROVED BY</t>
  </si>
  <si>
    <t>Remarks</t>
  </si>
  <si>
    <t xml:space="preserve">This issue supersedes Weighing Report Number </t>
  </si>
  <si>
    <t>Revision</t>
  </si>
  <si>
    <t>Page 1 of 2</t>
  </si>
  <si>
    <t>Emissor</t>
  </si>
  <si>
    <t>Attachment to Weighing Report Number</t>
  </si>
  <si>
    <t>Issue Date:</t>
  </si>
  <si>
    <t>Aprovador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</si>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</sst>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mmmm\ d\,\ yyyy;@"/>
    <numFmt numFmtId="165" formatCode="#,##0.0000"/>
    <numFmt numFmtId="166" formatCode="0.0000"/>
    <numFmt numFmtId="167" formatCode="0.0"/>
    <numFmt numFmtId="168" formatCode="_(* #,##0.00_);_(* \(#,##0.00\);_(* &quot;-&quot;??_);_(@_)"/>
    <numFmt numFmtId="169" formatCode="\ 00####"/>
    <numFmt numFmtId="170" formatCode="#,##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sz val="10"/>
      <color theme="0" tint="-0.34998626667073579"/>
      <name val="Arial"/>
      <family val="2"/>
    </font>
    <font>
      <b/>
      <sz val="11"/>
      <color indexed="6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indexed="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34998626667073579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</cellStyleXfs>
  <cellXfs count="313">
    <xf numFmtId="0" fontId="0" fillId="0" borderId="0" xfId="0"/>
    <xf numFmtId="0" fontId="2" fillId="0" borderId="1" xfId="2" applyBorder="1" applyProtection="1">
      <protection locked="0"/>
    </xf>
    <xf numFmtId="0" fontId="2" fillId="0" borderId="2" xfId="2" applyBorder="1" applyProtection="1">
      <protection locked="0"/>
    </xf>
    <xf numFmtId="0" fontId="2" fillId="0" borderId="3" xfId="2" applyBorder="1" applyProtection="1">
      <protection locked="0"/>
    </xf>
    <xf numFmtId="0" fontId="3" fillId="0" borderId="1" xfId="2" applyFont="1" applyBorder="1" applyAlignment="1" applyProtection="1">
      <alignment horizontal="center" vertical="center"/>
      <protection locked="0"/>
    </xf>
    <xf numFmtId="0" fontId="3" fillId="0" borderId="2" xfId="2" applyFont="1" applyBorder="1" applyAlignment="1" applyProtection="1">
      <alignment horizontal="center" vertical="center"/>
      <protection locked="0"/>
    </xf>
    <xf numFmtId="0" fontId="3" fillId="0" borderId="3" xfId="2" applyFont="1" applyBorder="1" applyAlignment="1" applyProtection="1">
      <alignment horizontal="center" vertical="center"/>
      <protection locked="0"/>
    </xf>
    <xf numFmtId="0" fontId="2" fillId="0" borderId="0" xfId="2"/>
    <xf numFmtId="0" fontId="2" fillId="0" borderId="4" xfId="2" applyBorder="1" applyProtection="1">
      <protection locked="0"/>
    </xf>
    <xf numFmtId="0" fontId="2" fillId="0" borderId="0" xfId="2" applyProtection="1">
      <protection locked="0"/>
    </xf>
    <xf numFmtId="0" fontId="4" fillId="0" borderId="0" xfId="2" applyFont="1" applyAlignment="1" applyProtection="1">
      <alignment vertical="center"/>
      <protection locked="0"/>
    </xf>
    <xf numFmtId="0" fontId="4" fillId="0" borderId="5" xfId="2" applyFont="1" applyBorder="1" applyAlignment="1" applyProtection="1">
      <alignment vertical="center"/>
      <protection locked="0"/>
    </xf>
    <xf numFmtId="0" fontId="3" fillId="0" borderId="4" xfId="2" applyFont="1" applyBorder="1" applyAlignment="1" applyProtection="1">
      <alignment horizontal="center"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0" fontId="3" fillId="0" borderId="5" xfId="2" applyFont="1" applyBorder="1" applyAlignment="1" applyProtection="1">
      <alignment horizontal="center" vertical="center"/>
      <protection locked="0"/>
    </xf>
    <xf numFmtId="0" fontId="2" fillId="0" borderId="6" xfId="2" applyBorder="1" applyProtection="1">
      <protection locked="0"/>
    </xf>
    <xf numFmtId="0" fontId="2" fillId="0" borderId="7" xfId="2" applyBorder="1" applyProtection="1">
      <protection locked="0"/>
    </xf>
    <xf numFmtId="0" fontId="2" fillId="0" borderId="8" xfId="2" applyBorder="1" applyProtection="1">
      <protection locked="0"/>
    </xf>
    <xf numFmtId="0" fontId="3" fillId="0" borderId="6" xfId="2" applyFont="1" applyBorder="1" applyAlignment="1" applyProtection="1">
      <alignment horizontal="center" vertical="center"/>
      <protection locked="0"/>
    </xf>
    <xf numFmtId="0" fontId="3" fillId="0" borderId="7" xfId="2" applyFont="1" applyBorder="1" applyAlignment="1" applyProtection="1">
      <alignment horizontal="center" vertical="center"/>
      <protection locked="0"/>
    </xf>
    <xf numFmtId="0" fontId="3" fillId="0" borderId="8" xfId="2" applyFont="1" applyBorder="1" applyAlignment="1" applyProtection="1">
      <alignment horizontal="center" vertical="center"/>
      <protection locked="0"/>
    </xf>
    <xf numFmtId="0" fontId="5" fillId="0" borderId="9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2" fillId="0" borderId="0" xfId="2" applyAlignment="1">
      <alignment horizontal="left" vertical="center" indent="1"/>
    </xf>
    <xf numFmtId="0" fontId="6" fillId="0" borderId="12" xfId="2" applyFont="1" applyBorder="1" applyAlignment="1">
      <alignment horizontal="left" vertical="center" wrapText="1"/>
    </xf>
    <xf numFmtId="0" fontId="2" fillId="0" borderId="13" xfId="2" applyBorder="1"/>
    <xf numFmtId="0" fontId="2" fillId="0" borderId="14" xfId="2" applyBorder="1"/>
    <xf numFmtId="0" fontId="7" fillId="2" borderId="15" xfId="2" applyFont="1" applyFill="1" applyBorder="1" applyAlignment="1">
      <alignment horizontal="left" vertical="center" wrapText="1" indent="1"/>
    </xf>
    <xf numFmtId="0" fontId="7" fillId="2" borderId="16" xfId="2" applyFont="1" applyFill="1" applyBorder="1" applyAlignment="1">
      <alignment horizontal="left" vertical="center" wrapText="1" indent="1"/>
    </xf>
    <xf numFmtId="0" fontId="6" fillId="0" borderId="17" xfId="2" applyFont="1" applyBorder="1" applyAlignment="1">
      <alignment horizontal="left" vertical="center" wrapText="1"/>
    </xf>
    <xf numFmtId="0" fontId="6" fillId="0" borderId="18" xfId="2" applyFont="1" applyBorder="1" applyAlignment="1">
      <alignment horizontal="left" vertical="center" wrapText="1"/>
    </xf>
    <xf numFmtId="0" fontId="7" fillId="0" borderId="18" xfId="2" applyFont="1" applyBorder="1" applyAlignment="1">
      <alignment horizontal="left" vertical="center" wrapText="1" indent="1"/>
    </xf>
    <xf numFmtId="0" fontId="7" fillId="0" borderId="19" xfId="2" applyFont="1" applyBorder="1" applyAlignment="1">
      <alignment horizontal="left" vertical="center" wrapText="1" indent="1"/>
    </xf>
    <xf numFmtId="0" fontId="6" fillId="0" borderId="20" xfId="2" applyFont="1" applyBorder="1" applyAlignment="1">
      <alignment horizontal="left" vertical="center" wrapText="1"/>
    </xf>
    <xf numFmtId="0" fontId="6" fillId="0" borderId="15" xfId="2" applyFont="1" applyBorder="1" applyAlignment="1">
      <alignment horizontal="left" vertical="center" wrapText="1"/>
    </xf>
    <xf numFmtId="0" fontId="6" fillId="0" borderId="21" xfId="2" applyFont="1" applyBorder="1" applyAlignment="1">
      <alignment horizontal="left" vertical="center" wrapText="1"/>
    </xf>
    <xf numFmtId="164" fontId="7" fillId="0" borderId="15" xfId="2" applyNumberFormat="1" applyFont="1" applyBorder="1" applyAlignment="1">
      <alignment horizontal="left" vertical="center" wrapText="1" indent="1"/>
    </xf>
    <xf numFmtId="164" fontId="7" fillId="0" borderId="16" xfId="2" applyNumberFormat="1" applyFont="1" applyBorder="1" applyAlignment="1">
      <alignment horizontal="left" vertical="center" wrapText="1" indent="1"/>
    </xf>
    <xf numFmtId="0" fontId="6" fillId="0" borderId="22" xfId="2" applyFont="1" applyBorder="1" applyAlignment="1">
      <alignment horizontal="left" vertical="center" wrapText="1"/>
    </xf>
    <xf numFmtId="0" fontId="6" fillId="0" borderId="23" xfId="2" applyFont="1" applyBorder="1" applyAlignment="1">
      <alignment horizontal="left" vertical="center" wrapText="1"/>
    </xf>
    <xf numFmtId="0" fontId="7" fillId="0" borderId="23" xfId="2" applyFont="1" applyBorder="1" applyAlignment="1">
      <alignment horizontal="left" vertical="center" wrapText="1" indent="1"/>
    </xf>
    <xf numFmtId="0" fontId="7" fillId="0" borderId="24" xfId="2" applyFont="1" applyBorder="1" applyAlignment="1">
      <alignment horizontal="left" vertical="center" wrapText="1" indent="1"/>
    </xf>
    <xf numFmtId="0" fontId="7" fillId="2" borderId="23" xfId="2" applyFont="1" applyFill="1" applyBorder="1" applyAlignment="1">
      <alignment horizontal="left" vertical="center" wrapText="1" indent="1"/>
    </xf>
    <xf numFmtId="0" fontId="7" fillId="2" borderId="24" xfId="2" applyFont="1" applyFill="1" applyBorder="1" applyAlignment="1">
      <alignment horizontal="left" vertical="center" wrapText="1" indent="1"/>
    </xf>
    <xf numFmtId="0" fontId="5" fillId="0" borderId="1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left" vertical="center" wrapText="1"/>
    </xf>
    <xf numFmtId="0" fontId="6" fillId="0" borderId="26" xfId="2" applyFont="1" applyBorder="1" applyAlignment="1">
      <alignment horizontal="left" vertical="center" wrapText="1"/>
    </xf>
    <xf numFmtId="0" fontId="7" fillId="0" borderId="27" xfId="2" applyFont="1" applyBorder="1" applyAlignment="1">
      <alignment horizontal="left" vertical="center" wrapText="1" indent="1"/>
    </xf>
    <xf numFmtId="0" fontId="7" fillId="0" borderId="28" xfId="2" applyFont="1" applyBorder="1" applyAlignment="1">
      <alignment horizontal="left" vertical="center" wrapText="1" indent="1"/>
    </xf>
    <xf numFmtId="0" fontId="8" fillId="2" borderId="12" xfId="2" applyFont="1" applyFill="1" applyBorder="1" applyAlignment="1">
      <alignment horizontal="left" vertical="center" wrapText="1"/>
    </xf>
    <xf numFmtId="0" fontId="9" fillId="2" borderId="13" xfId="2" applyFont="1" applyFill="1" applyBorder="1" applyAlignment="1">
      <alignment horizontal="left" vertical="center" wrapText="1"/>
    </xf>
    <xf numFmtId="0" fontId="8" fillId="2" borderId="13" xfId="2" applyFont="1" applyFill="1" applyBorder="1" applyAlignment="1">
      <alignment horizontal="center" vertical="center" wrapText="1"/>
    </xf>
    <xf numFmtId="0" fontId="8" fillId="2" borderId="14" xfId="2" applyFont="1" applyFill="1" applyBorder="1" applyAlignment="1">
      <alignment horizontal="center" vertical="center" wrapText="1"/>
    </xf>
    <xf numFmtId="3" fontId="8" fillId="3" borderId="29" xfId="2" applyNumberFormat="1" applyFont="1" applyFill="1" applyBorder="1" applyAlignment="1" applyProtection="1">
      <alignment horizontal="center" vertical="center" wrapText="1"/>
      <protection locked="0"/>
    </xf>
    <xf numFmtId="3" fontId="8" fillId="3" borderId="2" xfId="2" applyNumberFormat="1" applyFont="1" applyFill="1" applyBorder="1" applyAlignment="1" applyProtection="1">
      <alignment horizontal="center" vertical="center" wrapText="1"/>
      <protection locked="0"/>
    </xf>
    <xf numFmtId="3" fontId="8" fillId="3" borderId="3" xfId="2" applyNumberFormat="1" applyFont="1" applyFill="1" applyBorder="1" applyAlignment="1" applyProtection="1">
      <alignment horizontal="center" vertical="center" wrapText="1"/>
      <protection locked="0"/>
    </xf>
    <xf numFmtId="12" fontId="2" fillId="0" borderId="0" xfId="2" applyNumberFormat="1" applyAlignment="1">
      <alignment horizontal="left" vertical="center" indent="1"/>
    </xf>
    <xf numFmtId="0" fontId="6" fillId="0" borderId="2" xfId="2" applyFont="1" applyBorder="1" applyAlignment="1">
      <alignment vertical="center" wrapText="1"/>
    </xf>
    <xf numFmtId="0" fontId="7" fillId="0" borderId="2" xfId="2" applyFont="1" applyBorder="1" applyAlignment="1">
      <alignment vertical="center" wrapText="1"/>
    </xf>
    <xf numFmtId="0" fontId="7" fillId="0" borderId="3" xfId="2" applyFont="1" applyBorder="1" applyAlignment="1">
      <alignment vertical="center" wrapText="1"/>
    </xf>
    <xf numFmtId="0" fontId="8" fillId="2" borderId="30" xfId="2" applyFont="1" applyFill="1" applyBorder="1" applyAlignment="1">
      <alignment horizontal="left" vertical="center" wrapText="1"/>
    </xf>
    <xf numFmtId="0" fontId="8" fillId="2" borderId="31" xfId="2" applyFont="1" applyFill="1" applyBorder="1" applyAlignment="1">
      <alignment horizontal="left" vertical="center" wrapText="1"/>
    </xf>
    <xf numFmtId="0" fontId="8" fillId="2" borderId="32" xfId="2" applyFont="1" applyFill="1" applyBorder="1" applyAlignment="1">
      <alignment horizontal="center" vertical="center" wrapText="1"/>
    </xf>
    <xf numFmtId="0" fontId="8" fillId="2" borderId="21" xfId="2" applyFont="1" applyFill="1" applyBorder="1" applyAlignment="1">
      <alignment horizontal="center" vertical="center" wrapText="1"/>
    </xf>
    <xf numFmtId="3" fontId="8" fillId="3" borderId="33" xfId="2" applyNumberFormat="1" applyFont="1" applyFill="1" applyBorder="1" applyAlignment="1" applyProtection="1">
      <alignment horizontal="center" vertical="center" wrapText="1"/>
      <protection locked="0"/>
    </xf>
    <xf numFmtId="3" fontId="8" fillId="3" borderId="0" xfId="2" applyNumberFormat="1" applyFont="1" applyFill="1" applyAlignment="1" applyProtection="1">
      <alignment horizontal="center" vertical="center" wrapText="1"/>
      <protection locked="0"/>
    </xf>
    <xf numFmtId="3" fontId="8" fillId="3" borderId="5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vertical="center" wrapText="1"/>
    </xf>
    <xf numFmtId="0" fontId="7" fillId="0" borderId="0" xfId="2" applyFont="1" applyAlignment="1">
      <alignment vertical="center" wrapText="1"/>
    </xf>
    <xf numFmtId="0" fontId="7" fillId="0" borderId="5" xfId="2" applyFont="1" applyBorder="1" applyAlignment="1">
      <alignment vertical="center" wrapText="1"/>
    </xf>
    <xf numFmtId="0" fontId="8" fillId="2" borderId="34" xfId="2" applyFont="1" applyFill="1" applyBorder="1" applyAlignment="1">
      <alignment horizontal="left" vertical="center" wrapText="1"/>
    </xf>
    <xf numFmtId="0" fontId="8" fillId="2" borderId="28" xfId="2" applyFont="1" applyFill="1" applyBorder="1" applyAlignment="1">
      <alignment horizontal="left" vertical="center" wrapText="1"/>
    </xf>
    <xf numFmtId="0" fontId="8" fillId="2" borderId="28" xfId="2" applyFont="1" applyFill="1" applyBorder="1" applyAlignment="1">
      <alignment horizontal="center" vertical="center" wrapText="1"/>
    </xf>
    <xf numFmtId="0" fontId="8" fillId="2" borderId="35" xfId="2" applyFont="1" applyFill="1" applyBorder="1" applyAlignment="1">
      <alignment horizontal="center" vertical="center" wrapText="1"/>
    </xf>
    <xf numFmtId="3" fontId="8" fillId="3" borderId="36" xfId="2" applyNumberFormat="1" applyFont="1" applyFill="1" applyBorder="1" applyAlignment="1" applyProtection="1">
      <alignment horizontal="center" vertical="center" wrapText="1"/>
      <protection locked="0"/>
    </xf>
    <xf numFmtId="3" fontId="8" fillId="3" borderId="7" xfId="2" applyNumberFormat="1" applyFont="1" applyFill="1" applyBorder="1" applyAlignment="1" applyProtection="1">
      <alignment horizontal="center" vertical="center" wrapText="1"/>
      <protection locked="0"/>
    </xf>
    <xf numFmtId="3" fontId="8" fillId="3" borderId="8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 vertical="center" wrapText="1" indent="1"/>
    </xf>
    <xf numFmtId="0" fontId="2" fillId="0" borderId="0" xfId="2" applyAlignment="1" applyProtection="1">
      <alignment horizontal="left" vertical="center" indent="1"/>
      <protection locked="0"/>
    </xf>
    <xf numFmtId="0" fontId="6" fillId="0" borderId="1" xfId="2" applyFont="1" applyBorder="1"/>
    <xf numFmtId="0" fontId="2" fillId="0" borderId="2" xfId="2" applyBorder="1"/>
    <xf numFmtId="0" fontId="2" fillId="0" borderId="3" xfId="2" applyBorder="1"/>
    <xf numFmtId="0" fontId="6" fillId="0" borderId="1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2" fillId="0" borderId="4" xfId="2" applyBorder="1"/>
    <xf numFmtId="0" fontId="2" fillId="0" borderId="5" xfId="2" applyBorder="1"/>
    <xf numFmtId="0" fontId="6" fillId="0" borderId="4" xfId="2" applyFont="1" applyBorder="1" applyAlignment="1">
      <alignment horizontal="center"/>
    </xf>
    <xf numFmtId="0" fontId="6" fillId="0" borderId="0" xfId="2" applyFont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20" xfId="2" applyFont="1" applyBorder="1" applyAlignment="1" applyProtection="1">
      <alignment horizontal="left" wrapText="1" indent="1"/>
      <protection locked="0"/>
    </xf>
    <xf numFmtId="0" fontId="6" fillId="0" borderId="15" xfId="2" applyFont="1" applyBorder="1" applyAlignment="1" applyProtection="1">
      <alignment horizontal="left" wrapText="1" indent="1"/>
      <protection locked="0"/>
    </xf>
    <xf numFmtId="165" fontId="2" fillId="3" borderId="15" xfId="2" applyNumberFormat="1" applyFill="1" applyBorder="1" applyAlignment="1" applyProtection="1">
      <alignment horizontal="center" wrapText="1"/>
      <protection locked="0"/>
    </xf>
    <xf numFmtId="165" fontId="2" fillId="3" borderId="16" xfId="2" applyNumberFormat="1" applyFill="1" applyBorder="1" applyAlignment="1" applyProtection="1">
      <alignment horizontal="center" wrapText="1"/>
      <protection locked="0"/>
    </xf>
    <xf numFmtId="0" fontId="6" fillId="0" borderId="0" xfId="2" applyFont="1" applyAlignment="1">
      <alignment horizontal="left" wrapText="1" indent="1"/>
    </xf>
    <xf numFmtId="0" fontId="7" fillId="0" borderId="0" xfId="2" applyFont="1" applyAlignment="1">
      <alignment horizontal="left" wrapText="1"/>
    </xf>
    <xf numFmtId="0" fontId="2" fillId="0" borderId="4" xfId="2" applyBorder="1" applyAlignment="1" applyProtection="1">
      <alignment horizontal="left" indent="1"/>
      <protection locked="0"/>
    </xf>
    <xf numFmtId="0" fontId="2" fillId="0" borderId="0" xfId="2" applyAlignment="1" applyProtection="1">
      <alignment horizontal="left" indent="1"/>
      <protection locked="0"/>
    </xf>
    <xf numFmtId="166" fontId="7" fillId="0" borderId="0" xfId="2" applyNumberFormat="1" applyFont="1" applyAlignment="1" applyProtection="1">
      <alignment horizontal="right"/>
      <protection locked="0"/>
    </xf>
    <xf numFmtId="0" fontId="7" fillId="0" borderId="5" xfId="2" applyFont="1" applyBorder="1" applyProtection="1">
      <protection locked="0"/>
    </xf>
    <xf numFmtId="0" fontId="2" fillId="0" borderId="4" xfId="2" applyBorder="1" applyAlignment="1">
      <alignment horizontal="left" indent="1"/>
    </xf>
    <xf numFmtId="0" fontId="2" fillId="0" borderId="0" xfId="2" applyAlignment="1">
      <alignment horizontal="left" indent="1"/>
    </xf>
    <xf numFmtId="0" fontId="2" fillId="0" borderId="0" xfId="2" applyAlignment="1">
      <alignment horizontal="left"/>
    </xf>
    <xf numFmtId="0" fontId="2" fillId="4" borderId="0" xfId="2" applyFill="1"/>
    <xf numFmtId="166" fontId="7" fillId="0" borderId="0" xfId="2" applyNumberFormat="1" applyFont="1" applyProtection="1">
      <protection locked="0"/>
    </xf>
    <xf numFmtId="0" fontId="6" fillId="0" borderId="4" xfId="2" applyFont="1" applyBorder="1" applyAlignment="1">
      <alignment horizontal="left" wrapText="1" indent="1"/>
    </xf>
    <xf numFmtId="0" fontId="7" fillId="0" borderId="5" xfId="2" applyFont="1" applyBorder="1" applyAlignment="1">
      <alignment horizontal="left" wrapText="1"/>
    </xf>
    <xf numFmtId="0" fontId="2" fillId="0" borderId="6" xfId="2" applyBorder="1"/>
    <xf numFmtId="0" fontId="2" fillId="0" borderId="7" xfId="2" applyBorder="1"/>
    <xf numFmtId="0" fontId="2" fillId="0" borderId="8" xfId="2" applyBorder="1"/>
    <xf numFmtId="0" fontId="10" fillId="5" borderId="0" xfId="2" applyFont="1" applyFill="1"/>
    <xf numFmtId="0" fontId="5" fillId="0" borderId="9" xfId="2" applyFont="1" applyBorder="1" applyAlignment="1">
      <alignment horizontal="left" vertical="center" wrapText="1"/>
    </xf>
    <xf numFmtId="0" fontId="5" fillId="0" borderId="10" xfId="2" applyFont="1" applyBorder="1" applyAlignment="1">
      <alignment horizontal="left" vertical="center" wrapText="1"/>
    </xf>
    <xf numFmtId="0" fontId="5" fillId="0" borderId="11" xfId="2" applyFont="1" applyBorder="1" applyAlignment="1">
      <alignment horizontal="left" vertical="center" wrapText="1"/>
    </xf>
    <xf numFmtId="0" fontId="5" fillId="0" borderId="10" xfId="2" applyFont="1" applyBorder="1" applyAlignment="1" applyProtection="1">
      <alignment horizontal="center" vertical="center" wrapText="1"/>
      <protection locked="0"/>
    </xf>
    <xf numFmtId="0" fontId="5" fillId="0" borderId="11" xfId="2" applyFont="1" applyBorder="1" applyAlignment="1" applyProtection="1">
      <alignment horizontal="center" vertical="center" wrapText="1"/>
      <protection locked="0"/>
    </xf>
    <xf numFmtId="0" fontId="2" fillId="0" borderId="0" xfId="2" applyAlignment="1">
      <alignment vertical="center"/>
    </xf>
    <xf numFmtId="0" fontId="10" fillId="5" borderId="0" xfId="2" applyFont="1" applyFill="1" applyAlignment="1">
      <alignment vertical="center"/>
    </xf>
    <xf numFmtId="0" fontId="7" fillId="0" borderId="37" xfId="2" applyFont="1" applyBorder="1" applyAlignment="1">
      <alignment horizontal="left" vertical="center" wrapText="1"/>
    </xf>
    <xf numFmtId="0" fontId="7" fillId="0" borderId="18" xfId="2" applyFont="1" applyBorder="1" applyAlignment="1">
      <alignment horizontal="left" vertical="center" wrapText="1"/>
    </xf>
    <xf numFmtId="0" fontId="7" fillId="0" borderId="19" xfId="2" applyFont="1" applyBorder="1" applyAlignment="1">
      <alignment horizontal="left" vertical="center" wrapText="1"/>
    </xf>
    <xf numFmtId="165" fontId="7" fillId="3" borderId="38" xfId="2" applyNumberFormat="1" applyFont="1" applyFill="1" applyBorder="1" applyAlignment="1" applyProtection="1">
      <alignment horizontal="center" vertical="center" wrapText="1"/>
      <protection locked="0"/>
    </xf>
    <xf numFmtId="165" fontId="7" fillId="3" borderId="32" xfId="2" applyNumberFormat="1" applyFont="1" applyFill="1" applyBorder="1" applyAlignment="1" applyProtection="1">
      <alignment horizontal="center" vertical="center" wrapText="1"/>
      <protection locked="0"/>
    </xf>
    <xf numFmtId="165" fontId="7" fillId="3" borderId="39" xfId="2" applyNumberFormat="1" applyFont="1" applyFill="1" applyBorder="1" applyAlignment="1" applyProtection="1">
      <alignment horizontal="center" vertical="center" wrapText="1"/>
      <protection locked="0"/>
    </xf>
    <xf numFmtId="165" fontId="7" fillId="0" borderId="12" xfId="2" applyNumberFormat="1" applyFont="1" applyBorder="1" applyAlignment="1">
      <alignment horizontal="center" vertical="center" wrapText="1"/>
    </xf>
    <xf numFmtId="165" fontId="7" fillId="0" borderId="13" xfId="2" applyNumberFormat="1" applyFont="1" applyBorder="1" applyAlignment="1">
      <alignment horizontal="center" vertical="center" wrapText="1"/>
    </xf>
    <xf numFmtId="165" fontId="7" fillId="0" borderId="40" xfId="2" applyNumberFormat="1" applyFont="1" applyBorder="1" applyAlignment="1">
      <alignment horizontal="center" vertical="center" wrapText="1"/>
    </xf>
    <xf numFmtId="0" fontId="7" fillId="0" borderId="20" xfId="2" applyFont="1" applyBorder="1" applyAlignment="1">
      <alignment horizontal="left" vertical="center" wrapText="1"/>
    </xf>
    <xf numFmtId="0" fontId="7" fillId="0" borderId="15" xfId="2" applyFont="1" applyBorder="1" applyAlignment="1">
      <alignment horizontal="left" vertical="center" wrapText="1"/>
    </xf>
    <xf numFmtId="0" fontId="7" fillId="0" borderId="16" xfId="2" applyFont="1" applyBorder="1" applyAlignment="1">
      <alignment horizontal="left" vertical="center" wrapText="1"/>
    </xf>
    <xf numFmtId="165" fontId="7" fillId="0" borderId="38" xfId="2" applyNumberFormat="1" applyFont="1" applyBorder="1" applyAlignment="1">
      <alignment horizontal="center" vertical="center" wrapText="1"/>
    </xf>
    <xf numFmtId="165" fontId="7" fillId="0" borderId="32" xfId="2" applyNumberFormat="1" applyFont="1" applyBorder="1" applyAlignment="1">
      <alignment horizontal="center" vertical="center" wrapText="1"/>
    </xf>
    <xf numFmtId="165" fontId="7" fillId="0" borderId="39" xfId="2" applyNumberFormat="1" applyFont="1" applyBorder="1" applyAlignment="1">
      <alignment horizontal="center" vertical="center" wrapText="1"/>
    </xf>
    <xf numFmtId="167" fontId="2" fillId="0" borderId="0" xfId="2" applyNumberFormat="1" applyAlignment="1">
      <alignment vertical="center"/>
    </xf>
    <xf numFmtId="0" fontId="7" fillId="0" borderId="41" xfId="2" applyFont="1" applyBorder="1" applyAlignment="1">
      <alignment horizontal="left" vertical="center" wrapText="1"/>
    </xf>
    <xf numFmtId="0" fontId="7" fillId="0" borderId="23" xfId="2" applyFont="1" applyBorder="1" applyAlignment="1">
      <alignment horizontal="left" vertical="center" wrapText="1"/>
    </xf>
    <xf numFmtId="0" fontId="7" fillId="0" borderId="24" xfId="2" applyFont="1" applyBorder="1" applyAlignment="1">
      <alignment horizontal="left" vertical="center" wrapText="1"/>
    </xf>
    <xf numFmtId="165" fontId="7" fillId="3" borderId="34" xfId="2" applyNumberFormat="1" applyFont="1" applyFill="1" applyBorder="1" applyAlignment="1" applyProtection="1">
      <alignment horizontal="center" vertical="center" wrapText="1"/>
      <protection locked="0"/>
    </xf>
    <xf numFmtId="165" fontId="7" fillId="3" borderId="28" xfId="2" applyNumberFormat="1" applyFont="1" applyFill="1" applyBorder="1" applyAlignment="1" applyProtection="1">
      <alignment horizontal="center" vertical="center" wrapText="1"/>
      <protection locked="0"/>
    </xf>
    <xf numFmtId="165" fontId="7" fillId="3" borderId="42" xfId="2" applyNumberFormat="1" applyFont="1" applyFill="1" applyBorder="1" applyAlignment="1" applyProtection="1">
      <alignment horizontal="center" vertical="center" wrapText="1"/>
      <protection locked="0"/>
    </xf>
    <xf numFmtId="165" fontId="7" fillId="0" borderId="34" xfId="2" applyNumberFormat="1" applyFont="1" applyBorder="1" applyAlignment="1">
      <alignment horizontal="center" vertical="center" wrapText="1"/>
    </xf>
    <xf numFmtId="165" fontId="7" fillId="0" borderId="28" xfId="2" applyNumberFormat="1" applyFont="1" applyBorder="1" applyAlignment="1">
      <alignment horizontal="center" vertical="center" wrapText="1"/>
    </xf>
    <xf numFmtId="165" fontId="7" fillId="0" borderId="42" xfId="2" applyNumberFormat="1" applyFont="1" applyBorder="1" applyAlignment="1">
      <alignment horizontal="center" vertical="center" wrapText="1"/>
    </xf>
    <xf numFmtId="165" fontId="5" fillId="0" borderId="9" xfId="2" applyNumberFormat="1" applyFont="1" applyBorder="1" applyAlignment="1">
      <alignment horizontal="center" vertical="center" wrapText="1"/>
    </xf>
    <xf numFmtId="165" fontId="5" fillId="0" borderId="10" xfId="2" applyNumberFormat="1" applyFont="1" applyBorder="1" applyAlignment="1">
      <alignment horizontal="center" vertical="center" wrapText="1"/>
    </xf>
    <xf numFmtId="165" fontId="5" fillId="0" borderId="11" xfId="2" applyNumberFormat="1" applyFont="1" applyBorder="1" applyAlignment="1">
      <alignment horizontal="center" vertical="center" wrapText="1"/>
    </xf>
    <xf numFmtId="0" fontId="6" fillId="0" borderId="0" xfId="2" applyFont="1" applyAlignment="1">
      <alignment vertical="center"/>
    </xf>
    <xf numFmtId="0" fontId="7" fillId="0" borderId="12" xfId="2" applyFont="1" applyBorder="1" applyAlignment="1">
      <alignment horizontal="left" vertical="center" wrapText="1"/>
    </xf>
    <xf numFmtId="0" fontId="7" fillId="0" borderId="13" xfId="2" applyFont="1" applyBorder="1" applyAlignment="1">
      <alignment horizontal="left" vertical="center" wrapText="1"/>
    </xf>
    <xf numFmtId="0" fontId="7" fillId="0" borderId="40" xfId="2" applyFont="1" applyBorder="1" applyAlignment="1">
      <alignment horizontal="left" vertical="center" wrapText="1"/>
    </xf>
    <xf numFmtId="0" fontId="7" fillId="0" borderId="43" xfId="2" applyFont="1" applyBorder="1" applyAlignment="1">
      <alignment horizontal="left" vertical="center" wrapText="1"/>
    </xf>
    <xf numFmtId="0" fontId="7" fillId="0" borderId="44" xfId="2" applyFont="1" applyBorder="1" applyAlignment="1">
      <alignment horizontal="left" vertical="center" wrapText="1"/>
    </xf>
    <xf numFmtId="0" fontId="7" fillId="0" borderId="45" xfId="2" applyFont="1" applyBorder="1" applyAlignment="1">
      <alignment horizontal="left" vertical="center" wrapText="1"/>
    </xf>
    <xf numFmtId="0" fontId="5" fillId="0" borderId="46" xfId="2" applyFont="1" applyBorder="1" applyAlignment="1">
      <alignment horizontal="left" vertical="center" wrapText="1"/>
    </xf>
    <xf numFmtId="0" fontId="5" fillId="0" borderId="47" xfId="2" applyFont="1" applyBorder="1" applyAlignment="1">
      <alignment horizontal="left" vertical="center" wrapText="1"/>
    </xf>
    <xf numFmtId="0" fontId="5" fillId="0" borderId="48" xfId="2" applyFont="1" applyBorder="1" applyAlignment="1">
      <alignment horizontal="left" vertical="center" wrapText="1"/>
    </xf>
    <xf numFmtId="165" fontId="5" fillId="2" borderId="9" xfId="2" applyNumberFormat="1" applyFont="1" applyFill="1" applyBorder="1" applyAlignment="1">
      <alignment horizontal="center" vertical="center" wrapText="1"/>
    </xf>
    <xf numFmtId="165" fontId="5" fillId="2" borderId="10" xfId="2" applyNumberFormat="1" applyFont="1" applyFill="1" applyBorder="1" applyAlignment="1">
      <alignment horizontal="center" vertical="center" wrapText="1"/>
    </xf>
    <xf numFmtId="165" fontId="5" fillId="2" borderId="11" xfId="2" applyNumberFormat="1" applyFont="1" applyFill="1" applyBorder="1" applyAlignment="1">
      <alignment horizontal="center" vertical="center" wrapText="1"/>
    </xf>
    <xf numFmtId="4" fontId="11" fillId="0" borderId="0" xfId="2" applyNumberFormat="1" applyFont="1" applyAlignment="1">
      <alignment vertical="center" wrapText="1"/>
    </xf>
    <xf numFmtId="0" fontId="6" fillId="0" borderId="46" xfId="2" applyFont="1" applyBorder="1" applyAlignment="1">
      <alignment horizontal="left" vertical="center" wrapText="1"/>
    </xf>
    <xf numFmtId="0" fontId="6" fillId="0" borderId="47" xfId="2" applyFont="1" applyBorder="1" applyAlignment="1">
      <alignment horizontal="left" vertical="center" wrapText="1"/>
    </xf>
    <xf numFmtId="0" fontId="6" fillId="0" borderId="48" xfId="2" applyFont="1" applyBorder="1" applyAlignment="1">
      <alignment horizontal="left" vertical="center" wrapText="1"/>
    </xf>
    <xf numFmtId="49" fontId="7" fillId="3" borderId="34" xfId="2" applyNumberFormat="1" applyFont="1" applyFill="1" applyBorder="1" applyAlignment="1" applyProtection="1">
      <alignment horizontal="center" vertical="center" wrapText="1"/>
      <protection locked="0"/>
    </xf>
    <xf numFmtId="49" fontId="7" fillId="3" borderId="28" xfId="2" applyNumberFormat="1" applyFont="1" applyFill="1" applyBorder="1" applyAlignment="1" applyProtection="1">
      <alignment horizontal="center" vertical="center" wrapText="1"/>
      <protection locked="0"/>
    </xf>
    <xf numFmtId="49" fontId="7" fillId="3" borderId="42" xfId="2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2" applyFont="1" applyAlignment="1" applyProtection="1">
      <alignment horizontal="left" vertical="center" wrapText="1"/>
      <protection locked="0"/>
    </xf>
    <xf numFmtId="4" fontId="7" fillId="0" borderId="0" xfId="2" applyNumberFormat="1" applyFont="1" applyAlignment="1" applyProtection="1">
      <alignment horizontal="right" vertical="center" wrapText="1"/>
      <protection locked="0"/>
    </xf>
    <xf numFmtId="0" fontId="7" fillId="0" borderId="0" xfId="2" applyFont="1" applyAlignment="1" applyProtection="1">
      <alignment horizontal="right" vertical="center" wrapText="1"/>
      <protection locked="0"/>
    </xf>
    <xf numFmtId="0" fontId="2" fillId="0" borderId="1" xfId="2" applyBorder="1"/>
    <xf numFmtId="0" fontId="8" fillId="2" borderId="2" xfId="2" applyFont="1" applyFill="1" applyBorder="1"/>
    <xf numFmtId="0" fontId="8" fillId="2" borderId="3" xfId="2" applyFont="1" applyFill="1" applyBorder="1"/>
    <xf numFmtId="0" fontId="8" fillId="2" borderId="1" xfId="2" applyFont="1" applyFill="1" applyBorder="1"/>
    <xf numFmtId="0" fontId="5" fillId="0" borderId="4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0" xfId="2" applyFont="1"/>
    <xf numFmtId="164" fontId="6" fillId="2" borderId="0" xfId="2" applyNumberFormat="1" applyFont="1" applyFill="1" applyAlignment="1">
      <alignment horizontal="center" vertical="center"/>
    </xf>
    <xf numFmtId="164" fontId="6" fillId="2" borderId="5" xfId="2" applyNumberFormat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2" fillId="2" borderId="0" xfId="2" applyFont="1" applyFill="1" applyAlignment="1">
      <alignment horizontal="center" vertical="center"/>
    </xf>
    <xf numFmtId="169" fontId="12" fillId="2" borderId="0" xfId="3" applyNumberFormat="1" applyFont="1" applyFill="1" applyBorder="1" applyAlignment="1" applyProtection="1">
      <alignment horizontal="left" vertical="center"/>
    </xf>
    <xf numFmtId="169" fontId="12" fillId="2" borderId="5" xfId="3" applyNumberFormat="1" applyFont="1" applyFill="1" applyBorder="1" applyAlignment="1" applyProtection="1">
      <alignment horizontal="left" vertical="center"/>
    </xf>
    <xf numFmtId="0" fontId="12" fillId="2" borderId="4" xfId="2" applyFont="1" applyFill="1" applyBorder="1" applyAlignment="1">
      <alignment horizontal="right" vertical="center"/>
    </xf>
    <xf numFmtId="0" fontId="12" fillId="2" borderId="0" xfId="2" applyFont="1" applyFill="1" applyAlignment="1">
      <alignment horizontal="right" vertical="center"/>
    </xf>
    <xf numFmtId="1" fontId="12" fillId="2" borderId="0" xfId="2" applyNumberFormat="1" applyFont="1" applyFill="1" applyAlignment="1">
      <alignment horizontal="left" vertical="center"/>
    </xf>
    <xf numFmtId="1" fontId="12" fillId="2" borderId="5" xfId="2" applyNumberFormat="1" applyFont="1" applyFill="1" applyBorder="1" applyAlignment="1">
      <alignment horizontal="left" vertical="center"/>
    </xf>
    <xf numFmtId="0" fontId="5" fillId="0" borderId="7" xfId="2" applyFont="1" applyBorder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164" fontId="6" fillId="2" borderId="7" xfId="2" applyNumberFormat="1" applyFont="1" applyFill="1" applyBorder="1" applyAlignment="1">
      <alignment horizontal="center" vertical="center"/>
    </xf>
    <xf numFmtId="164" fontId="6" fillId="2" borderId="8" xfId="2" applyNumberFormat="1" applyFon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/>
    </xf>
    <xf numFmtId="0" fontId="12" fillId="2" borderId="7" xfId="2" applyFont="1" applyFill="1" applyBorder="1" applyAlignment="1">
      <alignment horizontal="center" vertical="center"/>
    </xf>
    <xf numFmtId="169" fontId="12" fillId="2" borderId="7" xfId="3" applyNumberFormat="1" applyFont="1" applyFill="1" applyBorder="1" applyAlignment="1" applyProtection="1">
      <alignment horizontal="left" vertical="center"/>
    </xf>
    <xf numFmtId="169" fontId="12" fillId="2" borderId="8" xfId="3" applyNumberFormat="1" applyFont="1" applyFill="1" applyBorder="1" applyAlignment="1" applyProtection="1">
      <alignment horizontal="left" vertical="center"/>
    </xf>
    <xf numFmtId="0" fontId="12" fillId="2" borderId="6" xfId="2" applyFont="1" applyFill="1" applyBorder="1" applyAlignment="1">
      <alignment horizontal="right" vertical="center"/>
    </xf>
    <xf numFmtId="0" fontId="12" fillId="2" borderId="7" xfId="2" applyFont="1" applyFill="1" applyBorder="1" applyAlignment="1">
      <alignment horizontal="right" vertical="center"/>
    </xf>
    <xf numFmtId="1" fontId="12" fillId="2" borderId="7" xfId="2" applyNumberFormat="1" applyFont="1" applyFill="1" applyBorder="1" applyAlignment="1">
      <alignment horizontal="left" vertical="center"/>
    </xf>
    <xf numFmtId="1" fontId="12" fillId="2" borderId="8" xfId="2" applyNumberFormat="1" applyFont="1" applyFill="1" applyBorder="1" applyAlignment="1">
      <alignment horizontal="left" vertical="center"/>
    </xf>
    <xf numFmtId="170" fontId="5" fillId="0" borderId="0" xfId="2" applyNumberFormat="1" applyFont="1" applyAlignment="1">
      <alignment horizontal="center" vertical="center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13" fillId="0" borderId="1" xfId="2" applyFont="1" applyBorder="1"/>
    <xf numFmtId="0" fontId="13" fillId="0" borderId="2" xfId="2" applyFont="1" applyBorder="1"/>
    <xf numFmtId="0" fontId="13" fillId="0" borderId="3" xfId="2" applyFont="1" applyBorder="1"/>
    <xf numFmtId="0" fontId="13" fillId="0" borderId="0" xfId="2" applyFont="1"/>
    <xf numFmtId="0" fontId="2" fillId="0" borderId="4" xfId="2" applyBorder="1" applyAlignment="1">
      <alignment horizontal="center"/>
    </xf>
    <xf numFmtId="0" fontId="2" fillId="0" borderId="0" xfId="2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8" xfId="2" applyBorder="1" applyAlignment="1">
      <alignment horizontal="center"/>
    </xf>
    <xf numFmtId="0" fontId="13" fillId="0" borderId="5" xfId="2" applyFont="1" applyBorder="1"/>
    <xf numFmtId="169" fontId="2" fillId="0" borderId="0" xfId="2" applyNumberFormat="1"/>
    <xf numFmtId="0" fontId="13" fillId="0" borderId="7" xfId="2" applyFont="1" applyBorder="1"/>
    <xf numFmtId="0" fontId="13" fillId="0" borderId="8" xfId="2" applyFont="1" applyBorder="1"/>
    <xf numFmtId="0" fontId="2" fillId="2" borderId="9" xfId="2" applyFill="1" applyBorder="1" applyAlignment="1">
      <alignment vertical="top"/>
    </xf>
    <xf numFmtId="0" fontId="2" fillId="2" borderId="10" xfId="2" applyFill="1" applyBorder="1" applyAlignment="1">
      <alignment vertical="top"/>
    </xf>
    <xf numFmtId="169" fontId="2" fillId="2" borderId="10" xfId="2" applyNumberFormat="1" applyFill="1" applyBorder="1" applyAlignment="1">
      <alignment vertical="top"/>
    </xf>
    <xf numFmtId="169" fontId="2" fillId="2" borderId="10" xfId="1" quotePrefix="1" applyNumberFormat="1" applyFont="1" applyFill="1" applyBorder="1" applyAlignment="1">
      <alignment vertical="top"/>
    </xf>
    <xf numFmtId="0" fontId="2" fillId="2" borderId="10" xfId="2" quotePrefix="1" applyFill="1" applyBorder="1" applyAlignment="1">
      <alignment vertical="top"/>
    </xf>
    <xf numFmtId="49" fontId="2" fillId="2" borderId="10" xfId="2" quotePrefix="1" applyNumberFormat="1" applyFill="1" applyBorder="1" applyAlignment="1">
      <alignment vertical="top"/>
    </xf>
    <xf numFmtId="0" fontId="2" fillId="0" borderId="10" xfId="2" applyBorder="1" applyAlignment="1">
      <alignment vertical="top"/>
    </xf>
    <xf numFmtId="1" fontId="2" fillId="0" borderId="10" xfId="2" applyNumberFormat="1" applyBorder="1" applyAlignment="1">
      <alignment vertical="top"/>
    </xf>
    <xf numFmtId="0" fontId="2" fillId="0" borderId="10" xfId="2" applyBorder="1" applyAlignment="1">
      <alignment horizontal="right" vertical="top"/>
    </xf>
    <xf numFmtId="0" fontId="2" fillId="0" borderId="11" xfId="2" applyBorder="1" applyAlignment="1">
      <alignment horizontal="right" vertical="top"/>
    </xf>
    <xf numFmtId="0" fontId="2" fillId="0" borderId="0" xfId="2" applyAlignment="1" applyProtection="1">
      <alignment vertical="center"/>
      <protection locked="0"/>
    </xf>
    <xf numFmtId="0" fontId="2" fillId="0" borderId="9" xfId="2" applyBorder="1" applyAlignment="1">
      <alignment vertical="center"/>
    </xf>
    <xf numFmtId="0" fontId="2" fillId="0" borderId="10" xfId="2" applyBorder="1" applyAlignment="1">
      <alignment vertical="center"/>
    </xf>
    <xf numFmtId="169" fontId="2" fillId="0" borderId="10" xfId="2" applyNumberFormat="1" applyBorder="1" applyAlignment="1">
      <alignment vertical="center"/>
    </xf>
    <xf numFmtId="169" fontId="2" fillId="0" borderId="10" xfId="2" applyNumberFormat="1" applyBorder="1" applyAlignment="1">
      <alignment horizontal="center" vertical="center"/>
    </xf>
    <xf numFmtId="1" fontId="2" fillId="0" borderId="10" xfId="2" applyNumberFormat="1" applyBorder="1" applyAlignment="1">
      <alignment horizontal="left" vertical="center"/>
    </xf>
    <xf numFmtId="0" fontId="2" fillId="0" borderId="10" xfId="2" applyBorder="1" applyAlignment="1">
      <alignment horizontal="right" vertical="center"/>
    </xf>
    <xf numFmtId="0" fontId="2" fillId="0" borderId="10" xfId="2" applyBorder="1" applyAlignment="1">
      <alignment horizontal="center" vertical="center"/>
    </xf>
    <xf numFmtId="164" fontId="2" fillId="0" borderId="10" xfId="2" applyNumberFormat="1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0" fontId="2" fillId="0" borderId="0" xfId="2" applyAlignment="1" applyProtection="1">
      <alignment horizontal="center" vertical="center"/>
      <protection locked="0"/>
    </xf>
    <xf numFmtId="0" fontId="2" fillId="0" borderId="0" xfId="2" applyAlignment="1" applyProtection="1">
      <alignment horizontal="right" vertical="center"/>
      <protection locked="0"/>
    </xf>
    <xf numFmtId="0" fontId="5" fillId="0" borderId="9" xfId="2" applyFont="1" applyBorder="1" applyAlignment="1" applyProtection="1">
      <alignment horizontal="center" vertical="center" wrapText="1"/>
      <protection locked="0"/>
    </xf>
    <xf numFmtId="0" fontId="2" fillId="2" borderId="0" xfId="2" applyFill="1" applyAlignment="1">
      <alignment vertical="center"/>
    </xf>
    <xf numFmtId="0" fontId="2" fillId="0" borderId="30" xfId="2" applyBorder="1" applyAlignment="1">
      <alignment vertical="center"/>
    </xf>
    <xf numFmtId="0" fontId="2" fillId="2" borderId="32" xfId="2" applyFill="1" applyBorder="1" applyAlignment="1">
      <alignment horizontal="left" vertical="center" wrapText="1"/>
    </xf>
    <xf numFmtId="0" fontId="2" fillId="2" borderId="39" xfId="2" applyFill="1" applyBorder="1" applyAlignment="1">
      <alignment horizontal="left" vertical="center" wrapText="1"/>
    </xf>
    <xf numFmtId="165" fontId="2" fillId="3" borderId="37" xfId="2" applyNumberFormat="1" applyFill="1" applyBorder="1" applyAlignment="1" applyProtection="1">
      <alignment horizontal="center" vertical="center" wrapText="1"/>
      <protection locked="0"/>
    </xf>
    <xf numFmtId="165" fontId="2" fillId="3" borderId="18" xfId="2" applyNumberFormat="1" applyFill="1" applyBorder="1" applyAlignment="1" applyProtection="1">
      <alignment horizontal="center" vertical="center" wrapText="1"/>
      <protection locked="0"/>
    </xf>
    <xf numFmtId="165" fontId="2" fillId="3" borderId="49" xfId="2" applyNumberFormat="1" applyFill="1" applyBorder="1" applyAlignment="1" applyProtection="1">
      <alignment horizontal="center" vertical="center" wrapText="1"/>
      <protection locked="0"/>
    </xf>
    <xf numFmtId="165" fontId="2" fillId="3" borderId="38" xfId="2" applyNumberFormat="1" applyFill="1" applyBorder="1" applyAlignment="1" applyProtection="1">
      <alignment horizontal="center" vertical="center" wrapText="1"/>
      <protection locked="0"/>
    </xf>
    <xf numFmtId="165" fontId="2" fillId="3" borderId="32" xfId="2" applyNumberFormat="1" applyFill="1" applyBorder="1" applyAlignment="1" applyProtection="1">
      <alignment horizontal="center" vertical="center" wrapText="1"/>
      <protection locked="0"/>
    </xf>
    <xf numFmtId="165" fontId="2" fillId="3" borderId="39" xfId="2" applyNumberFormat="1" applyFill="1" applyBorder="1" applyAlignment="1" applyProtection="1">
      <alignment horizontal="center" vertical="center" wrapText="1"/>
      <protection locked="0"/>
    </xf>
    <xf numFmtId="0" fontId="2" fillId="0" borderId="15" xfId="2" applyBorder="1" applyAlignment="1">
      <alignment vertical="center"/>
    </xf>
    <xf numFmtId="0" fontId="2" fillId="2" borderId="15" xfId="2" applyFill="1" applyBorder="1" applyAlignment="1">
      <alignment vertical="center"/>
    </xf>
    <xf numFmtId="0" fontId="2" fillId="0" borderId="50" xfId="2" applyBorder="1" applyAlignment="1">
      <alignment vertical="center"/>
    </xf>
    <xf numFmtId="0" fontId="2" fillId="0" borderId="51" xfId="2" applyBorder="1" applyAlignment="1">
      <alignment vertical="center"/>
    </xf>
    <xf numFmtId="2" fontId="2" fillId="0" borderId="52" xfId="2" applyNumberFormat="1" applyBorder="1" applyAlignment="1">
      <alignment vertical="center"/>
    </xf>
    <xf numFmtId="0" fontId="2" fillId="0" borderId="53" xfId="2" applyBorder="1" applyAlignment="1">
      <alignment vertical="center"/>
    </xf>
    <xf numFmtId="0" fontId="2" fillId="0" borderId="20" xfId="2" applyBorder="1" applyAlignment="1">
      <alignment vertical="center"/>
    </xf>
    <xf numFmtId="0" fontId="2" fillId="0" borderId="52" xfId="2" applyBorder="1" applyAlignment="1">
      <alignment vertical="center"/>
    </xf>
    <xf numFmtId="0" fontId="2" fillId="0" borderId="16" xfId="2" applyBorder="1" applyAlignment="1">
      <alignment vertical="center"/>
    </xf>
    <xf numFmtId="0" fontId="2" fillId="0" borderId="38" xfId="2" applyBorder="1" applyAlignment="1">
      <alignment vertical="center"/>
    </xf>
    <xf numFmtId="165" fontId="2" fillId="3" borderId="20" xfId="2" applyNumberFormat="1" applyFill="1" applyBorder="1" applyAlignment="1" applyProtection="1">
      <alignment horizontal="center" vertical="center" wrapText="1"/>
      <protection locked="0"/>
    </xf>
    <xf numFmtId="165" fontId="2" fillId="3" borderId="15" xfId="2" applyNumberFormat="1" applyFill="1" applyBorder="1" applyAlignment="1" applyProtection="1">
      <alignment horizontal="center" vertical="center" wrapText="1"/>
      <protection locked="0"/>
    </xf>
    <xf numFmtId="165" fontId="2" fillId="3" borderId="50" xfId="2" applyNumberFormat="1" applyFill="1" applyBorder="1" applyAlignment="1" applyProtection="1">
      <alignment horizontal="center" vertical="center" wrapText="1"/>
      <protection locked="0"/>
    </xf>
    <xf numFmtId="0" fontId="2" fillId="0" borderId="25" xfId="2" applyBorder="1" applyAlignment="1">
      <alignment vertical="center"/>
    </xf>
    <xf numFmtId="0" fontId="2" fillId="0" borderId="54" xfId="2" applyBorder="1" applyAlignment="1">
      <alignment vertical="center"/>
    </xf>
    <xf numFmtId="0" fontId="2" fillId="2" borderId="28" xfId="2" applyFill="1" applyBorder="1" applyAlignment="1">
      <alignment horizontal="left" vertical="center" wrapText="1"/>
    </xf>
    <xf numFmtId="0" fontId="2" fillId="2" borderId="42" xfId="2" applyFill="1" applyBorder="1" applyAlignment="1">
      <alignment horizontal="left" vertical="center" wrapText="1"/>
    </xf>
    <xf numFmtId="0" fontId="5" fillId="0" borderId="10" xfId="2" applyFont="1" applyBorder="1" applyAlignment="1">
      <alignment horizontal="center" vertical="center"/>
    </xf>
    <xf numFmtId="165" fontId="2" fillId="2" borderId="9" xfId="2" applyNumberFormat="1" applyFill="1" applyBorder="1" applyAlignment="1">
      <alignment horizontal="center" vertical="center" wrapText="1"/>
    </xf>
    <xf numFmtId="165" fontId="2" fillId="2" borderId="10" xfId="2" applyNumberFormat="1" applyFill="1" applyBorder="1" applyAlignment="1">
      <alignment horizontal="center" vertical="center" wrapText="1"/>
    </xf>
    <xf numFmtId="165" fontId="2" fillId="2" borderId="11" xfId="2" applyNumberFormat="1" applyFill="1" applyBorder="1" applyAlignment="1">
      <alignment horizontal="center" vertical="center" wrapText="1"/>
    </xf>
    <xf numFmtId="0" fontId="2" fillId="0" borderId="0" xfId="2" applyAlignment="1" applyProtection="1">
      <alignment horizontal="left" vertical="center" wrapText="1"/>
      <protection locked="0"/>
    </xf>
    <xf numFmtId="4" fontId="2" fillId="0" borderId="0" xfId="2" applyNumberFormat="1" applyAlignment="1" applyProtection="1">
      <alignment horizontal="right" vertical="center" wrapText="1"/>
      <protection locked="0"/>
    </xf>
    <xf numFmtId="4" fontId="2" fillId="2" borderId="0" xfId="2" applyNumberFormat="1" applyFill="1" applyAlignment="1" applyProtection="1">
      <alignment horizontal="right" vertical="center" wrapText="1"/>
      <protection locked="0"/>
    </xf>
    <xf numFmtId="4" fontId="2" fillId="2" borderId="0" xfId="2" applyNumberFormat="1" applyFill="1" applyAlignment="1" applyProtection="1">
      <alignment horizontal="right" vertical="center" wrapText="1"/>
      <protection locked="0"/>
    </xf>
    <xf numFmtId="0" fontId="2" fillId="2" borderId="0" xfId="2" applyFill="1" applyAlignment="1" applyProtection="1">
      <alignment vertical="center"/>
      <protection locked="0"/>
    </xf>
    <xf numFmtId="0" fontId="5" fillId="2" borderId="9" xfId="2" applyFont="1" applyFill="1" applyBorder="1" applyAlignment="1" applyProtection="1">
      <alignment horizontal="center" vertical="center" wrapText="1"/>
      <protection locked="0"/>
    </xf>
    <xf numFmtId="0" fontId="5" fillId="2" borderId="10" xfId="2" applyFont="1" applyFill="1" applyBorder="1" applyAlignment="1" applyProtection="1">
      <alignment horizontal="center" vertical="center" wrapText="1"/>
      <protection locked="0"/>
    </xf>
    <xf numFmtId="0" fontId="5" fillId="2" borderId="11" xfId="2" applyFont="1" applyFill="1" applyBorder="1" applyAlignment="1" applyProtection="1">
      <alignment horizontal="center" vertical="center" wrapText="1"/>
      <protection locked="0"/>
    </xf>
    <xf numFmtId="165" fontId="2" fillId="3" borderId="19" xfId="2" applyNumberFormat="1" applyFill="1" applyBorder="1" applyAlignment="1" applyProtection="1">
      <alignment horizontal="center" vertical="center" wrapText="1"/>
      <protection locked="0"/>
    </xf>
    <xf numFmtId="165" fontId="2" fillId="3" borderId="17" xfId="2" applyNumberFormat="1" applyFill="1" applyBorder="1" applyAlignment="1" applyProtection="1">
      <alignment horizontal="center" vertical="center" wrapText="1"/>
      <protection locked="0"/>
    </xf>
    <xf numFmtId="165" fontId="2" fillId="3" borderId="30" xfId="2" applyNumberFormat="1" applyFill="1" applyBorder="1" applyAlignment="1" applyProtection="1">
      <alignment horizontal="center" vertical="center" wrapText="1"/>
      <protection locked="0"/>
    </xf>
    <xf numFmtId="165" fontId="2" fillId="3" borderId="31" xfId="2" applyNumberFormat="1" applyFill="1" applyBorder="1" applyAlignment="1" applyProtection="1">
      <alignment horizontal="center" vertical="center" wrapText="1"/>
      <protection locked="0"/>
    </xf>
    <xf numFmtId="165" fontId="2" fillId="3" borderId="55" xfId="2" applyNumberFormat="1" applyFill="1" applyBorder="1" applyAlignment="1" applyProtection="1">
      <alignment horizontal="center" vertical="center" wrapText="1"/>
      <protection locked="0"/>
    </xf>
    <xf numFmtId="4" fontId="14" fillId="0" borderId="0" xfId="2" applyNumberFormat="1" applyFont="1" applyAlignment="1">
      <alignment vertical="center" wrapText="1"/>
    </xf>
    <xf numFmtId="165" fontId="2" fillId="3" borderId="16" xfId="2" applyNumberFormat="1" applyFill="1" applyBorder="1" applyAlignment="1" applyProtection="1">
      <alignment horizontal="center" vertical="center" wrapText="1"/>
      <protection locked="0"/>
    </xf>
    <xf numFmtId="0" fontId="2" fillId="0" borderId="0" xfId="2" applyAlignment="1">
      <alignment horizontal="right"/>
    </xf>
    <xf numFmtId="165" fontId="2" fillId="3" borderId="41" xfId="2" applyNumberFormat="1" applyFill="1" applyBorder="1" applyAlignment="1" applyProtection="1">
      <alignment horizontal="center" vertical="center" wrapText="1"/>
      <protection locked="0"/>
    </xf>
    <xf numFmtId="165" fontId="2" fillId="3" borderId="23" xfId="2" applyNumberFormat="1" applyFill="1" applyBorder="1" applyAlignment="1" applyProtection="1">
      <alignment horizontal="center" vertical="center" wrapText="1"/>
      <protection locked="0"/>
    </xf>
    <xf numFmtId="165" fontId="2" fillId="3" borderId="24" xfId="2" applyNumberFormat="1" applyFill="1" applyBorder="1" applyAlignment="1" applyProtection="1">
      <alignment horizontal="center" vertical="center" wrapText="1"/>
      <protection locked="0"/>
    </xf>
    <xf numFmtId="165" fontId="2" fillId="3" borderId="34" xfId="2" applyNumberFormat="1" applyFill="1" applyBorder="1" applyAlignment="1" applyProtection="1">
      <alignment horizontal="center" vertical="center" wrapText="1"/>
      <protection locked="0"/>
    </xf>
    <xf numFmtId="165" fontId="2" fillId="3" borderId="28" xfId="2" applyNumberFormat="1" applyFill="1" applyBorder="1" applyAlignment="1" applyProtection="1">
      <alignment horizontal="center" vertical="center" wrapText="1"/>
      <protection locked="0"/>
    </xf>
    <xf numFmtId="165" fontId="2" fillId="3" borderId="42" xfId="2" applyNumberFormat="1" applyFill="1" applyBorder="1" applyAlignment="1" applyProtection="1">
      <alignment horizontal="center" vertical="center" wrapText="1"/>
      <protection locked="0"/>
    </xf>
    <xf numFmtId="165" fontId="2" fillId="3" borderId="43" xfId="2" applyNumberFormat="1" applyFill="1" applyBorder="1" applyAlignment="1" applyProtection="1">
      <alignment horizontal="center" vertical="center" wrapText="1"/>
      <protection locked="0"/>
    </xf>
    <xf numFmtId="165" fontId="2" fillId="3" borderId="44" xfId="2" applyNumberFormat="1" applyFill="1" applyBorder="1" applyAlignment="1" applyProtection="1">
      <alignment horizontal="center" vertical="center" wrapText="1"/>
      <protection locked="0"/>
    </xf>
    <xf numFmtId="165" fontId="2" fillId="3" borderId="45" xfId="2" applyNumberFormat="1" applyFill="1" applyBorder="1" applyAlignment="1" applyProtection="1">
      <alignment horizontal="center" vertical="center" wrapText="1"/>
      <protection locked="0"/>
    </xf>
    <xf numFmtId="0" fontId="5" fillId="0" borderId="9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2" fillId="2" borderId="9" xfId="2" applyFill="1" applyBorder="1"/>
    <xf numFmtId="0" fontId="2" fillId="2" borderId="10" xfId="2" applyFill="1" applyBorder="1"/>
    <xf numFmtId="169" fontId="2" fillId="2" borderId="10" xfId="2" applyNumberFormat="1" applyFill="1" applyBorder="1"/>
    <xf numFmtId="169" fontId="2" fillId="2" borderId="10" xfId="1" quotePrefix="1" applyNumberFormat="1" applyFont="1" applyFill="1" applyBorder="1" applyAlignment="1">
      <alignment horizontal="center"/>
    </xf>
    <xf numFmtId="1" fontId="2" fillId="2" borderId="10" xfId="2" applyNumberFormat="1" applyFill="1" applyBorder="1"/>
    <xf numFmtId="0" fontId="2" fillId="2" borderId="10" xfId="2" applyFill="1" applyBorder="1" applyAlignment="1">
      <alignment horizontal="right"/>
    </xf>
    <xf numFmtId="0" fontId="2" fillId="2" borderId="11" xfId="2" applyFill="1" applyBorder="1" applyAlignment="1">
      <alignment horizontal="right"/>
    </xf>
    <xf numFmtId="0" fontId="6" fillId="0" borderId="0" xfId="2" applyFont="1" applyProtection="1">
      <protection locked="0"/>
    </xf>
    <xf numFmtId="0" fontId="6" fillId="0" borderId="0" xfId="2" applyFont="1"/>
  </cellXfs>
  <cellStyles count="4">
    <cellStyle name="Normal" xfId="0" builtinId="0"/>
    <cellStyle name="Normal 2" xfId="2" xr:uid="{9318CD37-0E4C-4134-B131-5D7A65E38C47}"/>
    <cellStyle name="Vírgula" xfId="1" builtinId="3"/>
    <cellStyle name="Vírgula 2" xfId="3" xr:uid="{DDCB714A-D9F0-4DCA-BD04-2755DFF2DB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6626</xdr:colOff>
      <xdr:row>18</xdr:row>
      <xdr:rowOff>177503</xdr:rowOff>
    </xdr:from>
    <xdr:ext cx="2657475" cy="1260308"/>
    <xdr:pic>
      <xdr:nvPicPr>
        <xdr:cNvPr id="2" name="Picture 7">
          <a:extLst>
            <a:ext uri="{FF2B5EF4-FFF2-40B4-BE49-F238E27FC236}">
              <a16:creationId xmlns:a16="http://schemas.microsoft.com/office/drawing/2014/main" id="{4CA10A82-838D-413D-BCF8-4EBDD254B9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09"/>
        <a:stretch/>
      </xdr:blipFill>
      <xdr:spPr bwMode="auto">
        <a:xfrm>
          <a:off x="435251" y="3682703"/>
          <a:ext cx="2657475" cy="1260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60157</xdr:colOff>
      <xdr:row>19</xdr:row>
      <xdr:rowOff>33088</xdr:rowOff>
    </xdr:from>
    <xdr:to>
      <xdr:col>10</xdr:col>
      <xdr:colOff>145882</xdr:colOff>
      <xdr:row>20</xdr:row>
      <xdr:rowOff>71188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CD3BFF6-FE00-4BFE-89E6-FB9474F2BF08}"/>
            </a:ext>
          </a:extLst>
        </xdr:cNvPr>
        <xdr:cNvSpPr txBox="1"/>
      </xdr:nvSpPr>
      <xdr:spPr>
        <a:xfrm>
          <a:off x="60157" y="3728788"/>
          <a:ext cx="220980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>
              <a:ln>
                <a:noFill/>
              </a:ln>
            </a:rPr>
            <a:t>Figure below only for reference</a:t>
          </a:r>
        </a:p>
      </xdr:txBody>
    </xdr:sp>
    <xdr:clientData/>
  </xdr:twoCellAnchor>
  <xdr:twoCellAnchor>
    <xdr:from>
      <xdr:col>0</xdr:col>
      <xdr:colOff>51253</xdr:colOff>
      <xdr:row>1</xdr:row>
      <xdr:rowOff>7257</xdr:rowOff>
    </xdr:from>
    <xdr:to>
      <xdr:col>5</xdr:col>
      <xdr:colOff>154667</xdr:colOff>
      <xdr:row>3</xdr:row>
      <xdr:rowOff>149225</xdr:rowOff>
    </xdr:to>
    <xdr:pic>
      <xdr:nvPicPr>
        <xdr:cNvPr id="4" name="Imagem 3" descr="8c27a4e3-cc3c-4841-bf81-4cc88e18d0a5">
          <a:extLst>
            <a:ext uri="{FF2B5EF4-FFF2-40B4-BE49-F238E27FC236}">
              <a16:creationId xmlns:a16="http://schemas.microsoft.com/office/drawing/2014/main" id="{B912C847-8E64-4484-8A04-F1995003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53" y="83457"/>
          <a:ext cx="1132114" cy="4467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48</xdr:row>
          <xdr:rowOff>38100</xdr:rowOff>
        </xdr:from>
        <xdr:to>
          <xdr:col>12</xdr:col>
          <xdr:colOff>158750</xdr:colOff>
          <xdr:row>51</xdr:row>
          <xdr:rowOff>116681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A33F9059-7261-4E9B-930C-0965FDFA96CD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emissor" spid="_x0000_s1025"/>
                </a:ext>
              </a:extLst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44625" y="8410575"/>
              <a:ext cx="1428750" cy="535781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49893</xdr:colOff>
          <xdr:row>48</xdr:row>
          <xdr:rowOff>102870</xdr:rowOff>
        </xdr:from>
        <xdr:to>
          <xdr:col>28</xdr:col>
          <xdr:colOff>68943</xdr:colOff>
          <xdr:row>52</xdr:row>
          <xdr:rowOff>29051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477323D2-9038-4C00-A36B-44793EF6D964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provador" spid="_x0000_s1026"/>
                </a:ext>
              </a:extLst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117193" y="8475345"/>
              <a:ext cx="1428750" cy="535781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1.sharepoint.com/sites/EngenhariadeEstruturas/Documentos%20Compartilhados/General/CNFMV/Ficha%20de%20Pesagem/Ficha_Pesagem_v1.6.xlsm" TargetMode="External"/><Relationship Id="rId1" Type="http://schemas.openxmlformats.org/officeDocument/2006/relationships/externalLinkPath" Target="https://gol1.sharepoint.com/sites/EngenhariadeEstruturas/Documentos%20Compartilhados/General/CNFMV/Ficha%20de%20Pesagem/Ficha_Pesagem_v1.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!!AVISO!!"/>
      <sheetName val="Planilha3"/>
      <sheetName val="Planilha4"/>
      <sheetName val="Historico "/>
      <sheetName val="Planilha2"/>
      <sheetName val="Planilha5"/>
      <sheetName val="Ficha de pesagem - Template"/>
      <sheetName val="Sheet1"/>
      <sheetName val="Deletados"/>
    </sheetNames>
    <sheetDataSet>
      <sheetData sheetId="0">
        <row r="2">
          <cell r="A2" t="str">
            <v>PR-GXT</v>
          </cell>
          <cell r="D2" t="str">
            <v>29/07/2025</v>
          </cell>
          <cell r="E2">
            <v>1</v>
          </cell>
          <cell r="F2">
            <v>2</v>
          </cell>
          <cell r="G2" t="str">
            <v>Lagoa Santa - MG - BR 2</v>
          </cell>
          <cell r="H2" t="str">
            <v>SCHEDULE 2</v>
          </cell>
          <cell r="DN2" t="str">
            <v>29/07/2025</v>
          </cell>
        </row>
        <row r="3">
          <cell r="A3" t="str">
            <v>PR-GXT</v>
          </cell>
          <cell r="D3" t="str">
            <v>29/07/2026</v>
          </cell>
          <cell r="E3">
            <v>1</v>
          </cell>
          <cell r="F3">
            <v>3</v>
          </cell>
          <cell r="G3" t="str">
            <v>Lagoa Santa - MG - BR 3</v>
          </cell>
          <cell r="H3" t="str">
            <v>SCHEDULE 3</v>
          </cell>
          <cell r="DN3" t="str">
            <v>29/07/2026</v>
          </cell>
        </row>
        <row r="4">
          <cell r="A4" t="str">
            <v>PR-GXT</v>
          </cell>
          <cell r="D4" t="str">
            <v>29/07/2027</v>
          </cell>
          <cell r="E4">
            <v>4</v>
          </cell>
          <cell r="F4">
            <v>1</v>
          </cell>
          <cell r="G4" t="str">
            <v>Lagoa Santa - MG - BR 4</v>
          </cell>
          <cell r="H4" t="str">
            <v>SCHEDULE 4</v>
          </cell>
          <cell r="W4" t="str">
            <v>AWEWE</v>
          </cell>
          <cell r="DN4" t="str">
            <v>29/07/2027</v>
          </cell>
          <cell r="DQ4" t="str">
            <v>Danton</v>
          </cell>
          <cell r="DR4" t="str">
            <v>Danton</v>
          </cell>
        </row>
        <row r="5">
          <cell r="A5" t="str">
            <v>PR-GXT</v>
          </cell>
          <cell r="D5" t="str">
            <v>29/07/2028</v>
          </cell>
          <cell r="E5">
            <v>4</v>
          </cell>
          <cell r="F5">
            <v>2</v>
          </cell>
          <cell r="G5" t="str">
            <v>Lagoa Santa - MG - BR 5</v>
          </cell>
          <cell r="H5" t="str">
            <v>SCHEDULE 5</v>
          </cell>
          <cell r="I5">
            <v>2</v>
          </cell>
          <cell r="J5">
            <v>2</v>
          </cell>
          <cell r="K5">
            <v>2</v>
          </cell>
          <cell r="L5">
            <v>2</v>
          </cell>
          <cell r="M5">
            <v>2</v>
          </cell>
          <cell r="N5">
            <v>2</v>
          </cell>
          <cell r="O5">
            <v>2</v>
          </cell>
          <cell r="P5">
            <v>2</v>
          </cell>
          <cell r="Q5">
            <v>2</v>
          </cell>
          <cell r="R5">
            <v>2</v>
          </cell>
          <cell r="S5">
            <v>2</v>
          </cell>
          <cell r="T5">
            <v>2</v>
          </cell>
          <cell r="U5">
            <v>2</v>
          </cell>
          <cell r="V5">
            <v>2</v>
          </cell>
          <cell r="W5" t="str">
            <v>Bote</v>
          </cell>
          <cell r="X5" t="str">
            <v>caminhao</v>
          </cell>
          <cell r="Y5" t="str">
            <v>bagulho</v>
          </cell>
          <cell r="Z5" t="str">
            <v>cobra</v>
          </cell>
          <cell r="AK5">
            <v>1</v>
          </cell>
          <cell r="AL5">
            <v>2</v>
          </cell>
          <cell r="AM5">
            <v>3</v>
          </cell>
          <cell r="AN5">
            <v>4</v>
          </cell>
          <cell r="AY5">
            <v>1</v>
          </cell>
          <cell r="AZ5">
            <v>2</v>
          </cell>
          <cell r="BA5">
            <v>3</v>
          </cell>
          <cell r="BB5">
            <v>4</v>
          </cell>
          <cell r="BM5" t="str">
            <v>cavalo</v>
          </cell>
          <cell r="BN5" t="str">
            <v xml:space="preserve">camelo </v>
          </cell>
          <cell r="BO5" t="str">
            <v>cachorro</v>
          </cell>
          <cell r="BP5" t="str">
            <v>trem</v>
          </cell>
          <cell r="CB5">
            <v>9</v>
          </cell>
          <cell r="CC5">
            <v>8</v>
          </cell>
          <cell r="CD5">
            <v>7</v>
          </cell>
          <cell r="CE5">
            <v>6</v>
          </cell>
          <cell r="CP5">
            <v>5</v>
          </cell>
          <cell r="CQ5">
            <v>4</v>
          </cell>
          <cell r="CR5">
            <v>3</v>
          </cell>
          <cell r="CS5">
            <v>2</v>
          </cell>
          <cell r="DN5" t="str">
            <v>29/07/2028</v>
          </cell>
          <cell r="DQ5" t="str">
            <v>Danton</v>
          </cell>
          <cell r="DR5" t="str">
            <v>Danton</v>
          </cell>
        </row>
        <row r="6">
          <cell r="A6" t="str">
            <v>PR-GXT</v>
          </cell>
          <cell r="D6" t="str">
            <v>29/07/2029</v>
          </cell>
          <cell r="E6">
            <v>4</v>
          </cell>
          <cell r="F6">
            <v>3</v>
          </cell>
          <cell r="G6" t="str">
            <v>Lagoa Santa - MG - BR 6</v>
          </cell>
          <cell r="H6" t="str">
            <v>SCHEDULE 6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W6">
            <v>1</v>
          </cell>
          <cell r="DN6" t="str">
            <v>29/07/2029</v>
          </cell>
          <cell r="DR6" t="str">
            <v>Danton</v>
          </cell>
        </row>
        <row r="7">
          <cell r="A7" t="str">
            <v>PR-GXT</v>
          </cell>
          <cell r="D7" t="str">
            <v>29/07/2030</v>
          </cell>
          <cell r="E7">
            <v>4</v>
          </cell>
          <cell r="F7">
            <v>4</v>
          </cell>
          <cell r="G7" t="str">
            <v>Lagoa Santa - MG - BR 7</v>
          </cell>
          <cell r="H7" t="str">
            <v>SCHEDULE 7</v>
          </cell>
          <cell r="DN7" t="str">
            <v>29/07/2030</v>
          </cell>
        </row>
        <row r="8">
          <cell r="A8" t="str">
            <v>PR-GXT</v>
          </cell>
          <cell r="D8" t="str">
            <v>29/07/2031</v>
          </cell>
          <cell r="E8">
            <v>4</v>
          </cell>
          <cell r="F8">
            <v>5</v>
          </cell>
          <cell r="G8" t="str">
            <v>Lagoa Santa - MG - BR 8</v>
          </cell>
          <cell r="H8" t="str">
            <v>SCHEDULE 8</v>
          </cell>
          <cell r="DN8" t="str">
            <v>29/07/2031</v>
          </cell>
        </row>
        <row r="9">
          <cell r="A9" t="str">
            <v>PS-GPF</v>
          </cell>
          <cell r="D9" t="str">
            <v>31/05/2022</v>
          </cell>
          <cell r="E9">
            <v>2</v>
          </cell>
          <cell r="F9">
            <v>1</v>
          </cell>
          <cell r="G9" t="str">
            <v>Lagoa Santa, MG - BRazil</v>
          </cell>
          <cell r="H9" t="str">
            <v>New Painting</v>
          </cell>
          <cell r="I9" t="str">
            <v>1894</v>
          </cell>
          <cell r="J9" t="str">
            <v>1894</v>
          </cell>
          <cell r="K9" t="str">
            <v>9907,25</v>
          </cell>
          <cell r="L9" t="str">
            <v>9907,25</v>
          </cell>
          <cell r="M9" t="str">
            <v>9922</v>
          </cell>
          <cell r="N9" t="str">
            <v>9922</v>
          </cell>
          <cell r="O9" t="str">
            <v>1894</v>
          </cell>
          <cell r="P9" t="str">
            <v>1894</v>
          </cell>
          <cell r="Q9" t="str">
            <v>9907,25</v>
          </cell>
          <cell r="R9" t="str">
            <v>9907,25</v>
          </cell>
          <cell r="S9" t="str">
            <v>9922</v>
          </cell>
          <cell r="T9" t="str">
            <v>9922</v>
          </cell>
          <cell r="U9" t="str">
            <v>4,33</v>
          </cell>
          <cell r="V9" t="str">
            <v>3,937</v>
          </cell>
          <cell r="W9" t="str">
            <v xml:space="preserve">Down Lock, Nose Gear </v>
          </cell>
          <cell r="X9" t="str">
            <v xml:space="preserve">Down Lock, Nose Gear </v>
          </cell>
          <cell r="Y9" t="str">
            <v>Plumb Bob</v>
          </cell>
          <cell r="Z9" t="str">
            <v>Wiring Diagrams</v>
          </cell>
          <cell r="AA9" t="str">
            <v>Production Flight Emergency Equipment</v>
          </cell>
          <cell r="AB9" t="str">
            <v>Loto Kit</v>
          </cell>
          <cell r="AC9" t="str">
            <v>level correction 0,2</v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>0,3</v>
          </cell>
          <cell r="AL9" t="str">
            <v>0,4</v>
          </cell>
          <cell r="AM9" t="str">
            <v>0,5</v>
          </cell>
          <cell r="AN9" t="str">
            <v>23,6</v>
          </cell>
          <cell r="AO9" t="str">
            <v>29,5</v>
          </cell>
          <cell r="AP9" t="str">
            <v>12,7</v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>82</v>
          </cell>
          <cell r="AZ9" t="str">
            <v>702</v>
          </cell>
          <cell r="BA9" t="str">
            <v>685</v>
          </cell>
          <cell r="BB9" t="str">
            <v>230</v>
          </cell>
          <cell r="BC9" t="str">
            <v>230</v>
          </cell>
          <cell r="BD9" t="str">
            <v>269</v>
          </cell>
          <cell r="BE9" t="str">
            <v>8784,0000</v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>Flaps 0 - 40° (Up when weighed)</v>
          </cell>
          <cell r="BN9" t="str">
            <v>Water, Potable (60 Gal)</v>
          </cell>
          <cell r="BO9" t="str">
            <v>Fuel, Drain, Unusable (5.6 Gal)</v>
          </cell>
          <cell r="BP9" t="str">
            <v>Lavatory Dry Supplies</v>
          </cell>
          <cell r="BQ9" t="str">
            <v>Lavatory Pre-charge Fluid (6.0 Gal)</v>
          </cell>
          <cell r="BR9" t="str">
            <v>Oven - Galley G2</v>
          </cell>
          <cell r="BS9" t="str">
            <v>Oven - Galley G4</v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B9" t="str">
            <v/>
          </cell>
          <cell r="CC9" t="str">
            <v>227,12</v>
          </cell>
          <cell r="CD9" t="str">
            <v>17,3</v>
          </cell>
          <cell r="CE9" t="str">
            <v>2</v>
          </cell>
          <cell r="CF9" t="str">
            <v>22,7</v>
          </cell>
          <cell r="CG9" t="str">
            <v>15,8</v>
          </cell>
          <cell r="CH9" t="str">
            <v>18,5</v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>6190</v>
          </cell>
          <cell r="CQ9" t="str">
            <v>1131</v>
          </cell>
          <cell r="CR9" t="str">
            <v>646</v>
          </cell>
          <cell r="CS9" t="str">
            <v>80</v>
          </cell>
          <cell r="CT9" t="str">
            <v>1112</v>
          </cell>
          <cell r="CU9" t="str">
            <v>149</v>
          </cell>
          <cell r="CV9" t="str">
            <v>1214</v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>Revision 1 due to change the Potable Water changed to 60Gal ( SB 737-38-1075)</v>
          </cell>
          <cell r="DE9" t="str">
            <v/>
          </cell>
          <cell r="DF9" t="str">
            <v/>
          </cell>
          <cell r="DH9" t="str">
            <v/>
          </cell>
          <cell r="DI9" t="str">
            <v/>
          </cell>
          <cell r="DN9" t="str">
            <v>31/05/2022</v>
          </cell>
          <cell r="DQ9" t="str">
            <v>Danton</v>
          </cell>
          <cell r="DS9" t="str">
            <v>2</v>
          </cell>
          <cell r="DT9" t="str">
            <v>0</v>
          </cell>
          <cell r="DU9" t="str">
            <v>GOL</v>
          </cell>
          <cell r="DV9" t="str">
            <v xml:space="preserve"> 186 Pax + 9 Flight Crew </v>
          </cell>
          <cell r="DW9" t="str">
            <v>GLP-MAX8-002-GPF</v>
          </cell>
        </row>
        <row r="10">
          <cell r="A10" t="str">
            <v>PS-GPF</v>
          </cell>
          <cell r="D10" t="str">
            <v>20/07/2024</v>
          </cell>
          <cell r="E10">
            <v>3</v>
          </cell>
          <cell r="F10">
            <v>0</v>
          </cell>
          <cell r="G10" t="str">
            <v>Lagoa Santa, MG - BRazil</v>
          </cell>
          <cell r="H10" t="str">
            <v>SCHEDULED</v>
          </cell>
          <cell r="I10" t="str">
            <v>1916</v>
          </cell>
          <cell r="J10" t="str">
            <v>1968</v>
          </cell>
          <cell r="K10" t="str">
            <v>9738</v>
          </cell>
          <cell r="L10" t="str">
            <v>10008</v>
          </cell>
          <cell r="M10" t="str">
            <v>10614</v>
          </cell>
          <cell r="N10" t="str">
            <v>9138</v>
          </cell>
          <cell r="O10" t="str">
            <v>1913</v>
          </cell>
          <cell r="P10" t="str">
            <v>1971</v>
          </cell>
          <cell r="Q10" t="str">
            <v>9684</v>
          </cell>
          <cell r="R10" t="str">
            <v>10053</v>
          </cell>
          <cell r="S10" t="str">
            <v>10655</v>
          </cell>
          <cell r="T10" t="str">
            <v>9104</v>
          </cell>
          <cell r="U10" t="str">
            <v>5,5</v>
          </cell>
          <cell r="V10" t="str">
            <v>6</v>
          </cell>
          <cell r="W10" t="str">
            <v xml:space="preserve">Down Lock, Nose Gear </v>
          </cell>
          <cell r="X10" t="str">
            <v xml:space="preserve">Down Lock, Nose Gear </v>
          </cell>
          <cell r="Y10" t="str">
            <v>Plumb Bob</v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>0,3</v>
          </cell>
          <cell r="AL10" t="str">
            <v>0,4</v>
          </cell>
          <cell r="AM10" t="str">
            <v>0,5</v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>82</v>
          </cell>
          <cell r="AZ10" t="str">
            <v>702</v>
          </cell>
          <cell r="BA10" t="str">
            <v>685</v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>Flaps 0 - 40° (Up when weighed)</v>
          </cell>
          <cell r="BN10" t="str">
            <v>Water, Potable (60 Gal)</v>
          </cell>
          <cell r="BO10" t="str">
            <v>Fuel, Drain, Unusable (5.6 Gal)</v>
          </cell>
          <cell r="BP10" t="str">
            <v>Lavatory Dry Supplies</v>
          </cell>
          <cell r="BQ10" t="str">
            <v>Lavatory Pre-charge Fluid (6.0 Gal)</v>
          </cell>
          <cell r="BR10" t="str">
            <v>Lavatory Dry Supplies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B10" t="str">
            <v/>
          </cell>
          <cell r="CC10" t="str">
            <v>227,12</v>
          </cell>
          <cell r="CD10" t="str">
            <v>17,3</v>
          </cell>
          <cell r="CE10" t="str">
            <v>2</v>
          </cell>
          <cell r="CF10" t="str">
            <v>22,7</v>
          </cell>
          <cell r="CG10" t="str">
            <v>4</v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>6190</v>
          </cell>
          <cell r="CQ10" t="str">
            <v>1131</v>
          </cell>
          <cell r="CR10" t="str">
            <v>646</v>
          </cell>
          <cell r="CS10" t="str">
            <v>80</v>
          </cell>
          <cell r="CT10" t="str">
            <v>1112</v>
          </cell>
          <cell r="CU10" t="str">
            <v>1138</v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N10" t="str">
            <v>20/07/2024</v>
          </cell>
          <cell r="DQ10" t="str">
            <v>Danton</v>
          </cell>
          <cell r="DR10" t="str">
            <v>Ciro</v>
          </cell>
          <cell r="DS10" t="str">
            <v>2</v>
          </cell>
          <cell r="DT10" t="str">
            <v>1</v>
          </cell>
          <cell r="DU10" t="str">
            <v>GOL</v>
          </cell>
          <cell r="DV10" t="str">
            <v xml:space="preserve"> 186 Pax + 9 Flight Crew </v>
          </cell>
          <cell r="DW10" t="str">
            <v>GLP-MAX8-002-GPF</v>
          </cell>
        </row>
        <row r="11">
          <cell r="A11" t="str">
            <v>PS-GPF</v>
          </cell>
          <cell r="D11" t="str">
            <v>20/07/2028</v>
          </cell>
          <cell r="E11">
            <v>3</v>
          </cell>
          <cell r="F11">
            <v>1</v>
          </cell>
          <cell r="G11" t="str">
            <v>Lagoa Santa, MG - BRazil</v>
          </cell>
          <cell r="H11" t="str">
            <v>SCHEDULED</v>
          </cell>
          <cell r="I11" t="str">
            <v>1916</v>
          </cell>
          <cell r="J11" t="str">
            <v>1968</v>
          </cell>
          <cell r="K11" t="str">
            <v>9738</v>
          </cell>
          <cell r="L11" t="str">
            <v>10008</v>
          </cell>
          <cell r="M11" t="str">
            <v>10614</v>
          </cell>
          <cell r="N11" t="str">
            <v>9138</v>
          </cell>
          <cell r="O11" t="str">
            <v>1913</v>
          </cell>
          <cell r="P11" t="str">
            <v>1971</v>
          </cell>
          <cell r="Q11" t="str">
            <v>9684</v>
          </cell>
          <cell r="R11" t="str">
            <v>10053</v>
          </cell>
          <cell r="S11" t="str">
            <v>10655</v>
          </cell>
          <cell r="T11" t="str">
            <v>9104</v>
          </cell>
          <cell r="U11" t="str">
            <v>5,5</v>
          </cell>
          <cell r="V11" t="str">
            <v>6</v>
          </cell>
          <cell r="W11" t="str">
            <v xml:space="preserve">Down Lock, Nose Gear </v>
          </cell>
          <cell r="X11" t="str">
            <v xml:space="preserve">Down Lock, Nose Gear </v>
          </cell>
          <cell r="Y11" t="str">
            <v>Plumb Bob</v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>0,3</v>
          </cell>
          <cell r="AL11" t="str">
            <v>0,4</v>
          </cell>
          <cell r="AM11" t="str">
            <v>0,5</v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>82</v>
          </cell>
          <cell r="AZ11" t="str">
            <v>702</v>
          </cell>
          <cell r="BA11" t="str">
            <v>685</v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>Flaps 0 - 40° (Up when weighed)</v>
          </cell>
          <cell r="BN11" t="str">
            <v>Water, Potable (60 Gal)</v>
          </cell>
          <cell r="BO11" t="str">
            <v>Fuel, Drain, Unusable (5.6 Gal)</v>
          </cell>
          <cell r="BP11" t="str">
            <v>Lavatory Dry Supplies</v>
          </cell>
          <cell r="BQ11" t="str">
            <v>Lavatory Pre-charge Fluid (6.0 Gal)</v>
          </cell>
          <cell r="BR11" t="str">
            <v>Lavatory Dry Supplies</v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B11" t="str">
            <v/>
          </cell>
          <cell r="CC11" t="str">
            <v>227,12</v>
          </cell>
          <cell r="CD11" t="str">
            <v>17,3</v>
          </cell>
          <cell r="CE11" t="str">
            <v>2</v>
          </cell>
          <cell r="CF11" t="str">
            <v>22,7</v>
          </cell>
          <cell r="CG11" t="str">
            <v>4</v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>6190</v>
          </cell>
          <cell r="CQ11" t="str">
            <v>1131</v>
          </cell>
          <cell r="CR11" t="str">
            <v>646</v>
          </cell>
          <cell r="CS11" t="str">
            <v>80</v>
          </cell>
          <cell r="CT11" t="str">
            <v>1112</v>
          </cell>
          <cell r="CU11" t="str">
            <v>1138</v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N11" t="str">
            <v>20/07/2028</v>
          </cell>
          <cell r="DQ11" t="str">
            <v>Danton</v>
          </cell>
          <cell r="DR11" t="str">
            <v>Ciro</v>
          </cell>
          <cell r="DS11" t="str">
            <v>3</v>
          </cell>
          <cell r="DT11" t="str">
            <v>0</v>
          </cell>
          <cell r="DU11" t="str">
            <v>GOL</v>
          </cell>
          <cell r="DV11" t="str">
            <v xml:space="preserve"> 186 Pax + 9 Flight Crew </v>
          </cell>
          <cell r="DW11" t="str">
            <v>GLP-MAX8-002-GPF</v>
          </cell>
        </row>
        <row r="12">
          <cell r="A12" t="str">
            <v>PR-GYA</v>
          </cell>
          <cell r="D12" t="str">
            <v>28/02/2024</v>
          </cell>
          <cell r="E12">
            <v>3</v>
          </cell>
          <cell r="F12">
            <v>0</v>
          </cell>
          <cell r="G12" t="str">
            <v>Lagoa Santa, MG - Brazil</v>
          </cell>
          <cell r="H12" t="str">
            <v>Scheduled</v>
          </cell>
          <cell r="I12">
            <v>1553.25</v>
          </cell>
          <cell r="J12">
            <v>1553.25</v>
          </cell>
          <cell r="K12">
            <v>9476</v>
          </cell>
          <cell r="L12">
            <v>9476</v>
          </cell>
          <cell r="M12">
            <v>9479</v>
          </cell>
          <cell r="N12">
            <v>9479</v>
          </cell>
          <cell r="O12">
            <v>1553.25</v>
          </cell>
          <cell r="P12">
            <v>1553.25</v>
          </cell>
          <cell r="Q12">
            <v>9476</v>
          </cell>
          <cell r="R12">
            <v>9476</v>
          </cell>
          <cell r="S12">
            <v>9479</v>
          </cell>
          <cell r="T12">
            <v>9479</v>
          </cell>
          <cell r="U12">
            <v>5.1180981595095352</v>
          </cell>
          <cell r="V12">
            <v>5.7085889570555333</v>
          </cell>
          <cell r="W12" t="str">
            <v>Down Lock, Main Gear</v>
          </cell>
          <cell r="X12" t="str">
            <v>Plumb Bob</v>
          </cell>
          <cell r="Y12" t="str">
            <v>Down Lock, Nose Gear</v>
          </cell>
          <cell r="AK12">
            <v>0.4</v>
          </cell>
          <cell r="AL12">
            <v>0.5</v>
          </cell>
          <cell r="AM12">
            <v>0.3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702</v>
          </cell>
          <cell r="AZ12">
            <v>685</v>
          </cell>
          <cell r="BA12">
            <v>82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 t="str">
            <v>Water, Potable (62.6 Gal)</v>
          </cell>
          <cell r="BN12" t="str">
            <v>Lavatory Pre-charge Fluid (6.0 Gal)</v>
          </cell>
          <cell r="BO12" t="str">
            <v>Lavatory Dry Supplies</v>
          </cell>
          <cell r="BP12" t="str">
            <v>Fuel, Drain, Unusable (5.6 Gal)</v>
          </cell>
          <cell r="BQ12" t="str">
            <v>Flaps 0 - 40° (Up when weighed)</v>
          </cell>
          <cell r="CB12">
            <v>236.4</v>
          </cell>
          <cell r="CC12">
            <v>22.7</v>
          </cell>
          <cell r="CD12">
            <v>4</v>
          </cell>
          <cell r="CE12">
            <v>17.3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1150</v>
          </cell>
          <cell r="CQ12">
            <v>1112</v>
          </cell>
          <cell r="CR12">
            <v>1145</v>
          </cell>
          <cell r="CS12">
            <v>646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N12" t="str">
            <v>28/02/2024</v>
          </cell>
          <cell r="DU12" t="str">
            <v>GOL</v>
          </cell>
          <cell r="DV12" t="str">
            <v>186 Pax + 10 Flight Crew</v>
          </cell>
          <cell r="DW12" t="str">
            <v>GLP-800-003-GYA</v>
          </cell>
        </row>
        <row r="13">
          <cell r="A13" t="str">
            <v>PR-GGH</v>
          </cell>
          <cell r="D13" t="str">
            <v>21/06/2023</v>
          </cell>
          <cell r="E13">
            <v>5</v>
          </cell>
          <cell r="F13">
            <v>0</v>
          </cell>
          <cell r="G13" t="str">
            <v>Lagoa Santa, MG - Brazil</v>
          </cell>
          <cell r="H13" t="str">
            <v>Scheduled</v>
          </cell>
          <cell r="I13">
            <v>1464</v>
          </cell>
          <cell r="J13">
            <v>1464</v>
          </cell>
          <cell r="K13">
            <v>9507.5</v>
          </cell>
          <cell r="L13">
            <v>9507.5</v>
          </cell>
          <cell r="M13">
            <v>9615</v>
          </cell>
          <cell r="N13">
            <v>9615</v>
          </cell>
          <cell r="O13">
            <v>1464</v>
          </cell>
          <cell r="P13">
            <v>1464</v>
          </cell>
          <cell r="Q13">
            <v>9507.5</v>
          </cell>
          <cell r="R13">
            <v>9507.5</v>
          </cell>
          <cell r="S13">
            <v>9615</v>
          </cell>
          <cell r="T13">
            <v>9615</v>
          </cell>
          <cell r="U13">
            <v>4.5276073619635362</v>
          </cell>
          <cell r="V13">
            <v>4.134202453988312</v>
          </cell>
          <cell r="W13" t="str">
            <v>Down Lock, Nose Gear</v>
          </cell>
          <cell r="X13" t="str">
            <v>Down Lock, Main Gear</v>
          </cell>
          <cell r="Y13" t="str">
            <v>Plumb Bob</v>
          </cell>
          <cell r="AK13">
            <v>0.3</v>
          </cell>
          <cell r="AL13">
            <v>0.4</v>
          </cell>
          <cell r="AM13">
            <v>0.5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82</v>
          </cell>
          <cell r="AZ13">
            <v>702</v>
          </cell>
          <cell r="BA13">
            <v>685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 t="str">
            <v>Flaps 0 - 40° (Up when weighed)</v>
          </cell>
          <cell r="BN13" t="str">
            <v>Fuel, Drain, Unusable (5.6 Gal)</v>
          </cell>
          <cell r="BO13" t="str">
            <v>Lavatory Dry Supplies (02EA)</v>
          </cell>
          <cell r="BP13" t="str">
            <v>Lavatory Pre-charge Fluid (6.0 Gal)</v>
          </cell>
          <cell r="BQ13" t="str">
            <v>Water, Potable (62.6 Gal)</v>
          </cell>
          <cell r="CB13">
            <v>0</v>
          </cell>
          <cell r="CC13">
            <v>17.3</v>
          </cell>
          <cell r="CD13">
            <v>4</v>
          </cell>
          <cell r="CE13">
            <v>22.7</v>
          </cell>
          <cell r="CF13">
            <v>236.4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646</v>
          </cell>
          <cell r="CR13">
            <v>1145</v>
          </cell>
          <cell r="CS13">
            <v>1112</v>
          </cell>
          <cell r="CT13">
            <v>1150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N13" t="str">
            <v>21/06/2023</v>
          </cell>
          <cell r="DU13" t="str">
            <v>GOL</v>
          </cell>
          <cell r="DV13" t="str">
            <v>186 Pax + 10 Flight Crew</v>
          </cell>
          <cell r="DW13" t="str">
            <v xml:space="preserve">GLP-800-004-GGH </v>
          </cell>
        </row>
        <row r="14">
          <cell r="A14" t="str">
            <v>PR-GGQ</v>
          </cell>
          <cell r="D14" t="str">
            <v>31/01/2024</v>
          </cell>
          <cell r="E14">
            <v>5</v>
          </cell>
          <cell r="F14">
            <v>0</v>
          </cell>
          <cell r="G14" t="str">
            <v>Lagoa Santa, MG - Brazil</v>
          </cell>
          <cell r="H14" t="str">
            <v>Scheduled</v>
          </cell>
          <cell r="I14">
            <v>1549.75</v>
          </cell>
          <cell r="J14">
            <v>1549.75</v>
          </cell>
          <cell r="K14">
            <v>9542</v>
          </cell>
          <cell r="L14">
            <v>9542</v>
          </cell>
          <cell r="M14">
            <v>9530</v>
          </cell>
          <cell r="N14">
            <v>9530</v>
          </cell>
          <cell r="O14">
            <v>1549.75</v>
          </cell>
          <cell r="P14">
            <v>1549.75</v>
          </cell>
          <cell r="Q14">
            <v>9542</v>
          </cell>
          <cell r="R14">
            <v>9542</v>
          </cell>
          <cell r="S14">
            <v>9530</v>
          </cell>
          <cell r="T14">
            <v>9530</v>
          </cell>
          <cell r="U14">
            <v>4.0943251533743634</v>
          </cell>
          <cell r="V14">
            <v>3.7400306748467642</v>
          </cell>
          <cell r="W14" t="str">
            <v>Down Lock, Nose Gear</v>
          </cell>
          <cell r="X14" t="str">
            <v>Down Lock, Main Gear</v>
          </cell>
          <cell r="Y14" t="str">
            <v>Plumb Bob</v>
          </cell>
          <cell r="AK14">
            <v>0.3</v>
          </cell>
          <cell r="AL14">
            <v>0.4</v>
          </cell>
          <cell r="AM14">
            <v>0.5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91</v>
          </cell>
          <cell r="AZ14">
            <v>702</v>
          </cell>
          <cell r="BA14">
            <v>685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 t="str">
            <v>Water, Potable (62.6 Gal)</v>
          </cell>
          <cell r="BN14" t="str">
            <v>Flaps 0 - 40° (Up when weighed)</v>
          </cell>
          <cell r="BO14" t="str">
            <v>Fuel, Drain, Unusable (5.6 Gal)</v>
          </cell>
          <cell r="BP14" t="str">
            <v>Lavatory Dry Supplies</v>
          </cell>
          <cell r="BQ14" t="str">
            <v>Lavatory Pre-charge Fluid (6.0 Gal)</v>
          </cell>
          <cell r="BR14" t="str">
            <v>Water, Potable (62.6 Gal)</v>
          </cell>
          <cell r="CB14">
            <v>236.4</v>
          </cell>
          <cell r="CC14">
            <v>0</v>
          </cell>
          <cell r="CD14">
            <v>17.3</v>
          </cell>
          <cell r="CE14">
            <v>4</v>
          </cell>
          <cell r="CF14">
            <v>22.7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1150</v>
          </cell>
          <cell r="CQ14">
            <v>0</v>
          </cell>
          <cell r="CR14">
            <v>646</v>
          </cell>
          <cell r="CS14">
            <v>1145</v>
          </cell>
          <cell r="CT14">
            <v>1112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N14" t="str">
            <v>31/01/2024</v>
          </cell>
          <cell r="DU14" t="str">
            <v>GOL</v>
          </cell>
          <cell r="DV14" t="str">
            <v>186 Pax + 10 Flight Crew</v>
          </cell>
          <cell r="DW14" t="str">
            <v>GLP-800-002-GGQ</v>
          </cell>
        </row>
        <row r="15">
          <cell r="A15" t="str">
            <v>PR-GGX</v>
          </cell>
          <cell r="D15" t="str">
            <v>06/03/2023</v>
          </cell>
          <cell r="E15">
            <v>8</v>
          </cell>
          <cell r="F15">
            <v>0</v>
          </cell>
          <cell r="G15" t="str">
            <v>Lagoa Santa, MG - Brazil</v>
          </cell>
          <cell r="H15" t="str">
            <v>New Painting</v>
          </cell>
          <cell r="I15">
            <v>1462.5</v>
          </cell>
          <cell r="J15">
            <v>1462.5</v>
          </cell>
          <cell r="K15">
            <v>9598</v>
          </cell>
          <cell r="L15">
            <v>9598</v>
          </cell>
          <cell r="M15">
            <v>9572.5</v>
          </cell>
          <cell r="N15">
            <v>9572.5</v>
          </cell>
          <cell r="O15">
            <v>1462.5</v>
          </cell>
          <cell r="P15">
            <v>1462.5</v>
          </cell>
          <cell r="Q15">
            <v>9598</v>
          </cell>
          <cell r="R15">
            <v>9598</v>
          </cell>
          <cell r="S15">
            <v>9572.5</v>
          </cell>
          <cell r="T15">
            <v>9572.5</v>
          </cell>
          <cell r="U15">
            <v>4.3703987730067118</v>
          </cell>
          <cell r="V15">
            <v>4.3703987730067118</v>
          </cell>
          <cell r="W15" t="str">
            <v>Down Lock, Nose Gear</v>
          </cell>
          <cell r="X15" t="str">
            <v>Down Lock, Main Gear</v>
          </cell>
          <cell r="Y15" t="str">
            <v>Plumb Bob</v>
          </cell>
          <cell r="AK15">
            <v>0.3</v>
          </cell>
          <cell r="AL15">
            <v>0.4</v>
          </cell>
          <cell r="AM15">
            <v>0.5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91</v>
          </cell>
          <cell r="AZ15">
            <v>702</v>
          </cell>
          <cell r="BA15">
            <v>685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 t="str">
            <v>Flaps 0 - 40° (Up when weighed)</v>
          </cell>
          <cell r="BN15" t="str">
            <v>Fuel, Drain, Unusable (5.6 Gal)</v>
          </cell>
          <cell r="BO15" t="str">
            <v>Lavatory Dry Supplies</v>
          </cell>
          <cell r="BP15" t="str">
            <v>Lavatory Pre-charge Fluid (6.0 Gal)</v>
          </cell>
          <cell r="BQ15" t="str">
            <v>Water, Potable (62.6 Gal)</v>
          </cell>
          <cell r="CB15">
            <v>0</v>
          </cell>
          <cell r="CC15">
            <v>17.3</v>
          </cell>
          <cell r="CD15">
            <v>4</v>
          </cell>
          <cell r="CE15">
            <v>22.7</v>
          </cell>
          <cell r="CF15">
            <v>236.4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646</v>
          </cell>
          <cell r="CR15">
            <v>1145</v>
          </cell>
          <cell r="CS15">
            <v>1112</v>
          </cell>
          <cell r="CT15">
            <v>1150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N15" t="str">
            <v>06/03/2023</v>
          </cell>
          <cell r="DU15" t="str">
            <v>GOL</v>
          </cell>
          <cell r="DV15" t="str">
            <v>186 Pax + 10 Flight Crew</v>
          </cell>
          <cell r="DW15" t="str">
            <v>GLP-800-002-GGX</v>
          </cell>
        </row>
        <row r="16">
          <cell r="A16" t="str">
            <v>PR-GGZ</v>
          </cell>
          <cell r="D16" t="str">
            <v>05/08/2020</v>
          </cell>
          <cell r="E16">
            <v>7</v>
          </cell>
          <cell r="F16">
            <v>0</v>
          </cell>
          <cell r="G16" t="str">
            <v>Lagoa Santa, MG - Brazil</v>
          </cell>
          <cell r="H16" t="str">
            <v>New Painting</v>
          </cell>
          <cell r="I16">
            <v>1508</v>
          </cell>
          <cell r="J16">
            <v>1508</v>
          </cell>
          <cell r="K16">
            <v>9390.5</v>
          </cell>
          <cell r="L16">
            <v>9390.5</v>
          </cell>
          <cell r="M16">
            <v>9562.5</v>
          </cell>
          <cell r="N16">
            <v>9562.5</v>
          </cell>
          <cell r="O16">
            <v>1508</v>
          </cell>
          <cell r="P16">
            <v>1508</v>
          </cell>
          <cell r="Q16">
            <v>9390.5</v>
          </cell>
          <cell r="R16">
            <v>9390.5</v>
          </cell>
          <cell r="S16">
            <v>9562.5</v>
          </cell>
          <cell r="T16">
            <v>9562.5</v>
          </cell>
          <cell r="U16">
            <v>-4702.2239263803694</v>
          </cell>
          <cell r="V16">
            <v>4.7246932515343101</v>
          </cell>
          <cell r="W16" t="str">
            <v>Down Lock, Nose Gear</v>
          </cell>
          <cell r="X16" t="str">
            <v>Down Lock, Main Gear</v>
          </cell>
          <cell r="Y16" t="str">
            <v>Plumb Bob</v>
          </cell>
          <cell r="AK16">
            <v>0.3</v>
          </cell>
          <cell r="AL16">
            <v>0.8</v>
          </cell>
          <cell r="AM16">
            <v>0.5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91</v>
          </cell>
          <cell r="AZ16">
            <v>702</v>
          </cell>
          <cell r="BA16">
            <v>685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 t="str">
            <v>Flaps 0 - 40° (Up when weighed)</v>
          </cell>
          <cell r="BN16" t="str">
            <v>Fuel, Drain, Unusable (5.6 Gal)</v>
          </cell>
          <cell r="BO16" t="str">
            <v>Lavatory Dry Supplies</v>
          </cell>
          <cell r="BP16" t="str">
            <v>Lavatory Pre-charge Fluid (6.0 Gal)</v>
          </cell>
          <cell r="BQ16" t="str">
            <v>Water, Potable (62.6 Gal)</v>
          </cell>
          <cell r="CB16">
            <v>0</v>
          </cell>
          <cell r="CC16">
            <v>17.3</v>
          </cell>
          <cell r="CD16">
            <v>8</v>
          </cell>
          <cell r="CE16">
            <v>22.7</v>
          </cell>
          <cell r="CF16">
            <v>236.4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646</v>
          </cell>
          <cell r="CR16">
            <v>1145</v>
          </cell>
          <cell r="CS16">
            <v>1112</v>
          </cell>
          <cell r="CT16">
            <v>1150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N16" t="str">
            <v>05/08/2020</v>
          </cell>
          <cell r="DU16" t="str">
            <v>GOL</v>
          </cell>
          <cell r="DV16" t="str">
            <v>186 Pax + 10 Flight Crew</v>
          </cell>
          <cell r="DW16" t="str">
            <v xml:space="preserve">GLP-800-002-GGZ </v>
          </cell>
        </row>
        <row r="17">
          <cell r="A17" t="str">
            <v>PR-GTC</v>
          </cell>
          <cell r="D17" t="str">
            <v>23/02/2023</v>
          </cell>
          <cell r="E17">
            <v>5</v>
          </cell>
          <cell r="F17">
            <v>0</v>
          </cell>
          <cell r="G17" t="str">
            <v>Lagoa Santa, MG - Brazil</v>
          </cell>
          <cell r="H17" t="str">
            <v>New Painting</v>
          </cell>
          <cell r="I17">
            <v>1460</v>
          </cell>
          <cell r="J17">
            <v>1460</v>
          </cell>
          <cell r="K17">
            <v>9550.5</v>
          </cell>
          <cell r="L17">
            <v>9550.5</v>
          </cell>
          <cell r="M17">
            <v>9305</v>
          </cell>
          <cell r="N17">
            <v>9305</v>
          </cell>
          <cell r="O17">
            <v>1460</v>
          </cell>
          <cell r="P17">
            <v>1460</v>
          </cell>
          <cell r="Q17">
            <v>9550.5</v>
          </cell>
          <cell r="R17">
            <v>9550.5</v>
          </cell>
          <cell r="S17">
            <v>9305</v>
          </cell>
          <cell r="T17">
            <v>9305</v>
          </cell>
          <cell r="U17">
            <v>6.2990797546015314</v>
          </cell>
          <cell r="V17">
            <v>6.4961656441723052</v>
          </cell>
          <cell r="W17" t="str">
            <v>Down Lock, Nose Gear</v>
          </cell>
          <cell r="X17" t="str">
            <v>Down Lock, Main Gear</v>
          </cell>
          <cell r="Y17" t="str">
            <v>Plumb Bob</v>
          </cell>
          <cell r="AK17">
            <v>0.3</v>
          </cell>
          <cell r="AL17">
            <v>0.4</v>
          </cell>
          <cell r="AM17">
            <v>0.5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91</v>
          </cell>
          <cell r="AZ17">
            <v>702</v>
          </cell>
          <cell r="BA17">
            <v>685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 t="str">
            <v>Flaps 0 - 40° (Up when weighed)</v>
          </cell>
          <cell r="BN17" t="str">
            <v>Fuel, Drain, Unusable (5.6 Gal)</v>
          </cell>
          <cell r="BO17" t="str">
            <v>Lavatory Dry Supplies</v>
          </cell>
          <cell r="BP17" t="str">
            <v>Lavatory Pre-charge Fluid (6.0 Gal)</v>
          </cell>
          <cell r="BQ17" t="str">
            <v>Water, Potable (62.6 Gal)</v>
          </cell>
          <cell r="BR17" t="str">
            <v>Oven Galley G4</v>
          </cell>
          <cell r="BS17" t="str">
            <v>Cart, Full Size Galley G1</v>
          </cell>
          <cell r="BT17" t="str">
            <v>Standard Container [7 EA] Galley G4</v>
          </cell>
          <cell r="CB17">
            <v>0</v>
          </cell>
          <cell r="CC17">
            <v>17.3</v>
          </cell>
          <cell r="CD17">
            <v>4</v>
          </cell>
          <cell r="CE17">
            <v>22.7</v>
          </cell>
          <cell r="CF17">
            <v>236.4</v>
          </cell>
          <cell r="CG17">
            <v>51</v>
          </cell>
          <cell r="CH17">
            <v>26.5</v>
          </cell>
          <cell r="CI17">
            <v>20.3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646</v>
          </cell>
          <cell r="CR17">
            <v>1145</v>
          </cell>
          <cell r="CS17">
            <v>1112</v>
          </cell>
          <cell r="CT17">
            <v>1150</v>
          </cell>
          <cell r="CU17">
            <v>1219</v>
          </cell>
          <cell r="CV17">
            <v>85</v>
          </cell>
          <cell r="CW17">
            <v>1219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N17" t="str">
            <v>24/02/2023</v>
          </cell>
          <cell r="DU17" t="str">
            <v>GOL</v>
          </cell>
          <cell r="DV17" t="str">
            <v>186 Pax + 10 Flight Crew</v>
          </cell>
          <cell r="DW17" t="str">
            <v>GLP-800-001-GTC</v>
          </cell>
        </row>
        <row r="18">
          <cell r="A18" t="str">
            <v>PR-GTH</v>
          </cell>
          <cell r="D18" t="str">
            <v>20/08/2021</v>
          </cell>
          <cell r="E18">
            <v>5</v>
          </cell>
          <cell r="F18">
            <v>0</v>
          </cell>
          <cell r="G18" t="str">
            <v>Lagoa Santa, MG - Brazil</v>
          </cell>
          <cell r="H18" t="str">
            <v>Scheduled</v>
          </cell>
          <cell r="I18">
            <v>1457</v>
          </cell>
          <cell r="J18">
            <v>1457</v>
          </cell>
          <cell r="K18">
            <v>9549</v>
          </cell>
          <cell r="L18">
            <v>9549</v>
          </cell>
          <cell r="M18">
            <v>9583.5</v>
          </cell>
          <cell r="N18">
            <v>9583.5</v>
          </cell>
          <cell r="O18">
            <v>1457</v>
          </cell>
          <cell r="P18">
            <v>1457</v>
          </cell>
          <cell r="Q18">
            <v>9549</v>
          </cell>
          <cell r="R18">
            <v>9549</v>
          </cell>
          <cell r="S18">
            <v>9583.5</v>
          </cell>
          <cell r="T18">
            <v>9583.5</v>
          </cell>
          <cell r="U18">
            <v>5.0000000000003348</v>
          </cell>
          <cell r="V18">
            <v>5.0000000000003348</v>
          </cell>
          <cell r="W18" t="str">
            <v>Down Lock, Nose Gear</v>
          </cell>
          <cell r="X18" t="str">
            <v>Down Lock, Main Gear</v>
          </cell>
          <cell r="Y18" t="str">
            <v>Plumb Bob</v>
          </cell>
          <cell r="AK18">
            <v>0.3</v>
          </cell>
          <cell r="AL18">
            <v>0.4</v>
          </cell>
          <cell r="AM18">
            <v>0.5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91</v>
          </cell>
          <cell r="AZ18">
            <v>702</v>
          </cell>
          <cell r="BA18">
            <v>685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 t="str">
            <v>Flaps 0 - 40° (Up when weighed)</v>
          </cell>
          <cell r="BN18" t="str">
            <v>Fuel, Drain, Unusable (5.6 Gal)</v>
          </cell>
          <cell r="BO18" t="str">
            <v>Lavatory Dry Supplies</v>
          </cell>
          <cell r="BP18" t="str">
            <v>Lavatory Pre-charge Fluid (6.0 Gal)</v>
          </cell>
          <cell r="BQ18" t="str">
            <v>Water, Potable (62.6 Gal)</v>
          </cell>
          <cell r="CB18">
            <v>0</v>
          </cell>
          <cell r="CC18">
            <v>17.3</v>
          </cell>
          <cell r="CD18">
            <v>4</v>
          </cell>
          <cell r="CE18">
            <v>22.7</v>
          </cell>
          <cell r="CF18">
            <v>236.4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646</v>
          </cell>
          <cell r="CR18">
            <v>1145</v>
          </cell>
          <cell r="CS18">
            <v>1112</v>
          </cell>
          <cell r="CT18">
            <v>1150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N18" t="str">
            <v>20/08/2021</v>
          </cell>
          <cell r="DU18" t="str">
            <v>GOL</v>
          </cell>
          <cell r="DV18" t="str">
            <v>186 Pax + 10 Flight Crew</v>
          </cell>
          <cell r="DW18" t="str">
            <v xml:space="preserve">GLP-800-001-GTH </v>
          </cell>
        </row>
        <row r="19">
          <cell r="A19" t="str">
            <v>PR-GTM</v>
          </cell>
          <cell r="D19" t="str">
            <v>08/05/2023</v>
          </cell>
          <cell r="E19">
            <v>6</v>
          </cell>
          <cell r="F19">
            <v>0</v>
          </cell>
          <cell r="G19" t="str">
            <v>Lagoa Santa, MG - Brazil</v>
          </cell>
          <cell r="H19" t="str">
            <v>New Painting</v>
          </cell>
          <cell r="I19">
            <v>1528</v>
          </cell>
          <cell r="J19">
            <v>1528</v>
          </cell>
          <cell r="K19">
            <v>9452.5</v>
          </cell>
          <cell r="L19">
            <v>9452.5</v>
          </cell>
          <cell r="M19">
            <v>9451.5</v>
          </cell>
          <cell r="N19">
            <v>9451.5</v>
          </cell>
          <cell r="O19">
            <v>1528</v>
          </cell>
          <cell r="P19">
            <v>1528</v>
          </cell>
          <cell r="Q19">
            <v>9452.5</v>
          </cell>
          <cell r="R19">
            <v>9452.5</v>
          </cell>
          <cell r="S19">
            <v>9451.5</v>
          </cell>
          <cell r="T19">
            <v>9451.5</v>
          </cell>
          <cell r="U19">
            <v>7.6771472392643023</v>
          </cell>
          <cell r="V19">
            <v>7.8742331288350762</v>
          </cell>
          <cell r="W19" t="str">
            <v>Down Lock, Nose Gear</v>
          </cell>
          <cell r="X19" t="str">
            <v>Down Lock, Main Gear</v>
          </cell>
          <cell r="Y19" t="str">
            <v>Plumb Bob</v>
          </cell>
          <cell r="AK19">
            <v>0.3</v>
          </cell>
          <cell r="AL19">
            <v>0.4</v>
          </cell>
          <cell r="AM19">
            <v>0.5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91</v>
          </cell>
          <cell r="AZ19">
            <v>702</v>
          </cell>
          <cell r="BA19">
            <v>685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 t="str">
            <v>Standard Container (Galley 1)</v>
          </cell>
          <cell r="BN19" t="str">
            <v>Flaps 0 - 40° (Up when weighed)</v>
          </cell>
          <cell r="BO19" t="str">
            <v>Fuel, Drain, Unusable (5.6 Gal)</v>
          </cell>
          <cell r="BP19" t="str">
            <v>Lavatory Dry Supplies</v>
          </cell>
          <cell r="BQ19" t="str">
            <v>Lavatory Pre-charge Fluid (6.0 Gal)</v>
          </cell>
          <cell r="BR19" t="str">
            <v>Water, Potable (62.6 Gal)</v>
          </cell>
          <cell r="BS19" t="str">
            <v>Cart, Half Size (Galley 1)</v>
          </cell>
          <cell r="BT19" t="str">
            <v>Waste Container( Galley 1)</v>
          </cell>
          <cell r="BU19" t="str">
            <v>Cart, Full size (Galley 4)</v>
          </cell>
          <cell r="BV19" t="str">
            <v>Waste Cart, Full Size (Galley 4)</v>
          </cell>
          <cell r="BW19" t="str">
            <v>Waste Container, Cart (Galley 4)</v>
          </cell>
          <cell r="BX19" t="str">
            <v>Waste Container (Galley 4)</v>
          </cell>
          <cell r="CB19">
            <v>5.8</v>
          </cell>
          <cell r="CC19">
            <v>0</v>
          </cell>
          <cell r="CD19">
            <v>17.3</v>
          </cell>
          <cell r="CE19">
            <v>4</v>
          </cell>
          <cell r="CF19">
            <v>22.7</v>
          </cell>
          <cell r="CG19">
            <v>236.4</v>
          </cell>
          <cell r="CH19">
            <v>47.7</v>
          </cell>
          <cell r="CI19">
            <v>3.6</v>
          </cell>
          <cell r="CJ19">
            <v>106</v>
          </cell>
          <cell r="CK19">
            <v>21.5</v>
          </cell>
          <cell r="CL19">
            <v>8</v>
          </cell>
          <cell r="CM19">
            <v>3.8</v>
          </cell>
          <cell r="CN19">
            <v>0</v>
          </cell>
          <cell r="CO19">
            <v>0</v>
          </cell>
          <cell r="CP19">
            <v>85</v>
          </cell>
          <cell r="CQ19">
            <v>0</v>
          </cell>
          <cell r="CR19">
            <v>646</v>
          </cell>
          <cell r="CS19">
            <v>1145</v>
          </cell>
          <cell r="CT19">
            <v>1112</v>
          </cell>
          <cell r="CU19">
            <v>1150</v>
          </cell>
          <cell r="CV19">
            <v>85</v>
          </cell>
          <cell r="CW19">
            <v>85</v>
          </cell>
          <cell r="CX19">
            <v>1219</v>
          </cell>
          <cell r="CY19">
            <v>1219</v>
          </cell>
          <cell r="CZ19">
            <v>1219</v>
          </cell>
          <cell r="DA19">
            <v>1219</v>
          </cell>
          <cell r="DB19">
            <v>0</v>
          </cell>
          <cell r="DC19">
            <v>0</v>
          </cell>
          <cell r="DN19" t="str">
            <v>09/05/2023</v>
          </cell>
          <cell r="DU19" t="str">
            <v>GOL</v>
          </cell>
          <cell r="DV19" t="str">
            <v>186 Pax + 10 Flight Crew</v>
          </cell>
          <cell r="DW19" t="str">
            <v>GLP-800-004-GTM</v>
          </cell>
        </row>
        <row r="20">
          <cell r="A20" t="str">
            <v>PR-GTP</v>
          </cell>
          <cell r="D20" t="str">
            <v>18/10/2018</v>
          </cell>
          <cell r="E20">
            <v>4</v>
          </cell>
          <cell r="F20">
            <v>3</v>
          </cell>
          <cell r="G20" t="str">
            <v>Lagoa Santa, MG - Brazil</v>
          </cell>
          <cell r="H20" t="str">
            <v>New Painting</v>
          </cell>
          <cell r="I20">
            <v>1501.5</v>
          </cell>
          <cell r="J20">
            <v>1501.5</v>
          </cell>
          <cell r="K20">
            <v>9555</v>
          </cell>
          <cell r="L20">
            <v>9555</v>
          </cell>
          <cell r="M20">
            <v>9590.5</v>
          </cell>
          <cell r="N20">
            <v>9590.5</v>
          </cell>
          <cell r="O20">
            <v>1501.5</v>
          </cell>
          <cell r="P20">
            <v>1501.5</v>
          </cell>
          <cell r="Q20">
            <v>9555</v>
          </cell>
          <cell r="R20">
            <v>9555</v>
          </cell>
          <cell r="S20">
            <v>9590.5</v>
          </cell>
          <cell r="T20">
            <v>9590.5</v>
          </cell>
          <cell r="U20">
            <v>4.9210122699387613</v>
          </cell>
          <cell r="V20">
            <v>4.5276073619635362</v>
          </cell>
          <cell r="W20" t="str">
            <v>2Ku System Antenna Installation (SB 737-44-1016)</v>
          </cell>
          <cell r="X20" t="str">
            <v>2Ku System Cabin Equip Installation (SB 737-44-1017)</v>
          </cell>
          <cell r="Y20" t="str">
            <v>Carbon Brake Retrofit Program (SB 737-32-1429)</v>
          </cell>
          <cell r="AK20">
            <v>0.3</v>
          </cell>
          <cell r="AL20">
            <v>0.4</v>
          </cell>
          <cell r="AM20">
            <v>0.5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91</v>
          </cell>
          <cell r="AZ20">
            <v>702</v>
          </cell>
          <cell r="BA20">
            <v>685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 t="str">
            <v>Flaps 0 - 40° (Up when weighed)</v>
          </cell>
          <cell r="BN20" t="str">
            <v>Fuel, Drain, Unusable (5.6 Gal)</v>
          </cell>
          <cell r="BO20" t="str">
            <v>Lavatory Dry Supplies</v>
          </cell>
          <cell r="BP20" t="str">
            <v>Lavatory Pre-charge Fluid (6.0 Gal)</v>
          </cell>
          <cell r="BQ20" t="str">
            <v>Water, Potable (62.6 Gal)</v>
          </cell>
          <cell r="CB20">
            <v>0</v>
          </cell>
          <cell r="CC20">
            <v>17.3</v>
          </cell>
          <cell r="CD20">
            <v>22.7</v>
          </cell>
          <cell r="CE20">
            <v>4</v>
          </cell>
          <cell r="CF20">
            <v>236.4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646</v>
          </cell>
          <cell r="CR20">
            <v>1112</v>
          </cell>
          <cell r="CS20">
            <v>1145</v>
          </cell>
          <cell r="CT20">
            <v>1150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N20" t="str">
            <v>13/04/2021</v>
          </cell>
          <cell r="DU20" t="str">
            <v>GOL</v>
          </cell>
          <cell r="DV20" t="str">
            <v>186 Pax + 10 Flight Crew</v>
          </cell>
          <cell r="DW20" t="str">
            <v xml:space="preserve">GLP-800-004-GTP </v>
          </cell>
        </row>
        <row r="21">
          <cell r="A21" t="str">
            <v>PR-GTV</v>
          </cell>
          <cell r="D21" t="str">
            <v>13/06/2022</v>
          </cell>
          <cell r="E21">
            <v>5</v>
          </cell>
          <cell r="F21">
            <v>0</v>
          </cell>
          <cell r="G21" t="str">
            <v>Lagoa Santa, MG - Brazil</v>
          </cell>
          <cell r="H21" t="str">
            <v>Scheduled</v>
          </cell>
          <cell r="I21">
            <v>1562.335</v>
          </cell>
          <cell r="J21">
            <v>1562.335</v>
          </cell>
          <cell r="K21">
            <v>9581</v>
          </cell>
          <cell r="L21">
            <v>9581</v>
          </cell>
          <cell r="M21">
            <v>9266.6650000000009</v>
          </cell>
          <cell r="N21">
            <v>9266.6650000000009</v>
          </cell>
          <cell r="O21">
            <v>1562.335</v>
          </cell>
          <cell r="P21">
            <v>1562.335</v>
          </cell>
          <cell r="Q21">
            <v>9581</v>
          </cell>
          <cell r="R21">
            <v>9581</v>
          </cell>
          <cell r="S21">
            <v>9266.6650000000009</v>
          </cell>
          <cell r="T21">
            <v>9266.6650000000009</v>
          </cell>
          <cell r="U21">
            <v>5.1380368098165086</v>
          </cell>
          <cell r="V21">
            <v>2.147239263804344</v>
          </cell>
          <cell r="W21" t="str">
            <v>Down Lock, Nose Gear</v>
          </cell>
          <cell r="X21" t="str">
            <v>Down Lock, Main Gear</v>
          </cell>
          <cell r="Y21" t="str">
            <v>Plumb Bob</v>
          </cell>
          <cell r="AK21">
            <v>0.3</v>
          </cell>
          <cell r="AL21">
            <v>0.4</v>
          </cell>
          <cell r="AM21">
            <v>0.5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82</v>
          </cell>
          <cell r="AZ21">
            <v>702</v>
          </cell>
          <cell r="BA21">
            <v>685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 t="str">
            <v>Flaps 0 - 40° (Up when weighed)</v>
          </cell>
          <cell r="BN21" t="str">
            <v>Fuel, Drain, Unusable (5.6 Gal)</v>
          </cell>
          <cell r="BO21" t="str">
            <v>Lavatory Dry Supplies</v>
          </cell>
          <cell r="BP21" t="str">
            <v>Lavatory Pre-charge Fluid (6.0 Gal)</v>
          </cell>
          <cell r="BQ21" t="str">
            <v>Water, Potable (62.6 Gal)</v>
          </cell>
          <cell r="CB21">
            <v>0</v>
          </cell>
          <cell r="CC21">
            <v>17.3</v>
          </cell>
          <cell r="CD21">
            <v>4</v>
          </cell>
          <cell r="CE21">
            <v>22.7</v>
          </cell>
          <cell r="CF21">
            <v>236.4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646</v>
          </cell>
          <cell r="CR21">
            <v>1145</v>
          </cell>
          <cell r="CS21">
            <v>1112</v>
          </cell>
          <cell r="CT21">
            <v>1150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N21" t="str">
            <v>17/06/2022</v>
          </cell>
          <cell r="DU21" t="str">
            <v>DIGEX</v>
          </cell>
          <cell r="DV21" t="str">
            <v>186 Pax + 10 Flight Crew</v>
          </cell>
          <cell r="DW21" t="str">
            <v xml:space="preserve">GLP-800-004-GTV </v>
          </cell>
        </row>
        <row r="22">
          <cell r="A22" t="str">
            <v>PR-GUB</v>
          </cell>
          <cell r="D22" t="str">
            <v>03/12/2020</v>
          </cell>
          <cell r="E22">
            <v>6</v>
          </cell>
          <cell r="F22">
            <v>0</v>
          </cell>
          <cell r="G22" t="str">
            <v>Lagoa Santa, MG - Brazil</v>
          </cell>
          <cell r="H22" t="str">
            <v>New Painting</v>
          </cell>
          <cell r="I22">
            <v>1446.5</v>
          </cell>
          <cell r="J22">
            <v>1446.5</v>
          </cell>
          <cell r="K22">
            <v>9454.25</v>
          </cell>
          <cell r="L22">
            <v>9454.25</v>
          </cell>
          <cell r="M22">
            <v>9371.5</v>
          </cell>
          <cell r="N22">
            <v>9371.5</v>
          </cell>
          <cell r="O22">
            <v>1446.5</v>
          </cell>
          <cell r="P22">
            <v>1446.5</v>
          </cell>
          <cell r="Q22">
            <v>9454.25</v>
          </cell>
          <cell r="R22">
            <v>9454.25</v>
          </cell>
          <cell r="S22">
            <v>9371.5</v>
          </cell>
          <cell r="T22">
            <v>9371.5</v>
          </cell>
          <cell r="U22">
            <v>4.9210122699387613</v>
          </cell>
          <cell r="V22">
            <v>4.7246932515343101</v>
          </cell>
          <cell r="W22" t="str">
            <v>Down Lock Nose Gear (1 ea)</v>
          </cell>
          <cell r="X22" t="str">
            <v>Down Lock Main Gear (2 ea)</v>
          </cell>
          <cell r="Y22" t="str">
            <v>Plumb Bob</v>
          </cell>
          <cell r="AK22">
            <v>0.3</v>
          </cell>
          <cell r="AL22">
            <v>0.4</v>
          </cell>
          <cell r="AM22">
            <v>0.5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91</v>
          </cell>
          <cell r="AZ22">
            <v>702</v>
          </cell>
          <cell r="BA22">
            <v>685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 t="str">
            <v>Flaps 0 - 40° (up when weighed)</v>
          </cell>
          <cell r="BN22" t="str">
            <v>Fuel, Drain., Unusable (5.6 Gal)</v>
          </cell>
          <cell r="BO22" t="str">
            <v>Lavatory Pre-Charge Fluid (6.0 Gal)</v>
          </cell>
          <cell r="BP22" t="str">
            <v>Lavatory Dry Supplies (2 ea)</v>
          </cell>
          <cell r="BQ22" t="str">
            <v>Potable Water (62.6 Gal)</v>
          </cell>
          <cell r="CB22">
            <v>0</v>
          </cell>
          <cell r="CC22">
            <v>17.3</v>
          </cell>
          <cell r="CD22">
            <v>22.7</v>
          </cell>
          <cell r="CE22">
            <v>4</v>
          </cell>
          <cell r="CF22">
            <v>236.4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646</v>
          </cell>
          <cell r="CR22">
            <v>1112</v>
          </cell>
          <cell r="CS22">
            <v>1145</v>
          </cell>
          <cell r="CT22">
            <v>1150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N22" t="str">
            <v>04/12/2020</v>
          </cell>
          <cell r="DU22" t="str">
            <v>GOL</v>
          </cell>
          <cell r="DV22" t="str">
            <v>189 Pax + 10 Flight Crew</v>
          </cell>
          <cell r="DW22" t="str">
            <v xml:space="preserve">GLP-800-002-GUB </v>
          </cell>
        </row>
        <row r="23">
          <cell r="A23" t="str">
            <v>PR-GUE</v>
          </cell>
          <cell r="D23" t="str">
            <v>23/09/2023</v>
          </cell>
          <cell r="E23">
            <v>4</v>
          </cell>
          <cell r="F23">
            <v>0</v>
          </cell>
          <cell r="G23" t="str">
            <v>Lagoa Santa, MG - Brazil</v>
          </cell>
          <cell r="H23" t="str">
            <v>New Painting</v>
          </cell>
          <cell r="I23">
            <v>1506</v>
          </cell>
          <cell r="J23">
            <v>1506</v>
          </cell>
          <cell r="K23">
            <v>9579</v>
          </cell>
          <cell r="L23">
            <v>9579</v>
          </cell>
          <cell r="M23">
            <v>9476</v>
          </cell>
          <cell r="N23">
            <v>9476</v>
          </cell>
          <cell r="O23">
            <v>1506</v>
          </cell>
          <cell r="P23">
            <v>1506</v>
          </cell>
          <cell r="Q23">
            <v>9579</v>
          </cell>
          <cell r="R23">
            <v>9579</v>
          </cell>
          <cell r="S23">
            <v>9476</v>
          </cell>
          <cell r="T23">
            <v>9476</v>
          </cell>
          <cell r="U23">
            <v>5.0996932515343358</v>
          </cell>
          <cell r="V23">
            <v>5.0000000000003348</v>
          </cell>
          <cell r="W23" t="str">
            <v>Down Lock, Nose Gear</v>
          </cell>
          <cell r="X23" t="str">
            <v>Down Lock, Main Gear</v>
          </cell>
          <cell r="Y23" t="str">
            <v>Plumb Bob</v>
          </cell>
          <cell r="AK23">
            <v>0.3</v>
          </cell>
          <cell r="AL23">
            <v>0.4</v>
          </cell>
          <cell r="AM23">
            <v>0.5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91</v>
          </cell>
          <cell r="AZ23">
            <v>702</v>
          </cell>
          <cell r="BA23">
            <v>685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 t="str">
            <v>Flaps 0 - 40° (Up when weighed)</v>
          </cell>
          <cell r="BN23" t="str">
            <v>Fuel, Drain, Unusable (5.6 Gal)</v>
          </cell>
          <cell r="BO23" t="str">
            <v>Lavatory Dry Supplies</v>
          </cell>
          <cell r="BP23" t="str">
            <v>Lavatory Pre-charge Fluid (6.0 Gal)</v>
          </cell>
          <cell r="BQ23" t="str">
            <v>Water, Potable (62.6 Gal)</v>
          </cell>
          <cell r="CB23">
            <v>0</v>
          </cell>
          <cell r="CC23">
            <v>17.3</v>
          </cell>
          <cell r="CD23">
            <v>4</v>
          </cell>
          <cell r="CE23">
            <v>22.7</v>
          </cell>
          <cell r="CF23">
            <v>236.7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646</v>
          </cell>
          <cell r="CR23">
            <v>526</v>
          </cell>
          <cell r="CS23">
            <v>1112</v>
          </cell>
          <cell r="CT23">
            <v>1150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N23" t="str">
            <v>23/09/2023</v>
          </cell>
          <cell r="DU23" t="str">
            <v>GOL</v>
          </cell>
          <cell r="DV23" t="str">
            <v>186 Pax + 10 Flight Crew</v>
          </cell>
          <cell r="DW23" t="str">
            <v xml:space="preserve">GLP-800-004-GUE </v>
          </cell>
        </row>
        <row r="24">
          <cell r="A24" t="str">
            <v>PR-GUF</v>
          </cell>
          <cell r="D24" t="str">
            <v>13/06/2022</v>
          </cell>
          <cell r="E24">
            <v>4</v>
          </cell>
          <cell r="F24">
            <v>0</v>
          </cell>
          <cell r="G24" t="str">
            <v>Lagoa Santa, MG - Brazil</v>
          </cell>
          <cell r="H24" t="str">
            <v>New Painting</v>
          </cell>
          <cell r="I24">
            <v>1513</v>
          </cell>
          <cell r="J24">
            <v>1513</v>
          </cell>
          <cell r="K24">
            <v>9602.5</v>
          </cell>
          <cell r="L24">
            <v>9602.5</v>
          </cell>
          <cell r="M24">
            <v>9432</v>
          </cell>
          <cell r="N24">
            <v>9432</v>
          </cell>
          <cell r="O24">
            <v>1513</v>
          </cell>
          <cell r="P24">
            <v>1513</v>
          </cell>
          <cell r="Q24">
            <v>9602.5</v>
          </cell>
          <cell r="R24">
            <v>9602.5</v>
          </cell>
          <cell r="S24">
            <v>9432</v>
          </cell>
          <cell r="T24">
            <v>9432</v>
          </cell>
          <cell r="U24">
            <v>5.983895705521558</v>
          </cell>
          <cell r="V24">
            <v>5.983895705521558</v>
          </cell>
          <cell r="W24" t="str">
            <v>Down Lock, Nose Gear</v>
          </cell>
          <cell r="X24" t="str">
            <v>Down Lock, Main Gear</v>
          </cell>
          <cell r="Y24" t="str">
            <v>Plumb Bob</v>
          </cell>
          <cell r="AK24">
            <v>0.3</v>
          </cell>
          <cell r="AL24">
            <v>0.4</v>
          </cell>
          <cell r="AM24">
            <v>0.5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91</v>
          </cell>
          <cell r="AZ24">
            <v>702</v>
          </cell>
          <cell r="BA24">
            <v>685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 t="str">
            <v>Flaps 0 - 40° (Up when weighed)</v>
          </cell>
          <cell r="BN24" t="str">
            <v>Fuel, Drain, Unusable (5.6 Gal)</v>
          </cell>
          <cell r="BO24" t="str">
            <v>Lavatory Dry Supplies</v>
          </cell>
          <cell r="BP24" t="str">
            <v>Lavatory Pre-charge Fluid (6.0 Gal)</v>
          </cell>
          <cell r="BQ24" t="str">
            <v>Water, Potable (62.6 Gal)</v>
          </cell>
          <cell r="BR24" t="str">
            <v>Voice Recorder Independent Power Supply</v>
          </cell>
          <cell r="CB24">
            <v>0</v>
          </cell>
          <cell r="CC24">
            <v>17.3</v>
          </cell>
          <cell r="CD24">
            <v>4</v>
          </cell>
          <cell r="CE24">
            <v>22.7</v>
          </cell>
          <cell r="CF24">
            <v>236.4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646</v>
          </cell>
          <cell r="CR24">
            <v>1145</v>
          </cell>
          <cell r="CS24">
            <v>1112</v>
          </cell>
          <cell r="CT24">
            <v>1150</v>
          </cell>
          <cell r="CU24">
            <v>1147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N24" t="str">
            <v>13/06/2022</v>
          </cell>
          <cell r="DU24" t="str">
            <v>GOL</v>
          </cell>
          <cell r="DV24" t="str">
            <v>186 Pax + 10 Flight Crew</v>
          </cell>
          <cell r="DW24" t="str">
            <v xml:space="preserve">GLP-800-004-GUF </v>
          </cell>
        </row>
        <row r="25">
          <cell r="A25" t="str">
            <v>PR-GUJ</v>
          </cell>
          <cell r="D25" t="str">
            <v>09/05/2022</v>
          </cell>
          <cell r="E25">
            <v>4</v>
          </cell>
          <cell r="F25">
            <v>0</v>
          </cell>
          <cell r="G25" t="str">
            <v>Lagoa Santa, MG - Brazil</v>
          </cell>
          <cell r="H25" t="str">
            <v>Scheduled</v>
          </cell>
          <cell r="I25">
            <v>1518.5</v>
          </cell>
          <cell r="J25">
            <v>1518.5</v>
          </cell>
          <cell r="K25">
            <v>9626</v>
          </cell>
          <cell r="L25">
            <v>9626</v>
          </cell>
          <cell r="M25">
            <v>9618</v>
          </cell>
          <cell r="N25">
            <v>9618</v>
          </cell>
          <cell r="O25">
            <v>1518.5</v>
          </cell>
          <cell r="P25">
            <v>1518.5</v>
          </cell>
          <cell r="Q25">
            <v>9626</v>
          </cell>
          <cell r="R25">
            <v>9626</v>
          </cell>
          <cell r="S25">
            <v>9618</v>
          </cell>
          <cell r="T25">
            <v>9618</v>
          </cell>
          <cell r="U25">
            <v>3.34662576687154</v>
          </cell>
          <cell r="V25">
            <v>2.3619631901839941</v>
          </cell>
          <cell r="W25" t="str">
            <v>Down Lock, Nose Gear</v>
          </cell>
          <cell r="X25" t="str">
            <v>Down Lock, Main Gear</v>
          </cell>
          <cell r="Y25" t="str">
            <v>Plumb Bob</v>
          </cell>
          <cell r="AK25">
            <v>0.3</v>
          </cell>
          <cell r="AL25">
            <v>0.4</v>
          </cell>
          <cell r="AM25">
            <v>0.5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82</v>
          </cell>
          <cell r="AZ25">
            <v>702</v>
          </cell>
          <cell r="BA25">
            <v>685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 t="str">
            <v>Flaps 0 - 40° (Up when weighed)</v>
          </cell>
          <cell r="BN25" t="str">
            <v>Fuel, Drain, Unusable (5.6 Gal)</v>
          </cell>
          <cell r="BO25" t="str">
            <v>Lavatory Dry Supplies</v>
          </cell>
          <cell r="BP25" t="str">
            <v>Lavatory Pre-charge Fluid (6.0 Gal)</v>
          </cell>
          <cell r="BQ25" t="str">
            <v>Cart, Full Size</v>
          </cell>
          <cell r="BR25" t="str">
            <v>Waste Cart, Full Size</v>
          </cell>
          <cell r="BS25" t="str">
            <v>Water, Potable (62.6 Gal)</v>
          </cell>
          <cell r="CB25">
            <v>0</v>
          </cell>
          <cell r="CC25">
            <v>17.3</v>
          </cell>
          <cell r="CD25">
            <v>4</v>
          </cell>
          <cell r="CE25">
            <v>22.7</v>
          </cell>
          <cell r="CF25">
            <v>106</v>
          </cell>
          <cell r="CG25">
            <v>21.5</v>
          </cell>
          <cell r="CH25">
            <v>236.4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646</v>
          </cell>
          <cell r="CR25">
            <v>1145</v>
          </cell>
          <cell r="CS25">
            <v>1112</v>
          </cell>
          <cell r="CT25">
            <v>1219</v>
          </cell>
          <cell r="CU25">
            <v>1219</v>
          </cell>
          <cell r="CV25">
            <v>1150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N25" t="str">
            <v>09/05/2022</v>
          </cell>
          <cell r="DU25" t="str">
            <v>GOL</v>
          </cell>
          <cell r="DV25" t="str">
            <v>186 Pax + 10 Flight Crew</v>
          </cell>
          <cell r="DW25" t="str">
            <v xml:space="preserve">GLP-800-004-GUJ </v>
          </cell>
        </row>
        <row r="26">
          <cell r="A26" t="str">
            <v>PR-GUN</v>
          </cell>
          <cell r="D26" t="str">
            <v>19/07/2022</v>
          </cell>
          <cell r="E26">
            <v>4</v>
          </cell>
          <cell r="F26">
            <v>0</v>
          </cell>
          <cell r="G26" t="str">
            <v>Lagoa Santa, MG - Brazil</v>
          </cell>
          <cell r="H26" t="str">
            <v>New Painting</v>
          </cell>
          <cell r="I26">
            <v>1499</v>
          </cell>
          <cell r="J26">
            <v>1499</v>
          </cell>
          <cell r="K26">
            <v>9612</v>
          </cell>
          <cell r="L26">
            <v>9612</v>
          </cell>
          <cell r="M26">
            <v>9649</v>
          </cell>
          <cell r="N26">
            <v>9649</v>
          </cell>
          <cell r="O26">
            <v>1499</v>
          </cell>
          <cell r="P26">
            <v>1499</v>
          </cell>
          <cell r="Q26">
            <v>9612</v>
          </cell>
          <cell r="R26">
            <v>9612</v>
          </cell>
          <cell r="S26">
            <v>9649</v>
          </cell>
          <cell r="T26">
            <v>9649</v>
          </cell>
          <cell r="U26">
            <v>3.8581288343559641</v>
          </cell>
          <cell r="V26">
            <v>3.6610429447851902</v>
          </cell>
          <cell r="W26" t="str">
            <v>Down Lock, Nose Gear</v>
          </cell>
          <cell r="X26" t="str">
            <v>Down Lock, Main Gear</v>
          </cell>
          <cell r="Y26" t="str">
            <v>Plumb Bob</v>
          </cell>
          <cell r="AK26">
            <v>0.3</v>
          </cell>
          <cell r="AL26">
            <v>0.4</v>
          </cell>
          <cell r="AM26">
            <v>0.5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91</v>
          </cell>
          <cell r="AZ26">
            <v>702</v>
          </cell>
          <cell r="BA26">
            <v>685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 t="str">
            <v>Flaps 0 - 40° (Up when weighed)</v>
          </cell>
          <cell r="BN26" t="str">
            <v>Fuel, Drain, Unusable (5.6 Gal)</v>
          </cell>
          <cell r="BO26" t="str">
            <v>Lavatory Dry Supplies</v>
          </cell>
          <cell r="BP26" t="str">
            <v>Lavatory Pre-charge Fluid (6.0 Gal)</v>
          </cell>
          <cell r="BQ26" t="str">
            <v>Water, Potable (62.6 Gal)</v>
          </cell>
          <cell r="CB26">
            <v>0</v>
          </cell>
          <cell r="CC26">
            <v>17.3</v>
          </cell>
          <cell r="CD26">
            <v>4</v>
          </cell>
          <cell r="CE26">
            <v>22.7</v>
          </cell>
          <cell r="CF26">
            <v>236.4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646</v>
          </cell>
          <cell r="CR26">
            <v>1145</v>
          </cell>
          <cell r="CS26">
            <v>1112</v>
          </cell>
          <cell r="CT26">
            <v>1150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N26" t="str">
            <v>19/07/2022</v>
          </cell>
          <cell r="DU26" t="str">
            <v>GOL</v>
          </cell>
          <cell r="DV26" t="str">
            <v>186 Pax + 10 Flight Crew</v>
          </cell>
          <cell r="DW26" t="str">
            <v xml:space="preserve">GLP-800-004-GUN </v>
          </cell>
        </row>
        <row r="27">
          <cell r="A27" t="str">
            <v>PR-GUP</v>
          </cell>
          <cell r="D27" t="str">
            <v>07/09/2023</v>
          </cell>
          <cell r="E27">
            <v>7</v>
          </cell>
          <cell r="F27">
            <v>0</v>
          </cell>
          <cell r="G27" t="str">
            <v>Lagoa Santa, MG - Brazil</v>
          </cell>
          <cell r="H27" t="str">
            <v>New Painting</v>
          </cell>
          <cell r="I27">
            <v>1512.5</v>
          </cell>
          <cell r="J27">
            <v>1512.5</v>
          </cell>
          <cell r="K27">
            <v>9634.5</v>
          </cell>
          <cell r="L27">
            <v>9634.5</v>
          </cell>
          <cell r="M27">
            <v>9752.5</v>
          </cell>
          <cell r="N27">
            <v>9752.5</v>
          </cell>
          <cell r="O27">
            <v>1512.5</v>
          </cell>
          <cell r="P27">
            <v>1512.5</v>
          </cell>
          <cell r="Q27">
            <v>9634.5</v>
          </cell>
          <cell r="R27">
            <v>9634.5</v>
          </cell>
          <cell r="S27">
            <v>9752.5</v>
          </cell>
          <cell r="T27">
            <v>9752.5</v>
          </cell>
          <cell r="U27">
            <v>5.5000000000003686</v>
          </cell>
          <cell r="V27">
            <v>5.0000000000003348</v>
          </cell>
          <cell r="W27" t="str">
            <v>Down Lock, Nose Gear</v>
          </cell>
          <cell r="X27" t="str">
            <v>Down Lock, Main Gear</v>
          </cell>
          <cell r="Y27" t="str">
            <v>Plumb Bob</v>
          </cell>
          <cell r="AK27">
            <v>0.3</v>
          </cell>
          <cell r="AL27">
            <v>0.4</v>
          </cell>
          <cell r="AM27">
            <v>0.5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82</v>
          </cell>
          <cell r="AZ27">
            <v>702</v>
          </cell>
          <cell r="BA27">
            <v>685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 t="str">
            <v>Flaps 0 - 40° (Up when weighed)</v>
          </cell>
          <cell r="BN27" t="str">
            <v>Fuel, Drain, Unusable (5.6 Gal)</v>
          </cell>
          <cell r="BO27" t="str">
            <v>Lavatory Dry Supplies</v>
          </cell>
          <cell r="BP27" t="str">
            <v>Lavatory Pre-charge Fluid (6.0 Gal)</v>
          </cell>
          <cell r="BQ27" t="str">
            <v>Water, Potable (62.6 Gal)</v>
          </cell>
          <cell r="CB27">
            <v>0</v>
          </cell>
          <cell r="CC27">
            <v>17.3</v>
          </cell>
          <cell r="CD27">
            <v>4</v>
          </cell>
          <cell r="CE27">
            <v>22.7</v>
          </cell>
          <cell r="CF27">
            <v>236.4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646</v>
          </cell>
          <cell r="CR27">
            <v>1145</v>
          </cell>
          <cell r="CS27">
            <v>1112</v>
          </cell>
          <cell r="CT27">
            <v>1150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N27" t="str">
            <v>07/09/2023</v>
          </cell>
          <cell r="DU27" t="str">
            <v>GOL</v>
          </cell>
          <cell r="DV27" t="str">
            <v>186 Pax + 10 Flight Crew</v>
          </cell>
          <cell r="DW27" t="str">
            <v xml:space="preserve">GLP-800-004-GUP </v>
          </cell>
        </row>
        <row r="28">
          <cell r="A28" t="str">
            <v>PR-GUR</v>
          </cell>
          <cell r="D28" t="str">
            <v>08/07/2022</v>
          </cell>
          <cell r="E28">
            <v>5</v>
          </cell>
          <cell r="F28">
            <v>0</v>
          </cell>
          <cell r="G28" t="str">
            <v>Lagoa Santa, MG - Brazil</v>
          </cell>
          <cell r="H28" t="str">
            <v>New Painting</v>
          </cell>
          <cell r="I28">
            <v>1515.5</v>
          </cell>
          <cell r="J28">
            <v>1515.5</v>
          </cell>
          <cell r="K28">
            <v>9667.5</v>
          </cell>
          <cell r="L28">
            <v>9667.5</v>
          </cell>
          <cell r="M28">
            <v>9500.5</v>
          </cell>
          <cell r="N28">
            <v>9500.5</v>
          </cell>
          <cell r="O28">
            <v>1515.5</v>
          </cell>
          <cell r="P28">
            <v>1515.5</v>
          </cell>
          <cell r="Q28">
            <v>9667.5</v>
          </cell>
          <cell r="R28">
            <v>9667.5</v>
          </cell>
          <cell r="S28">
            <v>9500.5</v>
          </cell>
          <cell r="T28">
            <v>9500.5</v>
          </cell>
          <cell r="U28">
            <v>3.976226993865164</v>
          </cell>
          <cell r="V28">
            <v>3.7400306748467642</v>
          </cell>
          <cell r="W28" t="str">
            <v>Down Lock, Nose Gear</v>
          </cell>
          <cell r="X28" t="str">
            <v>Down Lock, Main Gear</v>
          </cell>
          <cell r="Y28" t="str">
            <v>Plumb Bob</v>
          </cell>
          <cell r="AK28">
            <v>0.3</v>
          </cell>
          <cell r="AL28">
            <v>0.4</v>
          </cell>
          <cell r="AM28">
            <v>0.5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91</v>
          </cell>
          <cell r="AZ28">
            <v>702</v>
          </cell>
          <cell r="BA28">
            <v>685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 t="str">
            <v>Flaps 0 - 40° (Up when weighed)</v>
          </cell>
          <cell r="BN28" t="str">
            <v>Fuel, Drain, Unusable (5.6 Gal)</v>
          </cell>
          <cell r="BO28" t="str">
            <v>Lavatory Dry Supplies</v>
          </cell>
          <cell r="BP28" t="str">
            <v>Lavatory Pre-charge Fluid (6.0 Gal)</v>
          </cell>
          <cell r="BQ28" t="str">
            <v>Water, Potable (62.6 Gal)</v>
          </cell>
          <cell r="CB28">
            <v>0</v>
          </cell>
          <cell r="CC28">
            <v>17.3</v>
          </cell>
          <cell r="CD28">
            <v>4</v>
          </cell>
          <cell r="CE28">
            <v>22.7</v>
          </cell>
          <cell r="CF28">
            <v>236.4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646</v>
          </cell>
          <cell r="CR28">
            <v>1145</v>
          </cell>
          <cell r="CS28">
            <v>1112</v>
          </cell>
          <cell r="CT28">
            <v>1150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N28" t="str">
            <v>08/07/2022</v>
          </cell>
          <cell r="DU28" t="str">
            <v>GOL</v>
          </cell>
          <cell r="DV28" t="str">
            <v>186 Pax + 10 Flight Crew</v>
          </cell>
          <cell r="DW28" t="str">
            <v xml:space="preserve">GLP-800-004-GUR </v>
          </cell>
        </row>
        <row r="29">
          <cell r="A29" t="str">
            <v>PR-GUR</v>
          </cell>
          <cell r="D29" t="str">
            <v>08/07/2022</v>
          </cell>
          <cell r="E29">
            <v>5</v>
          </cell>
          <cell r="F29">
            <v>0</v>
          </cell>
          <cell r="G29" t="str">
            <v>Lagoa Santa, MG - Brazil</v>
          </cell>
          <cell r="H29" t="str">
            <v>New Painting</v>
          </cell>
          <cell r="I29">
            <v>1515.5</v>
          </cell>
          <cell r="J29">
            <v>1515.5</v>
          </cell>
          <cell r="K29">
            <v>9667.5</v>
          </cell>
          <cell r="L29">
            <v>9667.5</v>
          </cell>
          <cell r="M29">
            <v>9500.5</v>
          </cell>
          <cell r="N29">
            <v>9500.5</v>
          </cell>
          <cell r="O29">
            <v>1515.5</v>
          </cell>
          <cell r="P29">
            <v>1515.5</v>
          </cell>
          <cell r="Q29">
            <v>9667.5</v>
          </cell>
          <cell r="R29">
            <v>9667.5</v>
          </cell>
          <cell r="S29">
            <v>9500.5</v>
          </cell>
          <cell r="T29">
            <v>9500.5</v>
          </cell>
          <cell r="U29">
            <v>3.976226993865164</v>
          </cell>
          <cell r="V29">
            <v>3.7400306748467642</v>
          </cell>
          <cell r="W29" t="str">
            <v>Down Lock, Nose Gear</v>
          </cell>
          <cell r="X29" t="str">
            <v>Down Lock, Main Gear</v>
          </cell>
          <cell r="Y29" t="str">
            <v>Plumb Bob</v>
          </cell>
          <cell r="AK29">
            <v>0.3</v>
          </cell>
          <cell r="AL29">
            <v>0.4</v>
          </cell>
          <cell r="AM29">
            <v>0.5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91</v>
          </cell>
          <cell r="AZ29">
            <v>702</v>
          </cell>
          <cell r="BA29">
            <v>685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 t="str">
            <v>Flaps 0 - 40° (Up when weighed)</v>
          </cell>
          <cell r="BN29" t="str">
            <v>Fuel, Drain, Unusable (5.6 Gal)</v>
          </cell>
          <cell r="BO29" t="str">
            <v>Lavatory Dry Supplies</v>
          </cell>
          <cell r="BP29" t="str">
            <v>Lavatory Pre-charge Fluid (6.0 Gal)</v>
          </cell>
          <cell r="BQ29" t="str">
            <v>Water, Potable (62.6 Gal)</v>
          </cell>
          <cell r="CB29">
            <v>0</v>
          </cell>
          <cell r="CC29">
            <v>17.3</v>
          </cell>
          <cell r="CD29">
            <v>4</v>
          </cell>
          <cell r="CE29">
            <v>22.7</v>
          </cell>
          <cell r="CF29">
            <v>236.4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646</v>
          </cell>
          <cell r="CR29">
            <v>1145</v>
          </cell>
          <cell r="CS29">
            <v>1112</v>
          </cell>
          <cell r="CT29">
            <v>1150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N29" t="str">
            <v>08/07/2022</v>
          </cell>
          <cell r="DU29" t="str">
            <v>GOL</v>
          </cell>
          <cell r="DV29" t="str">
            <v>186 Pax + 10 Flight Crew</v>
          </cell>
          <cell r="DW29" t="str">
            <v xml:space="preserve">GLP-800-004-GUR </v>
          </cell>
        </row>
        <row r="30">
          <cell r="A30" t="str">
            <v>PR-GUT</v>
          </cell>
          <cell r="D30" t="str">
            <v>19/08/2023</v>
          </cell>
          <cell r="E30">
            <v>5</v>
          </cell>
          <cell r="F30">
            <v>0</v>
          </cell>
          <cell r="G30" t="str">
            <v>Lagoa Santa, MG - Brazil</v>
          </cell>
          <cell r="H30" t="str">
            <v>Scheduled</v>
          </cell>
          <cell r="I30">
            <v>1513</v>
          </cell>
          <cell r="J30">
            <v>1513</v>
          </cell>
          <cell r="K30">
            <v>9619.5</v>
          </cell>
          <cell r="L30">
            <v>9619.5</v>
          </cell>
          <cell r="M30">
            <v>9781.5</v>
          </cell>
          <cell r="N30">
            <v>9781.5</v>
          </cell>
          <cell r="O30">
            <v>1513</v>
          </cell>
          <cell r="P30">
            <v>1513</v>
          </cell>
          <cell r="Q30">
            <v>9619.5</v>
          </cell>
          <cell r="R30">
            <v>9619.5</v>
          </cell>
          <cell r="S30">
            <v>9781.5</v>
          </cell>
          <cell r="T30">
            <v>9781.5</v>
          </cell>
          <cell r="U30">
            <v>4.5276073619635362</v>
          </cell>
          <cell r="V30">
            <v>4.5276073619635362</v>
          </cell>
          <cell r="W30" t="str">
            <v>Down Lock, Nose Gear</v>
          </cell>
          <cell r="X30" t="str">
            <v>Down Lock, Main Gear</v>
          </cell>
          <cell r="Y30" t="str">
            <v>Plumb Bob</v>
          </cell>
          <cell r="AK30">
            <v>0.3</v>
          </cell>
          <cell r="AL30">
            <v>0.4</v>
          </cell>
          <cell r="AM30">
            <v>0.5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91</v>
          </cell>
          <cell r="AZ30">
            <v>702</v>
          </cell>
          <cell r="BA30">
            <v>685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 t="str">
            <v>Flaps 0 - 40° (Up when weighed)</v>
          </cell>
          <cell r="BN30" t="str">
            <v>Fuel, Drain, Unusable (5.6 Gal)</v>
          </cell>
          <cell r="BO30" t="str">
            <v>Lavatory Dry Supplies</v>
          </cell>
          <cell r="BP30" t="str">
            <v>Lavatory Pre-charge Fluid (6.0 Gal)</v>
          </cell>
          <cell r="BQ30" t="str">
            <v>Water, Potable (62.6 Gal)</v>
          </cell>
          <cell r="CB30">
            <v>0</v>
          </cell>
          <cell r="CC30">
            <v>17.3</v>
          </cell>
          <cell r="CD30">
            <v>4</v>
          </cell>
          <cell r="CE30">
            <v>22.7</v>
          </cell>
          <cell r="CF30">
            <v>236.4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646</v>
          </cell>
          <cell r="CR30">
            <v>1145</v>
          </cell>
          <cell r="CS30">
            <v>1112</v>
          </cell>
          <cell r="CT30">
            <v>1150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N30" t="str">
            <v>19/08/2023</v>
          </cell>
          <cell r="DU30" t="str">
            <v>GOL</v>
          </cell>
          <cell r="DV30" t="str">
            <v>186 Pax + 10 Flight Crew</v>
          </cell>
          <cell r="DW30" t="str">
            <v>GLP-800-004-GUT</v>
          </cell>
        </row>
        <row r="31">
          <cell r="A31" t="str">
            <v>PR-GUU</v>
          </cell>
          <cell r="D31" t="str">
            <v>29/09/2023</v>
          </cell>
          <cell r="E31">
            <v>4</v>
          </cell>
          <cell r="F31">
            <v>0</v>
          </cell>
          <cell r="G31" t="str">
            <v>Lagoa Santa, MG - Brazil</v>
          </cell>
          <cell r="H31" t="str">
            <v>New Painting</v>
          </cell>
          <cell r="I31">
            <v>1498</v>
          </cell>
          <cell r="J31">
            <v>1498</v>
          </cell>
          <cell r="K31">
            <v>9426</v>
          </cell>
          <cell r="L31">
            <v>9426</v>
          </cell>
          <cell r="M31">
            <v>9513</v>
          </cell>
          <cell r="N31">
            <v>9513</v>
          </cell>
          <cell r="O31">
            <v>1498</v>
          </cell>
          <cell r="P31">
            <v>1498</v>
          </cell>
          <cell r="Q31">
            <v>9426</v>
          </cell>
          <cell r="R31">
            <v>9426</v>
          </cell>
          <cell r="S31">
            <v>9513</v>
          </cell>
          <cell r="T31">
            <v>9513</v>
          </cell>
          <cell r="U31">
            <v>4.2523006134975114</v>
          </cell>
          <cell r="V31">
            <v>4.134202453988312</v>
          </cell>
          <cell r="W31" t="str">
            <v>Down Lock, Nose Gear</v>
          </cell>
          <cell r="X31" t="str">
            <v>Down Lock, Main Gear</v>
          </cell>
          <cell r="Y31" t="str">
            <v>Plumb Bob</v>
          </cell>
          <cell r="AK31">
            <v>0.3</v>
          </cell>
          <cell r="AL31">
            <v>0.4</v>
          </cell>
          <cell r="AM31">
            <v>0.5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82</v>
          </cell>
          <cell r="AZ31">
            <v>702</v>
          </cell>
          <cell r="BA31">
            <v>685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 t="str">
            <v>Flaps 0 - 40° (Up when weighed)</v>
          </cell>
          <cell r="BN31" t="str">
            <v>Fuel, Drain, Unusable (5.6 Gal)</v>
          </cell>
          <cell r="BO31" t="str">
            <v>Lavatory Dry Supplies</v>
          </cell>
          <cell r="BP31" t="str">
            <v>Lavatory Pre-charge Fluid (6.0 Gal)</v>
          </cell>
          <cell r="BQ31" t="str">
            <v>Water, Potable (62.6 Gal)</v>
          </cell>
          <cell r="CB31">
            <v>0</v>
          </cell>
          <cell r="CC31">
            <v>17.3</v>
          </cell>
          <cell r="CD31">
            <v>4</v>
          </cell>
          <cell r="CE31">
            <v>22.7</v>
          </cell>
          <cell r="CF31">
            <v>236.4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656</v>
          </cell>
          <cell r="CR31">
            <v>1145</v>
          </cell>
          <cell r="CS31">
            <v>1112</v>
          </cell>
          <cell r="CT31">
            <v>1150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N31" t="str">
            <v>29/09/2023</v>
          </cell>
          <cell r="DU31" t="str">
            <v>GOL</v>
          </cell>
          <cell r="DV31" t="str">
            <v>186 Pax + 10 Flight Crew</v>
          </cell>
          <cell r="DW31" t="str">
            <v>GLP-800-003-GUU</v>
          </cell>
        </row>
        <row r="32">
          <cell r="A32" t="str">
            <v>PR-GUV</v>
          </cell>
          <cell r="D32" t="str">
            <v>29/11/2022</v>
          </cell>
          <cell r="E32">
            <v>4</v>
          </cell>
          <cell r="F32">
            <v>0</v>
          </cell>
          <cell r="G32" t="str">
            <v>Lagoa Santa, MG - Brazil</v>
          </cell>
          <cell r="H32" t="str">
            <v>Scheduled</v>
          </cell>
          <cell r="I32">
            <v>1442</v>
          </cell>
          <cell r="J32">
            <v>1442</v>
          </cell>
          <cell r="K32">
            <v>9522.5</v>
          </cell>
          <cell r="L32">
            <v>9522.5</v>
          </cell>
          <cell r="M32">
            <v>9661</v>
          </cell>
          <cell r="N32">
            <v>9661</v>
          </cell>
          <cell r="O32">
            <v>1442</v>
          </cell>
          <cell r="P32">
            <v>1442</v>
          </cell>
          <cell r="Q32">
            <v>9522.5</v>
          </cell>
          <cell r="R32">
            <v>9522.5</v>
          </cell>
          <cell r="S32">
            <v>9661</v>
          </cell>
          <cell r="T32">
            <v>9661</v>
          </cell>
          <cell r="U32">
            <v>4.5276073619635362</v>
          </cell>
          <cell r="V32">
            <v>4.5276073619635362</v>
          </cell>
          <cell r="W32" t="str">
            <v>Down Lock, Nose Gear</v>
          </cell>
          <cell r="X32" t="str">
            <v>Down Lock, Main Gear</v>
          </cell>
          <cell r="Y32" t="str">
            <v>Plumb Bob</v>
          </cell>
          <cell r="AK32">
            <v>0.3</v>
          </cell>
          <cell r="AL32">
            <v>0.4</v>
          </cell>
          <cell r="AM32">
            <v>0.5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91</v>
          </cell>
          <cell r="AZ32">
            <v>702</v>
          </cell>
          <cell r="BA32">
            <v>685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 t="str">
            <v>Flaps 0 - 40° (Up when weighed)</v>
          </cell>
          <cell r="BN32" t="str">
            <v>Fuel, Drain, Unusable (5.6 Gal)</v>
          </cell>
          <cell r="BO32" t="str">
            <v>Lavatory Dry Supplies</v>
          </cell>
          <cell r="BP32" t="str">
            <v>Lavatory Pre-charge Fluid (6.0 Gal)</v>
          </cell>
          <cell r="BQ32" t="str">
            <v>Water, Potable (62.6 Gal)</v>
          </cell>
          <cell r="CB32">
            <v>0</v>
          </cell>
          <cell r="CC32">
            <v>17.3</v>
          </cell>
          <cell r="CD32">
            <v>4</v>
          </cell>
          <cell r="CE32">
            <v>22.7</v>
          </cell>
          <cell r="CF32">
            <v>236.4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646</v>
          </cell>
          <cell r="CR32">
            <v>1145</v>
          </cell>
          <cell r="CS32">
            <v>1112</v>
          </cell>
          <cell r="CT32">
            <v>1150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N32" t="str">
            <v>29/11/2022</v>
          </cell>
          <cell r="DU32" t="str">
            <v>GOL</v>
          </cell>
          <cell r="DV32" t="str">
            <v>186 Pax + 10 Flight Crew</v>
          </cell>
          <cell r="DW32" t="str">
            <v>GLP-800-003-GUV</v>
          </cell>
        </row>
        <row r="33">
          <cell r="A33" t="str">
            <v>PR-GUX</v>
          </cell>
          <cell r="D33" t="str">
            <v>14/08/2023</v>
          </cell>
          <cell r="E33">
            <v>5</v>
          </cell>
          <cell r="F33">
            <v>0</v>
          </cell>
          <cell r="G33" t="str">
            <v>Lagoa Santa, MG - Brazil</v>
          </cell>
          <cell r="H33" t="str">
            <v>New Painting</v>
          </cell>
          <cell r="I33">
            <v>1460.5</v>
          </cell>
          <cell r="J33">
            <v>1460.5</v>
          </cell>
          <cell r="K33">
            <v>9461.5</v>
          </cell>
          <cell r="L33">
            <v>9461.5</v>
          </cell>
          <cell r="M33">
            <v>9501.5</v>
          </cell>
          <cell r="N33">
            <v>9501.5</v>
          </cell>
          <cell r="O33">
            <v>1460.5</v>
          </cell>
          <cell r="P33">
            <v>1460.5</v>
          </cell>
          <cell r="Q33">
            <v>9461.5</v>
          </cell>
          <cell r="R33">
            <v>9461.5</v>
          </cell>
          <cell r="S33">
            <v>9501.5</v>
          </cell>
          <cell r="T33">
            <v>9501.5</v>
          </cell>
          <cell r="U33">
            <v>5.5000000000003686</v>
          </cell>
          <cell r="V33">
            <v>6.0000000000004023</v>
          </cell>
          <cell r="W33" t="str">
            <v>Down Lock, Nose Gear</v>
          </cell>
          <cell r="X33" t="str">
            <v>Down Lock, Main Gear</v>
          </cell>
          <cell r="Y33" t="str">
            <v>Plumb Bob</v>
          </cell>
          <cell r="AK33">
            <v>0.3</v>
          </cell>
          <cell r="AL33">
            <v>0.4</v>
          </cell>
          <cell r="AM33">
            <v>0.5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82</v>
          </cell>
          <cell r="AZ33">
            <v>702</v>
          </cell>
          <cell r="BA33">
            <v>685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 t="str">
            <v>Flaps 0 - 40° (Up when weighed)</v>
          </cell>
          <cell r="BN33" t="str">
            <v>Fuel, Drain, Unusable (5.6 Gal)</v>
          </cell>
          <cell r="BO33" t="str">
            <v>Lavatory Dry Supplies</v>
          </cell>
          <cell r="BP33" t="str">
            <v>Lavatory Pre-charge Fluid (6.0 Gal)</v>
          </cell>
          <cell r="BQ33" t="str">
            <v>Oxygen Access Panel</v>
          </cell>
          <cell r="BR33" t="str">
            <v>Water, Potable (62.6 Gal)</v>
          </cell>
          <cell r="CB33">
            <v>0</v>
          </cell>
          <cell r="CC33">
            <v>17.3</v>
          </cell>
          <cell r="CD33">
            <v>4</v>
          </cell>
          <cell r="CE33">
            <v>22.7</v>
          </cell>
          <cell r="CF33">
            <v>4.5</v>
          </cell>
          <cell r="CG33">
            <v>236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646</v>
          </cell>
          <cell r="CR33">
            <v>1145</v>
          </cell>
          <cell r="CS33">
            <v>1112</v>
          </cell>
          <cell r="CT33">
            <v>198</v>
          </cell>
          <cell r="CU33">
            <v>1150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N33" t="str">
            <v>15/08/2023</v>
          </cell>
          <cell r="DU33" t="str">
            <v>GOL</v>
          </cell>
          <cell r="DV33" t="str">
            <v>186 Pax + 10 Flight Crew</v>
          </cell>
          <cell r="DW33" t="str">
            <v>GLP-800-003-GUX</v>
          </cell>
        </row>
        <row r="34">
          <cell r="A34" t="str">
            <v>PR-GUY</v>
          </cell>
          <cell r="D34" t="str">
            <v>08/10/2023</v>
          </cell>
          <cell r="E34">
            <v>4</v>
          </cell>
          <cell r="F34">
            <v>0</v>
          </cell>
          <cell r="G34" t="str">
            <v>Lagoa Santa, MG - Brazil</v>
          </cell>
          <cell r="H34" t="str">
            <v>Scheduled</v>
          </cell>
          <cell r="I34">
            <v>1545.5</v>
          </cell>
          <cell r="J34">
            <v>1545.5</v>
          </cell>
          <cell r="K34">
            <v>9520.5</v>
          </cell>
          <cell r="L34">
            <v>9520.5</v>
          </cell>
          <cell r="M34">
            <v>9492.5</v>
          </cell>
          <cell r="N34">
            <v>9492.5</v>
          </cell>
          <cell r="O34">
            <v>1545.5</v>
          </cell>
          <cell r="P34">
            <v>1545.5</v>
          </cell>
          <cell r="Q34">
            <v>9520.5</v>
          </cell>
          <cell r="R34">
            <v>9520.5</v>
          </cell>
          <cell r="S34">
            <v>9492.5</v>
          </cell>
          <cell r="T34">
            <v>9492.5</v>
          </cell>
          <cell r="U34">
            <v>3.9371165644175381</v>
          </cell>
          <cell r="V34">
            <v>4.134202453988312</v>
          </cell>
          <cell r="W34" t="str">
            <v>Down Lock, Nose Gear</v>
          </cell>
          <cell r="X34" t="str">
            <v>Down Lock, Main Gear</v>
          </cell>
          <cell r="Y34" t="str">
            <v>Plumb Bob</v>
          </cell>
          <cell r="AK34">
            <v>0.3</v>
          </cell>
          <cell r="AL34">
            <v>0.4</v>
          </cell>
          <cell r="AM34">
            <v>0.5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82</v>
          </cell>
          <cell r="AZ34">
            <v>702</v>
          </cell>
          <cell r="BA34">
            <v>685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 t="str">
            <v>Flaps 0 - 40° (Up when weighed)</v>
          </cell>
          <cell r="BN34" t="str">
            <v>Fuel, Drain, Unusable (5.6 Gal)</v>
          </cell>
          <cell r="BO34" t="str">
            <v>Lavatory Dry Supplies</v>
          </cell>
          <cell r="BP34" t="str">
            <v>Lavatory Pre-charge Fluid (6.0 Gal)</v>
          </cell>
          <cell r="BQ34" t="str">
            <v>Water, Potable (62.6 Gal)</v>
          </cell>
          <cell r="BR34" t="str">
            <v>Cart, Full size (4ea)</v>
          </cell>
          <cell r="CB34">
            <v>0</v>
          </cell>
          <cell r="CC34">
            <v>17.3</v>
          </cell>
          <cell r="CD34">
            <v>4</v>
          </cell>
          <cell r="CE34">
            <v>22.7</v>
          </cell>
          <cell r="CF34">
            <v>236.4</v>
          </cell>
          <cell r="CG34">
            <v>106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646</v>
          </cell>
          <cell r="CR34">
            <v>1138</v>
          </cell>
          <cell r="CS34">
            <v>1112</v>
          </cell>
          <cell r="CT34">
            <v>1150</v>
          </cell>
          <cell r="CU34">
            <v>1215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N34" t="str">
            <v>08/10/2023</v>
          </cell>
          <cell r="DU34" t="str">
            <v>GOL</v>
          </cell>
          <cell r="DV34" t="str">
            <v>186 Pax + 10 Flight Crew</v>
          </cell>
          <cell r="DW34" t="str">
            <v xml:space="preserve">GLP-800-003-GUY </v>
          </cell>
        </row>
        <row r="35">
          <cell r="A35" t="str">
            <v>PR-GUZ</v>
          </cell>
          <cell r="D35" t="str">
            <v>16/09/2022</v>
          </cell>
          <cell r="E35">
            <v>3</v>
          </cell>
          <cell r="F35">
            <v>0</v>
          </cell>
          <cell r="G35" t="str">
            <v>Lagoa Santa, MG - Brazil</v>
          </cell>
          <cell r="H35" t="str">
            <v>Scheduled</v>
          </cell>
          <cell r="I35">
            <v>1499</v>
          </cell>
          <cell r="J35">
            <v>1499</v>
          </cell>
          <cell r="K35">
            <v>9551.5</v>
          </cell>
          <cell r="L35">
            <v>9551.5</v>
          </cell>
          <cell r="M35">
            <v>9613</v>
          </cell>
          <cell r="N35">
            <v>9613</v>
          </cell>
          <cell r="O35">
            <v>1499</v>
          </cell>
          <cell r="P35">
            <v>1499</v>
          </cell>
          <cell r="Q35">
            <v>9551.5</v>
          </cell>
          <cell r="R35">
            <v>9551.5</v>
          </cell>
          <cell r="S35">
            <v>9613</v>
          </cell>
          <cell r="T35">
            <v>9613</v>
          </cell>
          <cell r="U35">
            <v>4.4884969325159112</v>
          </cell>
          <cell r="V35">
            <v>4.4884969325159112</v>
          </cell>
          <cell r="W35" t="str">
            <v>Down Lock, Nose Gear</v>
          </cell>
          <cell r="X35" t="str">
            <v>Down Lock, Main Gear</v>
          </cell>
          <cell r="Y35" t="str">
            <v>Plumb Bob</v>
          </cell>
          <cell r="AK35">
            <v>0.3</v>
          </cell>
          <cell r="AL35">
            <v>0.4</v>
          </cell>
          <cell r="AM35">
            <v>0.5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82</v>
          </cell>
          <cell r="AZ35">
            <v>702</v>
          </cell>
          <cell r="BA35">
            <v>685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 t="str">
            <v>Flaps 0 - 40° (Up when weighed)</v>
          </cell>
          <cell r="BN35" t="str">
            <v>Fuel, Drain, Unusable (5.6 Gal)</v>
          </cell>
          <cell r="BO35" t="str">
            <v>Lavatory Dry Supplies</v>
          </cell>
          <cell r="BP35" t="str">
            <v>Lavatory Pre-charge Fluid (6.0 Gal)</v>
          </cell>
          <cell r="BQ35" t="str">
            <v>Water, Potable (62.6 Gal)</v>
          </cell>
          <cell r="CB35">
            <v>0</v>
          </cell>
          <cell r="CC35">
            <v>17.3</v>
          </cell>
          <cell r="CD35">
            <v>4</v>
          </cell>
          <cell r="CE35">
            <v>22.7</v>
          </cell>
          <cell r="CF35">
            <v>236.4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646</v>
          </cell>
          <cell r="CR35">
            <v>1145</v>
          </cell>
          <cell r="CS35">
            <v>1112</v>
          </cell>
          <cell r="CT35">
            <v>1150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N35" t="str">
            <v>16/09/2022</v>
          </cell>
          <cell r="DU35" t="str">
            <v>GOL</v>
          </cell>
          <cell r="DV35" t="str">
            <v>186 Pax + 10 Flight Crew</v>
          </cell>
          <cell r="DW35" t="str">
            <v>GLP-800-003-GUZ</v>
          </cell>
        </row>
        <row r="36">
          <cell r="A36" t="str">
            <v>PR-GXA</v>
          </cell>
          <cell r="D36" t="str">
            <v>27/03/2023</v>
          </cell>
          <cell r="E36">
            <v>3</v>
          </cell>
          <cell r="F36">
            <v>0</v>
          </cell>
          <cell r="G36" t="str">
            <v>Lagoa Santa, MG - Brazil</v>
          </cell>
          <cell r="H36" t="str">
            <v>New Painting</v>
          </cell>
          <cell r="I36" t="str">
            <v>1505,5</v>
          </cell>
          <cell r="J36" t="str">
            <v>1505,5</v>
          </cell>
          <cell r="K36" t="str">
            <v>9522,25</v>
          </cell>
          <cell r="L36" t="str">
            <v>9522,25</v>
          </cell>
          <cell r="M36" t="str">
            <v>9657,5</v>
          </cell>
          <cell r="N36" t="str">
            <v>9657,5</v>
          </cell>
          <cell r="O36" t="str">
            <v>1505,5</v>
          </cell>
          <cell r="P36" t="str">
            <v>1505,5</v>
          </cell>
          <cell r="Q36" t="str">
            <v>9522,25</v>
          </cell>
          <cell r="R36" t="str">
            <v>9522,25</v>
          </cell>
          <cell r="S36" t="str">
            <v>9657,5</v>
          </cell>
          <cell r="T36" t="str">
            <v>9657,5</v>
          </cell>
          <cell r="U36" t="str">
            <v>4,92101226993876</v>
          </cell>
          <cell r="V36" t="str">
            <v>4,72469325153431</v>
          </cell>
          <cell r="W36" t="str">
            <v>Down Lock, Nose Gear</v>
          </cell>
          <cell r="X36" t="str">
            <v>Down Lock, Main Gear</v>
          </cell>
          <cell r="Y36" t="str">
            <v>Plumb Bob</v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>0,3</v>
          </cell>
          <cell r="AL36" t="str">
            <v>0,4</v>
          </cell>
          <cell r="AM36" t="str">
            <v>0,5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82</v>
          </cell>
          <cell r="AZ36" t="str">
            <v>702</v>
          </cell>
          <cell r="BA36" t="str">
            <v>685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Flaps 0 - 40° (Up when weighed)</v>
          </cell>
          <cell r="BN36" t="str">
            <v>Fuel, Drain, Unusable (5.6 Gal)</v>
          </cell>
          <cell r="BO36" t="str">
            <v>Lavatory Dry Supplies (02EA)</v>
          </cell>
          <cell r="BP36" t="str">
            <v>Lavatory Pre-charge Fluid (6.0 Gal)</v>
          </cell>
          <cell r="BQ36" t="str">
            <v>Water, Potable (62.6 Gal)</v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B36" t="str">
            <v>0</v>
          </cell>
          <cell r="CC36" t="str">
            <v>17,3</v>
          </cell>
          <cell r="CD36" t="str">
            <v>4</v>
          </cell>
          <cell r="CE36" t="str">
            <v>22,7</v>
          </cell>
          <cell r="CF36" t="str">
            <v>236,4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646</v>
          </cell>
          <cell r="CR36" t="str">
            <v>1145</v>
          </cell>
          <cell r="CS36" t="str">
            <v>1112</v>
          </cell>
          <cell r="CT36" t="str">
            <v>1150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N36" t="str">
            <v>28/03/2023</v>
          </cell>
          <cell r="DU36" t="str">
            <v>GOL</v>
          </cell>
          <cell r="DV36" t="str">
            <v>186 Pax + 10 Flight Crew</v>
          </cell>
          <cell r="DW36" t="str">
            <v xml:space="preserve">GLP-800-003-GXA </v>
          </cell>
        </row>
        <row r="37">
          <cell r="A37" t="str">
            <v>PR-GXC</v>
          </cell>
          <cell r="D37" t="str">
            <v>01/12/2023</v>
          </cell>
          <cell r="E37">
            <v>5</v>
          </cell>
          <cell r="F37">
            <v>0</v>
          </cell>
          <cell r="G37" t="str">
            <v>Lagoa Santa, MG - Brazil</v>
          </cell>
          <cell r="H37" t="str">
            <v>Scheduled</v>
          </cell>
          <cell r="I37">
            <v>1500</v>
          </cell>
          <cell r="J37">
            <v>1500</v>
          </cell>
          <cell r="K37">
            <v>9549</v>
          </cell>
          <cell r="L37">
            <v>9549</v>
          </cell>
          <cell r="M37">
            <v>9646</v>
          </cell>
          <cell r="N37">
            <v>9646</v>
          </cell>
          <cell r="O37">
            <v>1500</v>
          </cell>
          <cell r="P37">
            <v>1500</v>
          </cell>
          <cell r="Q37">
            <v>9549</v>
          </cell>
          <cell r="R37">
            <v>9549</v>
          </cell>
          <cell r="S37">
            <v>9646</v>
          </cell>
          <cell r="T37">
            <v>9646</v>
          </cell>
          <cell r="U37">
            <v>3.0314417177915658</v>
          </cell>
          <cell r="V37">
            <v>2.756134969325541</v>
          </cell>
          <cell r="W37" t="str">
            <v>Down Lock, Nose Gear</v>
          </cell>
          <cell r="X37" t="str">
            <v>Down Lock, Main Gear</v>
          </cell>
          <cell r="Y37" t="str">
            <v>Plumb Bob</v>
          </cell>
          <cell r="AK37">
            <v>0.3</v>
          </cell>
          <cell r="AL37">
            <v>0.4</v>
          </cell>
          <cell r="AM37">
            <v>0.5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82</v>
          </cell>
          <cell r="AZ37">
            <v>702</v>
          </cell>
          <cell r="BA37">
            <v>685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 t="str">
            <v>Flaps 0 - 40° (Up when weighed)</v>
          </cell>
          <cell r="BN37" t="str">
            <v>Fuel, Drain, Unusable (5.6 Gal)</v>
          </cell>
          <cell r="BO37" t="str">
            <v>Lavatory Dry Supplies</v>
          </cell>
          <cell r="BP37" t="str">
            <v>Lavatory Pre-charge Fluid (6.0 Gal)</v>
          </cell>
          <cell r="BQ37" t="str">
            <v>Water, Potable (62.6 Gal)</v>
          </cell>
          <cell r="CB37">
            <v>0</v>
          </cell>
          <cell r="CC37">
            <v>17.3</v>
          </cell>
          <cell r="CD37">
            <v>4</v>
          </cell>
          <cell r="CE37">
            <v>22.7</v>
          </cell>
          <cell r="CF37">
            <v>236.4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646</v>
          </cell>
          <cell r="CR37">
            <v>1145</v>
          </cell>
          <cell r="CS37">
            <v>1112</v>
          </cell>
          <cell r="CT37">
            <v>1150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N37" t="str">
            <v>01/12/2023</v>
          </cell>
          <cell r="DU37" t="str">
            <v>GOL</v>
          </cell>
          <cell r="DV37" t="str">
            <v>186 Pax + 10 Flight Crew</v>
          </cell>
          <cell r="DW37" t="str">
            <v xml:space="preserve">GLP-800-003-GXC </v>
          </cell>
        </row>
        <row r="38">
          <cell r="A38" t="str">
            <v>PR-GXD</v>
          </cell>
          <cell r="D38" t="str">
            <v>25/07/2023</v>
          </cell>
          <cell r="E38">
            <v>5</v>
          </cell>
          <cell r="F38">
            <v>0</v>
          </cell>
          <cell r="G38" t="str">
            <v>Lagoa Santa, MG</v>
          </cell>
          <cell r="H38" t="str">
            <v>New Painting</v>
          </cell>
          <cell r="I38">
            <v>1510</v>
          </cell>
          <cell r="J38">
            <v>1510</v>
          </cell>
          <cell r="K38">
            <v>9591.5</v>
          </cell>
          <cell r="L38">
            <v>9591.5</v>
          </cell>
          <cell r="M38">
            <v>9556</v>
          </cell>
          <cell r="N38">
            <v>9556</v>
          </cell>
          <cell r="O38">
            <v>1510</v>
          </cell>
          <cell r="P38">
            <v>1510</v>
          </cell>
          <cell r="Q38">
            <v>9591.5</v>
          </cell>
          <cell r="R38">
            <v>9591.5</v>
          </cell>
          <cell r="S38">
            <v>9556</v>
          </cell>
          <cell r="T38">
            <v>9556</v>
          </cell>
          <cell r="U38">
            <v>5.0000000000003348</v>
          </cell>
          <cell r="V38">
            <v>5.0000000000003348</v>
          </cell>
          <cell r="W38" t="str">
            <v>Down Lock, Nose Gear</v>
          </cell>
          <cell r="X38" t="str">
            <v>Down Lock, Main Gear</v>
          </cell>
          <cell r="Y38" t="str">
            <v>Plumb Bob</v>
          </cell>
          <cell r="AK38">
            <v>0.3</v>
          </cell>
          <cell r="AL38">
            <v>0.4</v>
          </cell>
          <cell r="AM38">
            <v>0.5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91</v>
          </cell>
          <cell r="AZ38">
            <v>702</v>
          </cell>
          <cell r="BA38">
            <v>685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 t="str">
            <v>Flaps 0 - 40° (Up when weighed)</v>
          </cell>
          <cell r="BN38" t="str">
            <v>Fuel, Drain, Unusable (5.6 Gal)</v>
          </cell>
          <cell r="BO38" t="str">
            <v>Lavatory Pre-charge Fluid (6.0 Gal)</v>
          </cell>
          <cell r="BP38" t="str">
            <v>Water, Potable (62.6 Gal)</v>
          </cell>
          <cell r="BQ38" t="str">
            <v>Lavatory Dry Supplies</v>
          </cell>
          <cell r="CB38">
            <v>0</v>
          </cell>
          <cell r="CC38">
            <v>17.3</v>
          </cell>
          <cell r="CD38">
            <v>22.7</v>
          </cell>
          <cell r="CE38">
            <v>236.4</v>
          </cell>
          <cell r="CF38">
            <v>4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646</v>
          </cell>
          <cell r="CR38">
            <v>1112</v>
          </cell>
          <cell r="CS38">
            <v>1150</v>
          </cell>
          <cell r="CT38">
            <v>1145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N38" t="str">
            <v>26/07/2023</v>
          </cell>
          <cell r="DU38" t="str">
            <v>GOL</v>
          </cell>
          <cell r="DW38" t="str">
            <v xml:space="preserve">GLP- 800-003-GXD </v>
          </cell>
        </row>
        <row r="39">
          <cell r="A39" t="str">
            <v>PR-GXH</v>
          </cell>
          <cell r="D39" t="str">
            <v>09/05/2022</v>
          </cell>
          <cell r="E39">
            <v>3</v>
          </cell>
          <cell r="F39">
            <v>0</v>
          </cell>
          <cell r="G39" t="str">
            <v>Lagoa Santa, MG - Brazil</v>
          </cell>
          <cell r="H39" t="str">
            <v>New Painting</v>
          </cell>
          <cell r="I39">
            <v>1489</v>
          </cell>
          <cell r="J39">
            <v>1489</v>
          </cell>
          <cell r="K39">
            <v>9575.5</v>
          </cell>
          <cell r="L39">
            <v>9575.5</v>
          </cell>
          <cell r="M39">
            <v>9622.5</v>
          </cell>
          <cell r="N39">
            <v>9622.5</v>
          </cell>
          <cell r="O39">
            <v>1489</v>
          </cell>
          <cell r="P39">
            <v>1489</v>
          </cell>
          <cell r="Q39">
            <v>9575.5</v>
          </cell>
          <cell r="R39">
            <v>9575.5</v>
          </cell>
          <cell r="S39">
            <v>9622.5</v>
          </cell>
          <cell r="T39">
            <v>9622.5</v>
          </cell>
          <cell r="U39">
            <v>3.267638036809966</v>
          </cell>
          <cell r="V39">
            <v>3.5429447852759899</v>
          </cell>
          <cell r="W39" t="str">
            <v>Down Lock, Nose Gear</v>
          </cell>
          <cell r="X39" t="str">
            <v>Down Lock, Main Gear</v>
          </cell>
          <cell r="Y39" t="str">
            <v>Plumb Bob</v>
          </cell>
          <cell r="AK39">
            <v>0.3</v>
          </cell>
          <cell r="AL39">
            <v>0.4</v>
          </cell>
          <cell r="AM39">
            <v>0.5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82</v>
          </cell>
          <cell r="AZ39">
            <v>702</v>
          </cell>
          <cell r="BA39">
            <v>685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 t="str">
            <v>Flaps 0 - 40° (Up when weighed)</v>
          </cell>
          <cell r="BN39" t="str">
            <v>Fuel, Drain, Unusable (5.6 Gal)</v>
          </cell>
          <cell r="BO39" t="str">
            <v>Lavatory Dry Supplies</v>
          </cell>
          <cell r="BP39" t="str">
            <v>Lavatory Pre-charge Fluid (6.0 Gal)</v>
          </cell>
          <cell r="BQ39" t="str">
            <v>Water, Potable (62.6 Gal)</v>
          </cell>
          <cell r="CB39">
            <v>0</v>
          </cell>
          <cell r="CC39">
            <v>17.3</v>
          </cell>
          <cell r="CD39">
            <v>4</v>
          </cell>
          <cell r="CE39">
            <v>22.7</v>
          </cell>
          <cell r="CF39">
            <v>236.4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646</v>
          </cell>
          <cell r="CR39">
            <v>1145</v>
          </cell>
          <cell r="CS39">
            <v>1112</v>
          </cell>
          <cell r="CT39">
            <v>1150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N39" t="str">
            <v>09/05/2022</v>
          </cell>
          <cell r="DU39" t="str">
            <v>GOL</v>
          </cell>
          <cell r="DV39" t="str">
            <v>186 Pax + 10 Flight Crew</v>
          </cell>
          <cell r="DW39" t="str">
            <v xml:space="preserve">GLP-800-003-GXH </v>
          </cell>
        </row>
        <row r="40">
          <cell r="A40" t="str">
            <v>PR-GXI</v>
          </cell>
          <cell r="D40" t="str">
            <v>24/11/2022</v>
          </cell>
          <cell r="E40">
            <v>3</v>
          </cell>
          <cell r="F40">
            <v>0</v>
          </cell>
          <cell r="G40" t="str">
            <v>Lagoa Santa, MG - Brazil</v>
          </cell>
          <cell r="H40" t="str">
            <v>New Painting</v>
          </cell>
          <cell r="I40">
            <v>1517.5</v>
          </cell>
          <cell r="J40">
            <v>1517.5</v>
          </cell>
          <cell r="K40">
            <v>9582.5</v>
          </cell>
          <cell r="L40">
            <v>9582.5</v>
          </cell>
          <cell r="M40">
            <v>9576</v>
          </cell>
          <cell r="N40">
            <v>9576</v>
          </cell>
          <cell r="O40">
            <v>1517.5</v>
          </cell>
          <cell r="P40">
            <v>1517.5</v>
          </cell>
          <cell r="Q40">
            <v>9582.5</v>
          </cell>
          <cell r="R40">
            <v>9582.5</v>
          </cell>
          <cell r="S40">
            <v>9576</v>
          </cell>
          <cell r="T40">
            <v>9576</v>
          </cell>
          <cell r="U40">
            <v>4.6457055214727374</v>
          </cell>
          <cell r="V40">
            <v>4.7246932515343101</v>
          </cell>
          <cell r="W40" t="str">
            <v>Down Lock, Nose Gear</v>
          </cell>
          <cell r="X40" t="str">
            <v>Down Lock, Main Gear</v>
          </cell>
          <cell r="Y40" t="str">
            <v>Plumb Bob</v>
          </cell>
          <cell r="AK40">
            <v>0.3</v>
          </cell>
          <cell r="AL40">
            <v>0.4</v>
          </cell>
          <cell r="AM40">
            <v>0.5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82</v>
          </cell>
          <cell r="AZ40">
            <v>702</v>
          </cell>
          <cell r="BA40">
            <v>685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 t="str">
            <v>Flaps 0 - 40° (Up when weighed)</v>
          </cell>
          <cell r="BN40" t="str">
            <v>Fuel, Drain, Unusable (5.6 Gal)</v>
          </cell>
          <cell r="BO40" t="str">
            <v>Lavatory Dry Supplies (2EA)</v>
          </cell>
          <cell r="BP40" t="str">
            <v>Lavatory Pre-charge Fluid (6.0 Gal)</v>
          </cell>
          <cell r="BQ40" t="str">
            <v>Water, Potable (62.6 Gal)</v>
          </cell>
          <cell r="CB40">
            <v>0</v>
          </cell>
          <cell r="CC40">
            <v>17.3</v>
          </cell>
          <cell r="CD40">
            <v>4</v>
          </cell>
          <cell r="CE40">
            <v>22.7</v>
          </cell>
          <cell r="CF40">
            <v>236.4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646</v>
          </cell>
          <cell r="CR40">
            <v>1145</v>
          </cell>
          <cell r="CS40">
            <v>1112</v>
          </cell>
          <cell r="CT40">
            <v>1150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N40" t="str">
            <v>25/11/2022</v>
          </cell>
          <cell r="DU40" t="str">
            <v>GOL</v>
          </cell>
          <cell r="DV40" t="str">
            <v>186 Pax + 10 Flight Crew</v>
          </cell>
          <cell r="DW40" t="str">
            <v xml:space="preserve">GLP-800-003-GXI </v>
          </cell>
        </row>
        <row r="41">
          <cell r="A41" t="str">
            <v>PR-GXJ</v>
          </cell>
          <cell r="D41" t="str">
            <v>26/10/2022</v>
          </cell>
          <cell r="E41">
            <v>3</v>
          </cell>
          <cell r="F41">
            <v>0</v>
          </cell>
          <cell r="G41" t="str">
            <v>Lagoa Santa, MG - Brazil</v>
          </cell>
          <cell r="H41" t="str">
            <v>New Painting</v>
          </cell>
          <cell r="I41">
            <v>1480</v>
          </cell>
          <cell r="J41">
            <v>1480</v>
          </cell>
          <cell r="K41">
            <v>9564</v>
          </cell>
          <cell r="L41">
            <v>9564</v>
          </cell>
          <cell r="M41">
            <v>9560</v>
          </cell>
          <cell r="N41">
            <v>9560</v>
          </cell>
          <cell r="O41">
            <v>1480</v>
          </cell>
          <cell r="P41">
            <v>1480</v>
          </cell>
          <cell r="Q41">
            <v>9564</v>
          </cell>
          <cell r="R41">
            <v>9564</v>
          </cell>
          <cell r="S41">
            <v>9560</v>
          </cell>
          <cell r="T41">
            <v>9560</v>
          </cell>
          <cell r="U41">
            <v>4.4095092024543368</v>
          </cell>
          <cell r="V41">
            <v>4.4095092024543368</v>
          </cell>
          <cell r="W41" t="str">
            <v>Down Lock, Nose Gear</v>
          </cell>
          <cell r="X41" t="str">
            <v>Down Lock, Main Gear</v>
          </cell>
          <cell r="Y41" t="str">
            <v>Plumb Bob</v>
          </cell>
          <cell r="AK41">
            <v>0.3</v>
          </cell>
          <cell r="AL41">
            <v>0.4</v>
          </cell>
          <cell r="AM41">
            <v>0.5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82</v>
          </cell>
          <cell r="AZ41">
            <v>702</v>
          </cell>
          <cell r="BA41">
            <v>685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 t="str">
            <v>Flaps 0 - 40° (Up when weighed)</v>
          </cell>
          <cell r="BN41" t="str">
            <v>Fuel, Drain, Unusable (5.6 Gal)</v>
          </cell>
          <cell r="BO41" t="str">
            <v>Lavatory Dry Supplies</v>
          </cell>
          <cell r="BP41" t="str">
            <v>Lavatory Pre-charge Fluid (6.0 Gal)</v>
          </cell>
          <cell r="BQ41" t="str">
            <v>Water, Potable (62.6 Gal)</v>
          </cell>
          <cell r="CB41">
            <v>0</v>
          </cell>
          <cell r="CC41">
            <v>17.3</v>
          </cell>
          <cell r="CD41">
            <v>4</v>
          </cell>
          <cell r="CE41">
            <v>22.7</v>
          </cell>
          <cell r="CF41">
            <v>236.4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646</v>
          </cell>
          <cell r="CR41">
            <v>1145</v>
          </cell>
          <cell r="CS41">
            <v>1112</v>
          </cell>
          <cell r="CT41">
            <v>1150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N41" t="str">
            <v>26/10/2022</v>
          </cell>
          <cell r="DU41" t="str">
            <v>GOL</v>
          </cell>
          <cell r="DV41" t="str">
            <v>186 Pax + 10 Flight Crew</v>
          </cell>
          <cell r="DW41" t="str">
            <v>GLP-800-003-GXJ R00</v>
          </cell>
        </row>
        <row r="42">
          <cell r="A42" t="str">
            <v>PR-GXL</v>
          </cell>
          <cell r="D42" t="str">
            <v>18/06/2022</v>
          </cell>
          <cell r="E42">
            <v>3</v>
          </cell>
          <cell r="F42">
            <v>0</v>
          </cell>
          <cell r="G42" t="str">
            <v>Lagoa Santa, MG - Brazil</v>
          </cell>
          <cell r="H42" t="str">
            <v>New Painting</v>
          </cell>
          <cell r="I42">
            <v>1495.5</v>
          </cell>
          <cell r="J42">
            <v>1495.5</v>
          </cell>
          <cell r="K42">
            <v>9575</v>
          </cell>
          <cell r="L42">
            <v>9575</v>
          </cell>
          <cell r="M42">
            <v>9590.5</v>
          </cell>
          <cell r="N42">
            <v>9590.5</v>
          </cell>
          <cell r="O42">
            <v>1495.5</v>
          </cell>
          <cell r="P42">
            <v>1495.5</v>
          </cell>
          <cell r="Q42">
            <v>9575</v>
          </cell>
          <cell r="R42">
            <v>9575</v>
          </cell>
          <cell r="S42">
            <v>9590.5</v>
          </cell>
          <cell r="T42">
            <v>9590.5</v>
          </cell>
          <cell r="U42">
            <v>2.4018404907979418</v>
          </cell>
          <cell r="V42">
            <v>2.4800613496931931</v>
          </cell>
          <cell r="W42" t="str">
            <v>Down Lock, Nose Gear</v>
          </cell>
          <cell r="X42" t="str">
            <v>Down Lock, Main Gear</v>
          </cell>
          <cell r="Y42" t="str">
            <v>Plumb Bob</v>
          </cell>
          <cell r="AK42">
            <v>0.3</v>
          </cell>
          <cell r="AL42">
            <v>0.4</v>
          </cell>
          <cell r="AM42">
            <v>0.5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82</v>
          </cell>
          <cell r="AZ42">
            <v>702</v>
          </cell>
          <cell r="BA42">
            <v>685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 t="str">
            <v>Flaps 0 - 40° (Up when weighed)</v>
          </cell>
          <cell r="BN42" t="str">
            <v>Fuel, Drain, Unusable (5.6 Gal)</v>
          </cell>
          <cell r="BO42" t="str">
            <v>Lavatory Dry Supplies</v>
          </cell>
          <cell r="BP42" t="str">
            <v>Lavatory Pre-charge Fluid (6.0 Gal)</v>
          </cell>
          <cell r="BQ42" t="str">
            <v>Water, Potable (62.6 Gal)</v>
          </cell>
          <cell r="CB42">
            <v>0</v>
          </cell>
          <cell r="CC42">
            <v>17.3</v>
          </cell>
          <cell r="CD42">
            <v>4</v>
          </cell>
          <cell r="CE42">
            <v>22.7</v>
          </cell>
          <cell r="CF42">
            <v>236.4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646</v>
          </cell>
          <cell r="CR42">
            <v>1145</v>
          </cell>
          <cell r="CS42">
            <v>1112</v>
          </cell>
          <cell r="CT42">
            <v>1150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N42" t="str">
            <v>19/06/2022</v>
          </cell>
          <cell r="DU42" t="str">
            <v>GOL</v>
          </cell>
          <cell r="DV42" t="str">
            <v>186 Pax + 10 Flight Crew</v>
          </cell>
          <cell r="DW42" t="str">
            <v>GLP-800-003-GXL R00</v>
          </cell>
        </row>
        <row r="43">
          <cell r="A43" t="str">
            <v>PR-GXM</v>
          </cell>
          <cell r="D43" t="str">
            <v>10/08/2022</v>
          </cell>
          <cell r="E43">
            <v>3</v>
          </cell>
          <cell r="F43">
            <v>0</v>
          </cell>
          <cell r="G43" t="str">
            <v>Lagoa Santa, MG - Brazil</v>
          </cell>
          <cell r="H43" t="str">
            <v>New Painting</v>
          </cell>
          <cell r="I43">
            <v>1496.5</v>
          </cell>
          <cell r="J43">
            <v>1496.5</v>
          </cell>
          <cell r="K43">
            <v>9501</v>
          </cell>
          <cell r="L43">
            <v>9501</v>
          </cell>
          <cell r="M43">
            <v>9646.5</v>
          </cell>
          <cell r="N43">
            <v>9646.5</v>
          </cell>
          <cell r="O43">
            <v>1496.5</v>
          </cell>
          <cell r="P43">
            <v>1496.5</v>
          </cell>
          <cell r="Q43">
            <v>9501</v>
          </cell>
          <cell r="R43">
            <v>9501</v>
          </cell>
          <cell r="S43">
            <v>9646.5</v>
          </cell>
          <cell r="T43">
            <v>9646.5</v>
          </cell>
          <cell r="U43">
            <v>5.5000000000003686</v>
          </cell>
          <cell r="V43">
            <v>5.5000000000003686</v>
          </cell>
          <cell r="W43" t="str">
            <v>Down Lock, Nose Gear</v>
          </cell>
          <cell r="X43" t="str">
            <v>Down Lock, Main Gear</v>
          </cell>
          <cell r="Y43" t="str">
            <v>Plumb Bob</v>
          </cell>
          <cell r="AK43">
            <v>0.3</v>
          </cell>
          <cell r="AL43">
            <v>0.4</v>
          </cell>
          <cell r="AM43">
            <v>0.5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82</v>
          </cell>
          <cell r="AZ43">
            <v>702</v>
          </cell>
          <cell r="BA43">
            <v>685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 t="str">
            <v>Flaps 0 - 40° (Up when weighed)</v>
          </cell>
          <cell r="BN43" t="str">
            <v>Fuel, Drain, Unusable (5.6 Gal)</v>
          </cell>
          <cell r="BO43" t="str">
            <v>Lavatory Dry Supplies</v>
          </cell>
          <cell r="BP43" t="str">
            <v>Lavatory Pre-charge Fluid (6.0 Gal)</v>
          </cell>
          <cell r="BQ43" t="str">
            <v>Water, Potable (62.6 Gal)</v>
          </cell>
          <cell r="CB43">
            <v>0</v>
          </cell>
          <cell r="CC43">
            <v>17.3</v>
          </cell>
          <cell r="CD43">
            <v>4</v>
          </cell>
          <cell r="CE43">
            <v>22.7</v>
          </cell>
          <cell r="CF43">
            <v>236.4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646</v>
          </cell>
          <cell r="CR43">
            <v>1145</v>
          </cell>
          <cell r="CS43">
            <v>1112</v>
          </cell>
          <cell r="CT43">
            <v>1150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N43" t="str">
            <v>10/08/2022</v>
          </cell>
          <cell r="DU43" t="str">
            <v>GOL</v>
          </cell>
          <cell r="DV43" t="str">
            <v>186 Pax + 10 Flight Crew</v>
          </cell>
          <cell r="DW43" t="str">
            <v>GLP-800-003-GXM R00</v>
          </cell>
        </row>
        <row r="44">
          <cell r="A44" t="str">
            <v>PR-GXT</v>
          </cell>
          <cell r="D44" t="str">
            <v>01/10/2022</v>
          </cell>
          <cell r="E44">
            <v>3</v>
          </cell>
          <cell r="F44">
            <v>0</v>
          </cell>
          <cell r="G44" t="str">
            <v>Lagoa Santa, MG - Brazil</v>
          </cell>
          <cell r="H44" t="str">
            <v>New Painting</v>
          </cell>
          <cell r="I44">
            <v>1513.5</v>
          </cell>
          <cell r="J44">
            <v>1513.5</v>
          </cell>
          <cell r="K44">
            <v>9578</v>
          </cell>
          <cell r="L44">
            <v>9578</v>
          </cell>
          <cell r="M44">
            <v>9551</v>
          </cell>
          <cell r="N44">
            <v>9551</v>
          </cell>
          <cell r="O44">
            <v>1513.5</v>
          </cell>
          <cell r="P44">
            <v>1513.5</v>
          </cell>
          <cell r="Q44">
            <v>9578</v>
          </cell>
          <cell r="R44">
            <v>9578</v>
          </cell>
          <cell r="S44">
            <v>9551</v>
          </cell>
          <cell r="T44">
            <v>9551</v>
          </cell>
          <cell r="U44">
            <v>3.34662576687154</v>
          </cell>
          <cell r="V44">
            <v>2.716257668711592</v>
          </cell>
          <cell r="W44" t="str">
            <v>Down Lock, Nose Gear</v>
          </cell>
          <cell r="X44" t="str">
            <v>Down Lock, Main Gear</v>
          </cell>
          <cell r="Y44" t="str">
            <v>Plumb Bob</v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>0,3</v>
          </cell>
          <cell r="AL44" t="str">
            <v>0,4</v>
          </cell>
          <cell r="AM44" t="str">
            <v>0,5</v>
          </cell>
          <cell r="AN44" t="str">
            <v>0</v>
          </cell>
          <cell r="AO44" t="str">
            <v>0</v>
          </cell>
          <cell r="AP44" t="str">
            <v>0</v>
          </cell>
          <cell r="AQ44" t="str">
            <v>0</v>
          </cell>
          <cell r="AR44" t="str">
            <v>0</v>
          </cell>
          <cell r="AS44" t="str">
            <v>0</v>
          </cell>
          <cell r="AT44" t="str">
            <v>0</v>
          </cell>
          <cell r="AU44" t="str">
            <v>0</v>
          </cell>
          <cell r="AV44" t="str">
            <v>0</v>
          </cell>
          <cell r="AW44" t="str">
            <v>0</v>
          </cell>
          <cell r="AX44" t="str">
            <v>0</v>
          </cell>
          <cell r="AY44" t="str">
            <v>91</v>
          </cell>
          <cell r="AZ44" t="str">
            <v>702</v>
          </cell>
          <cell r="BA44" t="str">
            <v>685</v>
          </cell>
          <cell r="BB44" t="str">
            <v>0</v>
          </cell>
          <cell r="BC44" t="str">
            <v>0</v>
          </cell>
          <cell r="BD44" t="str">
            <v>0</v>
          </cell>
          <cell r="BE44" t="str">
            <v>0</v>
          </cell>
          <cell r="BF44" t="str">
            <v>0</v>
          </cell>
          <cell r="BG44" t="str">
            <v>0</v>
          </cell>
          <cell r="BH44" t="str">
            <v>0</v>
          </cell>
          <cell r="BI44" t="str">
            <v>0</v>
          </cell>
          <cell r="BJ44" t="str">
            <v>0</v>
          </cell>
          <cell r="BK44" t="str">
            <v>0</v>
          </cell>
          <cell r="BL44" t="str">
            <v>0</v>
          </cell>
          <cell r="BM44" t="str">
            <v>Flaps 0 - 40° (Up when weighed)</v>
          </cell>
          <cell r="BN44" t="str">
            <v>Fuel, Drain, Unusable (5.6 Gal)</v>
          </cell>
          <cell r="BO44" t="str">
            <v>Lavatory Dry Supplies</v>
          </cell>
          <cell r="BP44" t="str">
            <v>Lavatory Pre-charge Fluid (6.0 Gal)</v>
          </cell>
          <cell r="BQ44" t="str">
            <v>Water, Potable (62.6 Gal)</v>
          </cell>
          <cell r="CB44">
            <v>0</v>
          </cell>
          <cell r="CC44">
            <v>17.3</v>
          </cell>
          <cell r="CD44">
            <v>4</v>
          </cell>
          <cell r="CE44">
            <v>22.7</v>
          </cell>
          <cell r="CF44">
            <v>236.4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646</v>
          </cell>
          <cell r="CR44">
            <v>1145</v>
          </cell>
          <cell r="CS44">
            <v>1112</v>
          </cell>
          <cell r="CT44">
            <v>1150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 t="str">
            <v/>
          </cell>
          <cell r="DE44" t="str">
            <v/>
          </cell>
          <cell r="DF44" t="str">
            <v/>
          </cell>
          <cell r="DH44" t="str">
            <v/>
          </cell>
          <cell r="DN44" t="str">
            <v>03/10/2022</v>
          </cell>
          <cell r="DU44" t="str">
            <v>GOL</v>
          </cell>
          <cell r="DV44" t="str">
            <v>186 Pax + 10 Flight Crew</v>
          </cell>
          <cell r="DW44" t="str">
            <v>GLP-800-003-GXT</v>
          </cell>
        </row>
        <row r="45">
          <cell r="A45" t="str">
            <v>PR-GXW</v>
          </cell>
          <cell r="D45" t="str">
            <v>15/07/2023</v>
          </cell>
          <cell r="E45">
            <v>3</v>
          </cell>
          <cell r="F45">
            <v>0</v>
          </cell>
          <cell r="G45" t="str">
            <v>Lagoa Santa, MG - Brazil</v>
          </cell>
          <cell r="H45" t="str">
            <v>New Painting</v>
          </cell>
          <cell r="I45">
            <v>1511</v>
          </cell>
          <cell r="J45">
            <v>1511</v>
          </cell>
          <cell r="K45">
            <v>9575.5</v>
          </cell>
          <cell r="L45">
            <v>9575.5</v>
          </cell>
          <cell r="M45">
            <v>9586.5</v>
          </cell>
          <cell r="N45">
            <v>9586.5</v>
          </cell>
          <cell r="O45">
            <v>1511</v>
          </cell>
          <cell r="P45">
            <v>1511</v>
          </cell>
          <cell r="Q45">
            <v>9575.5</v>
          </cell>
          <cell r="R45">
            <v>9575.5</v>
          </cell>
          <cell r="S45">
            <v>9586.5</v>
          </cell>
          <cell r="T45">
            <v>9586.5</v>
          </cell>
          <cell r="U45">
            <v>5.0996932515343358</v>
          </cell>
          <cell r="V45">
            <v>5.0000000000003348</v>
          </cell>
          <cell r="W45" t="str">
            <v>Down Lock, Nose Gear</v>
          </cell>
          <cell r="X45" t="str">
            <v>Down Lock, Main Gear</v>
          </cell>
          <cell r="Y45" t="str">
            <v>Plumb Bob</v>
          </cell>
          <cell r="AK45">
            <v>0.3</v>
          </cell>
          <cell r="AL45">
            <v>0.4</v>
          </cell>
          <cell r="AM45">
            <v>0.5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82</v>
          </cell>
          <cell r="AZ45">
            <v>702</v>
          </cell>
          <cell r="BA45">
            <v>685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 t="str">
            <v>Flaps 0 - 40° (Up when weighed)</v>
          </cell>
          <cell r="BN45" t="str">
            <v>Fuel, Drain, Unusable (5.6 Gal)</v>
          </cell>
          <cell r="BO45" t="str">
            <v>Lavatory Dry Supplies</v>
          </cell>
          <cell r="BP45" t="str">
            <v>Lavatory Pre-charge Fluid (6.0 Gal)</v>
          </cell>
          <cell r="BQ45" t="str">
            <v>Water, Potable (62.6 Gal)</v>
          </cell>
          <cell r="CB45">
            <v>0</v>
          </cell>
          <cell r="CC45">
            <v>17.3</v>
          </cell>
          <cell r="CD45">
            <v>4</v>
          </cell>
          <cell r="CE45">
            <v>22.7</v>
          </cell>
          <cell r="CF45">
            <v>236.4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646</v>
          </cell>
          <cell r="CR45">
            <v>1145</v>
          </cell>
          <cell r="CS45">
            <v>1112</v>
          </cell>
          <cell r="CT45">
            <v>1150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N45" t="str">
            <v>16/07/2023</v>
          </cell>
          <cell r="DU45" t="str">
            <v>GOL</v>
          </cell>
          <cell r="DV45" t="str">
            <v>186 Pax + 10 Flight Crew</v>
          </cell>
          <cell r="DW45" t="str">
            <v>GLP-800-003-GXW R00</v>
          </cell>
        </row>
        <row r="46">
          <cell r="A46" t="str">
            <v>PR-GYD</v>
          </cell>
          <cell r="D46" t="str">
            <v>28/01/2021</v>
          </cell>
          <cell r="E46">
            <v>2</v>
          </cell>
          <cell r="F46">
            <v>0</v>
          </cell>
          <cell r="G46" t="str">
            <v>Lagoa Santa, MG - Brazil</v>
          </cell>
          <cell r="H46" t="str">
            <v>Scheduled</v>
          </cell>
          <cell r="I46">
            <v>1538.5</v>
          </cell>
          <cell r="J46">
            <v>1538.5</v>
          </cell>
          <cell r="K46">
            <v>9434.75</v>
          </cell>
          <cell r="L46">
            <v>9434.75</v>
          </cell>
          <cell r="M46">
            <v>9525.25</v>
          </cell>
          <cell r="N46">
            <v>9525.25</v>
          </cell>
          <cell r="O46">
            <v>1538.5</v>
          </cell>
          <cell r="P46">
            <v>1538.5</v>
          </cell>
          <cell r="Q46">
            <v>9434.75</v>
          </cell>
          <cell r="R46">
            <v>9434.75</v>
          </cell>
          <cell r="S46">
            <v>9525.25</v>
          </cell>
          <cell r="T46">
            <v>9525.25</v>
          </cell>
          <cell r="U46">
            <v>13.259202453988051</v>
          </cell>
          <cell r="V46">
            <v>13.377300613497249</v>
          </cell>
          <cell r="W46" t="str">
            <v>Down Lock, Nose Gear</v>
          </cell>
          <cell r="X46" t="str">
            <v>Down Lock, Main Gear</v>
          </cell>
          <cell r="Y46" t="str">
            <v>Plumb Bob</v>
          </cell>
          <cell r="AK46">
            <v>0.3</v>
          </cell>
          <cell r="AL46">
            <v>0.4</v>
          </cell>
          <cell r="AM46">
            <v>0.5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82</v>
          </cell>
          <cell r="AZ46">
            <v>702</v>
          </cell>
          <cell r="BA46">
            <v>685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 t="str">
            <v>Flaps 0 - 40° (Up when weighed)</v>
          </cell>
          <cell r="BN46" t="str">
            <v>Fuel, Drain, Unusable (5.6 Gal)</v>
          </cell>
          <cell r="BO46" t="str">
            <v>Lavatory Dry Supplies</v>
          </cell>
          <cell r="BP46" t="str">
            <v>Lavatory Pre-charge Fluid (6.0 Gal)</v>
          </cell>
          <cell r="BQ46" t="str">
            <v>Water, Potable (62.6 Gal)</v>
          </cell>
          <cell r="CB46">
            <v>0</v>
          </cell>
          <cell r="CC46">
            <v>17.3</v>
          </cell>
          <cell r="CD46">
            <v>2</v>
          </cell>
          <cell r="CE46">
            <v>22.7</v>
          </cell>
          <cell r="CF46">
            <v>236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646</v>
          </cell>
          <cell r="CR46">
            <v>89</v>
          </cell>
          <cell r="CS46">
            <v>1112</v>
          </cell>
          <cell r="CT46">
            <v>1115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N46" t="str">
            <v>28/01/2021</v>
          </cell>
          <cell r="DU46" t="str">
            <v>GOL</v>
          </cell>
          <cell r="DV46" t="str">
            <v>186 Pax + 10 Flight Crew</v>
          </cell>
          <cell r="DW46" t="str">
            <v>GLP-800-003-GYD R00</v>
          </cell>
        </row>
        <row r="47">
          <cell r="A47" t="str">
            <v>PR-VBF</v>
          </cell>
          <cell r="D47" t="str">
            <v>08/07/2020</v>
          </cell>
          <cell r="E47">
            <v>5</v>
          </cell>
          <cell r="F47">
            <v>0</v>
          </cell>
          <cell r="G47" t="str">
            <v>Lagoa Santa, MG - Brazil</v>
          </cell>
          <cell r="H47" t="str">
            <v>New Painting</v>
          </cell>
          <cell r="I47">
            <v>1484</v>
          </cell>
          <cell r="J47">
            <v>1484</v>
          </cell>
          <cell r="K47">
            <v>9527</v>
          </cell>
          <cell r="L47">
            <v>9527</v>
          </cell>
          <cell r="M47">
            <v>9573.5</v>
          </cell>
          <cell r="N47">
            <v>9573.5</v>
          </cell>
          <cell r="O47">
            <v>1484</v>
          </cell>
          <cell r="P47">
            <v>1484</v>
          </cell>
          <cell r="Q47">
            <v>9527</v>
          </cell>
          <cell r="R47">
            <v>9527</v>
          </cell>
          <cell r="S47">
            <v>9573.5</v>
          </cell>
          <cell r="T47">
            <v>9573.5</v>
          </cell>
          <cell r="U47">
            <v>6.8895705521475303</v>
          </cell>
          <cell r="V47">
            <v>7.2837423312890781</v>
          </cell>
          <cell r="W47" t="str">
            <v>Down Lock, Nose Gear</v>
          </cell>
          <cell r="X47" t="str">
            <v>Down Lock, Main Gear</v>
          </cell>
          <cell r="Y47" t="str">
            <v>Plumb Bob</v>
          </cell>
          <cell r="AK47">
            <v>0.3</v>
          </cell>
          <cell r="AL47">
            <v>0.4</v>
          </cell>
          <cell r="AM47">
            <v>0.5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91</v>
          </cell>
          <cell r="AZ47">
            <v>702</v>
          </cell>
          <cell r="BA47">
            <v>685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 t="str">
            <v>Flaps 0 - 40° (Up when weighed)</v>
          </cell>
          <cell r="BN47" t="str">
            <v>Fuel, Drain, Unusable (5.6 Gal)</v>
          </cell>
          <cell r="BO47" t="str">
            <v>Lavatory Dry Supplies</v>
          </cell>
          <cell r="BP47" t="str">
            <v>Lavatory Pre-charge Fluid (6.0 Gal)</v>
          </cell>
          <cell r="BQ47" t="str">
            <v>Water, Potable (62.6 Gal)</v>
          </cell>
          <cell r="CB47">
            <v>0</v>
          </cell>
          <cell r="CC47">
            <v>17.3</v>
          </cell>
          <cell r="CD47">
            <v>4</v>
          </cell>
          <cell r="CE47">
            <v>22.7</v>
          </cell>
          <cell r="CF47">
            <v>236.4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646</v>
          </cell>
          <cell r="CR47">
            <v>1145</v>
          </cell>
          <cell r="CS47">
            <v>1112</v>
          </cell>
          <cell r="CT47">
            <v>1150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N47" t="str">
            <v>08/07/2020</v>
          </cell>
          <cell r="DU47" t="str">
            <v>GOL</v>
          </cell>
          <cell r="DV47" t="str">
            <v>186 Pax + 10 Flight Crew</v>
          </cell>
          <cell r="DW47" t="str">
            <v>GLP-800-004-VBF</v>
          </cell>
        </row>
        <row r="48">
          <cell r="A48" t="str">
            <v>PR-VBL</v>
          </cell>
          <cell r="D48" t="str">
            <v>23/09/2020</v>
          </cell>
          <cell r="E48">
            <v>5</v>
          </cell>
          <cell r="F48">
            <v>0</v>
          </cell>
          <cell r="G48" t="str">
            <v>Lagoa Santa, MG - Brazil</v>
          </cell>
          <cell r="H48" t="str">
            <v>New Painting</v>
          </cell>
          <cell r="I48">
            <v>1470.5</v>
          </cell>
          <cell r="J48">
            <v>1470.5</v>
          </cell>
          <cell r="K48">
            <v>9531.5</v>
          </cell>
          <cell r="L48">
            <v>9531.5</v>
          </cell>
          <cell r="M48">
            <v>9569.5</v>
          </cell>
          <cell r="N48">
            <v>9569.5</v>
          </cell>
          <cell r="O48">
            <v>1470.5</v>
          </cell>
          <cell r="P48">
            <v>1470.5</v>
          </cell>
          <cell r="Q48">
            <v>9531.5</v>
          </cell>
          <cell r="R48">
            <v>9531.5</v>
          </cell>
          <cell r="S48">
            <v>9569.5</v>
          </cell>
          <cell r="T48">
            <v>9569.5</v>
          </cell>
          <cell r="U48">
            <v>5.1180981595095352</v>
          </cell>
          <cell r="V48">
            <v>4.7246932515343101</v>
          </cell>
          <cell r="W48" t="str">
            <v>Down Lock, Nose Gear</v>
          </cell>
          <cell r="X48" t="str">
            <v>Down Lock, Main Gear</v>
          </cell>
          <cell r="Y48" t="str">
            <v>Plumb Bob</v>
          </cell>
          <cell r="AK48">
            <v>0.3</v>
          </cell>
          <cell r="AL48">
            <v>0.4</v>
          </cell>
          <cell r="AM48">
            <v>0.5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91</v>
          </cell>
          <cell r="AZ48">
            <v>702</v>
          </cell>
          <cell r="BA48">
            <v>685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 t="str">
            <v>Flaps 0 - 40° (Up when weighed)</v>
          </cell>
          <cell r="BN48" t="str">
            <v>Fuel, Drain, Unusable (5.6 Gal)</v>
          </cell>
          <cell r="BO48" t="str">
            <v>Lavatory Dry Supplies</v>
          </cell>
          <cell r="BP48" t="str">
            <v>Lavatory Pre-charge Fluid (6.0 Gal)</v>
          </cell>
          <cell r="BQ48" t="str">
            <v>Water, Potable (62.6 Gal)</v>
          </cell>
          <cell r="CB48">
            <v>0</v>
          </cell>
          <cell r="CC48">
            <v>17.3</v>
          </cell>
          <cell r="CD48">
            <v>4</v>
          </cell>
          <cell r="CE48">
            <v>22.7</v>
          </cell>
          <cell r="CF48">
            <v>236.4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646</v>
          </cell>
          <cell r="CR48">
            <v>1145</v>
          </cell>
          <cell r="CS48">
            <v>1112</v>
          </cell>
          <cell r="CT48">
            <v>1150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N48" t="str">
            <v>23/09/2020</v>
          </cell>
          <cell r="DU48" t="str">
            <v>GOL</v>
          </cell>
          <cell r="DV48" t="str">
            <v>186 Pax + 10 Flight Crew</v>
          </cell>
          <cell r="DW48" t="str">
            <v xml:space="preserve">GLP-800-004-VBL </v>
          </cell>
        </row>
        <row r="49">
          <cell r="A49" t="str">
            <v>PR-XMD</v>
          </cell>
          <cell r="D49" t="str">
            <v>05/11/2023</v>
          </cell>
          <cell r="E49">
            <v>2</v>
          </cell>
          <cell r="F49">
            <v>0</v>
          </cell>
          <cell r="G49" t="str">
            <v>Lagoa Santa, MG - Brazil</v>
          </cell>
          <cell r="H49" t="str">
            <v>Scheduled</v>
          </cell>
          <cell r="I49">
            <v>1824.5</v>
          </cell>
          <cell r="J49">
            <v>1824.5</v>
          </cell>
          <cell r="K49">
            <v>10074</v>
          </cell>
          <cell r="L49">
            <v>10074</v>
          </cell>
          <cell r="M49">
            <v>10112</v>
          </cell>
          <cell r="N49">
            <v>10112</v>
          </cell>
          <cell r="O49">
            <v>1824.5</v>
          </cell>
          <cell r="P49">
            <v>1824.5</v>
          </cell>
          <cell r="Q49">
            <v>10074</v>
          </cell>
          <cell r="R49">
            <v>10074</v>
          </cell>
          <cell r="S49">
            <v>10112</v>
          </cell>
          <cell r="T49">
            <v>10112</v>
          </cell>
          <cell r="U49">
            <v>4.9210122699387613</v>
          </cell>
          <cell r="V49">
            <v>5.1180981595095352</v>
          </cell>
          <cell r="W49" t="str">
            <v>Down Lock Nose Gear (1 ea)</v>
          </cell>
          <cell r="X49" t="str">
            <v>Down Lock Main Gear (2 ea)</v>
          </cell>
          <cell r="Y49" t="str">
            <v>Plumb Bob (1 ea)</v>
          </cell>
          <cell r="AK49">
            <v>0.3</v>
          </cell>
          <cell r="AL49">
            <v>0.4</v>
          </cell>
          <cell r="AM49">
            <v>0.5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82</v>
          </cell>
          <cell r="AZ49">
            <v>702</v>
          </cell>
          <cell r="BA49">
            <v>685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 t="str">
            <v>Flaps 0 - 40° (up when weighed)</v>
          </cell>
          <cell r="BN49" t="str">
            <v>Fuel, Drainable, Unusable (5.6 GAL)</v>
          </cell>
          <cell r="BO49" t="str">
            <v>Lavatory Fluid, PreCharge ( 6.0 gal )</v>
          </cell>
          <cell r="BP49" t="str">
            <v>Lavatory Dry Suplies (2 EA)</v>
          </cell>
          <cell r="BQ49" t="str">
            <v>Water, Potable ( 62.6 Gal )</v>
          </cell>
          <cell r="CB49">
            <v>0</v>
          </cell>
          <cell r="CC49">
            <v>17.3</v>
          </cell>
          <cell r="CD49">
            <v>22.7</v>
          </cell>
          <cell r="CE49">
            <v>4</v>
          </cell>
          <cell r="CF49">
            <v>236.4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646</v>
          </cell>
          <cell r="CR49">
            <v>1112</v>
          </cell>
          <cell r="CS49">
            <v>1138</v>
          </cell>
          <cell r="CT49">
            <v>1150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N49" t="str">
            <v>05/11/2023</v>
          </cell>
          <cell r="DU49" t="str">
            <v>GOL</v>
          </cell>
          <cell r="DV49" t="str">
            <v>186 Pax + 10 Flight Crew</v>
          </cell>
          <cell r="DW49" t="str">
            <v>GLP-MAX8-001-XMD</v>
          </cell>
        </row>
        <row r="50">
          <cell r="A50" t="str">
            <v>PR-XMG</v>
          </cell>
          <cell r="D50" t="str">
            <v>09/12/2023</v>
          </cell>
          <cell r="E50">
            <v>2</v>
          </cell>
          <cell r="F50">
            <v>0</v>
          </cell>
          <cell r="G50" t="str">
            <v>Lagoa Santa, MG - Brazil</v>
          </cell>
          <cell r="H50" t="str">
            <v>Scheduled</v>
          </cell>
          <cell r="I50">
            <v>1852.5</v>
          </cell>
          <cell r="J50">
            <v>1852.5</v>
          </cell>
          <cell r="K50">
            <v>9982</v>
          </cell>
          <cell r="L50">
            <v>9982</v>
          </cell>
          <cell r="M50">
            <v>10123.5</v>
          </cell>
          <cell r="N50">
            <v>10123.5</v>
          </cell>
          <cell r="O50">
            <v>1852.5</v>
          </cell>
          <cell r="P50">
            <v>1852.5</v>
          </cell>
          <cell r="Q50">
            <v>9982</v>
          </cell>
          <cell r="R50">
            <v>9982</v>
          </cell>
          <cell r="S50">
            <v>10123.5</v>
          </cell>
          <cell r="T50">
            <v>10123.5</v>
          </cell>
          <cell r="U50">
            <v>5.3151840490803091</v>
          </cell>
          <cell r="V50">
            <v>4.4095092024543368</v>
          </cell>
          <cell r="W50" t="str">
            <v>Down Lock Nose Gear (1 ea)</v>
          </cell>
          <cell r="X50" t="str">
            <v>Down Lock Main Gear (2 ea)</v>
          </cell>
          <cell r="Y50" t="str">
            <v>Plumb Bob (1 ea)</v>
          </cell>
          <cell r="AK50">
            <v>0.3</v>
          </cell>
          <cell r="AL50">
            <v>0.4</v>
          </cell>
          <cell r="AM50">
            <v>0.5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82</v>
          </cell>
          <cell r="AZ50">
            <v>702</v>
          </cell>
          <cell r="BA50">
            <v>685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 t="str">
            <v>Flaps 0 - 40° (up when weighed)</v>
          </cell>
          <cell r="BN50" t="str">
            <v>Fuel, Drainable, Unusable (5.6 GAL)</v>
          </cell>
          <cell r="BO50" t="str">
            <v>Lavatory Fluid, PreCharge ( 6.0 gal )</v>
          </cell>
          <cell r="BP50" t="str">
            <v>Lavatory Dry Suplies (2 EA)</v>
          </cell>
          <cell r="BQ50" t="str">
            <v>Water, Potable ( 62.6 Gal )</v>
          </cell>
          <cell r="CB50">
            <v>0</v>
          </cell>
          <cell r="CC50">
            <v>17.3</v>
          </cell>
          <cell r="CD50">
            <v>22.7</v>
          </cell>
          <cell r="CE50">
            <v>4</v>
          </cell>
          <cell r="CF50">
            <v>236.4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646</v>
          </cell>
          <cell r="CR50">
            <v>1112</v>
          </cell>
          <cell r="CS50">
            <v>1138</v>
          </cell>
          <cell r="CT50">
            <v>1150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N50" t="str">
            <v>10/12/2023</v>
          </cell>
          <cell r="DU50" t="str">
            <v>GOL</v>
          </cell>
          <cell r="DV50" t="str">
            <v>186 Pax + 10 Flight Crew</v>
          </cell>
          <cell r="DW50" t="str">
            <v>GLP-MAX8-001-XMG</v>
          </cell>
        </row>
        <row r="51">
          <cell r="A51" t="str">
            <v>PR-XMJ</v>
          </cell>
          <cell r="D51" t="str">
            <v>20/11/2021</v>
          </cell>
          <cell r="E51">
            <v>1</v>
          </cell>
          <cell r="F51">
            <v>0</v>
          </cell>
          <cell r="G51" t="str">
            <v>Seattle, WA - EUA</v>
          </cell>
          <cell r="H51" t="str">
            <v>New Production Aircraft</v>
          </cell>
          <cell r="I51">
            <v>1938.0189</v>
          </cell>
          <cell r="J51">
            <v>1938.0189</v>
          </cell>
          <cell r="K51">
            <v>10027.36305</v>
          </cell>
          <cell r="L51">
            <v>10027.36305</v>
          </cell>
          <cell r="M51">
            <v>10080.6602</v>
          </cell>
          <cell r="N51">
            <v>10080.6602</v>
          </cell>
          <cell r="O51">
            <v>1938.0189</v>
          </cell>
          <cell r="P51">
            <v>1938.0189</v>
          </cell>
          <cell r="Q51">
            <v>10027.36305</v>
          </cell>
          <cell r="R51">
            <v>10027.36305</v>
          </cell>
          <cell r="S51">
            <v>10080.6602</v>
          </cell>
          <cell r="T51">
            <v>10080.6602</v>
          </cell>
          <cell r="U51">
            <v>14.800613496933011</v>
          </cell>
          <cell r="V51">
            <v>15.56748466257735</v>
          </cell>
          <cell r="W51" t="str">
            <v>Down Lock, Nose Gear</v>
          </cell>
          <cell r="X51" t="str">
            <v>Down Lock, Main Gear</v>
          </cell>
          <cell r="Y51" t="str">
            <v>Plumb Bob</v>
          </cell>
          <cell r="Z51" t="str">
            <v>Wiring Diagrams</v>
          </cell>
          <cell r="AA51" t="str">
            <v>Production Flight Emergency Equipment</v>
          </cell>
          <cell r="AB51" t="str">
            <v>Loto Kit</v>
          </cell>
          <cell r="AK51">
            <v>0.3</v>
          </cell>
          <cell r="AL51">
            <v>0.4</v>
          </cell>
          <cell r="AM51">
            <v>0.5</v>
          </cell>
          <cell r="AN51">
            <v>23.6</v>
          </cell>
          <cell r="AO51">
            <v>29.5</v>
          </cell>
          <cell r="AP51">
            <v>12.7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82</v>
          </cell>
          <cell r="AZ51">
            <v>702</v>
          </cell>
          <cell r="BA51">
            <v>685</v>
          </cell>
          <cell r="BB51">
            <v>230</v>
          </cell>
          <cell r="BC51">
            <v>260</v>
          </cell>
          <cell r="BD51">
            <v>269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 t="str">
            <v>Flaps 0 - 40° (Up when weighed)</v>
          </cell>
          <cell r="BN51" t="str">
            <v>Fuel, Drain, Unusable (5.6 Gal)</v>
          </cell>
          <cell r="BO51" t="str">
            <v>Lavatory Dry Supplies</v>
          </cell>
          <cell r="BP51" t="str">
            <v>Lavatory Pre-charge Fluid (6.0 Gal)</v>
          </cell>
          <cell r="BQ51" t="str">
            <v>Water, Potable (62.6 Gal)</v>
          </cell>
          <cell r="BR51" t="str">
            <v>8 HALF SIZE CART</v>
          </cell>
          <cell r="CB51">
            <v>0</v>
          </cell>
          <cell r="CC51">
            <v>17.3</v>
          </cell>
          <cell r="CD51">
            <v>4</v>
          </cell>
          <cell r="CE51">
            <v>22.7</v>
          </cell>
          <cell r="CF51">
            <v>236.4</v>
          </cell>
          <cell r="CG51">
            <v>23.2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646</v>
          </cell>
          <cell r="CR51">
            <v>1138</v>
          </cell>
          <cell r="CS51">
            <v>1112</v>
          </cell>
          <cell r="CT51">
            <v>1150</v>
          </cell>
          <cell r="CU51">
            <v>84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N51" t="str">
            <v>26/11/2021</v>
          </cell>
          <cell r="DU51" t="str">
            <v>Boeing</v>
          </cell>
          <cell r="DV51" t="str">
            <v>186 Pax + 10 Flight Crew</v>
          </cell>
          <cell r="DW51" t="str">
            <v xml:space="preserve">GLP-MAX8-001-XMJ </v>
          </cell>
        </row>
        <row r="52">
          <cell r="A52" t="str">
            <v>PR-XMK</v>
          </cell>
          <cell r="D52" t="str">
            <v>09/08/2019</v>
          </cell>
          <cell r="E52">
            <v>1</v>
          </cell>
          <cell r="F52">
            <v>1</v>
          </cell>
          <cell r="G52" t="str">
            <v>Seattle, WA - EUA</v>
          </cell>
          <cell r="H52" t="str">
            <v>New Production Aircraft</v>
          </cell>
          <cell r="I52">
            <v>1909.4649999999999</v>
          </cell>
          <cell r="J52">
            <v>1909.4649999999999</v>
          </cell>
          <cell r="K52">
            <v>10021.919</v>
          </cell>
          <cell r="L52">
            <v>10021.919</v>
          </cell>
          <cell r="M52">
            <v>10106.263999999999</v>
          </cell>
          <cell r="N52">
            <v>10106.263999999999</v>
          </cell>
          <cell r="O52">
            <v>1909.4649999999999</v>
          </cell>
          <cell r="P52">
            <v>1909.4649999999999</v>
          </cell>
          <cell r="Q52">
            <v>10021.919</v>
          </cell>
          <cell r="R52">
            <v>10021.919</v>
          </cell>
          <cell r="S52">
            <v>10106.263999999999</v>
          </cell>
          <cell r="T52">
            <v>10106.263999999999</v>
          </cell>
          <cell r="U52">
            <v>11.73312883435649</v>
          </cell>
          <cell r="V52">
            <v>11.73312883435649</v>
          </cell>
          <cell r="W52" t="str">
            <v>Down Lock, Nose Gear</v>
          </cell>
          <cell r="X52" t="str">
            <v>Down Lock, Main Gear</v>
          </cell>
          <cell r="Y52" t="str">
            <v>Plumb Bob</v>
          </cell>
          <cell r="Z52" t="str">
            <v>Loto Kit</v>
          </cell>
          <cell r="AA52" t="str">
            <v>Wiring Diagrams</v>
          </cell>
          <cell r="AK52">
            <v>0.3</v>
          </cell>
          <cell r="AL52">
            <v>0.4</v>
          </cell>
          <cell r="AM52">
            <v>0.5</v>
          </cell>
          <cell r="AN52">
            <v>12.7</v>
          </cell>
          <cell r="AO52">
            <v>23.6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82</v>
          </cell>
          <cell r="AZ52">
            <v>702</v>
          </cell>
          <cell r="BA52">
            <v>685</v>
          </cell>
          <cell r="BB52">
            <v>270</v>
          </cell>
          <cell r="BC52">
            <v>230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 t="str">
            <v>Flaps 0 - 40° (Up when weighed)</v>
          </cell>
          <cell r="BN52" t="str">
            <v>Fuel, Drain, Unusable (5.6 Gal)</v>
          </cell>
          <cell r="BO52" t="str">
            <v>Lavatory Dry Supplies</v>
          </cell>
          <cell r="BP52" t="str">
            <v>Lavatory Pre-charge Fluid (6.0 Gal)</v>
          </cell>
          <cell r="BQ52" t="str">
            <v>Water, Potable (62.6 Gal)</v>
          </cell>
          <cell r="BR52" t="str">
            <v>Non Level Weigh Adjustment: 1/4° Nose Down</v>
          </cell>
          <cell r="BS52" t="str">
            <v>2Ku System Antenna Installation (ST03405NY)</v>
          </cell>
          <cell r="BT52" t="str">
            <v>2Ku System Cabin Equipment Installation(ST03403NY)</v>
          </cell>
          <cell r="CB52">
            <v>0</v>
          </cell>
          <cell r="CC52">
            <v>17.3</v>
          </cell>
          <cell r="CD52">
            <v>4</v>
          </cell>
          <cell r="CE52">
            <v>22.7</v>
          </cell>
          <cell r="CF52">
            <v>236.4</v>
          </cell>
          <cell r="CG52">
            <v>0</v>
          </cell>
          <cell r="CH52">
            <v>164.2</v>
          </cell>
          <cell r="CI52">
            <v>51.637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646</v>
          </cell>
          <cell r="CR52">
            <v>1138</v>
          </cell>
          <cell r="CS52">
            <v>1112</v>
          </cell>
          <cell r="CT52">
            <v>1150</v>
          </cell>
          <cell r="CU52">
            <v>0.4</v>
          </cell>
          <cell r="CV52">
            <v>861.98670000000004</v>
          </cell>
          <cell r="CW52">
            <v>468.20600000000002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N52" t="str">
            <v>29/09/2023</v>
          </cell>
          <cell r="DU52" t="str">
            <v>Boeing</v>
          </cell>
          <cell r="DV52" t="str">
            <v>186 Pax + 10 Flight Crew</v>
          </cell>
          <cell r="DW52" t="str">
            <v xml:space="preserve">GLP-MAX8-001-XMK </v>
          </cell>
        </row>
        <row r="53">
          <cell r="A53" t="str">
            <v>PR-XML</v>
          </cell>
          <cell r="D53" t="str">
            <v>10/09/2019</v>
          </cell>
          <cell r="E53">
            <v>1</v>
          </cell>
          <cell r="F53">
            <v>0</v>
          </cell>
          <cell r="G53" t="str">
            <v>Spokane - WA</v>
          </cell>
          <cell r="H53" t="str">
            <v>New Production Aircraft</v>
          </cell>
          <cell r="I53">
            <v>1877.4849999999999</v>
          </cell>
          <cell r="J53">
            <v>1877.4849999999999</v>
          </cell>
          <cell r="K53">
            <v>9991.6149999999998</v>
          </cell>
          <cell r="L53">
            <v>9991.6149999999998</v>
          </cell>
          <cell r="M53">
            <v>10173.94</v>
          </cell>
          <cell r="N53">
            <v>10173.94</v>
          </cell>
          <cell r="O53">
            <v>1877.4849999999999</v>
          </cell>
          <cell r="P53">
            <v>1877.4849999999999</v>
          </cell>
          <cell r="Q53">
            <v>9991.6149999999998</v>
          </cell>
          <cell r="R53">
            <v>9991.6149999999998</v>
          </cell>
          <cell r="S53">
            <v>10173.94</v>
          </cell>
          <cell r="T53">
            <v>10173.94</v>
          </cell>
          <cell r="U53">
            <v>5.5981595092025938</v>
          </cell>
          <cell r="V53">
            <v>5.5981595092025938</v>
          </cell>
          <cell r="W53" t="str">
            <v>Down Lock, Nose Gear</v>
          </cell>
          <cell r="X53" t="str">
            <v>Down Lock, Main Gear</v>
          </cell>
          <cell r="Y53" t="str">
            <v>Plumb Bob</v>
          </cell>
          <cell r="Z53" t="str">
            <v>Wiring Diagrams</v>
          </cell>
          <cell r="AA53" t="str">
            <v>Production Flight Emergency Equipment</v>
          </cell>
          <cell r="AB53" t="str">
            <v>Non-Level Weigh Adjustment: 1/8° Tail Down</v>
          </cell>
          <cell r="AK53">
            <v>0.3</v>
          </cell>
          <cell r="AL53">
            <v>0.4</v>
          </cell>
          <cell r="AM53">
            <v>0.5</v>
          </cell>
          <cell r="AN53">
            <v>23.6</v>
          </cell>
          <cell r="AO53">
            <v>29.5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82</v>
          </cell>
          <cell r="AZ53">
            <v>702</v>
          </cell>
          <cell r="BA53">
            <v>685</v>
          </cell>
          <cell r="BB53">
            <v>230</v>
          </cell>
          <cell r="BC53">
            <v>230</v>
          </cell>
          <cell r="BD53">
            <v>0.2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 t="str">
            <v>Flaps 0 - 40° (Up when weighed)</v>
          </cell>
          <cell r="BN53" t="str">
            <v>Fuel, Drain, Unusable (5.6 Gal)</v>
          </cell>
          <cell r="BO53" t="str">
            <v>Lavatory Dry Supplies</v>
          </cell>
          <cell r="BP53" t="str">
            <v>Lavatory Pre-charge Fluid (6.0 Gal)</v>
          </cell>
          <cell r="BQ53" t="str">
            <v>Water, Potable (62.6 Gal)</v>
          </cell>
          <cell r="CB53">
            <v>0</v>
          </cell>
          <cell r="CC53">
            <v>17.3</v>
          </cell>
          <cell r="CD53">
            <v>4</v>
          </cell>
          <cell r="CE53">
            <v>22.7</v>
          </cell>
          <cell r="CF53">
            <v>236.4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646</v>
          </cell>
          <cell r="CR53">
            <v>1138</v>
          </cell>
          <cell r="CS53">
            <v>1112</v>
          </cell>
          <cell r="CT53">
            <v>1150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N53" t="str">
            <v>08/03/2022</v>
          </cell>
          <cell r="DU53" t="str">
            <v>Boeing</v>
          </cell>
          <cell r="DV53" t="str">
            <v>186 Pax + 10 Flight Crew</v>
          </cell>
          <cell r="DW53" t="str">
            <v xml:space="preserve">GLP-MAX8-001-XML </v>
          </cell>
        </row>
        <row r="54">
          <cell r="A54" t="str">
            <v>PR-XMM</v>
          </cell>
          <cell r="D54" t="str">
            <v>27/09/2019</v>
          </cell>
          <cell r="E54">
            <v>1</v>
          </cell>
          <cell r="F54">
            <v>2</v>
          </cell>
          <cell r="G54" t="str">
            <v>Seattle, WA - EUA</v>
          </cell>
          <cell r="H54" t="str">
            <v>New Production Aircraft</v>
          </cell>
          <cell r="I54">
            <v>1919.4214999999999</v>
          </cell>
          <cell r="J54">
            <v>1919.4214999999999</v>
          </cell>
          <cell r="K54">
            <v>10033.463</v>
          </cell>
          <cell r="L54">
            <v>10033.463</v>
          </cell>
          <cell r="M54">
            <v>10087.0098</v>
          </cell>
          <cell r="N54">
            <v>10087.0098</v>
          </cell>
          <cell r="O54">
            <v>1919.4214999999999</v>
          </cell>
          <cell r="P54">
            <v>1919.4214999999999</v>
          </cell>
          <cell r="Q54">
            <v>10033.463</v>
          </cell>
          <cell r="R54">
            <v>10033.463</v>
          </cell>
          <cell r="S54">
            <v>10087.0098</v>
          </cell>
          <cell r="T54">
            <v>10087.0098</v>
          </cell>
          <cell r="U54">
            <v>12.49999999999997</v>
          </cell>
          <cell r="V54">
            <v>11.73312883435649</v>
          </cell>
          <cell r="W54" t="str">
            <v>Down Lock, Nose Gear</v>
          </cell>
          <cell r="X54" t="str">
            <v>Down Lock, Main Gear</v>
          </cell>
          <cell r="Y54" t="str">
            <v>Plumb Bob</v>
          </cell>
          <cell r="Z54" t="str">
            <v>Wiring Diagrams</v>
          </cell>
          <cell r="AA54" t="str">
            <v>Production Flight Emergency Equipment</v>
          </cell>
          <cell r="AB54" t="str">
            <v>Composite Oxygen Cylinder Removal</v>
          </cell>
          <cell r="AK54">
            <v>0.3</v>
          </cell>
          <cell r="AL54">
            <v>0.4</v>
          </cell>
          <cell r="AM54">
            <v>0.5</v>
          </cell>
          <cell r="AN54">
            <v>23.6</v>
          </cell>
          <cell r="AO54">
            <v>29.5</v>
          </cell>
          <cell r="AP54">
            <v>5.6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82</v>
          </cell>
          <cell r="AZ54">
            <v>702</v>
          </cell>
          <cell r="BA54">
            <v>685</v>
          </cell>
          <cell r="BB54">
            <v>230</v>
          </cell>
          <cell r="BC54">
            <v>230</v>
          </cell>
          <cell r="BD54">
            <v>183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 t="str">
            <v>Flaps 0 - 40° (Up when weighed)</v>
          </cell>
          <cell r="BN54" t="str">
            <v>Fuel, Drain, Unusable (5.6 Gal)</v>
          </cell>
          <cell r="BO54" t="str">
            <v>Lavatory Dry Supplies</v>
          </cell>
          <cell r="BP54" t="str">
            <v>Lavatory Pre-charge Fluid (6.0 Gal)</v>
          </cell>
          <cell r="BQ54" t="str">
            <v>Water, Potable (62.6 Gal)</v>
          </cell>
          <cell r="BR54" t="str">
            <v>Steel Oxygen Cylinder Removal</v>
          </cell>
          <cell r="CB54">
            <v>0</v>
          </cell>
          <cell r="CC54">
            <v>17.3</v>
          </cell>
          <cell r="CD54">
            <v>4</v>
          </cell>
          <cell r="CE54">
            <v>22.7</v>
          </cell>
          <cell r="CF54">
            <v>236.4</v>
          </cell>
          <cell r="CG54">
            <v>20.6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646</v>
          </cell>
          <cell r="CR54">
            <v>1138</v>
          </cell>
          <cell r="CS54">
            <v>1112</v>
          </cell>
          <cell r="CT54">
            <v>1150</v>
          </cell>
          <cell r="CU54">
            <v>183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N54" t="str">
            <v>30/11/2022</v>
          </cell>
          <cell r="DU54" t="str">
            <v>Boeing</v>
          </cell>
          <cell r="DV54" t="str">
            <v>186 Pax + 10 Flight Crew</v>
          </cell>
        </row>
        <row r="55">
          <cell r="A55" t="str">
            <v>PR-XMN</v>
          </cell>
          <cell r="D55" t="str">
            <v>08/11/2019</v>
          </cell>
          <cell r="E55">
            <v>1</v>
          </cell>
          <cell r="F55">
            <v>0</v>
          </cell>
          <cell r="G55" t="str">
            <v>Seattle, WA - EUA</v>
          </cell>
          <cell r="H55" t="str">
            <v>New Production Aircraft</v>
          </cell>
          <cell r="I55">
            <v>1934.16335</v>
          </cell>
          <cell r="J55">
            <v>1934.16335</v>
          </cell>
          <cell r="K55">
            <v>10011.260550000001</v>
          </cell>
          <cell r="L55">
            <v>10011.260550000001</v>
          </cell>
          <cell r="M55">
            <v>10095.8555</v>
          </cell>
          <cell r="N55">
            <v>10095.8555</v>
          </cell>
          <cell r="O55">
            <v>1934.16335</v>
          </cell>
          <cell r="P55">
            <v>1934.16335</v>
          </cell>
          <cell r="Q55">
            <v>10011.260550000001</v>
          </cell>
          <cell r="R55">
            <v>10011.260550000001</v>
          </cell>
          <cell r="S55">
            <v>10095.8555</v>
          </cell>
          <cell r="T55">
            <v>10095.8555</v>
          </cell>
          <cell r="U55">
            <v>12.49999999999997</v>
          </cell>
          <cell r="V55">
            <v>14.033742331288661</v>
          </cell>
          <cell r="W55" t="str">
            <v>Down Lock, Nose Gear</v>
          </cell>
          <cell r="X55" t="str">
            <v>Down Lock, Main Gear</v>
          </cell>
          <cell r="Y55" t="str">
            <v>Plumb Bob</v>
          </cell>
          <cell r="Z55" t="str">
            <v>Wiring Diagrams</v>
          </cell>
          <cell r="AA55" t="str">
            <v>Production Flight Emergency Equipment</v>
          </cell>
          <cell r="AK55">
            <v>0.3</v>
          </cell>
          <cell r="AL55">
            <v>0.4</v>
          </cell>
          <cell r="AM55">
            <v>0.5</v>
          </cell>
          <cell r="AN55">
            <v>23.6</v>
          </cell>
          <cell r="AO55">
            <v>29.5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82</v>
          </cell>
          <cell r="AZ55">
            <v>702</v>
          </cell>
          <cell r="BA55">
            <v>685</v>
          </cell>
          <cell r="BB55">
            <v>230</v>
          </cell>
          <cell r="BC55">
            <v>230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 t="str">
            <v>Flaps 0 - 40° (Up when weighed)</v>
          </cell>
          <cell r="BN55" t="str">
            <v>Fuel, Drain, Unusable (5.6 Gal)</v>
          </cell>
          <cell r="BO55" t="str">
            <v>Lavatory Dry Supplies</v>
          </cell>
          <cell r="BP55" t="str">
            <v>Lavatory Pre-charge Fluid (6.0 Gal)</v>
          </cell>
          <cell r="BQ55" t="str">
            <v>Headphone</v>
          </cell>
          <cell r="BR55" t="str">
            <v>Water, Potable (62.6 Gal)</v>
          </cell>
          <cell r="CB55">
            <v>0</v>
          </cell>
          <cell r="CC55">
            <v>17.3</v>
          </cell>
          <cell r="CD55">
            <v>4</v>
          </cell>
          <cell r="CE55">
            <v>22.7</v>
          </cell>
          <cell r="CF55">
            <v>0.4</v>
          </cell>
          <cell r="CG55">
            <v>236.4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646</v>
          </cell>
          <cell r="CR55">
            <v>1138</v>
          </cell>
          <cell r="CS55">
            <v>1112</v>
          </cell>
          <cell r="CT55">
            <v>68</v>
          </cell>
          <cell r="CU55">
            <v>1150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N55" t="str">
            <v>15/07/2021</v>
          </cell>
          <cell r="DU55" t="str">
            <v>Boeing</v>
          </cell>
          <cell r="DV55" t="str">
            <v>186 Pax + 10 Flight Crew</v>
          </cell>
          <cell r="DW55" t="str">
            <v xml:space="preserve">GLP-MAX8-001-XMN </v>
          </cell>
        </row>
        <row r="56">
          <cell r="A56" t="str">
            <v>PR-XMO</v>
          </cell>
          <cell r="D56" t="str">
            <v>14/04/2021</v>
          </cell>
          <cell r="E56">
            <v>1</v>
          </cell>
          <cell r="F56">
            <v>0</v>
          </cell>
          <cell r="G56" t="str">
            <v>Seattle, WA - EUA</v>
          </cell>
          <cell r="H56" t="str">
            <v>New Production Aircraft</v>
          </cell>
          <cell r="I56">
            <v>1946.855</v>
          </cell>
          <cell r="J56">
            <v>1946.855</v>
          </cell>
          <cell r="K56">
            <v>10087.855</v>
          </cell>
          <cell r="L56">
            <v>10087.855</v>
          </cell>
          <cell r="M56">
            <v>9999.2000000000007</v>
          </cell>
          <cell r="N56">
            <v>9999.2000000000007</v>
          </cell>
          <cell r="O56">
            <v>1946.855</v>
          </cell>
          <cell r="P56">
            <v>1946.855</v>
          </cell>
          <cell r="Q56">
            <v>10087.855</v>
          </cell>
          <cell r="R56">
            <v>10087.855</v>
          </cell>
          <cell r="S56">
            <v>9999.2000000000007</v>
          </cell>
          <cell r="T56">
            <v>9999.2000000000007</v>
          </cell>
          <cell r="U56">
            <v>14.033742331288661</v>
          </cell>
          <cell r="V56">
            <v>14.033742331288661</v>
          </cell>
          <cell r="W56" t="str">
            <v>Down Lock, Nose Gear</v>
          </cell>
          <cell r="X56" t="str">
            <v>Down Lock, Main Gear</v>
          </cell>
          <cell r="Y56" t="str">
            <v>Plumb Bob</v>
          </cell>
          <cell r="Z56" t="str">
            <v>Wiring Diagrams</v>
          </cell>
          <cell r="AA56" t="str">
            <v>Production Flight Emergency Equipment</v>
          </cell>
          <cell r="AB56" t="str">
            <v>Loto Kit</v>
          </cell>
          <cell r="AK56">
            <v>0.3</v>
          </cell>
          <cell r="AL56">
            <v>0.2</v>
          </cell>
          <cell r="AM56">
            <v>0.5</v>
          </cell>
          <cell r="AN56">
            <v>23.6</v>
          </cell>
          <cell r="AO56">
            <v>29.5</v>
          </cell>
          <cell r="AP56">
            <v>12.7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82</v>
          </cell>
          <cell r="AZ56">
            <v>702</v>
          </cell>
          <cell r="BA56">
            <v>685</v>
          </cell>
          <cell r="BB56">
            <v>230</v>
          </cell>
          <cell r="BC56">
            <v>230</v>
          </cell>
          <cell r="BD56">
            <v>270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 t="str">
            <v>Flaps 0 - 40° (Up when weighed)</v>
          </cell>
          <cell r="BN56" t="str">
            <v>Fuel, Drain, Unusable (5.6 Gal)</v>
          </cell>
          <cell r="BO56" t="str">
            <v>Lavatory Dry Supplies</v>
          </cell>
          <cell r="BP56" t="str">
            <v>Lavatory Pre-charge Fluid (6.0 Gal)</v>
          </cell>
          <cell r="BQ56" t="str">
            <v>Water, Potable (62.6 Gal)</v>
          </cell>
          <cell r="CB56">
            <v>0</v>
          </cell>
          <cell r="CC56">
            <v>17.3</v>
          </cell>
          <cell r="CD56">
            <v>4</v>
          </cell>
          <cell r="CE56">
            <v>22.7</v>
          </cell>
          <cell r="CF56">
            <v>236.4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646</v>
          </cell>
          <cell r="CR56">
            <v>1138</v>
          </cell>
          <cell r="CS56">
            <v>1112</v>
          </cell>
          <cell r="CT56">
            <v>1150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N56" t="str">
            <v>23/04/2021</v>
          </cell>
          <cell r="DU56" t="str">
            <v>Boeing</v>
          </cell>
          <cell r="DV56" t="str">
            <v>186 Pax + 10 Flight Crew</v>
          </cell>
        </row>
        <row r="57">
          <cell r="A57" t="str">
            <v>PR-XMP</v>
          </cell>
          <cell r="D57" t="str">
            <v>07/12/2019</v>
          </cell>
          <cell r="E57">
            <v>1</v>
          </cell>
          <cell r="F57">
            <v>0</v>
          </cell>
          <cell r="G57" t="str">
            <v>Spokane, WA - EUA</v>
          </cell>
          <cell r="H57" t="str">
            <v>New Production Aircraft</v>
          </cell>
          <cell r="I57">
            <v>1890.6410000000001</v>
          </cell>
          <cell r="J57">
            <v>1890.6410000000001</v>
          </cell>
          <cell r="K57">
            <v>10021.31</v>
          </cell>
          <cell r="L57">
            <v>10021.31</v>
          </cell>
          <cell r="M57">
            <v>10133.594999999999</v>
          </cell>
          <cell r="N57">
            <v>10133.594999999999</v>
          </cell>
          <cell r="O57">
            <v>1890.6410000000001</v>
          </cell>
          <cell r="P57">
            <v>1890.6410000000001</v>
          </cell>
          <cell r="Q57">
            <v>10021.31</v>
          </cell>
          <cell r="R57">
            <v>10021.31</v>
          </cell>
          <cell r="S57">
            <v>10133.594999999999</v>
          </cell>
          <cell r="T57">
            <v>10133.594999999999</v>
          </cell>
          <cell r="U57">
            <v>6.3650306748469401</v>
          </cell>
          <cell r="V57">
            <v>6.3650306748469401</v>
          </cell>
          <cell r="W57" t="str">
            <v>Down Lock, Nose Gear</v>
          </cell>
          <cell r="X57" t="str">
            <v>Down Lock, Main Gear</v>
          </cell>
          <cell r="Y57" t="str">
            <v>Plumb Bob</v>
          </cell>
          <cell r="Z57" t="str">
            <v>Wiring Diagrams</v>
          </cell>
          <cell r="AA57" t="str">
            <v>Production Flight Emergency Equipment</v>
          </cell>
          <cell r="AK57">
            <v>0.3</v>
          </cell>
          <cell r="AL57">
            <v>0.4</v>
          </cell>
          <cell r="AM57">
            <v>0.5</v>
          </cell>
          <cell r="AN57">
            <v>23.6</v>
          </cell>
          <cell r="AO57">
            <v>29.5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82</v>
          </cell>
          <cell r="AZ57">
            <v>702</v>
          </cell>
          <cell r="BA57">
            <v>685</v>
          </cell>
          <cell r="BB57">
            <v>230</v>
          </cell>
          <cell r="BC57">
            <v>230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 t="str">
            <v>Flaps 0 - 40° (Up when weighed)</v>
          </cell>
          <cell r="BN57" t="str">
            <v>Fuel, Drain, Unusable (5.6 Gal)</v>
          </cell>
          <cell r="BO57" t="str">
            <v>Lavatory Dry Supplies</v>
          </cell>
          <cell r="BP57" t="str">
            <v>Lavatory Pre-charge Fluid (6.0 Gal)</v>
          </cell>
          <cell r="BQ57" t="str">
            <v>Headphone</v>
          </cell>
          <cell r="BR57" t="str">
            <v>Water, Potable (62.6 Gal)</v>
          </cell>
          <cell r="CB57">
            <v>0</v>
          </cell>
          <cell r="CC57">
            <v>17.3</v>
          </cell>
          <cell r="CD57">
            <v>4</v>
          </cell>
          <cell r="CE57">
            <v>22.7</v>
          </cell>
          <cell r="CF57">
            <v>0.4</v>
          </cell>
          <cell r="CG57">
            <v>236.4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646</v>
          </cell>
          <cell r="CR57">
            <v>1138</v>
          </cell>
          <cell r="CS57">
            <v>1112</v>
          </cell>
          <cell r="CT57">
            <v>68</v>
          </cell>
          <cell r="CU57">
            <v>1150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N57" t="str">
            <v>08/06/2021</v>
          </cell>
          <cell r="DU57" t="str">
            <v>Boeing</v>
          </cell>
          <cell r="DV57" t="str">
            <v>186 Pax + 10 Flight Crew</v>
          </cell>
        </row>
        <row r="58">
          <cell r="A58" t="str">
            <v>PR-XMS</v>
          </cell>
          <cell r="D58" t="str">
            <v>06/10/2022</v>
          </cell>
          <cell r="E58">
            <v>1</v>
          </cell>
          <cell r="F58">
            <v>1</v>
          </cell>
          <cell r="G58" t="str">
            <v>Seattle, WA - EUA</v>
          </cell>
          <cell r="H58" t="str">
            <v>New Production Aircraft</v>
          </cell>
          <cell r="I58">
            <v>1895.83465</v>
          </cell>
          <cell r="J58">
            <v>1895.83465</v>
          </cell>
          <cell r="K58">
            <v>10084.719150000001</v>
          </cell>
          <cell r="L58">
            <v>10084.719150000001</v>
          </cell>
          <cell r="M58">
            <v>10081.929550000001</v>
          </cell>
          <cell r="N58">
            <v>10081.929550000001</v>
          </cell>
          <cell r="O58">
            <v>1895.83465</v>
          </cell>
          <cell r="P58">
            <v>1895.83465</v>
          </cell>
          <cell r="Q58">
            <v>10084.719150000001</v>
          </cell>
          <cell r="R58">
            <v>10084.719150000001</v>
          </cell>
          <cell r="S58">
            <v>10081.929550000001</v>
          </cell>
          <cell r="T58">
            <v>10081.929550000001</v>
          </cell>
          <cell r="U58">
            <v>9.4325153374234532</v>
          </cell>
          <cell r="V58">
            <v>8.6656441717791068</v>
          </cell>
          <cell r="W58" t="str">
            <v>Down Lock, Nose Gear</v>
          </cell>
          <cell r="X58" t="str">
            <v>Down Lock, Main Gear</v>
          </cell>
          <cell r="Y58" t="str">
            <v>Plumb Bob</v>
          </cell>
          <cell r="AK58">
            <v>0.3</v>
          </cell>
          <cell r="AL58">
            <v>0.4</v>
          </cell>
          <cell r="AM58">
            <v>0.5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82</v>
          </cell>
          <cell r="AZ58">
            <v>702</v>
          </cell>
          <cell r="BA58">
            <v>685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 t="str">
            <v>Flaps 0 - 40° (Up when weighed)</v>
          </cell>
          <cell r="BN58" t="str">
            <v>Fuel, Drain, Unusable (5.6 Gal)</v>
          </cell>
          <cell r="BO58" t="str">
            <v>Lavatory Dry Supplies</v>
          </cell>
          <cell r="BP58" t="str">
            <v>Lavatory Pre-charge Fluid (6.0 Gal)</v>
          </cell>
          <cell r="BQ58" t="str">
            <v>Water, Potable (62.6 Gal)</v>
          </cell>
          <cell r="BR58" t="str">
            <v>2Ku System Antenna Installation (ST03405NY)</v>
          </cell>
          <cell r="BS58" t="str">
            <v>2Ku System Cabin Equipment Installation(ST03403NY)</v>
          </cell>
          <cell r="CB58">
            <v>0</v>
          </cell>
          <cell r="CC58">
            <v>17.3</v>
          </cell>
          <cell r="CD58">
            <v>4</v>
          </cell>
          <cell r="CE58">
            <v>22.7</v>
          </cell>
          <cell r="CF58">
            <v>236.4</v>
          </cell>
          <cell r="CG58">
            <v>164.2</v>
          </cell>
          <cell r="CH58">
            <v>51.637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646</v>
          </cell>
          <cell r="CR58">
            <v>1138</v>
          </cell>
          <cell r="CS58">
            <v>1112</v>
          </cell>
          <cell r="CT58">
            <v>1150</v>
          </cell>
          <cell r="CU58">
            <v>861.98670000000004</v>
          </cell>
          <cell r="CV58">
            <v>468.20600000000002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N58" t="str">
            <v>27/04/2023</v>
          </cell>
          <cell r="DU58" t="str">
            <v>Boeing</v>
          </cell>
          <cell r="DV58" t="str">
            <v>186 Pax + 10 Flight Crew</v>
          </cell>
          <cell r="DW58" t="str">
            <v>GLP-MAX8-001-XMS R00</v>
          </cell>
        </row>
        <row r="59">
          <cell r="A59" t="str">
            <v>PR-XMT</v>
          </cell>
          <cell r="D59" t="str">
            <v>17/09/2021</v>
          </cell>
          <cell r="E59">
            <v>1</v>
          </cell>
          <cell r="F59">
            <v>0</v>
          </cell>
          <cell r="G59" t="str">
            <v>Seattle, WA - EUA</v>
          </cell>
          <cell r="H59" t="str">
            <v>New Production Aircraft</v>
          </cell>
          <cell r="I59">
            <v>1943.0083999999999</v>
          </cell>
          <cell r="J59">
            <v>1943.0083999999999</v>
          </cell>
          <cell r="K59">
            <v>10040.744049999999</v>
          </cell>
          <cell r="L59">
            <v>10040.744049999999</v>
          </cell>
          <cell r="M59">
            <v>10043.896500000001</v>
          </cell>
          <cell r="N59">
            <v>10043.896500000001</v>
          </cell>
          <cell r="O59">
            <v>1943.0083999999999</v>
          </cell>
          <cell r="P59">
            <v>1943.0083999999999</v>
          </cell>
          <cell r="Q59">
            <v>10040.744049999999</v>
          </cell>
          <cell r="R59">
            <v>10040.744049999999</v>
          </cell>
          <cell r="S59">
            <v>10043.896500000001</v>
          </cell>
          <cell r="T59">
            <v>10043.896500000001</v>
          </cell>
          <cell r="U59">
            <v>15.56748466257735</v>
          </cell>
          <cell r="V59">
            <v>15.56748466257735</v>
          </cell>
          <cell r="W59" t="str">
            <v>Down Lock, Nose Gear</v>
          </cell>
          <cell r="X59" t="str">
            <v>Down Lock, Main Gear</v>
          </cell>
          <cell r="Y59" t="str">
            <v>Plumb Bob</v>
          </cell>
          <cell r="Z59" t="str">
            <v>Wiring Diagrams</v>
          </cell>
          <cell r="AA59" t="str">
            <v>Loto Kit</v>
          </cell>
          <cell r="AK59">
            <v>0.3</v>
          </cell>
          <cell r="AL59">
            <v>0.4</v>
          </cell>
          <cell r="AM59">
            <v>0.5</v>
          </cell>
          <cell r="AN59">
            <v>23.6</v>
          </cell>
          <cell r="AO59">
            <v>12.7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82</v>
          </cell>
          <cell r="AZ59">
            <v>702</v>
          </cell>
          <cell r="BA59">
            <v>685</v>
          </cell>
          <cell r="BB59">
            <v>230</v>
          </cell>
          <cell r="BC59">
            <v>268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 t="str">
            <v>Flaps 0 - 40° (Up when weighed)</v>
          </cell>
          <cell r="BN59" t="str">
            <v>Fuel, Drain, Unusable (5.6 Gal)</v>
          </cell>
          <cell r="BO59" t="str">
            <v>Lavatory Dry Supplies</v>
          </cell>
          <cell r="BP59" t="str">
            <v>Lavatory Pre-charge Fluid (6.0 Gal)</v>
          </cell>
          <cell r="BQ59" t="str">
            <v>Water, Potable (62.6 Gal)</v>
          </cell>
          <cell r="CB59">
            <v>0</v>
          </cell>
          <cell r="CC59">
            <v>17.3</v>
          </cell>
          <cell r="CD59">
            <v>4</v>
          </cell>
          <cell r="CE59">
            <v>22.7</v>
          </cell>
          <cell r="CF59">
            <v>236.4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646</v>
          </cell>
          <cell r="CR59">
            <v>1138</v>
          </cell>
          <cell r="CS59">
            <v>1112</v>
          </cell>
          <cell r="CT59">
            <v>1150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N59" t="str">
            <v>29/09/2021</v>
          </cell>
          <cell r="DU59" t="str">
            <v>Boeing</v>
          </cell>
          <cell r="DV59" t="str">
            <v>186 Pax + 10 Flight Crew</v>
          </cell>
          <cell r="DW59" t="str">
            <v>GLP-MAX8-001-XMT R00</v>
          </cell>
        </row>
        <row r="60">
          <cell r="A60" t="str">
            <v>PR-XMU</v>
          </cell>
          <cell r="D60" t="str">
            <v>12/10/2020</v>
          </cell>
          <cell r="E60">
            <v>1</v>
          </cell>
          <cell r="F60">
            <v>0</v>
          </cell>
          <cell r="G60" t="str">
            <v>Seattle, WA - EUA</v>
          </cell>
          <cell r="H60" t="str">
            <v>New Production Aircraft</v>
          </cell>
          <cell r="I60">
            <v>1860.2049500000001</v>
          </cell>
          <cell r="J60">
            <v>1860.2049500000001</v>
          </cell>
          <cell r="K60">
            <v>10041.8547</v>
          </cell>
          <cell r="L60">
            <v>10041.8547</v>
          </cell>
          <cell r="M60">
            <v>10024.8676</v>
          </cell>
          <cell r="N60">
            <v>10024.8676</v>
          </cell>
          <cell r="O60">
            <v>1860.2049500000001</v>
          </cell>
          <cell r="P60">
            <v>1860.2049500000001</v>
          </cell>
          <cell r="Q60">
            <v>10041.8547</v>
          </cell>
          <cell r="R60">
            <v>10041.8547</v>
          </cell>
          <cell r="S60">
            <v>10024.8676</v>
          </cell>
          <cell r="T60">
            <v>10024.8676</v>
          </cell>
          <cell r="U60">
            <v>10.199386503067799</v>
          </cell>
          <cell r="V60">
            <v>10.199386503067799</v>
          </cell>
          <cell r="W60" t="str">
            <v>DOWN LOCK, NOSE GEAR</v>
          </cell>
          <cell r="X60" t="str">
            <v>DOWN LOCK, MAIN GEAR</v>
          </cell>
          <cell r="Y60" t="str">
            <v>PLUMB BOB</v>
          </cell>
          <cell r="Z60" t="str">
            <v>INTERIOR PROTECTIVE COVER</v>
          </cell>
          <cell r="AA60" t="str">
            <v>LIVE VEST, CREW</v>
          </cell>
          <cell r="AK60">
            <v>0.3</v>
          </cell>
          <cell r="AL60">
            <v>0.4</v>
          </cell>
          <cell r="AM60">
            <v>0.5</v>
          </cell>
          <cell r="AN60">
            <v>5</v>
          </cell>
          <cell r="AO60">
            <v>0.5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82</v>
          </cell>
          <cell r="AZ60">
            <v>702</v>
          </cell>
          <cell r="BA60">
            <v>685</v>
          </cell>
          <cell r="BB60">
            <v>560</v>
          </cell>
          <cell r="BC60">
            <v>41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 t="str">
            <v>FLAPS 0 - 40° (UP WHEN WEIGHED)</v>
          </cell>
          <cell r="BN60" t="str">
            <v>FUEL, DRAINABLE, UNUSABLE (5.6 GAL)</v>
          </cell>
          <cell r="BO60" t="str">
            <v>OXYGEN ACCESS PANEL</v>
          </cell>
          <cell r="BP60" t="str">
            <v>OXYGEN ACCESS CHARGE</v>
          </cell>
          <cell r="BQ60" t="str">
            <v>WATER, PORTABLE (62.6 GAL)</v>
          </cell>
          <cell r="BR60" t="str">
            <v>FUEL, TRAPPED, USABLE (5.5 GAL)</v>
          </cell>
          <cell r="BS60" t="str">
            <v>FUEL, TRAPPED, UNUSABLE (14.2 GAL)</v>
          </cell>
          <cell r="BT60" t="str">
            <v>OIL, DRAIN. USABLE ENGINE (10.2 GAL)</v>
          </cell>
          <cell r="BU60" t="str">
            <v>OIL, DRAIN. UNUSABLE ENGINE (6.6 GAL)</v>
          </cell>
          <cell r="BV60" t="str">
            <v>OIL, TRAPPED. UNUSABLE ENGINE (1.0 GAL)</v>
          </cell>
          <cell r="BW60" t="str">
            <v>OIL, INTEGRATED DRIVE GEN. (4.4 GAL)</v>
          </cell>
          <cell r="BX60" t="str">
            <v>OIL, AUXILIARY POWER UNIT (2.3 GAL)</v>
          </cell>
          <cell r="BY60" t="str">
            <v>LAVATORY FLUID, PRECHARGE (6.0 GAL)</v>
          </cell>
          <cell r="BZ60" t="str">
            <v>OPERATIONS MANUALS</v>
          </cell>
          <cell r="CA60" t="str">
            <v>BOOM MICROPHONE W/HEADSET</v>
          </cell>
          <cell r="CB60">
            <v>0</v>
          </cell>
          <cell r="CC60">
            <v>17.3</v>
          </cell>
          <cell r="CD60">
            <v>4.2</v>
          </cell>
          <cell r="CE60">
            <v>5.4</v>
          </cell>
          <cell r="CF60">
            <v>236.4</v>
          </cell>
          <cell r="CG60">
            <v>17</v>
          </cell>
          <cell r="CH60">
            <v>43.8</v>
          </cell>
          <cell r="CI60">
            <v>38.4</v>
          </cell>
          <cell r="CJ60">
            <v>24.8</v>
          </cell>
          <cell r="CK60">
            <v>3.8</v>
          </cell>
          <cell r="CL60">
            <v>17</v>
          </cell>
          <cell r="CM60">
            <v>8.6</v>
          </cell>
          <cell r="CN60">
            <v>22.7</v>
          </cell>
          <cell r="CO60">
            <v>2.2999999999999998</v>
          </cell>
          <cell r="CP60">
            <v>0</v>
          </cell>
          <cell r="CQ60">
            <v>646</v>
          </cell>
          <cell r="CR60">
            <v>204</v>
          </cell>
          <cell r="CS60">
            <v>183</v>
          </cell>
          <cell r="CT60">
            <v>1150</v>
          </cell>
          <cell r="CU60">
            <v>632</v>
          </cell>
          <cell r="CV60">
            <v>638</v>
          </cell>
          <cell r="CW60">
            <v>508</v>
          </cell>
          <cell r="CX60">
            <v>508</v>
          </cell>
          <cell r="CY60">
            <v>535</v>
          </cell>
          <cell r="CZ60">
            <v>495</v>
          </cell>
          <cell r="DA60">
            <v>1333</v>
          </cell>
          <cell r="DB60">
            <v>1112</v>
          </cell>
          <cell r="DC60">
            <v>67</v>
          </cell>
          <cell r="DN60" t="str">
            <v>19/10/2021</v>
          </cell>
          <cell r="DU60" t="str">
            <v>Boeing</v>
          </cell>
          <cell r="DV60" t="str">
            <v>186 Pax + 10 Flight Crew</v>
          </cell>
          <cell r="DW60" t="str">
            <v>GLP-MAX8-001-XMU R00</v>
          </cell>
        </row>
        <row r="61">
          <cell r="A61" t="str">
            <v>PR-XMV</v>
          </cell>
          <cell r="D61" t="str">
            <v>08/12/2021</v>
          </cell>
          <cell r="E61">
            <v>1</v>
          </cell>
          <cell r="F61">
            <v>0</v>
          </cell>
          <cell r="G61" t="str">
            <v>Seattle, WA - EUA</v>
          </cell>
          <cell r="H61" t="str">
            <v>New Production Aircraft</v>
          </cell>
          <cell r="I61">
            <v>1860.4319</v>
          </cell>
          <cell r="J61">
            <v>1860.4319</v>
          </cell>
          <cell r="K61">
            <v>10022.37355</v>
          </cell>
          <cell r="L61">
            <v>10022.37355</v>
          </cell>
          <cell r="M61">
            <v>10029.177449999999</v>
          </cell>
          <cell r="N61">
            <v>10029.177449999999</v>
          </cell>
          <cell r="O61">
            <v>1860.4319</v>
          </cell>
          <cell r="P61">
            <v>1860.4319</v>
          </cell>
          <cell r="Q61">
            <v>10022.37355</v>
          </cell>
          <cell r="R61">
            <v>10022.37355</v>
          </cell>
          <cell r="S61">
            <v>10029.177449999999</v>
          </cell>
          <cell r="T61">
            <v>10029.177449999999</v>
          </cell>
          <cell r="U61">
            <v>14.800613496933011</v>
          </cell>
          <cell r="V61">
            <v>15.56748466257735</v>
          </cell>
          <cell r="W61" t="str">
            <v>Down Lock, Nose Gear</v>
          </cell>
          <cell r="X61" t="str">
            <v>Down Lock, Main Gear</v>
          </cell>
          <cell r="Y61" t="str">
            <v>Plumb Bob</v>
          </cell>
          <cell r="Z61" t="str">
            <v>Interior Protective Coverings</v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>0,3</v>
          </cell>
          <cell r="AL61" t="str">
            <v>0,4</v>
          </cell>
          <cell r="AM61" t="str">
            <v>0,5</v>
          </cell>
          <cell r="AN61" t="str">
            <v>5</v>
          </cell>
          <cell r="AO61" t="str">
            <v>0</v>
          </cell>
          <cell r="AP61" t="str">
            <v>0</v>
          </cell>
          <cell r="AQ61" t="str">
            <v>0</v>
          </cell>
          <cell r="AR61" t="str">
            <v>0</v>
          </cell>
          <cell r="AS61" t="str">
            <v>0</v>
          </cell>
          <cell r="AT61" t="str">
            <v>0</v>
          </cell>
          <cell r="AU61" t="str">
            <v>0</v>
          </cell>
          <cell r="AV61" t="str">
            <v>0</v>
          </cell>
          <cell r="AW61" t="str">
            <v>0</v>
          </cell>
          <cell r="AX61" t="str">
            <v>0</v>
          </cell>
          <cell r="AY61" t="str">
            <v>82</v>
          </cell>
          <cell r="AZ61" t="str">
            <v>702</v>
          </cell>
          <cell r="BA61" t="str">
            <v>685</v>
          </cell>
          <cell r="BB61" t="str">
            <v>560</v>
          </cell>
          <cell r="BC61" t="str">
            <v>0</v>
          </cell>
          <cell r="BD61" t="str">
            <v>0</v>
          </cell>
          <cell r="BE61" t="str">
            <v>0</v>
          </cell>
          <cell r="BF61" t="str">
            <v>0</v>
          </cell>
          <cell r="BG61" t="str">
            <v>0</v>
          </cell>
          <cell r="BH61" t="str">
            <v>0</v>
          </cell>
          <cell r="BI61" t="str">
            <v>0</v>
          </cell>
          <cell r="BJ61" t="str">
            <v>0</v>
          </cell>
          <cell r="BK61" t="str">
            <v>0</v>
          </cell>
          <cell r="BL61" t="str">
            <v>0</v>
          </cell>
          <cell r="BM61" t="str">
            <v>Flaps 0 - 40° (Up when weighed)</v>
          </cell>
          <cell r="BN61" t="str">
            <v>Fuel, Drain, Unusable (5.6 Gal)</v>
          </cell>
          <cell r="BO61" t="str">
            <v>Lavatory Dry Supplies</v>
          </cell>
          <cell r="BP61" t="str">
            <v>Lavatory Pre-charge Fluid (6.0 Gal)</v>
          </cell>
          <cell r="BQ61" t="str">
            <v>Water, Potable (62.6 Gal)</v>
          </cell>
          <cell r="BR61" t="str">
            <v>FUEL, TRAPPED, USABLE (5.5 GAL)</v>
          </cell>
          <cell r="BS61" t="str">
            <v>FUEL, TRAPPED, UNUSABLE (14.2 GAL)</v>
          </cell>
          <cell r="BT61" t="str">
            <v>OIL, DRAIN. USABLE ENGINE (10.2 GAL)</v>
          </cell>
          <cell r="BU61" t="str">
            <v>OIL, DRAIN. UNUSABLE ENGINE (6.6 GAL)</v>
          </cell>
          <cell r="BV61" t="str">
            <v>OIL, TRAPPED. UNUSABLE ENGINE (1.0 GAL)</v>
          </cell>
          <cell r="BW61" t="str">
            <v>OIL, INTEGRATED DRIVE GEN. (4.4 GAL)</v>
          </cell>
          <cell r="BX61" t="str">
            <v>OIL, AUXILIARY POWER UNIT (2.3 GAL)</v>
          </cell>
          <cell r="BY61" t="str">
            <v>4 OPERATIONS MANUALS</v>
          </cell>
          <cell r="BZ61" t="str">
            <v>HIGH PRESSURE WATER SEPARATOR ASSEMBLY</v>
          </cell>
          <cell r="CA61" t="str">
            <v>MISCELLANEOUS WATER SEPARATOR TUBES</v>
          </cell>
          <cell r="CB61">
            <v>0</v>
          </cell>
          <cell r="CC61">
            <v>17.3</v>
          </cell>
          <cell r="CD61">
            <v>4</v>
          </cell>
          <cell r="CE61">
            <v>22.7</v>
          </cell>
          <cell r="CF61">
            <v>236.4</v>
          </cell>
          <cell r="CG61">
            <v>17</v>
          </cell>
          <cell r="CH61">
            <v>43.8</v>
          </cell>
          <cell r="CI61">
            <v>38.4</v>
          </cell>
          <cell r="CJ61">
            <v>24.8</v>
          </cell>
          <cell r="CK61">
            <v>3.8</v>
          </cell>
          <cell r="CL61">
            <v>17</v>
          </cell>
          <cell r="CM61">
            <v>8.6</v>
          </cell>
          <cell r="CN61">
            <v>2.2999999999999998</v>
          </cell>
          <cell r="CO61">
            <v>19.600000000000001</v>
          </cell>
          <cell r="CP61">
            <v>0</v>
          </cell>
          <cell r="CQ61">
            <v>646</v>
          </cell>
          <cell r="CR61">
            <v>1138</v>
          </cell>
          <cell r="CS61">
            <v>1112</v>
          </cell>
          <cell r="CT61">
            <v>1150</v>
          </cell>
          <cell r="CU61">
            <v>632</v>
          </cell>
          <cell r="CV61">
            <v>638</v>
          </cell>
          <cell r="CW61">
            <v>508</v>
          </cell>
          <cell r="CX61">
            <v>508</v>
          </cell>
          <cell r="CY61">
            <v>535</v>
          </cell>
          <cell r="CZ61">
            <v>495</v>
          </cell>
          <cell r="DA61">
            <v>1333</v>
          </cell>
          <cell r="DB61">
            <v>67</v>
          </cell>
          <cell r="DC61">
            <v>567</v>
          </cell>
          <cell r="DD61" t="str">
            <v/>
          </cell>
          <cell r="DE61" t="str">
            <v/>
          </cell>
          <cell r="DF61" t="str">
            <v/>
          </cell>
          <cell r="DH61" t="str">
            <v/>
          </cell>
          <cell r="DN61" t="str">
            <v>10/12/2021</v>
          </cell>
          <cell r="DU61" t="str">
            <v>Boeing</v>
          </cell>
          <cell r="DV61" t="str">
            <v>186 Pax + 10 Flight Crew</v>
          </cell>
          <cell r="DW61" t="str">
            <v>GLP-MAX8-001-XMV R00</v>
          </cell>
        </row>
        <row r="62">
          <cell r="A62" t="str">
            <v>PR-XMW</v>
          </cell>
          <cell r="D62" t="str">
            <v>11/12/2020</v>
          </cell>
          <cell r="E62">
            <v>1</v>
          </cell>
          <cell r="F62">
            <v>0</v>
          </cell>
          <cell r="G62" t="str">
            <v>Seattle, WA - EUA</v>
          </cell>
          <cell r="H62" t="str">
            <v>New Production Aircraft</v>
          </cell>
          <cell r="I62">
            <v>1871.318</v>
          </cell>
          <cell r="J62">
            <v>1871.318</v>
          </cell>
          <cell r="K62">
            <v>10044.825699999999</v>
          </cell>
          <cell r="L62">
            <v>10044.825699999999</v>
          </cell>
          <cell r="M62">
            <v>9999.4439999999995</v>
          </cell>
          <cell r="N62">
            <v>9999.4439999999995</v>
          </cell>
          <cell r="O62">
            <v>1871.318</v>
          </cell>
          <cell r="P62">
            <v>1871.318</v>
          </cell>
          <cell r="Q62">
            <v>10044.825699999999</v>
          </cell>
          <cell r="R62">
            <v>10044.825699999999</v>
          </cell>
          <cell r="S62">
            <v>9999.4439999999995</v>
          </cell>
          <cell r="T62">
            <v>9999.4439999999995</v>
          </cell>
          <cell r="U62">
            <v>10.966257668712149</v>
          </cell>
          <cell r="V62">
            <v>11.73312883435649</v>
          </cell>
          <cell r="W62" t="str">
            <v>DOWN LOCK, NOSE GEAR</v>
          </cell>
          <cell r="X62" t="str">
            <v>DOWN LOCK, MAIN GEAR</v>
          </cell>
          <cell r="Y62" t="str">
            <v>PLUMB BOB</v>
          </cell>
          <cell r="Z62" t="str">
            <v>INTERIOR PROTECTIVE COVER</v>
          </cell>
          <cell r="AK62">
            <v>0.3</v>
          </cell>
          <cell r="AL62">
            <v>0.4</v>
          </cell>
          <cell r="AM62">
            <v>0.5</v>
          </cell>
          <cell r="AN62">
            <v>5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82</v>
          </cell>
          <cell r="AZ62">
            <v>702</v>
          </cell>
          <cell r="BA62">
            <v>685</v>
          </cell>
          <cell r="BB62">
            <v>560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 t="str">
            <v>FLAPS 0 - 40° (UP WHEN WEIGHED)</v>
          </cell>
          <cell r="BN62" t="str">
            <v>FUEL, DRAINABLE, UNUSABLE (5.6 GAL)</v>
          </cell>
          <cell r="BO62" t="str">
            <v>OXYGEN ACCESS PANEL</v>
          </cell>
          <cell r="BP62" t="str">
            <v>OXYGEN ACCESS CHARGE</v>
          </cell>
          <cell r="BQ62" t="str">
            <v>WATER, PORTABLE (62.6 GAL)</v>
          </cell>
          <cell r="BR62" t="str">
            <v>FUEL, TRAPPED, USABLE (5.5 GAL)</v>
          </cell>
          <cell r="BS62" t="str">
            <v>FUEL, TRAPPED, UNUSABLE (14.2 GAL)</v>
          </cell>
          <cell r="BT62" t="str">
            <v>OIL, DRAIN. USABLE ENGINE (10.2 GAL)</v>
          </cell>
          <cell r="BU62" t="str">
            <v>OIL, DRAIN. UNUSABLE ENGINE (6.6 GAL)</v>
          </cell>
          <cell r="BV62" t="str">
            <v>OIL, TRAPPED. UNUSABLE ENGINE (1.0 GAL)</v>
          </cell>
          <cell r="BW62" t="str">
            <v>OIL, INTEGRATED DRIVE GEN. (4.4 GAL)</v>
          </cell>
          <cell r="BX62" t="str">
            <v>OIL, AUXILIARY POWER UNIT (2.3 GAL)</v>
          </cell>
          <cell r="BY62" t="str">
            <v>LAVATORY FLUID, PRECHARGE (6.0 GAL)</v>
          </cell>
          <cell r="BZ62" t="str">
            <v>OPERATIONS MANUALS</v>
          </cell>
          <cell r="CA62" t="str">
            <v>MISCELLANEOUS WATER SEPARATOR TUBES</v>
          </cell>
          <cell r="CB62">
            <v>0</v>
          </cell>
          <cell r="CC62">
            <v>17.3</v>
          </cell>
          <cell r="CD62">
            <v>4.2</v>
          </cell>
          <cell r="CE62">
            <v>5.4</v>
          </cell>
          <cell r="CF62">
            <v>236.4</v>
          </cell>
          <cell r="CG62">
            <v>17</v>
          </cell>
          <cell r="CH62">
            <v>43.8</v>
          </cell>
          <cell r="CI62">
            <v>38.4</v>
          </cell>
          <cell r="CJ62">
            <v>24.8</v>
          </cell>
          <cell r="CK62">
            <v>3.8</v>
          </cell>
          <cell r="CL62">
            <v>17</v>
          </cell>
          <cell r="CM62">
            <v>8.6</v>
          </cell>
          <cell r="CN62">
            <v>22.7</v>
          </cell>
          <cell r="CO62">
            <v>2.2999999999999998</v>
          </cell>
          <cell r="CP62">
            <v>0</v>
          </cell>
          <cell r="CQ62">
            <v>646</v>
          </cell>
          <cell r="CR62">
            <v>204</v>
          </cell>
          <cell r="CS62">
            <v>183</v>
          </cell>
          <cell r="CT62">
            <v>1150</v>
          </cell>
          <cell r="CU62">
            <v>632</v>
          </cell>
          <cell r="CV62">
            <v>638</v>
          </cell>
          <cell r="CW62">
            <v>508</v>
          </cell>
          <cell r="CX62">
            <v>508</v>
          </cell>
          <cell r="CY62">
            <v>535</v>
          </cell>
          <cell r="CZ62">
            <v>495</v>
          </cell>
          <cell r="DA62">
            <v>1333</v>
          </cell>
          <cell r="DB62">
            <v>1112</v>
          </cell>
          <cell r="DC62">
            <v>67</v>
          </cell>
          <cell r="DN62" t="str">
            <v>19/10/2021</v>
          </cell>
          <cell r="DU62" t="str">
            <v>Boeing</v>
          </cell>
          <cell r="DV62" t="str">
            <v>186 Pax + 10 Flight Crew</v>
          </cell>
          <cell r="DW62" t="str">
            <v>GLP-MAX8-001-XMW R00</v>
          </cell>
        </row>
        <row r="63">
          <cell r="A63" t="str">
            <v>PR-XMX</v>
          </cell>
          <cell r="D63" t="str">
            <v>22/12/2021</v>
          </cell>
          <cell r="E63">
            <v>1</v>
          </cell>
          <cell r="F63">
            <v>0</v>
          </cell>
          <cell r="G63" t="str">
            <v>Seattle, WA - EUA</v>
          </cell>
          <cell r="H63" t="str">
            <v>New Production Aircraft</v>
          </cell>
          <cell r="I63">
            <v>1827.8185000000001</v>
          </cell>
          <cell r="J63">
            <v>1827.8185000000001</v>
          </cell>
          <cell r="K63">
            <v>10060.905549999999</v>
          </cell>
          <cell r="L63">
            <v>10060.905549999999</v>
          </cell>
          <cell r="M63">
            <v>10151.057049999999</v>
          </cell>
          <cell r="N63">
            <v>10151.057049999999</v>
          </cell>
          <cell r="O63">
            <v>1827.8185000000001</v>
          </cell>
          <cell r="P63">
            <v>1827.8185000000001</v>
          </cell>
          <cell r="Q63">
            <v>10060.905549999999</v>
          </cell>
          <cell r="R63">
            <v>10060.905549999999</v>
          </cell>
          <cell r="S63">
            <v>10151.057049999999</v>
          </cell>
          <cell r="T63">
            <v>10151.057049999999</v>
          </cell>
          <cell r="U63">
            <v>4.8312883435582474</v>
          </cell>
          <cell r="V63">
            <v>4.8312883435582474</v>
          </cell>
          <cell r="W63" t="str">
            <v>Down Lock, Nose Gear</v>
          </cell>
          <cell r="X63" t="str">
            <v>Down Lock, Main Gear</v>
          </cell>
          <cell r="Y63" t="str">
            <v>Plumb Bob</v>
          </cell>
          <cell r="Z63" t="str">
            <v>Wiring Diagrams</v>
          </cell>
          <cell r="AA63" t="str">
            <v>Production Flight Emergency Equipment</v>
          </cell>
          <cell r="AB63" t="str">
            <v>Defibrillator</v>
          </cell>
          <cell r="AC63" t="str">
            <v>Level Correction (value added to CG)</v>
          </cell>
          <cell r="AK63">
            <v>0.3</v>
          </cell>
          <cell r="AL63">
            <v>0.4</v>
          </cell>
          <cell r="AM63">
            <v>0.5</v>
          </cell>
          <cell r="AN63">
            <v>23.6</v>
          </cell>
          <cell r="AO63">
            <v>29.5</v>
          </cell>
          <cell r="AP63">
            <v>5.4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82</v>
          </cell>
          <cell r="AZ63">
            <v>702</v>
          </cell>
          <cell r="BA63">
            <v>685</v>
          </cell>
          <cell r="BB63">
            <v>230</v>
          </cell>
          <cell r="BC63">
            <v>230</v>
          </cell>
          <cell r="BD63">
            <v>230</v>
          </cell>
          <cell r="BE63">
            <v>0.8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 t="str">
            <v>Flaps 0 - 40° (Up when weighed)</v>
          </cell>
          <cell r="BN63" t="str">
            <v>Fuel, Drain, Unusable (5.6 Gal)</v>
          </cell>
          <cell r="BO63" t="str">
            <v>Lavatory Dry Supplies</v>
          </cell>
          <cell r="BP63" t="str">
            <v>Lavatory Pre-charge Fluid (6.0 Gal)</v>
          </cell>
          <cell r="BQ63" t="str">
            <v>Water, Potable (62.6 Gal)</v>
          </cell>
          <cell r="CB63">
            <v>0</v>
          </cell>
          <cell r="CC63">
            <v>17.3</v>
          </cell>
          <cell r="CD63">
            <v>4</v>
          </cell>
          <cell r="CE63">
            <v>22.7</v>
          </cell>
          <cell r="CF63">
            <v>236.4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646</v>
          </cell>
          <cell r="CR63">
            <v>1138</v>
          </cell>
          <cell r="CS63">
            <v>1112</v>
          </cell>
          <cell r="CT63">
            <v>1150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N63" t="str">
            <v>10/01/2022</v>
          </cell>
          <cell r="DU63" t="str">
            <v>Boeing</v>
          </cell>
          <cell r="DV63" t="str">
            <v>186 Pax + 10 Flight Crew</v>
          </cell>
          <cell r="DW63" t="str">
            <v>GLP-MAX8-001-XMX R00</v>
          </cell>
        </row>
        <row r="64">
          <cell r="A64" t="str">
            <v>PR-XMY</v>
          </cell>
          <cell r="D64" t="str">
            <v>15/08/2023</v>
          </cell>
          <cell r="E64">
            <v>1</v>
          </cell>
          <cell r="F64">
            <v>0</v>
          </cell>
          <cell r="G64" t="str">
            <v>Seattle, WA - EUA</v>
          </cell>
          <cell r="H64" t="str">
            <v>New Production Aircraft</v>
          </cell>
          <cell r="I64">
            <v>1873.1323500000001</v>
          </cell>
          <cell r="J64">
            <v>1873.1323500000001</v>
          </cell>
          <cell r="K64">
            <v>10041.401099999999</v>
          </cell>
          <cell r="L64">
            <v>10041.401099999999</v>
          </cell>
          <cell r="M64">
            <v>10032.10245</v>
          </cell>
          <cell r="N64">
            <v>10032.10245</v>
          </cell>
          <cell r="O64">
            <v>1873.1323500000001</v>
          </cell>
          <cell r="P64">
            <v>1873.1323500000001</v>
          </cell>
          <cell r="Q64">
            <v>10041.401099999999</v>
          </cell>
          <cell r="R64">
            <v>10041.401099999999</v>
          </cell>
          <cell r="S64">
            <v>10032.10245</v>
          </cell>
          <cell r="T64">
            <v>10032.10245</v>
          </cell>
          <cell r="U64">
            <v>8.6656441717791068</v>
          </cell>
          <cell r="V64">
            <v>8.6656441717791068</v>
          </cell>
          <cell r="W64" t="str">
            <v>Down Lock, Nose Gear</v>
          </cell>
          <cell r="X64" t="str">
            <v>Down Lock, Main Gear</v>
          </cell>
          <cell r="Y64" t="str">
            <v>Plumb Bob</v>
          </cell>
          <cell r="Z64" t="str">
            <v>Wiring Diagrams</v>
          </cell>
          <cell r="AK64">
            <v>0.3</v>
          </cell>
          <cell r="AL64">
            <v>0.4</v>
          </cell>
          <cell r="AM64">
            <v>0.5</v>
          </cell>
          <cell r="AN64">
            <v>23.6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82</v>
          </cell>
          <cell r="AZ64">
            <v>702</v>
          </cell>
          <cell r="BA64">
            <v>685</v>
          </cell>
          <cell r="BB64">
            <v>230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 t="str">
            <v>Flaps 0 - 40° (Up when weighed)</v>
          </cell>
          <cell r="BN64" t="str">
            <v>Fuel, Drain, Unusable (5.6 Gal)</v>
          </cell>
          <cell r="BO64" t="str">
            <v>Lavatory Dry Supplies</v>
          </cell>
          <cell r="BP64" t="str">
            <v>Lavatory Dry Supplies</v>
          </cell>
          <cell r="BQ64" t="str">
            <v>Lavatory Pre-charge Fluid (6.0 Gal)</v>
          </cell>
          <cell r="BR64" t="str">
            <v>Water, Potable (62.6 Gal)</v>
          </cell>
          <cell r="BS64" t="str">
            <v>Level Correction (value added to CG)</v>
          </cell>
          <cell r="BT64" t="str">
            <v>Fuel, Trapped, Usable (5.5 Gal)</v>
          </cell>
          <cell r="BU64" t="str">
            <v>Fuel, Trapped, Unusable (14.2 Gal)</v>
          </cell>
          <cell r="BV64" t="str">
            <v>Oil, Drain, Usable Engine (10.2 Gal)</v>
          </cell>
          <cell r="BW64" t="str">
            <v>Oil, Drain, Unusable Engine (6.6 Gal)</v>
          </cell>
          <cell r="BX64" t="str">
            <v>Oil, Trapped, Unusable Engine (1.0 Gal)</v>
          </cell>
          <cell r="BY64" t="str">
            <v>Oil, Auxiliary Power Unit (2.3 Gal)</v>
          </cell>
          <cell r="BZ64" t="str">
            <v>Boom Microphome w/  Headset</v>
          </cell>
          <cell r="CA64" t="str">
            <v>Headphome</v>
          </cell>
          <cell r="CB64">
            <v>0</v>
          </cell>
          <cell r="CC64">
            <v>17.3</v>
          </cell>
          <cell r="CD64">
            <v>2</v>
          </cell>
          <cell r="CE64">
            <v>4</v>
          </cell>
          <cell r="CF64">
            <v>22.7</v>
          </cell>
          <cell r="CG64">
            <v>236.4</v>
          </cell>
          <cell r="CH64">
            <v>0</v>
          </cell>
          <cell r="CI64">
            <v>17</v>
          </cell>
          <cell r="CJ64">
            <v>43.8</v>
          </cell>
          <cell r="CK64">
            <v>38.4</v>
          </cell>
          <cell r="CL64">
            <v>24.8</v>
          </cell>
          <cell r="CM64">
            <v>3.8</v>
          </cell>
          <cell r="CN64">
            <v>8.6</v>
          </cell>
          <cell r="CO64">
            <v>0.1</v>
          </cell>
          <cell r="CP64">
            <v>0</v>
          </cell>
          <cell r="CQ64">
            <v>646</v>
          </cell>
          <cell r="CR64">
            <v>80</v>
          </cell>
          <cell r="CS64">
            <v>1138</v>
          </cell>
          <cell r="CT64">
            <v>1112</v>
          </cell>
          <cell r="CU64">
            <v>1150</v>
          </cell>
          <cell r="CV64">
            <v>0.4</v>
          </cell>
          <cell r="CW64">
            <v>632</v>
          </cell>
          <cell r="CX64">
            <v>638</v>
          </cell>
          <cell r="CY64">
            <v>508</v>
          </cell>
          <cell r="CZ64">
            <v>508</v>
          </cell>
          <cell r="DA64">
            <v>535</v>
          </cell>
          <cell r="DB64">
            <v>1333</v>
          </cell>
          <cell r="DC64">
            <v>68</v>
          </cell>
          <cell r="DN64" t="str">
            <v>28/11/2023</v>
          </cell>
          <cell r="DU64" t="str">
            <v>Boeing</v>
          </cell>
          <cell r="DV64" t="str">
            <v>186 Pax + 10 Flight Crew</v>
          </cell>
          <cell r="DW64" t="str">
            <v>GLP-MAX8-001-XMY R00</v>
          </cell>
        </row>
        <row r="65">
          <cell r="A65" t="str">
            <v>PR-XMZ</v>
          </cell>
          <cell r="D65" t="str">
            <v>03/08/2023</v>
          </cell>
          <cell r="E65">
            <v>1</v>
          </cell>
          <cell r="F65">
            <v>0</v>
          </cell>
          <cell r="G65" t="str">
            <v>Seattle, WA - EUA</v>
          </cell>
          <cell r="H65" t="str">
            <v>New Production Aircraft</v>
          </cell>
          <cell r="I65">
            <v>1931.6684499999999</v>
          </cell>
          <cell r="J65">
            <v>1931.6684499999999</v>
          </cell>
          <cell r="K65">
            <v>10040.970149999999</v>
          </cell>
          <cell r="L65">
            <v>10040.970149999999</v>
          </cell>
          <cell r="M65">
            <v>10049.112150000001</v>
          </cell>
          <cell r="N65">
            <v>10049.112150000001</v>
          </cell>
          <cell r="O65">
            <v>1931.6684499999999</v>
          </cell>
          <cell r="P65">
            <v>1931.6684499999999</v>
          </cell>
          <cell r="Q65">
            <v>10040.970149999999</v>
          </cell>
          <cell r="R65">
            <v>10040.970149999999</v>
          </cell>
          <cell r="S65">
            <v>10049.112150000001</v>
          </cell>
          <cell r="T65">
            <v>10049.112150000001</v>
          </cell>
          <cell r="U65">
            <v>14.033742331288661</v>
          </cell>
          <cell r="V65">
            <v>13.266871165644311</v>
          </cell>
          <cell r="W65" t="str">
            <v>Down Lock, Nose Gear</v>
          </cell>
          <cell r="X65" t="str">
            <v>Down Lock, Main Gear</v>
          </cell>
          <cell r="Y65" t="str">
            <v>Plumb Bob</v>
          </cell>
          <cell r="Z65" t="str">
            <v>Wiring Diagrams</v>
          </cell>
          <cell r="AA65" t="str">
            <v>Operations Manuals</v>
          </cell>
          <cell r="AK65">
            <v>0.3</v>
          </cell>
          <cell r="AL65">
            <v>0.4</v>
          </cell>
          <cell r="AM65">
            <v>0.5</v>
          </cell>
          <cell r="AN65">
            <v>23.6</v>
          </cell>
          <cell r="AO65">
            <v>2.2999999999999998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82</v>
          </cell>
          <cell r="AZ65">
            <v>702</v>
          </cell>
          <cell r="BA65">
            <v>685</v>
          </cell>
          <cell r="BB65">
            <v>230</v>
          </cell>
          <cell r="BC65">
            <v>67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 t="str">
            <v>Flaps 0 - 40° (Up when weighed)</v>
          </cell>
          <cell r="BN65" t="str">
            <v>Fuel, Drain, Unusable (5.6 Gal)</v>
          </cell>
          <cell r="BO65" t="str">
            <v>Lavatory Dry Supplies</v>
          </cell>
          <cell r="BP65" t="str">
            <v>Lavatory Dry Supplies</v>
          </cell>
          <cell r="BQ65" t="str">
            <v>Lavatory Pre-charge Fluid (6.0 Gal)</v>
          </cell>
          <cell r="BR65" t="str">
            <v>Headphone</v>
          </cell>
          <cell r="BS65" t="str">
            <v>Level Correction (value added to CG)</v>
          </cell>
          <cell r="BT65" t="str">
            <v>Water, Potable (62.6 Gal)</v>
          </cell>
          <cell r="CB65">
            <v>0</v>
          </cell>
          <cell r="CC65">
            <v>17.3</v>
          </cell>
          <cell r="CD65">
            <v>2</v>
          </cell>
          <cell r="CE65">
            <v>4</v>
          </cell>
          <cell r="CF65">
            <v>22.7</v>
          </cell>
          <cell r="CG65">
            <v>0.4</v>
          </cell>
          <cell r="CH65">
            <v>0</v>
          </cell>
          <cell r="CI65">
            <v>236.4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646</v>
          </cell>
          <cell r="CR65">
            <v>80</v>
          </cell>
          <cell r="CS65">
            <v>1138</v>
          </cell>
          <cell r="CT65">
            <v>1112</v>
          </cell>
          <cell r="CU65">
            <v>68</v>
          </cell>
          <cell r="CV65">
            <v>0.8</v>
          </cell>
          <cell r="CW65">
            <v>1150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N65" t="str">
            <v>25/08/2023</v>
          </cell>
          <cell r="DU65" t="str">
            <v>Boeing</v>
          </cell>
          <cell r="DV65" t="str">
            <v>186 Pax + 10 Flight Crew</v>
          </cell>
          <cell r="DW65" t="str">
            <v>GLP-MAX8-001-XMZ R00</v>
          </cell>
        </row>
        <row r="66">
          <cell r="A66" t="str">
            <v>PS-GPC</v>
          </cell>
          <cell r="D66" t="str">
            <v>05/11/2021</v>
          </cell>
          <cell r="E66">
            <v>2</v>
          </cell>
          <cell r="F66">
            <v>1</v>
          </cell>
          <cell r="G66" t="str">
            <v>Lagoa Santa, MG - Brazil</v>
          </cell>
          <cell r="H66" t="str">
            <v>New Painting</v>
          </cell>
          <cell r="I66">
            <v>1855.5</v>
          </cell>
          <cell r="J66">
            <v>1855.5</v>
          </cell>
          <cell r="K66">
            <v>9912.5</v>
          </cell>
          <cell r="L66">
            <v>9912.5</v>
          </cell>
          <cell r="M66">
            <v>9983.5</v>
          </cell>
          <cell r="N66">
            <v>9983.5</v>
          </cell>
          <cell r="O66">
            <v>1855.5</v>
          </cell>
          <cell r="P66">
            <v>1855.5</v>
          </cell>
          <cell r="Q66">
            <v>9912.5</v>
          </cell>
          <cell r="R66">
            <v>9912.5</v>
          </cell>
          <cell r="S66">
            <v>9983.5</v>
          </cell>
          <cell r="T66">
            <v>9983.5</v>
          </cell>
          <cell r="U66">
            <v>5.1970858895711096</v>
          </cell>
          <cell r="V66">
            <v>4.8427914110435104</v>
          </cell>
          <cell r="W66" t="str">
            <v>Down Lock, Nose Gear</v>
          </cell>
          <cell r="X66" t="str">
            <v>Down Lock, Main Gear</v>
          </cell>
          <cell r="Y66" t="str">
            <v>Plumb Bob</v>
          </cell>
          <cell r="Z66" t="str">
            <v>Wiring Diagrams</v>
          </cell>
          <cell r="AK66">
            <v>0.3</v>
          </cell>
          <cell r="AL66">
            <v>0.4</v>
          </cell>
          <cell r="AM66">
            <v>0.5</v>
          </cell>
          <cell r="AN66">
            <v>23.6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82</v>
          </cell>
          <cell r="AZ66">
            <v>702</v>
          </cell>
          <cell r="BA66">
            <v>685</v>
          </cell>
          <cell r="BB66">
            <v>230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 t="str">
            <v>Flaps 0 - 40° (Up when weighed)</v>
          </cell>
          <cell r="BN66" t="str">
            <v>Fuel, Drain, Unusable (5.6 Gal)</v>
          </cell>
          <cell r="BO66" t="str">
            <v>Lavatory Dry Supplies</v>
          </cell>
          <cell r="BP66" t="str">
            <v>Lavatory Pre-charge Fluid (6.0 Gal)</v>
          </cell>
          <cell r="BQ66" t="str">
            <v>Water, Potable (62.6 Gal)</v>
          </cell>
          <cell r="BR66" t="str">
            <v>Production Flight Emergency Equipment</v>
          </cell>
          <cell r="BS66" t="str">
            <v>Level Crrection (added to C.G)</v>
          </cell>
          <cell r="CB66">
            <v>0</v>
          </cell>
          <cell r="CC66">
            <v>17.3</v>
          </cell>
          <cell r="CD66">
            <v>4</v>
          </cell>
          <cell r="CE66">
            <v>22.7</v>
          </cell>
          <cell r="CF66">
            <v>236.7</v>
          </cell>
          <cell r="CG66">
            <v>29.5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646</v>
          </cell>
          <cell r="CR66">
            <v>1138</v>
          </cell>
          <cell r="CS66">
            <v>1112</v>
          </cell>
          <cell r="CT66">
            <v>1150</v>
          </cell>
          <cell r="CU66">
            <v>230</v>
          </cell>
          <cell r="CV66">
            <v>0.2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 t="str">
            <v/>
          </cell>
          <cell r="DE66" t="str">
            <v/>
          </cell>
          <cell r="DF66" t="str">
            <v/>
          </cell>
          <cell r="DH66" t="str">
            <v/>
          </cell>
          <cell r="DN66" t="str">
            <v>21/01/2023</v>
          </cell>
          <cell r="DU66" t="str">
            <v>GOL</v>
          </cell>
          <cell r="DV66" t="str">
            <v>186 Pax + 10 Flight Crew</v>
          </cell>
          <cell r="DW66" t="str">
            <v>GLP-MAX8-002-GPC</v>
          </cell>
        </row>
        <row r="67">
          <cell r="A67" t="str">
            <v>PS-GPH</v>
          </cell>
          <cell r="D67" t="str">
            <v>02/09/2022</v>
          </cell>
          <cell r="E67">
            <v>1</v>
          </cell>
          <cell r="F67">
            <v>1</v>
          </cell>
          <cell r="G67" t="str">
            <v>Seattle, WA - EUA</v>
          </cell>
          <cell r="H67" t="str">
            <v>New Production Aircraft</v>
          </cell>
          <cell r="I67">
            <v>1961.355</v>
          </cell>
          <cell r="J67">
            <v>1961.355</v>
          </cell>
          <cell r="K67">
            <v>9992.5499999999993</v>
          </cell>
          <cell r="L67">
            <v>9992.5499999999993</v>
          </cell>
          <cell r="M67">
            <v>9995.93</v>
          </cell>
          <cell r="N67">
            <v>9995.93</v>
          </cell>
          <cell r="O67">
            <v>1961.355</v>
          </cell>
          <cell r="P67">
            <v>1961.355</v>
          </cell>
          <cell r="Q67">
            <v>9992.5499999999993</v>
          </cell>
          <cell r="R67">
            <v>9992.5499999999993</v>
          </cell>
          <cell r="S67">
            <v>9995.93</v>
          </cell>
          <cell r="T67">
            <v>9995.93</v>
          </cell>
          <cell r="U67">
            <v>4.0644171779147733</v>
          </cell>
          <cell r="V67">
            <v>4.0644171779147733</v>
          </cell>
          <cell r="W67" t="str">
            <v>Down Lock, Nose Gear</v>
          </cell>
          <cell r="X67" t="str">
            <v>Down Lock, Main Gear</v>
          </cell>
          <cell r="Y67" t="str">
            <v>Plumb Bob</v>
          </cell>
          <cell r="Z67" t="str">
            <v>Wiring Diagrams</v>
          </cell>
          <cell r="AA67" t="str">
            <v>Production Flight Emergency Equipment</v>
          </cell>
          <cell r="AB67" t="str">
            <v>Seats Removal (176 Pax)</v>
          </cell>
          <cell r="AK67">
            <v>0.3</v>
          </cell>
          <cell r="AL67">
            <v>0.4</v>
          </cell>
          <cell r="AM67">
            <v>0.5</v>
          </cell>
          <cell r="AN67">
            <v>23.6</v>
          </cell>
          <cell r="AO67">
            <v>29.5</v>
          </cell>
          <cell r="AP67">
            <v>2150.6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82</v>
          </cell>
          <cell r="AZ67">
            <v>702</v>
          </cell>
          <cell r="BA67">
            <v>685</v>
          </cell>
          <cell r="BB67">
            <v>230</v>
          </cell>
          <cell r="BC67">
            <v>230</v>
          </cell>
          <cell r="BD67">
            <v>646.77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 t="str">
            <v>Flaps 0 - 40° (Up when weighed)</v>
          </cell>
          <cell r="BN67" t="str">
            <v>Fuel, Drain, Unusable (5.6 Gal)</v>
          </cell>
          <cell r="BO67" t="str">
            <v>Lavatory Dry Supplies</v>
          </cell>
          <cell r="BP67" t="str">
            <v>Lavatory Pre-charge Fluid (6.0 Gal)</v>
          </cell>
          <cell r="BQ67" t="str">
            <v>Water, Potable (62.6 Gal)</v>
          </cell>
          <cell r="BR67" t="str">
            <v>Oven</v>
          </cell>
          <cell r="BS67" t="str">
            <v>Oven Rack</v>
          </cell>
          <cell r="BT67" t="str">
            <v>Oven Tray</v>
          </cell>
          <cell r="BU67" t="str">
            <v>Level Correction (value added to CG)</v>
          </cell>
          <cell r="BV67" t="str">
            <v>Seats Installation (186 Pax)</v>
          </cell>
          <cell r="CB67">
            <v>0</v>
          </cell>
          <cell r="CC67">
            <v>17.3</v>
          </cell>
          <cell r="CD67">
            <v>4</v>
          </cell>
          <cell r="CE67">
            <v>22.7</v>
          </cell>
          <cell r="CF67">
            <v>236.4</v>
          </cell>
          <cell r="CG67">
            <v>15.3</v>
          </cell>
          <cell r="CH67">
            <v>3.4</v>
          </cell>
          <cell r="CI67">
            <v>1.6</v>
          </cell>
          <cell r="CJ67">
            <v>0</v>
          </cell>
          <cell r="CK67">
            <v>2051.1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646</v>
          </cell>
          <cell r="CR67">
            <v>1138</v>
          </cell>
          <cell r="CS67">
            <v>1112</v>
          </cell>
          <cell r="CT67">
            <v>1150</v>
          </cell>
          <cell r="CU67">
            <v>1214</v>
          </cell>
          <cell r="CV67">
            <v>1214</v>
          </cell>
          <cell r="CW67">
            <v>1214</v>
          </cell>
          <cell r="CX67">
            <v>0.2</v>
          </cell>
          <cell r="CY67">
            <v>661.15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N67" t="str">
            <v>28/09/2022</v>
          </cell>
          <cell r="DU67" t="str">
            <v>Boeing</v>
          </cell>
          <cell r="DV67" t="str">
            <v>186 Pax + 8 Flight Crew</v>
          </cell>
          <cell r="DW67" t="str">
            <v>GLP-MAX8-002-GPH</v>
          </cell>
        </row>
        <row r="68">
          <cell r="A68" t="str">
            <v>PS-GPI</v>
          </cell>
          <cell r="D68" t="str">
            <v>07/02/2022</v>
          </cell>
          <cell r="E68">
            <v>1</v>
          </cell>
          <cell r="F68">
            <v>1</v>
          </cell>
          <cell r="G68" t="str">
            <v>Victorville EUA</v>
          </cell>
          <cell r="H68" t="str">
            <v>New Production Aircraft</v>
          </cell>
          <cell r="I68">
            <v>1930.24</v>
          </cell>
          <cell r="J68">
            <v>1930.24</v>
          </cell>
          <cell r="K68">
            <v>9999.125</v>
          </cell>
          <cell r="L68">
            <v>9999.125</v>
          </cell>
          <cell r="M68">
            <v>9999.8050000000003</v>
          </cell>
          <cell r="N68">
            <v>9999.8050000000003</v>
          </cell>
          <cell r="O68">
            <v>1930.24</v>
          </cell>
          <cell r="P68">
            <v>1930.24</v>
          </cell>
          <cell r="Q68">
            <v>9999.125</v>
          </cell>
          <cell r="R68">
            <v>9999.125</v>
          </cell>
          <cell r="S68">
            <v>9999.8050000000003</v>
          </cell>
          <cell r="T68">
            <v>9999.8050000000003</v>
          </cell>
          <cell r="U68">
            <v>5.5981595092025938</v>
          </cell>
          <cell r="V68">
            <v>4.8312883435582474</v>
          </cell>
          <cell r="W68" t="str">
            <v>Down Lock, Nose Gear</v>
          </cell>
          <cell r="X68" t="str">
            <v>Down Lock, Main Gear</v>
          </cell>
          <cell r="Y68" t="str">
            <v>Plumb Bob</v>
          </cell>
          <cell r="Z68" t="str">
            <v>Wiring Diagrams</v>
          </cell>
          <cell r="AA68" t="str">
            <v>Production Flight Emergency Equipment</v>
          </cell>
          <cell r="AB68" t="str">
            <v>Desfibrilador</v>
          </cell>
          <cell r="AC68" t="str">
            <v>Non-Level Weigh Adjustment: 1/4° Tail Down</v>
          </cell>
          <cell r="AD68" t="str">
            <v>Seats Removal (176 Pax)</v>
          </cell>
          <cell r="AK68">
            <v>0.3</v>
          </cell>
          <cell r="AL68">
            <v>0.4</v>
          </cell>
          <cell r="AM68">
            <v>0.5</v>
          </cell>
          <cell r="AN68">
            <v>23.6</v>
          </cell>
          <cell r="AO68">
            <v>29.5</v>
          </cell>
          <cell r="AP68">
            <v>5.4</v>
          </cell>
          <cell r="AQ68">
            <v>0</v>
          </cell>
          <cell r="AR68">
            <v>2150.6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82</v>
          </cell>
          <cell r="AZ68">
            <v>702</v>
          </cell>
          <cell r="BA68">
            <v>685</v>
          </cell>
          <cell r="BB68">
            <v>230</v>
          </cell>
          <cell r="BC68">
            <v>230</v>
          </cell>
          <cell r="BD68">
            <v>230</v>
          </cell>
          <cell r="BE68">
            <v>0.4</v>
          </cell>
          <cell r="BF68">
            <v>646.77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 t="str">
            <v>Flaps 0 - 40° (Up when weighed)</v>
          </cell>
          <cell r="BN68" t="str">
            <v>Fuel, Drain, Unusable (5.6 Gal)</v>
          </cell>
          <cell r="BO68" t="str">
            <v>Lavatory Dry Supplies</v>
          </cell>
          <cell r="BP68" t="str">
            <v>Lavatory Pre-charge Fluid (6.0 Gal)</v>
          </cell>
          <cell r="BQ68" t="str">
            <v>Water, Potable (62.6 Gal)</v>
          </cell>
          <cell r="BR68" t="str">
            <v>Seats Removal (186 Pax)</v>
          </cell>
          <cell r="CB68">
            <v>0</v>
          </cell>
          <cell r="CC68">
            <v>17.3</v>
          </cell>
          <cell r="CD68">
            <v>4</v>
          </cell>
          <cell r="CE68">
            <v>22.7</v>
          </cell>
          <cell r="CF68">
            <v>236.5</v>
          </cell>
          <cell r="CG68">
            <v>2051.1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646</v>
          </cell>
          <cell r="CR68">
            <v>1138</v>
          </cell>
          <cell r="CS68">
            <v>1112</v>
          </cell>
          <cell r="CT68">
            <v>1150</v>
          </cell>
          <cell r="CU68">
            <v>661.15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N68" t="str">
            <v>06/07/2022</v>
          </cell>
          <cell r="DU68" t="str">
            <v>Boeing</v>
          </cell>
          <cell r="DV68" t="str">
            <v>186 Pax + 10 Flight Crew</v>
          </cell>
          <cell r="DW68" t="str">
            <v>GLP-MAX8-002-GPI</v>
          </cell>
        </row>
        <row r="69">
          <cell r="A69" t="str">
            <v>PS-GPK</v>
          </cell>
          <cell r="D69" t="str">
            <v>06/07/2022</v>
          </cell>
          <cell r="E69">
            <v>1</v>
          </cell>
          <cell r="F69">
            <v>1</v>
          </cell>
          <cell r="G69" t="str">
            <v>Seattle, WA - EUA</v>
          </cell>
          <cell r="H69" t="str">
            <v>New Production Aircraft</v>
          </cell>
          <cell r="I69">
            <v>1938.4269999999999</v>
          </cell>
          <cell r="J69">
            <v>1938.4269999999999</v>
          </cell>
          <cell r="K69">
            <v>10044.07725</v>
          </cell>
          <cell r="L69">
            <v>10044.07725</v>
          </cell>
          <cell r="M69">
            <v>10070.2042</v>
          </cell>
          <cell r="N69">
            <v>10070.2042</v>
          </cell>
          <cell r="O69">
            <v>1938.4269999999999</v>
          </cell>
          <cell r="P69">
            <v>1938.4269999999999</v>
          </cell>
          <cell r="Q69">
            <v>10044.07725</v>
          </cell>
          <cell r="R69">
            <v>10044.07725</v>
          </cell>
          <cell r="S69">
            <v>10070.2042</v>
          </cell>
          <cell r="T69">
            <v>10070.2042</v>
          </cell>
          <cell r="U69">
            <v>5.5981595092025938</v>
          </cell>
          <cell r="V69">
            <v>5.5981595092025938</v>
          </cell>
          <cell r="W69" t="str">
            <v>Down Lock, Nose Gear</v>
          </cell>
          <cell r="X69" t="str">
            <v>Down Lock, Main Gear</v>
          </cell>
          <cell r="Y69" t="str">
            <v>Plumb Bob</v>
          </cell>
          <cell r="Z69" t="str">
            <v>Wiring Diagrams</v>
          </cell>
          <cell r="AA69" t="str">
            <v>Production Flight Emergency Equipment</v>
          </cell>
          <cell r="AB69" t="str">
            <v>Defibrillator</v>
          </cell>
          <cell r="AC69" t="str">
            <v>Level Correction (value added to CG)</v>
          </cell>
          <cell r="AD69" t="str">
            <v>Seats Removal ( 189 Pax )</v>
          </cell>
          <cell r="AK69">
            <v>0.3</v>
          </cell>
          <cell r="AL69">
            <v>0.4</v>
          </cell>
          <cell r="AM69">
            <v>0.5</v>
          </cell>
          <cell r="AN69">
            <v>23.6</v>
          </cell>
          <cell r="AO69">
            <v>29.5</v>
          </cell>
          <cell r="AP69">
            <v>5.4</v>
          </cell>
          <cell r="AQ69">
            <v>0</v>
          </cell>
          <cell r="AR69">
            <v>2315.81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82</v>
          </cell>
          <cell r="AZ69">
            <v>702</v>
          </cell>
          <cell r="BA69">
            <v>685</v>
          </cell>
          <cell r="BB69">
            <v>230</v>
          </cell>
          <cell r="BC69">
            <v>230</v>
          </cell>
          <cell r="BD69">
            <v>230</v>
          </cell>
          <cell r="BE69">
            <v>0.4</v>
          </cell>
          <cell r="BF69">
            <v>651.49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 t="str">
            <v>Flaps 0 - 40° (Up when weighed)</v>
          </cell>
          <cell r="BN69" t="str">
            <v>Fuel, Drain, Unusable (5.6 Gal)</v>
          </cell>
          <cell r="BO69" t="str">
            <v>Lavatory Dry Supplies</v>
          </cell>
          <cell r="BP69" t="str">
            <v>Lavatory Pre-charge Fluid (6.0 Gal)</v>
          </cell>
          <cell r="BQ69" t="str">
            <v>Water, Potable (62.6 Gal)</v>
          </cell>
          <cell r="BR69" t="str">
            <v>Seats Installation (186 Pax )</v>
          </cell>
          <cell r="CB69">
            <v>0</v>
          </cell>
          <cell r="CC69">
            <v>17.3</v>
          </cell>
          <cell r="CD69">
            <v>4</v>
          </cell>
          <cell r="CE69">
            <v>22.7</v>
          </cell>
          <cell r="CF69">
            <v>236.4</v>
          </cell>
          <cell r="CG69">
            <v>2274.1999999999998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646</v>
          </cell>
          <cell r="CR69">
            <v>1138</v>
          </cell>
          <cell r="CS69">
            <v>1112</v>
          </cell>
          <cell r="CT69">
            <v>1150</v>
          </cell>
          <cell r="CU69">
            <v>659.55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N69" t="str">
            <v>03/08/2022</v>
          </cell>
          <cell r="DU69" t="str">
            <v>Boeing</v>
          </cell>
          <cell r="DV69" t="str">
            <v>186 Pax + 10 Flight Crew</v>
          </cell>
          <cell r="DW69" t="str">
            <v>GLP-MAX8-001-GPK</v>
          </cell>
        </row>
        <row r="70">
          <cell r="A70" t="str">
            <v>PS-GPL</v>
          </cell>
          <cell r="D70" t="str">
            <v>07/07/2022</v>
          </cell>
          <cell r="E70">
            <v>1</v>
          </cell>
          <cell r="F70">
            <v>1</v>
          </cell>
          <cell r="G70" t="str">
            <v>Portland, OR</v>
          </cell>
          <cell r="H70" t="str">
            <v>New Production Aircraft</v>
          </cell>
          <cell r="I70">
            <v>1975.01</v>
          </cell>
          <cell r="J70">
            <v>1975.01</v>
          </cell>
          <cell r="K70">
            <v>10000.24</v>
          </cell>
          <cell r="L70">
            <v>10000.24</v>
          </cell>
          <cell r="M70">
            <v>10066.69</v>
          </cell>
          <cell r="N70">
            <v>10066.69</v>
          </cell>
          <cell r="O70">
            <v>1975.01</v>
          </cell>
          <cell r="P70">
            <v>1975.01</v>
          </cell>
          <cell r="Q70">
            <v>10000.24</v>
          </cell>
          <cell r="R70">
            <v>10000.24</v>
          </cell>
          <cell r="S70">
            <v>10066.69</v>
          </cell>
          <cell r="T70">
            <v>10066.69</v>
          </cell>
          <cell r="U70">
            <v>7.8987730061356327</v>
          </cell>
          <cell r="V70">
            <v>7.1319018404912864</v>
          </cell>
          <cell r="W70" t="str">
            <v>Down Lock, Nose Gear</v>
          </cell>
          <cell r="X70" t="str">
            <v>Down Lock, Main Gear</v>
          </cell>
          <cell r="Y70" t="str">
            <v>Plumb Bob</v>
          </cell>
          <cell r="Z70" t="str">
            <v>Wiring Diagrams</v>
          </cell>
          <cell r="AA70" t="str">
            <v>Production Flight Emergency Equipment</v>
          </cell>
          <cell r="AB70" t="str">
            <v>Level Correction (value added to CG)</v>
          </cell>
          <cell r="AC70" t="str">
            <v>Seat Removal (176 Pax)</v>
          </cell>
          <cell r="AK70">
            <v>0.3</v>
          </cell>
          <cell r="AL70">
            <v>0.4</v>
          </cell>
          <cell r="AM70">
            <v>0.5</v>
          </cell>
          <cell r="AN70">
            <v>23.6</v>
          </cell>
          <cell r="AO70">
            <v>29.5</v>
          </cell>
          <cell r="AP70">
            <v>0</v>
          </cell>
          <cell r="AQ70">
            <v>2176.8000000000002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82</v>
          </cell>
          <cell r="AZ70">
            <v>702</v>
          </cell>
          <cell r="BA70">
            <v>685</v>
          </cell>
          <cell r="BB70">
            <v>230</v>
          </cell>
          <cell r="BC70">
            <v>230</v>
          </cell>
          <cell r="BD70">
            <v>0.4</v>
          </cell>
          <cell r="BE70">
            <v>640.12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 t="str">
            <v>Flaps 0 - 40° (Up when weighed)</v>
          </cell>
          <cell r="BN70" t="str">
            <v>Fuel, Drain, Unusable (5.6 Gal)</v>
          </cell>
          <cell r="BO70" t="str">
            <v>Lavatory Dry Supplies</v>
          </cell>
          <cell r="BP70" t="str">
            <v>Lavatory Pre-charge Fluid (6.0 Gal)</v>
          </cell>
          <cell r="BQ70" t="str">
            <v>Water, Portable (62.6 GAL)</v>
          </cell>
          <cell r="BR70" t="str">
            <v>Seat Installation (186 Pax)</v>
          </cell>
          <cell r="CB70">
            <v>0</v>
          </cell>
          <cell r="CC70">
            <v>17.3</v>
          </cell>
          <cell r="CD70">
            <v>4</v>
          </cell>
          <cell r="CE70">
            <v>22.7</v>
          </cell>
          <cell r="CF70">
            <v>236.4</v>
          </cell>
          <cell r="CG70">
            <v>2051.1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646</v>
          </cell>
          <cell r="CR70">
            <v>1138</v>
          </cell>
          <cell r="CS70">
            <v>1112</v>
          </cell>
          <cell r="CT70">
            <v>1150</v>
          </cell>
          <cell r="CU70">
            <v>661.15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N70" t="str">
            <v>06/12/2022</v>
          </cell>
          <cell r="DU70" t="str">
            <v>Boeing</v>
          </cell>
          <cell r="DV70" t="str">
            <v>186 Pax + 10 Flight Crew</v>
          </cell>
          <cell r="DW70" t="str">
            <v>GLP-MAX8-002-GPL</v>
          </cell>
        </row>
        <row r="71">
          <cell r="A71" t="str">
            <v>PS-GPN</v>
          </cell>
          <cell r="D71" t="str">
            <v>26/01/2022</v>
          </cell>
          <cell r="E71">
            <v>1</v>
          </cell>
          <cell r="F71">
            <v>2</v>
          </cell>
          <cell r="G71" t="str">
            <v>Seattle, WA - EUA</v>
          </cell>
          <cell r="H71" t="str">
            <v>New Production Aircraft</v>
          </cell>
          <cell r="I71">
            <v>1993.5385000000001</v>
          </cell>
          <cell r="J71">
            <v>1993.5385000000001</v>
          </cell>
          <cell r="K71">
            <v>10030.968500000001</v>
          </cell>
          <cell r="L71">
            <v>10030.968500000001</v>
          </cell>
          <cell r="M71">
            <v>10006.701499999999</v>
          </cell>
          <cell r="N71">
            <v>10006.701499999999</v>
          </cell>
          <cell r="O71">
            <v>1993.5385000000001</v>
          </cell>
          <cell r="P71">
            <v>1993.5385000000001</v>
          </cell>
          <cell r="Q71">
            <v>10030.968500000001</v>
          </cell>
          <cell r="R71">
            <v>10030.968500000001</v>
          </cell>
          <cell r="S71">
            <v>10006.701499999999</v>
          </cell>
          <cell r="T71">
            <v>10006.701499999999</v>
          </cell>
          <cell r="U71">
            <v>12.49999999999997</v>
          </cell>
          <cell r="V71">
            <v>12.49999999999997</v>
          </cell>
          <cell r="W71" t="str">
            <v>Down Lock, Nose Gear</v>
          </cell>
          <cell r="X71" t="str">
            <v>Down Lock, Main Gear</v>
          </cell>
          <cell r="Y71" t="str">
            <v>Plumb Bob</v>
          </cell>
          <cell r="Z71" t="str">
            <v>Wiring Diagrams</v>
          </cell>
          <cell r="AA71" t="str">
            <v>Operations Manual</v>
          </cell>
          <cell r="AB71" t="str">
            <v>Interior Protective Coverings</v>
          </cell>
          <cell r="AC71" t="str">
            <v>Hud Combiner</v>
          </cell>
          <cell r="AD71" t="str">
            <v>Computer, HGS</v>
          </cell>
          <cell r="AE71" t="str">
            <v>Projetor, OHU</v>
          </cell>
          <cell r="AF71" t="str">
            <v>Life Raft (56 person)</v>
          </cell>
          <cell r="AG71" t="str">
            <v>Life Raft (56 person)</v>
          </cell>
          <cell r="AH71" t="str">
            <v>Life Raft (56 person)</v>
          </cell>
          <cell r="AI71" t="str">
            <v>Life Raft (56 person)</v>
          </cell>
          <cell r="AJ71" t="str">
            <v>Seats Removal (176 Pax)</v>
          </cell>
          <cell r="AK71">
            <v>0.3</v>
          </cell>
          <cell r="AL71">
            <v>0.2</v>
          </cell>
          <cell r="AM71">
            <v>0.5</v>
          </cell>
          <cell r="AN71">
            <v>23.6</v>
          </cell>
          <cell r="AO71">
            <v>2.2999999999999998</v>
          </cell>
          <cell r="AP71">
            <v>5</v>
          </cell>
          <cell r="AQ71">
            <v>3.1</v>
          </cell>
          <cell r="AR71">
            <v>4.4000000000000004</v>
          </cell>
          <cell r="AS71">
            <v>11.6</v>
          </cell>
          <cell r="AT71">
            <v>42</v>
          </cell>
          <cell r="AU71">
            <v>42</v>
          </cell>
          <cell r="AV71">
            <v>42</v>
          </cell>
          <cell r="AW71">
            <v>42</v>
          </cell>
          <cell r="AX71">
            <v>2176.8000000000002</v>
          </cell>
          <cell r="AY71">
            <v>82</v>
          </cell>
          <cell r="AZ71">
            <v>702</v>
          </cell>
          <cell r="BA71">
            <v>685</v>
          </cell>
          <cell r="BB71">
            <v>269</v>
          </cell>
          <cell r="BC71">
            <v>67</v>
          </cell>
          <cell r="BD71">
            <v>560</v>
          </cell>
          <cell r="BE71">
            <v>21</v>
          </cell>
          <cell r="BF71">
            <v>178</v>
          </cell>
          <cell r="BG71">
            <v>42</v>
          </cell>
          <cell r="BH71">
            <v>235</v>
          </cell>
          <cell r="BI71">
            <v>294</v>
          </cell>
          <cell r="BJ71">
            <v>728</v>
          </cell>
          <cell r="BK71">
            <v>787</v>
          </cell>
          <cell r="BL71">
            <v>640.12</v>
          </cell>
          <cell r="BM71" t="str">
            <v>Flaps 0 - 40° (Up when weighed)</v>
          </cell>
          <cell r="BN71" t="str">
            <v>Fuel, Drain, Unusable (5.6 Gal)</v>
          </cell>
          <cell r="BO71" t="str">
            <v>Fuel, Trapped, Unusable (14.2 Gal)</v>
          </cell>
          <cell r="BP71" t="str">
            <v>Fuel, Trapped, Usable (5.5 Gal)</v>
          </cell>
          <cell r="BQ71" t="str">
            <v>Lavatory Dry Supplies</v>
          </cell>
          <cell r="BR71" t="str">
            <v>Lavatory Pre-charge Fluid (6.0 Gal)</v>
          </cell>
          <cell r="BS71" t="str">
            <v>Oil Auxiliary Power Unit (2.3 Gal)</v>
          </cell>
          <cell r="BT71" t="str">
            <v>Oil Drain, Unsable Engine (6.6 Gal )</v>
          </cell>
          <cell r="BU71" t="str">
            <v>Oil Drain, Usable Engine (10.2 Gal )</v>
          </cell>
          <cell r="BV71" t="str">
            <v>Oil Trapped, Unusable Engine (1 Gal)</v>
          </cell>
          <cell r="BW71" t="str">
            <v>Water, Potable (62.6 Gal)</v>
          </cell>
          <cell r="BX71" t="str">
            <v>Oxygen access panel</v>
          </cell>
          <cell r="BY71" t="str">
            <v>Oxygen Cilinder Assy</v>
          </cell>
          <cell r="BZ71" t="str">
            <v>Oxygen Cilinder Charge ( 18ea )</v>
          </cell>
          <cell r="CA71" t="str">
            <v>Operations Manuals</v>
          </cell>
          <cell r="CB71">
            <v>0</v>
          </cell>
          <cell r="CC71">
            <v>17.3</v>
          </cell>
          <cell r="CD71">
            <v>43.8</v>
          </cell>
          <cell r="CE71">
            <v>17</v>
          </cell>
          <cell r="CF71">
            <v>4</v>
          </cell>
          <cell r="CG71">
            <v>22.7</v>
          </cell>
          <cell r="CH71">
            <v>8.6</v>
          </cell>
          <cell r="CI71">
            <v>24.8</v>
          </cell>
          <cell r="CJ71">
            <v>38.4</v>
          </cell>
          <cell r="CK71">
            <v>3.8</v>
          </cell>
          <cell r="CL71">
            <v>236.4</v>
          </cell>
          <cell r="CM71">
            <v>5.2</v>
          </cell>
          <cell r="CN71">
            <v>5.6</v>
          </cell>
          <cell r="CO71">
            <v>5.4</v>
          </cell>
          <cell r="CP71">
            <v>0</v>
          </cell>
          <cell r="CQ71">
            <v>646</v>
          </cell>
          <cell r="CR71">
            <v>638</v>
          </cell>
          <cell r="CS71">
            <v>632</v>
          </cell>
          <cell r="CT71">
            <v>1138</v>
          </cell>
          <cell r="CU71">
            <v>1112</v>
          </cell>
          <cell r="CV71">
            <v>1333</v>
          </cell>
          <cell r="CW71">
            <v>508</v>
          </cell>
          <cell r="CX71">
            <v>508</v>
          </cell>
          <cell r="CY71">
            <v>535</v>
          </cell>
          <cell r="CZ71">
            <v>1150</v>
          </cell>
          <cell r="DA71">
            <v>204</v>
          </cell>
          <cell r="DB71">
            <v>183</v>
          </cell>
          <cell r="DC71">
            <v>183</v>
          </cell>
          <cell r="DN71" t="str">
            <v>01/07/2022</v>
          </cell>
          <cell r="DU71" t="str">
            <v>GOL</v>
          </cell>
          <cell r="DV71" t="str">
            <v>186 Pax + 10 Flight Crew</v>
          </cell>
          <cell r="DW71" t="str">
            <v>GLP-MAX8-002-GPN</v>
          </cell>
        </row>
        <row r="72">
          <cell r="A72" t="str">
            <v>PS-GPO</v>
          </cell>
          <cell r="D72" t="str">
            <v>02/01/2024</v>
          </cell>
          <cell r="E72">
            <v>2</v>
          </cell>
          <cell r="F72">
            <v>0</v>
          </cell>
          <cell r="G72" t="str">
            <v>Lagoa Santa, MG - Brazil</v>
          </cell>
          <cell r="H72" t="str">
            <v>New Painting</v>
          </cell>
          <cell r="I72">
            <v>1918.25</v>
          </cell>
          <cell r="J72">
            <v>1918.25</v>
          </cell>
          <cell r="K72">
            <v>10092</v>
          </cell>
          <cell r="L72">
            <v>10092</v>
          </cell>
          <cell r="M72">
            <v>10167</v>
          </cell>
          <cell r="N72">
            <v>10167</v>
          </cell>
          <cell r="O72">
            <v>1918.25</v>
          </cell>
          <cell r="P72">
            <v>1918.25</v>
          </cell>
          <cell r="Q72">
            <v>10092</v>
          </cell>
          <cell r="R72">
            <v>10092</v>
          </cell>
          <cell r="S72">
            <v>10167</v>
          </cell>
          <cell r="T72">
            <v>10167</v>
          </cell>
          <cell r="U72">
            <v>5.5904907975463338</v>
          </cell>
          <cell r="V72">
            <v>5.6694785276079083</v>
          </cell>
          <cell r="W72" t="str">
            <v>Down Lock, Nose Gear</v>
          </cell>
          <cell r="X72" t="str">
            <v>Down Lock, Main Gear</v>
          </cell>
          <cell r="Y72" t="str">
            <v>Plumb Bob</v>
          </cell>
          <cell r="AK72">
            <v>0.3</v>
          </cell>
          <cell r="AL72">
            <v>0.4</v>
          </cell>
          <cell r="AM72">
            <v>0.5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82</v>
          </cell>
          <cell r="AZ72">
            <v>702</v>
          </cell>
          <cell r="BA72">
            <v>685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 t="str">
            <v>Flaps 0 - 40° (Up when weighed)</v>
          </cell>
          <cell r="BN72" t="str">
            <v>Fuel, Drain, Unusable (5.6 Gal)</v>
          </cell>
          <cell r="BO72" t="str">
            <v>Lavatory Dry Supplies</v>
          </cell>
          <cell r="BP72" t="str">
            <v>Lavatory Pre-charge Fluid (6.0 Gal)</v>
          </cell>
          <cell r="BQ72" t="str">
            <v>Water, Potable (62.6 Gal)</v>
          </cell>
          <cell r="CB72">
            <v>0</v>
          </cell>
          <cell r="CC72">
            <v>17.3</v>
          </cell>
          <cell r="CD72">
            <v>4</v>
          </cell>
          <cell r="CE72">
            <v>22.7</v>
          </cell>
          <cell r="CF72">
            <v>236.4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646</v>
          </cell>
          <cell r="CR72">
            <v>1138</v>
          </cell>
          <cell r="CS72">
            <v>1112</v>
          </cell>
          <cell r="CT72">
            <v>1150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N72" t="str">
            <v>02/01/2024</v>
          </cell>
          <cell r="DU72" t="str">
            <v>GOL</v>
          </cell>
          <cell r="DV72" t="str">
            <v>186 Pax + 10 Flight Crew</v>
          </cell>
          <cell r="DW72" t="str">
            <v xml:space="preserve">GLP-MAX8-006-GPO </v>
          </cell>
        </row>
        <row r="73">
          <cell r="A73" t="str">
            <v>PS-GRA</v>
          </cell>
          <cell r="D73" t="str">
            <v>07/08/2023</v>
          </cell>
          <cell r="E73">
            <v>1</v>
          </cell>
          <cell r="F73">
            <v>0</v>
          </cell>
          <cell r="G73" t="str">
            <v>Seattle, WA - EUA</v>
          </cell>
          <cell r="H73" t="str">
            <v>New Production Aircraft</v>
          </cell>
          <cell r="I73">
            <v>1918.2874999999999</v>
          </cell>
          <cell r="J73">
            <v>1918.2874999999999</v>
          </cell>
          <cell r="K73">
            <v>9982.6835499999997</v>
          </cell>
          <cell r="L73">
            <v>9982.6835499999997</v>
          </cell>
          <cell r="M73">
            <v>10096.285749999999</v>
          </cell>
          <cell r="N73">
            <v>10096.285749999999</v>
          </cell>
          <cell r="O73">
            <v>1918.2874999999999</v>
          </cell>
          <cell r="P73">
            <v>1918.2874999999999</v>
          </cell>
          <cell r="Q73">
            <v>9982.6835499999997</v>
          </cell>
          <cell r="R73">
            <v>9982.6835499999997</v>
          </cell>
          <cell r="S73">
            <v>10096.285749999999</v>
          </cell>
          <cell r="T73">
            <v>10096.285749999999</v>
          </cell>
          <cell r="U73">
            <v>13.266871165644311</v>
          </cell>
          <cell r="V73">
            <v>12.49999999999997</v>
          </cell>
          <cell r="W73" t="str">
            <v>Down Lock, Nose Gear</v>
          </cell>
          <cell r="X73" t="str">
            <v>Down Lock, Main Gear</v>
          </cell>
          <cell r="Y73" t="str">
            <v>Plumb Bob</v>
          </cell>
          <cell r="Z73" t="str">
            <v>Wiring Diagrams</v>
          </cell>
          <cell r="AA73" t="str">
            <v>Operations Manuals</v>
          </cell>
          <cell r="AK73">
            <v>0.3</v>
          </cell>
          <cell r="AL73">
            <v>0.4</v>
          </cell>
          <cell r="AM73">
            <v>0.5</v>
          </cell>
          <cell r="AN73">
            <v>23.6</v>
          </cell>
          <cell r="AO73">
            <v>2.2999999999999998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82</v>
          </cell>
          <cell r="AZ73">
            <v>702</v>
          </cell>
          <cell r="BA73">
            <v>685</v>
          </cell>
          <cell r="BB73">
            <v>230</v>
          </cell>
          <cell r="BC73">
            <v>67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 t="str">
            <v>Flaps 0 - 40° (Up when weighed)</v>
          </cell>
          <cell r="BN73" t="str">
            <v>Fuel, Drain, Unusable (5.6 Gal)</v>
          </cell>
          <cell r="BO73" t="str">
            <v>Lavatory Dry Supplies</v>
          </cell>
          <cell r="BP73" t="str">
            <v>Lavatory Dry Supplies</v>
          </cell>
          <cell r="BQ73" t="str">
            <v>Lavatory Pre-charge Fluid (6.0 Gal)</v>
          </cell>
          <cell r="BR73" t="str">
            <v>Water, Potable (62.6 Gal)</v>
          </cell>
          <cell r="BS73" t="str">
            <v>Level Correction (value added to CG)</v>
          </cell>
          <cell r="CB73">
            <v>0</v>
          </cell>
          <cell r="CC73">
            <v>17.3</v>
          </cell>
          <cell r="CD73">
            <v>2</v>
          </cell>
          <cell r="CE73">
            <v>4</v>
          </cell>
          <cell r="CF73">
            <v>22.7</v>
          </cell>
          <cell r="CG73">
            <v>236.4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646</v>
          </cell>
          <cell r="CR73">
            <v>80</v>
          </cell>
          <cell r="CS73">
            <v>1138</v>
          </cell>
          <cell r="CT73">
            <v>1112</v>
          </cell>
          <cell r="CU73">
            <v>1150</v>
          </cell>
          <cell r="CV73">
            <v>0.4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N73" t="str">
            <v>09/11/2023</v>
          </cell>
          <cell r="DU73" t="str">
            <v>Boeing</v>
          </cell>
          <cell r="DV73" t="str">
            <v>186 Pax + 10 Flight Crew</v>
          </cell>
          <cell r="DW73" t="str">
            <v xml:space="preserve">GLP-MAX8-001-GRA </v>
          </cell>
        </row>
        <row r="74">
          <cell r="A74" t="str">
            <v>PS-GRB</v>
          </cell>
          <cell r="D74" t="str">
            <v>28/08/2023</v>
          </cell>
          <cell r="E74">
            <v>1</v>
          </cell>
          <cell r="F74">
            <v>0</v>
          </cell>
          <cell r="G74" t="str">
            <v>Seattle, WA - EUA</v>
          </cell>
          <cell r="H74" t="str">
            <v>New Production Aircraft</v>
          </cell>
          <cell r="I74">
            <v>1935.5239999999999</v>
          </cell>
          <cell r="J74">
            <v>1935.5239999999999</v>
          </cell>
          <cell r="K74">
            <v>10023.053250000001</v>
          </cell>
          <cell r="L74">
            <v>10023.053250000001</v>
          </cell>
          <cell r="M74">
            <v>10064.3302</v>
          </cell>
          <cell r="N74">
            <v>10064.3302</v>
          </cell>
          <cell r="O74">
            <v>1935.5239999999999</v>
          </cell>
          <cell r="P74">
            <v>1935.5239999999999</v>
          </cell>
          <cell r="Q74">
            <v>10023.053250000001</v>
          </cell>
          <cell r="R74">
            <v>10023.053250000001</v>
          </cell>
          <cell r="S74">
            <v>10064.3302</v>
          </cell>
          <cell r="T74">
            <v>10064.3302</v>
          </cell>
          <cell r="U74">
            <v>14.033742331288661</v>
          </cell>
          <cell r="V74">
            <v>13.266871165644311</v>
          </cell>
          <cell r="W74" t="str">
            <v>Down Lock, Nose Gear</v>
          </cell>
          <cell r="X74" t="str">
            <v>Down Lock, Main Gear</v>
          </cell>
          <cell r="Y74" t="str">
            <v>Plumb Bob</v>
          </cell>
          <cell r="Z74" t="str">
            <v>Wiring Diagrams</v>
          </cell>
          <cell r="AA74" t="str">
            <v>Production Flight Emergency Equipment</v>
          </cell>
          <cell r="AK74">
            <v>0.3</v>
          </cell>
          <cell r="AL74">
            <v>0.4</v>
          </cell>
          <cell r="AM74">
            <v>0.5</v>
          </cell>
          <cell r="AN74">
            <v>23.6</v>
          </cell>
          <cell r="AO74">
            <v>29.5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82</v>
          </cell>
          <cell r="AZ74">
            <v>702</v>
          </cell>
          <cell r="BA74">
            <v>685</v>
          </cell>
          <cell r="BB74">
            <v>230</v>
          </cell>
          <cell r="BC74">
            <v>230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 t="str">
            <v>Flaps 0 - 40° (Up when weighed)</v>
          </cell>
          <cell r="BN74" t="str">
            <v>Fuel, Drain, Unusable (5.6 Gal)</v>
          </cell>
          <cell r="BO74" t="str">
            <v>Lavatory Dry Supplies</v>
          </cell>
          <cell r="BP74" t="str">
            <v>Lavatory Dry Supplies</v>
          </cell>
          <cell r="BQ74" t="str">
            <v>Lavatory Pre-charge Fluid (6.0 Gal)</v>
          </cell>
          <cell r="BR74" t="str">
            <v>Water, Potable (62.6 Gal)</v>
          </cell>
          <cell r="BS74" t="str">
            <v>Level Correction (value added to CG)</v>
          </cell>
          <cell r="CB74">
            <v>0</v>
          </cell>
          <cell r="CC74">
            <v>17.3</v>
          </cell>
          <cell r="CD74">
            <v>2</v>
          </cell>
          <cell r="CE74">
            <v>4</v>
          </cell>
          <cell r="CF74">
            <v>22.7</v>
          </cell>
          <cell r="CG74">
            <v>236.4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646</v>
          </cell>
          <cell r="CR74">
            <v>80</v>
          </cell>
          <cell r="CS74">
            <v>1138</v>
          </cell>
          <cell r="CT74">
            <v>1112</v>
          </cell>
          <cell r="CU74">
            <v>1150</v>
          </cell>
          <cell r="CV74">
            <v>0.6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N74" t="str">
            <v>20/12/2023</v>
          </cell>
          <cell r="DU74" t="str">
            <v>Boeing</v>
          </cell>
          <cell r="DV74" t="str">
            <v>186 Pax + 10 Flight Crew</v>
          </cell>
          <cell r="DW74" t="str">
            <v xml:space="preserve">GLP-MAX8-001-GRB </v>
          </cell>
        </row>
        <row r="75">
          <cell r="A75" t="str">
            <v>PS-GRC</v>
          </cell>
          <cell r="D75" t="str">
            <v>12/09/2023</v>
          </cell>
          <cell r="E75">
            <v>1</v>
          </cell>
          <cell r="F75">
            <v>0</v>
          </cell>
          <cell r="G75" t="str">
            <v>Seattle, WA - EUA</v>
          </cell>
          <cell r="H75" t="str">
            <v>New Production Aircraft</v>
          </cell>
          <cell r="I75">
            <v>1944.8226500000001</v>
          </cell>
          <cell r="J75">
            <v>1944.8226500000001</v>
          </cell>
          <cell r="K75">
            <v>10039.359899999999</v>
          </cell>
          <cell r="L75">
            <v>10039.359899999999</v>
          </cell>
          <cell r="M75">
            <v>10056.6191</v>
          </cell>
          <cell r="N75">
            <v>10056.6191</v>
          </cell>
          <cell r="O75">
            <v>1944.8226500000001</v>
          </cell>
          <cell r="P75">
            <v>1944.8226500000001</v>
          </cell>
          <cell r="Q75">
            <v>10039.359899999999</v>
          </cell>
          <cell r="R75">
            <v>10039.359899999999</v>
          </cell>
          <cell r="S75">
            <v>10056.6191</v>
          </cell>
          <cell r="T75">
            <v>10056.6191</v>
          </cell>
          <cell r="U75">
            <v>14.033742331288661</v>
          </cell>
          <cell r="V75">
            <v>14.033742331288661</v>
          </cell>
          <cell r="W75" t="str">
            <v>Down Lock, Nose Gear</v>
          </cell>
          <cell r="X75" t="str">
            <v>Down Lock, Main Gear</v>
          </cell>
          <cell r="Y75" t="str">
            <v>Plumb Bob</v>
          </cell>
          <cell r="Z75" t="str">
            <v>Wiring Diagrams</v>
          </cell>
          <cell r="AA75" t="str">
            <v>Production Flight Emergency Equipment</v>
          </cell>
          <cell r="AK75">
            <v>0.3</v>
          </cell>
          <cell r="AL75">
            <v>0.4</v>
          </cell>
          <cell r="AM75">
            <v>0.5</v>
          </cell>
          <cell r="AN75">
            <v>23.6</v>
          </cell>
          <cell r="AO75">
            <v>29.5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82</v>
          </cell>
          <cell r="AZ75">
            <v>702</v>
          </cell>
          <cell r="BA75">
            <v>685</v>
          </cell>
          <cell r="BB75">
            <v>230</v>
          </cell>
          <cell r="BC75">
            <v>230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 t="str">
            <v>Flaps 0 - 40° (Up when weighed)</v>
          </cell>
          <cell r="BN75" t="str">
            <v>Fuel, Drain, Unusable (5.6 Gal)</v>
          </cell>
          <cell r="BO75" t="str">
            <v>Lavatory Dry Supplies</v>
          </cell>
          <cell r="BP75" t="str">
            <v>Lavatory Dry Supplies</v>
          </cell>
          <cell r="BQ75" t="str">
            <v>Lavatory Pre-charge Fluid (6.0 Gal)</v>
          </cell>
          <cell r="BR75" t="str">
            <v>Water, Potable (62.6 Gal)</v>
          </cell>
          <cell r="BS75" t="str">
            <v>Level Correction (value added to CG)</v>
          </cell>
          <cell r="CB75">
            <v>0</v>
          </cell>
          <cell r="CC75">
            <v>17.3</v>
          </cell>
          <cell r="CD75">
            <v>2</v>
          </cell>
          <cell r="CE75">
            <v>4</v>
          </cell>
          <cell r="CF75">
            <v>22.7</v>
          </cell>
          <cell r="CG75">
            <v>236.4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646</v>
          </cell>
          <cell r="CR75">
            <v>80</v>
          </cell>
          <cell r="CS75">
            <v>1138</v>
          </cell>
          <cell r="CT75">
            <v>1112</v>
          </cell>
          <cell r="CU75">
            <v>1150</v>
          </cell>
          <cell r="CV75">
            <v>0.6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N75" t="str">
            <v>20/11/2023</v>
          </cell>
          <cell r="DU75" t="str">
            <v>Boeing</v>
          </cell>
          <cell r="DV75" t="str">
            <v>186 Pax + 10 Flight Crew</v>
          </cell>
          <cell r="DW75" t="str">
            <v xml:space="preserve">GLP-MAX8-001-GRC </v>
          </cell>
        </row>
        <row r="76">
          <cell r="A76" t="str">
            <v>PR-GUL</v>
          </cell>
          <cell r="D76" t="str">
            <v>23/07/2024</v>
          </cell>
          <cell r="E76">
            <v>4</v>
          </cell>
          <cell r="F76">
            <v>0</v>
          </cell>
          <cell r="G76" t="str">
            <v>Lagoa Santa, MG - Brazil</v>
          </cell>
          <cell r="H76" t="str">
            <v>New Painting</v>
          </cell>
          <cell r="I76">
            <v>1493.75</v>
          </cell>
          <cell r="J76">
            <v>1493.75</v>
          </cell>
          <cell r="K76">
            <v>9474</v>
          </cell>
          <cell r="L76">
            <v>9474</v>
          </cell>
          <cell r="M76">
            <v>9591</v>
          </cell>
          <cell r="N76">
            <v>9591</v>
          </cell>
          <cell r="O76">
            <v>1493.75</v>
          </cell>
          <cell r="P76">
            <v>1493.75</v>
          </cell>
          <cell r="Q76">
            <v>9474</v>
          </cell>
          <cell r="R76">
            <v>9474</v>
          </cell>
          <cell r="S76">
            <v>9591</v>
          </cell>
          <cell r="T76">
            <v>9591</v>
          </cell>
          <cell r="U76">
            <v>3.42484662576679</v>
          </cell>
          <cell r="V76">
            <v>3.34662576687154</v>
          </cell>
          <cell r="W76" t="str">
            <v>Down Lock, Nose Gear</v>
          </cell>
          <cell r="X76" t="str">
            <v>Down Lock, Main Gear</v>
          </cell>
          <cell r="Y76" t="str">
            <v>Plumb Bob</v>
          </cell>
          <cell r="AK76">
            <v>0.3</v>
          </cell>
          <cell r="AL76">
            <v>0.4</v>
          </cell>
          <cell r="AM76">
            <v>0.5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82</v>
          </cell>
          <cell r="AZ76">
            <v>702</v>
          </cell>
          <cell r="BA76">
            <v>685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N76" t="str">
            <v>Flaps 0 - 40° (Up when weighed)</v>
          </cell>
          <cell r="BO76" t="str">
            <v>Lavatory Pre-charge Fluid (6.0 Gal)</v>
          </cell>
          <cell r="BP76" t="str">
            <v>Lavatory Dry Supplies</v>
          </cell>
          <cell r="BQ76" t="str">
            <v>Fuel, Drain, Unusable (5.6 Gal)</v>
          </cell>
          <cell r="BR76" t="str">
            <v>Water, Potable (62.5 Gal)</v>
          </cell>
          <cell r="CB76">
            <v>0</v>
          </cell>
          <cell r="CC76">
            <v>0</v>
          </cell>
          <cell r="CD76">
            <v>22.7</v>
          </cell>
          <cell r="CE76">
            <v>4</v>
          </cell>
          <cell r="CF76">
            <v>17.3</v>
          </cell>
          <cell r="CG76">
            <v>236.4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1112</v>
          </cell>
          <cell r="CS76">
            <v>1145</v>
          </cell>
          <cell r="CT76">
            <v>646</v>
          </cell>
          <cell r="CU76">
            <v>1150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N76" t="str">
            <v>23/07/2024</v>
          </cell>
          <cell r="DU76" t="str">
            <v>GOL</v>
          </cell>
          <cell r="DV76" t="str">
            <v>186 Pax + 10 Flight Crew</v>
          </cell>
          <cell r="DW76" t="str">
            <v xml:space="preserve">GLP-800-004-GUL </v>
          </cell>
        </row>
        <row r="77">
          <cell r="A77" t="str">
            <v>PR-GGE</v>
          </cell>
          <cell r="D77" t="str">
            <v>31/07/2024</v>
          </cell>
          <cell r="E77">
            <v>5</v>
          </cell>
          <cell r="F77">
            <v>0</v>
          </cell>
          <cell r="G77" t="str">
            <v>Lagoa Santa, MG - Brazil</v>
          </cell>
          <cell r="H77" t="str">
            <v>Scheduled</v>
          </cell>
          <cell r="I77">
            <v>1464.75</v>
          </cell>
          <cell r="J77">
            <v>1464.75</v>
          </cell>
          <cell r="K77">
            <v>9539</v>
          </cell>
          <cell r="L77">
            <v>9539</v>
          </cell>
          <cell r="M77">
            <v>9609</v>
          </cell>
          <cell r="N77">
            <v>9609</v>
          </cell>
          <cell r="O77">
            <v>1464.75</v>
          </cell>
          <cell r="P77">
            <v>1464.75</v>
          </cell>
          <cell r="Q77">
            <v>9539</v>
          </cell>
          <cell r="R77">
            <v>9539</v>
          </cell>
          <cell r="S77">
            <v>9609</v>
          </cell>
          <cell r="T77">
            <v>9609</v>
          </cell>
          <cell r="U77">
            <v>5.5000000000003686</v>
          </cell>
          <cell r="V77">
            <v>5.5000000000003686</v>
          </cell>
          <cell r="W77" t="str">
            <v>Down Lock, Nose Gear</v>
          </cell>
          <cell r="X77" t="str">
            <v>Down Lock, Main Gear</v>
          </cell>
          <cell r="Y77" t="str">
            <v>Plumb Bob</v>
          </cell>
          <cell r="AK77">
            <v>0.3</v>
          </cell>
          <cell r="AL77">
            <v>0.4</v>
          </cell>
          <cell r="AM77">
            <v>0.5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91</v>
          </cell>
          <cell r="AZ77">
            <v>702</v>
          </cell>
          <cell r="BA77">
            <v>685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N77" t="str">
            <v>Flaps 0 - 40° (Up when weighed)</v>
          </cell>
          <cell r="BO77" t="str">
            <v>Fuel, Drain, Unusable (5.6 Gal)</v>
          </cell>
          <cell r="BP77" t="str">
            <v>Lavatory Pre-charge Fluid (6.0 Gal)</v>
          </cell>
          <cell r="BQ77" t="str">
            <v>Lavatory Dry Supplies</v>
          </cell>
          <cell r="BR77" t="str">
            <v>Water, Potable (62.6 Gal)</v>
          </cell>
          <cell r="CB77">
            <v>0</v>
          </cell>
          <cell r="CC77">
            <v>0</v>
          </cell>
          <cell r="CD77">
            <v>17.3</v>
          </cell>
          <cell r="CE77">
            <v>22.7</v>
          </cell>
          <cell r="CF77">
            <v>4</v>
          </cell>
          <cell r="CG77">
            <v>236.4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646</v>
          </cell>
          <cell r="CS77">
            <v>1112</v>
          </cell>
          <cell r="CT77">
            <v>1145</v>
          </cell>
          <cell r="CU77">
            <v>1150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N77" t="str">
            <v>31/07/2024</v>
          </cell>
          <cell r="DU77" t="str">
            <v>GOL</v>
          </cell>
          <cell r="DV77" t="str">
            <v>186 Pax + 10 Flight Crew</v>
          </cell>
          <cell r="DW77" t="str">
            <v xml:space="preserve">GLP-800-004-GGE </v>
          </cell>
        </row>
        <row r="78">
          <cell r="A78" t="str">
            <v>PR-GUD</v>
          </cell>
          <cell r="D78" t="str">
            <v>19/04/2022</v>
          </cell>
          <cell r="E78">
            <v>4</v>
          </cell>
          <cell r="F78">
            <v>0</v>
          </cell>
          <cell r="G78" t="str">
            <v>Lagoa Santa, MG - Brazil</v>
          </cell>
          <cell r="H78" t="str">
            <v>New Painting</v>
          </cell>
          <cell r="I78" t="str">
            <v>1527</v>
          </cell>
          <cell r="J78" t="str">
            <v>1527</v>
          </cell>
          <cell r="K78" t="str">
            <v>9483</v>
          </cell>
          <cell r="L78" t="str">
            <v>9483</v>
          </cell>
          <cell r="M78" t="str">
            <v>9533,5</v>
          </cell>
          <cell r="N78" t="str">
            <v>9533,5</v>
          </cell>
          <cell r="O78" t="str">
            <v>1527</v>
          </cell>
          <cell r="P78" t="str">
            <v>1527</v>
          </cell>
          <cell r="Q78" t="str">
            <v>9483</v>
          </cell>
          <cell r="R78" t="str">
            <v>9483</v>
          </cell>
          <cell r="S78" t="str">
            <v>9533,5</v>
          </cell>
          <cell r="T78" t="str">
            <v>9533,5</v>
          </cell>
          <cell r="U78" t="str">
            <v>4,33052147239276</v>
          </cell>
          <cell r="V78" t="str">
            <v>4,52760736196354</v>
          </cell>
          <cell r="W78" t="str">
            <v>Down Lock, Nose Gear</v>
          </cell>
          <cell r="X78" t="str">
            <v>Down Lock, Main Gear</v>
          </cell>
          <cell r="Y78" t="str">
            <v>Plumb Bob</v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>0,3</v>
          </cell>
          <cell r="AL78" t="str">
            <v>0,4</v>
          </cell>
          <cell r="AM78" t="str">
            <v>0,5</v>
          </cell>
          <cell r="AN78" t="str">
            <v>0</v>
          </cell>
          <cell r="AO78" t="str">
            <v>0</v>
          </cell>
          <cell r="AP78" t="str">
            <v>0</v>
          </cell>
          <cell r="AQ78" t="str">
            <v>0</v>
          </cell>
          <cell r="AR78" t="str">
            <v>0</v>
          </cell>
          <cell r="AS78" t="str">
            <v>0</v>
          </cell>
          <cell r="AT78" t="str">
            <v>0</v>
          </cell>
          <cell r="AU78" t="str">
            <v>0</v>
          </cell>
          <cell r="AV78" t="str">
            <v>0</v>
          </cell>
          <cell r="AW78" t="str">
            <v>0</v>
          </cell>
          <cell r="AX78" t="str">
            <v>0</v>
          </cell>
          <cell r="AY78" t="str">
            <v>91</v>
          </cell>
          <cell r="AZ78" t="str">
            <v>702</v>
          </cell>
          <cell r="BA78" t="str">
            <v>685</v>
          </cell>
          <cell r="BB78" t="str">
            <v>0</v>
          </cell>
          <cell r="BC78" t="str">
            <v>0</v>
          </cell>
          <cell r="BD78" t="str">
            <v>0</v>
          </cell>
          <cell r="BE78" t="str">
            <v>0</v>
          </cell>
          <cell r="BF78" t="str">
            <v>0</v>
          </cell>
          <cell r="BG78" t="str">
            <v>0</v>
          </cell>
          <cell r="BH78" t="str">
            <v>0</v>
          </cell>
          <cell r="BI78" t="str">
            <v>0</v>
          </cell>
          <cell r="BJ78" t="str">
            <v>0</v>
          </cell>
          <cell r="BK78" t="str">
            <v>0</v>
          </cell>
          <cell r="BL78" t="str">
            <v>0</v>
          </cell>
          <cell r="BM78" t="str">
            <v/>
          </cell>
          <cell r="BN78" t="str">
            <v/>
          </cell>
          <cell r="BO78" t="str">
            <v/>
          </cell>
          <cell r="BP78" t="str">
            <v/>
          </cell>
          <cell r="BQ78" t="str">
            <v/>
          </cell>
          <cell r="BR78" t="str">
            <v/>
          </cell>
          <cell r="BS78" t="str">
            <v/>
          </cell>
          <cell r="BT78" t="str">
            <v/>
          </cell>
          <cell r="BU78" t="str">
            <v/>
          </cell>
          <cell r="BV78" t="str">
            <v/>
          </cell>
          <cell r="BW78" t="str">
            <v/>
          </cell>
          <cell r="BX78" t="str">
            <v/>
          </cell>
          <cell r="BY78" t="str">
            <v/>
          </cell>
          <cell r="BZ78" t="str">
            <v/>
          </cell>
          <cell r="CB78" t="str">
            <v>0</v>
          </cell>
          <cell r="CC78" t="str">
            <v>0</v>
          </cell>
          <cell r="CD78" t="str">
            <v>0</v>
          </cell>
          <cell r="CE78" t="str">
            <v>0</v>
          </cell>
          <cell r="CF78" t="str">
            <v>0</v>
          </cell>
          <cell r="CG78" t="str">
            <v>0</v>
          </cell>
          <cell r="CH78" t="str">
            <v>0</v>
          </cell>
          <cell r="CI78" t="str">
            <v>0</v>
          </cell>
          <cell r="CJ78" t="str">
            <v>0</v>
          </cell>
          <cell r="CK78" t="str">
            <v>0</v>
          </cell>
          <cell r="CL78" t="str">
            <v>0</v>
          </cell>
          <cell r="CM78" t="str">
            <v>0</v>
          </cell>
          <cell r="CN78" t="str">
            <v>0</v>
          </cell>
          <cell r="CO78" t="str">
            <v>0</v>
          </cell>
          <cell r="CP78" t="str">
            <v>0</v>
          </cell>
          <cell r="CQ78" t="str">
            <v>0</v>
          </cell>
          <cell r="CR78" t="str">
            <v>0</v>
          </cell>
          <cell r="CS78" t="str">
            <v>0</v>
          </cell>
          <cell r="CT78" t="str">
            <v>0</v>
          </cell>
          <cell r="CU78" t="str">
            <v>0</v>
          </cell>
          <cell r="CV78" t="str">
            <v>0</v>
          </cell>
          <cell r="CW78" t="str">
            <v>0</v>
          </cell>
          <cell r="CX78" t="str">
            <v>0</v>
          </cell>
          <cell r="CY78" t="str">
            <v>0</v>
          </cell>
          <cell r="CZ78" t="str">
            <v>0</v>
          </cell>
          <cell r="DA78" t="str">
            <v>0</v>
          </cell>
          <cell r="DB78" t="str">
            <v>0</v>
          </cell>
          <cell r="DC78" t="str">
            <v>0</v>
          </cell>
          <cell r="DD78" t="str">
            <v/>
          </cell>
          <cell r="DE78" t="str">
            <v/>
          </cell>
          <cell r="DF78" t="str">
            <v/>
          </cell>
          <cell r="DG78" t="str">
            <v/>
          </cell>
          <cell r="DH78" t="str">
            <v/>
          </cell>
          <cell r="DI78" t="str">
            <v/>
          </cell>
          <cell r="DJ78" t="str">
            <v/>
          </cell>
          <cell r="DN78" t="str">
            <v>19/04/2022</v>
          </cell>
          <cell r="DU78" t="str">
            <v>GOL</v>
          </cell>
          <cell r="DV78" t="str">
            <v>186 Pax + 10 Flight Crew</v>
          </cell>
          <cell r="DW78" t="str">
            <v xml:space="preserve">GLP-800-004-GUD </v>
          </cell>
        </row>
        <row r="79">
          <cell r="A79" t="str">
            <v>PR-GXX</v>
          </cell>
          <cell r="D79" t="str">
            <v>26/04/2022</v>
          </cell>
          <cell r="E79">
            <v>3</v>
          </cell>
          <cell r="F79">
            <v>0</v>
          </cell>
          <cell r="G79" t="str">
            <v>Lagoa Santa, MG - Brazil</v>
          </cell>
          <cell r="H79" t="str">
            <v>New Painting</v>
          </cell>
          <cell r="I79">
            <v>1536</v>
          </cell>
          <cell r="J79">
            <v>1536</v>
          </cell>
          <cell r="K79">
            <v>9514.5</v>
          </cell>
          <cell r="L79">
            <v>9514.5</v>
          </cell>
          <cell r="M79">
            <v>9523.5</v>
          </cell>
          <cell r="N79">
            <v>9523.5</v>
          </cell>
          <cell r="O79">
            <v>1536</v>
          </cell>
          <cell r="P79">
            <v>1536</v>
          </cell>
          <cell r="Q79">
            <v>9514.5</v>
          </cell>
          <cell r="R79">
            <v>9514.5</v>
          </cell>
          <cell r="S79">
            <v>9523.5</v>
          </cell>
          <cell r="T79">
            <v>9523.5</v>
          </cell>
          <cell r="U79">
            <v>5.1180981595095352</v>
          </cell>
          <cell r="V79">
            <v>5.0391104294479607</v>
          </cell>
          <cell r="W79" t="str">
            <v>Down Lock, Nose Gear</v>
          </cell>
          <cell r="X79" t="str">
            <v>Down Lock, Main Gear</v>
          </cell>
          <cell r="Y79" t="str">
            <v>Plumb Bob</v>
          </cell>
          <cell r="AK79">
            <v>0.3</v>
          </cell>
          <cell r="AL79">
            <v>0.4</v>
          </cell>
          <cell r="AM79">
            <v>0.5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91</v>
          </cell>
          <cell r="AZ79">
            <v>702</v>
          </cell>
          <cell r="BA79">
            <v>685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N79" t="str">
            <v>26/04/2022</v>
          </cell>
          <cell r="DU79" t="str">
            <v>GOL</v>
          </cell>
          <cell r="DV79" t="str">
            <v>186 Pax + 10 Flight Crew</v>
          </cell>
          <cell r="DW79" t="str">
            <v xml:space="preserve">GLP-800-003-GXX </v>
          </cell>
        </row>
        <row r="80">
          <cell r="A80" t="str">
            <v>PR-VBK</v>
          </cell>
          <cell r="D80" t="str">
            <v>28/07/2022</v>
          </cell>
          <cell r="E80">
            <v>6</v>
          </cell>
          <cell r="F80">
            <v>0</v>
          </cell>
          <cell r="G80" t="str">
            <v>Lagoa Santa, MG - Brazil</v>
          </cell>
          <cell r="H80" t="str">
            <v>5 Years Check</v>
          </cell>
          <cell r="I80">
            <v>1462.5</v>
          </cell>
          <cell r="J80">
            <v>1462.5</v>
          </cell>
          <cell r="K80">
            <v>9571.5</v>
          </cell>
          <cell r="L80">
            <v>9571.5</v>
          </cell>
          <cell r="M80">
            <v>9541.5</v>
          </cell>
          <cell r="N80">
            <v>9541.5</v>
          </cell>
          <cell r="O80">
            <v>1462.5</v>
          </cell>
          <cell r="P80">
            <v>1462.5</v>
          </cell>
          <cell r="Q80">
            <v>9571.5</v>
          </cell>
          <cell r="R80">
            <v>9571.5</v>
          </cell>
          <cell r="S80">
            <v>9541.5</v>
          </cell>
          <cell r="T80">
            <v>9541.5</v>
          </cell>
          <cell r="U80">
            <v>4.2124233128835629</v>
          </cell>
          <cell r="V80">
            <v>4.2124233128835629</v>
          </cell>
          <cell r="W80" t="str">
            <v>Down Lock, Nose Gear</v>
          </cell>
          <cell r="X80" t="str">
            <v>Down Lock, Main Gear</v>
          </cell>
          <cell r="Y80" t="str">
            <v>Plumb Bob</v>
          </cell>
          <cell r="AK80">
            <v>0.3</v>
          </cell>
          <cell r="AL80">
            <v>0.4</v>
          </cell>
          <cell r="AM80">
            <v>0.5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91</v>
          </cell>
          <cell r="AZ80">
            <v>702</v>
          </cell>
          <cell r="BA80">
            <v>685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N80" t="str">
            <v>28/07/2022</v>
          </cell>
          <cell r="DU80" t="str">
            <v>GOL</v>
          </cell>
          <cell r="DV80" t="str">
            <v>186 Pax + 10 Flight Crew</v>
          </cell>
          <cell r="DW80" t="str">
            <v xml:space="preserve">GLP-800-004-VBK </v>
          </cell>
        </row>
        <row r="81">
          <cell r="A81" t="str">
            <v>PS-GPE</v>
          </cell>
          <cell r="D81" t="str">
            <v>03/02/2022</v>
          </cell>
          <cell r="E81">
            <v>1</v>
          </cell>
          <cell r="F81">
            <v>1</v>
          </cell>
          <cell r="G81" t="str">
            <v>Lagoa Santa, MG - Brazil</v>
          </cell>
          <cell r="H81" t="str">
            <v>New Painting</v>
          </cell>
          <cell r="I81">
            <v>1949.5</v>
          </cell>
          <cell r="J81">
            <v>1949.5</v>
          </cell>
          <cell r="K81">
            <v>9894.5</v>
          </cell>
          <cell r="L81">
            <v>9894.5</v>
          </cell>
          <cell r="M81">
            <v>9996</v>
          </cell>
          <cell r="N81">
            <v>9996</v>
          </cell>
          <cell r="O81">
            <v>1949.5</v>
          </cell>
          <cell r="P81">
            <v>1949.5</v>
          </cell>
          <cell r="Q81">
            <v>9894.5</v>
          </cell>
          <cell r="R81">
            <v>9894.5</v>
          </cell>
          <cell r="S81">
            <v>9996</v>
          </cell>
          <cell r="T81">
            <v>9996</v>
          </cell>
          <cell r="U81">
            <v>5.2361963190187346</v>
          </cell>
          <cell r="V81">
            <v>4.8427914110435104</v>
          </cell>
          <cell r="W81" t="str">
            <v>Down Lock, Nose Gear</v>
          </cell>
          <cell r="X81" t="str">
            <v>Down Lock, Main Gear</v>
          </cell>
          <cell r="Y81" t="str">
            <v>Plumb Bob</v>
          </cell>
          <cell r="Z81" t="str">
            <v>Tourist Class, Triple (156 pax)</v>
          </cell>
          <cell r="AA81" t="str">
            <v>Business Class, Double (12 pax)</v>
          </cell>
          <cell r="AB81" t="str">
            <v>Life Vest, Adult/Child (168 pax)</v>
          </cell>
          <cell r="AK81">
            <v>0.3</v>
          </cell>
          <cell r="AL81">
            <v>0.4</v>
          </cell>
          <cell r="AM81">
            <v>0.5</v>
          </cell>
          <cell r="AN81">
            <v>1761.9</v>
          </cell>
          <cell r="AO81">
            <v>460</v>
          </cell>
          <cell r="AP81">
            <v>84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82</v>
          </cell>
          <cell r="AZ81">
            <v>702</v>
          </cell>
          <cell r="BA81">
            <v>685</v>
          </cell>
          <cell r="BB81">
            <v>732</v>
          </cell>
          <cell r="BC81">
            <v>258</v>
          </cell>
          <cell r="BD81">
            <v>706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 t="str">
            <v>Flaps 0 - 40° (Up when weighed)</v>
          </cell>
          <cell r="BN81" t="str">
            <v>Fuel, Drain, Unusable (5.6 Gal)</v>
          </cell>
          <cell r="BO81" t="str">
            <v>Water, Potable (62.6 Gal)</v>
          </cell>
          <cell r="BP81" t="str">
            <v>Fuel, Trapped, Usable (5.5 Gal)</v>
          </cell>
          <cell r="BQ81" t="str">
            <v>Lavatory Dry Supplies</v>
          </cell>
          <cell r="BR81" t="str">
            <v>Lavatory Pre-charge Fluid (6.0 Gal)</v>
          </cell>
          <cell r="BS81" t="str">
            <v>Oven - Galley G4</v>
          </cell>
          <cell r="BT81" t="str">
            <v>Oven - Galley G1</v>
          </cell>
          <cell r="BU81" t="str">
            <v>Spoiler # 7</v>
          </cell>
          <cell r="BV81" t="str">
            <v>Seats Installation ( 186 Pax )</v>
          </cell>
          <cell r="CB81">
            <v>0</v>
          </cell>
          <cell r="CC81">
            <v>17.3</v>
          </cell>
          <cell r="CD81">
            <v>236.4</v>
          </cell>
          <cell r="CE81">
            <v>17</v>
          </cell>
          <cell r="CF81">
            <v>4</v>
          </cell>
          <cell r="CG81">
            <v>22.7</v>
          </cell>
          <cell r="CH81">
            <v>18.5</v>
          </cell>
          <cell r="CI81">
            <v>15.8</v>
          </cell>
          <cell r="CJ81">
            <v>13</v>
          </cell>
          <cell r="CK81">
            <v>2032.8649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646</v>
          </cell>
          <cell r="CR81">
            <v>1150</v>
          </cell>
          <cell r="CS81">
            <v>632</v>
          </cell>
          <cell r="CT81">
            <v>1138</v>
          </cell>
          <cell r="CU81">
            <v>1112</v>
          </cell>
          <cell r="CV81">
            <v>1214</v>
          </cell>
          <cell r="CW81">
            <v>84</v>
          </cell>
          <cell r="CX81">
            <v>700</v>
          </cell>
          <cell r="CY81">
            <v>656.65359999999998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N81" t="str">
            <v>12/05/2023</v>
          </cell>
          <cell r="DU81" t="str">
            <v>GOL</v>
          </cell>
          <cell r="DV81" t="str">
            <v>186 Pax + 10 Flight Crew</v>
          </cell>
          <cell r="DW81" t="str">
            <v>GLP-MAX8-002-GPE</v>
          </cell>
        </row>
        <row r="82">
          <cell r="A82" t="str">
            <v>PR-GZH</v>
          </cell>
          <cell r="D82" t="str">
            <v>15/05/2024</v>
          </cell>
          <cell r="E82">
            <v>3</v>
          </cell>
          <cell r="F82">
            <v>0</v>
          </cell>
          <cell r="G82" t="str">
            <v>São José dos Campos, SP -</v>
          </cell>
          <cell r="H82" t="str">
            <v>Scheduled</v>
          </cell>
          <cell r="I82">
            <v>1618.5</v>
          </cell>
          <cell r="J82">
            <v>1618.5</v>
          </cell>
          <cell r="K82">
            <v>9557.3349999999991</v>
          </cell>
          <cell r="L82">
            <v>9557.3349999999991</v>
          </cell>
          <cell r="M82">
            <v>9333.17</v>
          </cell>
          <cell r="N82">
            <v>9333.17</v>
          </cell>
          <cell r="O82">
            <v>1618.5</v>
          </cell>
          <cell r="P82">
            <v>1618.5</v>
          </cell>
          <cell r="Q82">
            <v>9557.3349999999991</v>
          </cell>
          <cell r="R82">
            <v>9557.3349999999991</v>
          </cell>
          <cell r="S82">
            <v>9333.17</v>
          </cell>
          <cell r="T82">
            <v>9333.17</v>
          </cell>
          <cell r="U82">
            <v>2.164877300614092</v>
          </cell>
          <cell r="V82">
            <v>0</v>
          </cell>
          <cell r="W82" t="str">
            <v>Plumb Bob</v>
          </cell>
          <cell r="X82" t="str">
            <v>Down Lock, Nose Gear</v>
          </cell>
          <cell r="Y82" t="str">
            <v>Down Lock, Main Gear</v>
          </cell>
          <cell r="Z82" t="str">
            <v>Trapped fuel Usable</v>
          </cell>
          <cell r="AK82">
            <v>0.43</v>
          </cell>
          <cell r="AL82">
            <v>0.3</v>
          </cell>
          <cell r="AM82">
            <v>0.4</v>
          </cell>
          <cell r="AN82">
            <v>17.690000000000001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685</v>
          </cell>
          <cell r="AZ82">
            <v>82</v>
          </cell>
          <cell r="BA82">
            <v>702</v>
          </cell>
          <cell r="BB82">
            <v>632.1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 t="str">
            <v>Water, Potable (60 Gal)</v>
          </cell>
          <cell r="BN82" t="str">
            <v>Fuel, Trapped, Usable (5.5 Gal)</v>
          </cell>
          <cell r="BO82" t="str">
            <v>Fuel, Drain, Unusable (5.6 Gal)</v>
          </cell>
          <cell r="BP82" t="str">
            <v>Flaps 0 - 40° (Up when weighed)</v>
          </cell>
          <cell r="CB82">
            <v>226.6</v>
          </cell>
          <cell r="CC82">
            <v>17</v>
          </cell>
          <cell r="CD82">
            <v>17.3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1170.3</v>
          </cell>
          <cell r="CQ82">
            <v>632</v>
          </cell>
          <cell r="CR82">
            <v>646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N82" t="str">
            <v>15/05/2024</v>
          </cell>
          <cell r="DU82" t="str">
            <v>DIGEX</v>
          </cell>
          <cell r="DV82" t="str">
            <v>186 Pax + 10 Flight Crew</v>
          </cell>
        </row>
        <row r="83">
          <cell r="A83" t="str">
            <v>PS-GFB</v>
          </cell>
          <cell r="D83" t="str">
            <v>23/08/2022</v>
          </cell>
          <cell r="E83">
            <v>1</v>
          </cell>
          <cell r="F83">
            <v>0</v>
          </cell>
          <cell r="G83" t="str">
            <v>Lagoa Santa, MG - Brazil</v>
          </cell>
          <cell r="H83" t="str">
            <v>BCF Conversion</v>
          </cell>
          <cell r="I83">
            <v>2137.5522999999998</v>
          </cell>
          <cell r="J83">
            <v>2137.5522999999998</v>
          </cell>
          <cell r="K83">
            <v>8809.8904999999995</v>
          </cell>
          <cell r="L83">
            <v>8809.8904999999995</v>
          </cell>
          <cell r="M83">
            <v>8570.6209999999992</v>
          </cell>
          <cell r="N83">
            <v>8570.6209999999992</v>
          </cell>
          <cell r="O83">
            <v>2137.5522999999998</v>
          </cell>
          <cell r="P83">
            <v>2137.5522999999998</v>
          </cell>
          <cell r="Q83">
            <v>8809.8904999999995</v>
          </cell>
          <cell r="R83">
            <v>8809.8904999999995</v>
          </cell>
          <cell r="S83">
            <v>8570.6209999999992</v>
          </cell>
          <cell r="T83">
            <v>8570.6209999999992</v>
          </cell>
          <cell r="U83">
            <v>-4702.2239263803694</v>
          </cell>
          <cell r="V83">
            <v>4.9079754601225956</v>
          </cell>
          <cell r="W83" t="str">
            <v>Down Lock, Nose Gear</v>
          </cell>
          <cell r="X83" t="str">
            <v>Down Lock, Main Gear</v>
          </cell>
          <cell r="Y83" t="str">
            <v>Plumb Bob</v>
          </cell>
          <cell r="Z83" t="str">
            <v>Fuel, Trapped, Usable(5.5 GAL)</v>
          </cell>
          <cell r="AK83">
            <v>0.3</v>
          </cell>
          <cell r="AL83">
            <v>0.4</v>
          </cell>
          <cell r="AM83">
            <v>0.5</v>
          </cell>
          <cell r="AN83">
            <v>17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91</v>
          </cell>
          <cell r="AZ83">
            <v>702</v>
          </cell>
          <cell r="BA83">
            <v>685</v>
          </cell>
          <cell r="BB83">
            <v>632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 t="str">
            <v>Flaps 0 - 40° (Up when weighed)</v>
          </cell>
          <cell r="BN83" t="str">
            <v>Fuel, Drain, Unusable (5.6 Gal)</v>
          </cell>
          <cell r="BO83" t="str">
            <v>Lavatory Dry Supplies</v>
          </cell>
          <cell r="BP83" t="str">
            <v>Lavatory Pre-charge Fluid (6.0 Gal)</v>
          </cell>
          <cell r="BQ83" t="str">
            <v>Water, Potable (62.6 Gal)</v>
          </cell>
          <cell r="CB83">
            <v>0</v>
          </cell>
          <cell r="CC83">
            <v>17.3</v>
          </cell>
          <cell r="CD83">
            <v>2</v>
          </cell>
          <cell r="CE83">
            <v>22.7</v>
          </cell>
          <cell r="CF83">
            <v>236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646</v>
          </cell>
          <cell r="CR83">
            <v>89</v>
          </cell>
          <cell r="CS83">
            <v>1112</v>
          </cell>
          <cell r="CT83">
            <v>1150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N83" t="str">
            <v>13/09/2022</v>
          </cell>
          <cell r="DU83" t="str">
            <v>GOL</v>
          </cell>
        </row>
        <row r="84">
          <cell r="A84" t="str">
            <v>PR-GGD</v>
          </cell>
          <cell r="D84" t="str">
            <v>13/03/2023</v>
          </cell>
          <cell r="E84">
            <v>6</v>
          </cell>
          <cell r="F84">
            <v>0</v>
          </cell>
          <cell r="G84" t="str">
            <v>Shanghai, China</v>
          </cell>
          <cell r="H84" t="str">
            <v>BCF Conversion</v>
          </cell>
          <cell r="I84">
            <v>2146.6260000000002</v>
          </cell>
          <cell r="J84">
            <v>2146.6260000000002</v>
          </cell>
          <cell r="K84">
            <v>8687.4279000000006</v>
          </cell>
          <cell r="L84">
            <v>8687.4279000000006</v>
          </cell>
          <cell r="M84">
            <v>8533.2063999999991</v>
          </cell>
          <cell r="N84">
            <v>8533.2063999999991</v>
          </cell>
          <cell r="O84">
            <v>2146.6260000000002</v>
          </cell>
          <cell r="P84">
            <v>2146.6260000000002</v>
          </cell>
          <cell r="Q84">
            <v>8687.4279000000006</v>
          </cell>
          <cell r="R84">
            <v>8687.4279000000006</v>
          </cell>
          <cell r="S84">
            <v>8533.2063999999991</v>
          </cell>
          <cell r="T84">
            <v>8533.2063999999991</v>
          </cell>
          <cell r="U84">
            <v>5.4003067484663676</v>
          </cell>
          <cell r="V84">
            <v>5.2500000000003517</v>
          </cell>
          <cell r="W84" t="str">
            <v>Down Lock, Nose Gear</v>
          </cell>
          <cell r="X84" t="str">
            <v>Down Lock, Main Gear</v>
          </cell>
          <cell r="Y84" t="str">
            <v>Plumb Bob</v>
          </cell>
          <cell r="Z84" t="str">
            <v>Fuel Trapped, Usable (5.5 Gal)</v>
          </cell>
          <cell r="AK84">
            <v>0.3</v>
          </cell>
          <cell r="AL84">
            <v>0.4</v>
          </cell>
          <cell r="AM84">
            <v>0.5</v>
          </cell>
          <cell r="AN84">
            <v>17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91</v>
          </cell>
          <cell r="AZ84">
            <v>702</v>
          </cell>
          <cell r="BA84">
            <v>685</v>
          </cell>
          <cell r="BB84">
            <v>632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 t="str">
            <v>Flaps 0 - 40° (Up when weighed)</v>
          </cell>
          <cell r="BN84" t="str">
            <v>Fuel, Drain, Unusable (5.6 Gal)</v>
          </cell>
          <cell r="BO84" t="str">
            <v>Lavatory Pre-charge Fluid (6.0 Gal)</v>
          </cell>
          <cell r="CB84">
            <v>0</v>
          </cell>
          <cell r="CC84">
            <v>17.3</v>
          </cell>
          <cell r="CD84">
            <v>22.7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646</v>
          </cell>
          <cell r="CR84">
            <v>1112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N84" t="str">
            <v>15/03/2023</v>
          </cell>
          <cell r="DU84" t="str">
            <v>Boeing Shanghai</v>
          </cell>
        </row>
        <row r="85">
          <cell r="A85" t="str">
            <v>PR-GUJ</v>
          </cell>
          <cell r="D85" t="str">
            <v>18/06/2024</v>
          </cell>
          <cell r="E85">
            <v>5</v>
          </cell>
          <cell r="F85">
            <v>0</v>
          </cell>
          <cell r="G85" t="str">
            <v>Lagoa Santa, MG - Brazil</v>
          </cell>
          <cell r="H85" t="str">
            <v>New Painting</v>
          </cell>
          <cell r="I85">
            <v>1471.75</v>
          </cell>
          <cell r="J85">
            <v>1471.75</v>
          </cell>
          <cell r="K85">
            <v>9762.5</v>
          </cell>
          <cell r="L85">
            <v>9762.5</v>
          </cell>
          <cell r="M85">
            <v>9757.5</v>
          </cell>
          <cell r="N85">
            <v>9757.5</v>
          </cell>
          <cell r="O85">
            <v>1471.75</v>
          </cell>
          <cell r="P85">
            <v>1471.75</v>
          </cell>
          <cell r="Q85">
            <v>9762.5</v>
          </cell>
          <cell r="R85">
            <v>9762.5</v>
          </cell>
          <cell r="S85">
            <v>9757.5</v>
          </cell>
          <cell r="T85">
            <v>9757.5</v>
          </cell>
          <cell r="U85">
            <v>4.134202453988312</v>
          </cell>
          <cell r="V85">
            <v>4.0552147239267384</v>
          </cell>
          <cell r="W85" t="str">
            <v>Down Lock, Nose Gear</v>
          </cell>
          <cell r="X85" t="str">
            <v>Down Lock, Main Gear</v>
          </cell>
          <cell r="Y85" t="str">
            <v>Plumb Bob</v>
          </cell>
          <cell r="AK85">
            <v>0.3</v>
          </cell>
          <cell r="AL85">
            <v>0.4</v>
          </cell>
          <cell r="AM85">
            <v>0.5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82</v>
          </cell>
          <cell r="AZ85">
            <v>702</v>
          </cell>
          <cell r="BA85">
            <v>685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 t="str">
            <v>Flaps 0 - 40° (Up when weighed)</v>
          </cell>
          <cell r="BN85" t="str">
            <v>Fuel, Drain, Unusable (5.6 Gal)</v>
          </cell>
          <cell r="BO85" t="str">
            <v>Lavatory Dry Supplies</v>
          </cell>
          <cell r="BP85" t="str">
            <v>Lavatory Pre-charge Fluid (6.0 Gal)</v>
          </cell>
          <cell r="BQ85" t="str">
            <v>Water, Potable (62.6 Gal)</v>
          </cell>
          <cell r="CB85">
            <v>0</v>
          </cell>
          <cell r="CC85">
            <v>17.3</v>
          </cell>
          <cell r="CD85">
            <v>4</v>
          </cell>
          <cell r="CE85">
            <v>22.7</v>
          </cell>
          <cell r="CF85">
            <v>236.4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646</v>
          </cell>
          <cell r="CR85">
            <v>1145</v>
          </cell>
          <cell r="CS85">
            <v>1112</v>
          </cell>
          <cell r="CT85">
            <v>1150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N85" t="str">
            <v>19/06/2024</v>
          </cell>
          <cell r="DU85" t="str">
            <v>GOL</v>
          </cell>
          <cell r="DV85" t="str">
            <v>186 Pax + 10 Flight Crew</v>
          </cell>
        </row>
        <row r="86">
          <cell r="A86" t="str">
            <v>PR-GXP</v>
          </cell>
          <cell r="D86" t="str">
            <v>11/12/2023</v>
          </cell>
          <cell r="E86">
            <v>3</v>
          </cell>
          <cell r="F86">
            <v>0</v>
          </cell>
          <cell r="G86" t="str">
            <v>Lagoa Santa, MG - Brazil</v>
          </cell>
          <cell r="H86" t="str">
            <v>Scheduled</v>
          </cell>
          <cell r="I86">
            <v>1493</v>
          </cell>
          <cell r="J86">
            <v>1493</v>
          </cell>
          <cell r="K86">
            <v>9476</v>
          </cell>
          <cell r="L86">
            <v>9476</v>
          </cell>
          <cell r="M86">
            <v>9618</v>
          </cell>
          <cell r="N86">
            <v>9618</v>
          </cell>
          <cell r="O86">
            <v>1493</v>
          </cell>
          <cell r="P86">
            <v>1493</v>
          </cell>
          <cell r="Q86">
            <v>9476</v>
          </cell>
          <cell r="R86">
            <v>9476</v>
          </cell>
          <cell r="S86">
            <v>9618</v>
          </cell>
          <cell r="T86">
            <v>9618</v>
          </cell>
          <cell r="U86">
            <v>3.34662576687154</v>
          </cell>
          <cell r="V86">
            <v>3.34662576687154</v>
          </cell>
          <cell r="W86" t="str">
            <v>Down Lock, Nose Gear</v>
          </cell>
          <cell r="X86" t="str">
            <v>Down Lock, Main Gear</v>
          </cell>
          <cell r="Y86" t="str">
            <v>Plumb Bob</v>
          </cell>
          <cell r="AK86">
            <v>0.3</v>
          </cell>
          <cell r="AL86">
            <v>0.4</v>
          </cell>
          <cell r="AM86">
            <v>0.5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134</v>
          </cell>
          <cell r="AZ86">
            <v>689</v>
          </cell>
          <cell r="BA86">
            <v>685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 t="str">
            <v>Flaps 0 - 40° (Up when weighed)</v>
          </cell>
          <cell r="BN86" t="str">
            <v>Fuel, Drain, Unusable (5.6 Gal)</v>
          </cell>
          <cell r="BO86" t="str">
            <v>Lavatory Dry Supplies</v>
          </cell>
          <cell r="BP86" t="str">
            <v>Lavatory Pre-charge Fluid (6.0 Gal)</v>
          </cell>
          <cell r="BQ86" t="str">
            <v>Water, Potable (62.6 Gal)</v>
          </cell>
          <cell r="CB86">
            <v>0</v>
          </cell>
          <cell r="CC86">
            <v>17.3</v>
          </cell>
          <cell r="CD86">
            <v>4</v>
          </cell>
          <cell r="CE86">
            <v>22.7</v>
          </cell>
          <cell r="CF86">
            <v>236.4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646</v>
          </cell>
          <cell r="CR86">
            <v>1145</v>
          </cell>
          <cell r="CS86">
            <v>1112</v>
          </cell>
          <cell r="CT86">
            <v>1150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N86" t="str">
            <v>11/12/2023</v>
          </cell>
          <cell r="DU86" t="str">
            <v>GOL</v>
          </cell>
          <cell r="DV86" t="str">
            <v>186 Pax + 10 Flight Crew</v>
          </cell>
        </row>
        <row r="87">
          <cell r="A87" t="str">
            <v>PS-GFA</v>
          </cell>
          <cell r="D87" t="str">
            <v>22/03/2022</v>
          </cell>
          <cell r="E87">
            <v>1</v>
          </cell>
          <cell r="F87">
            <v>1</v>
          </cell>
          <cell r="G87" t="str">
            <v>Lagoa Santa, MG - Brazil</v>
          </cell>
          <cell r="H87" t="str">
            <v>Scheduled</v>
          </cell>
          <cell r="I87">
            <v>2138.5</v>
          </cell>
          <cell r="J87">
            <v>2138.5</v>
          </cell>
          <cell r="K87">
            <v>8772.5</v>
          </cell>
          <cell r="L87">
            <v>8772.5</v>
          </cell>
          <cell r="M87">
            <v>8595.5</v>
          </cell>
          <cell r="N87">
            <v>8595.5</v>
          </cell>
          <cell r="O87">
            <v>2138.5</v>
          </cell>
          <cell r="P87">
            <v>2138.5</v>
          </cell>
          <cell r="Q87">
            <v>8772.5</v>
          </cell>
          <cell r="R87">
            <v>8772.5</v>
          </cell>
          <cell r="S87">
            <v>8595.5</v>
          </cell>
          <cell r="T87">
            <v>8595.5</v>
          </cell>
          <cell r="U87">
            <v>4.8312883435582474</v>
          </cell>
          <cell r="V87">
            <v>4.0644171779147733</v>
          </cell>
          <cell r="W87" t="str">
            <v>Down Lock, Nose Gear</v>
          </cell>
          <cell r="X87" t="str">
            <v>Down Lock, Main Gear</v>
          </cell>
          <cell r="Y87" t="str">
            <v>Plumb Bob</v>
          </cell>
          <cell r="Z87" t="str">
            <v>Life Raft (R1200-103 )</v>
          </cell>
          <cell r="AA87" t="str">
            <v>Life Raft (R1200-203  )</v>
          </cell>
          <cell r="AK87">
            <v>0.3</v>
          </cell>
          <cell r="AL87">
            <v>0.4</v>
          </cell>
          <cell r="AM87">
            <v>0.5</v>
          </cell>
          <cell r="AN87">
            <v>16.78</v>
          </cell>
          <cell r="AO87">
            <v>19.5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82</v>
          </cell>
          <cell r="AZ87">
            <v>702</v>
          </cell>
          <cell r="BA87">
            <v>685</v>
          </cell>
          <cell r="BB87">
            <v>105</v>
          </cell>
          <cell r="BC87">
            <v>150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 t="str">
            <v>Flaps 0 - 40° (Up when weighed)</v>
          </cell>
          <cell r="BN87" t="str">
            <v>Lavatory Pre-charge Fluid (6.0 Gal)</v>
          </cell>
          <cell r="BO87" t="str">
            <v>Lavatory Dry Supplies</v>
          </cell>
          <cell r="BP87" t="str">
            <v>Fuel, Drain, Unusable (5.6 Gal)</v>
          </cell>
          <cell r="BQ87" t="str">
            <v>Water, Potable (62.6 Gal)</v>
          </cell>
          <cell r="BR87" t="str">
            <v>Headphone</v>
          </cell>
          <cell r="CB87">
            <v>0</v>
          </cell>
          <cell r="CC87">
            <v>22.7</v>
          </cell>
          <cell r="CD87">
            <v>2</v>
          </cell>
          <cell r="CE87">
            <v>17.3</v>
          </cell>
          <cell r="CF87">
            <v>236</v>
          </cell>
          <cell r="CG87">
            <v>0.4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1112</v>
          </cell>
          <cell r="CR87">
            <v>89</v>
          </cell>
          <cell r="CS87">
            <v>646</v>
          </cell>
          <cell r="CT87">
            <v>1150</v>
          </cell>
          <cell r="CU87">
            <v>68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N87" t="str">
            <v>26/06/2024</v>
          </cell>
          <cell r="DU87" t="str">
            <v>GOL</v>
          </cell>
        </row>
        <row r="88">
          <cell r="A88" t="str">
            <v>PS-GFC</v>
          </cell>
          <cell r="D88" t="str">
            <v>23/02/2023</v>
          </cell>
          <cell r="E88">
            <v>1</v>
          </cell>
          <cell r="F88">
            <v>1</v>
          </cell>
          <cell r="G88" t="str">
            <v>Lagoa Santa, MG - Brazil</v>
          </cell>
          <cell r="H88" t="str">
            <v>Painting</v>
          </cell>
          <cell r="I88">
            <v>2156.5</v>
          </cell>
          <cell r="J88">
            <v>2156.5</v>
          </cell>
          <cell r="K88">
            <v>8788</v>
          </cell>
          <cell r="L88">
            <v>8788</v>
          </cell>
          <cell r="M88">
            <v>8600.75</v>
          </cell>
          <cell r="N88">
            <v>8600.75</v>
          </cell>
          <cell r="O88">
            <v>2156.5</v>
          </cell>
          <cell r="P88">
            <v>2156.5</v>
          </cell>
          <cell r="Q88">
            <v>8788</v>
          </cell>
          <cell r="R88">
            <v>8788</v>
          </cell>
          <cell r="S88">
            <v>8600.75</v>
          </cell>
          <cell r="T88">
            <v>8600.75</v>
          </cell>
          <cell r="U88">
            <v>4.134202453988312</v>
          </cell>
          <cell r="V88">
            <v>3.9371165644175381</v>
          </cell>
          <cell r="W88" t="str">
            <v>Down Lock, Nose Gear</v>
          </cell>
          <cell r="X88" t="str">
            <v>Down Lock, Main Gear</v>
          </cell>
          <cell r="Y88" t="str">
            <v>Plumb Bob</v>
          </cell>
          <cell r="Z88" t="str">
            <v>R1200-103 (Life Raft)</v>
          </cell>
          <cell r="AA88" t="str">
            <v>R1200-203 (Life Raft)</v>
          </cell>
          <cell r="AK88">
            <v>0.3</v>
          </cell>
          <cell r="AL88">
            <v>0.4</v>
          </cell>
          <cell r="AM88">
            <v>0.5</v>
          </cell>
          <cell r="AN88">
            <v>16.78</v>
          </cell>
          <cell r="AO88">
            <v>19.5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91</v>
          </cell>
          <cell r="AZ88">
            <v>702</v>
          </cell>
          <cell r="BA88">
            <v>685</v>
          </cell>
          <cell r="BB88">
            <v>105</v>
          </cell>
          <cell r="BC88">
            <v>150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 t="str">
            <v>Flaps 0 - 40° (Up when weighed)</v>
          </cell>
          <cell r="BN88" t="str">
            <v>Fuel, Drain, Unusable (5.6 Gal)</v>
          </cell>
          <cell r="BO88" t="str">
            <v>Water, Potable (62.6 Gal)</v>
          </cell>
          <cell r="BP88" t="str">
            <v>Lavatory Pre-charge Fluid (6.0 Gal)</v>
          </cell>
          <cell r="CB88">
            <v>0</v>
          </cell>
          <cell r="CC88">
            <v>17.3</v>
          </cell>
          <cell r="CD88">
            <v>236.4</v>
          </cell>
          <cell r="CE88">
            <v>22.7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646</v>
          </cell>
          <cell r="CR88">
            <v>1150</v>
          </cell>
          <cell r="CS88">
            <v>1112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N88" t="str">
            <v>02/07/2024</v>
          </cell>
          <cell r="DU88" t="str">
            <v>GOL</v>
          </cell>
        </row>
        <row r="89">
          <cell r="A89" t="str">
            <v>PS-GFD</v>
          </cell>
          <cell r="D89" t="str">
            <v>10/04/2023</v>
          </cell>
          <cell r="E89">
            <v>7</v>
          </cell>
          <cell r="F89">
            <v>1</v>
          </cell>
          <cell r="G89" t="str">
            <v>Lagoa Santa, MG</v>
          </cell>
          <cell r="H89" t="str">
            <v>New Painting</v>
          </cell>
          <cell r="I89">
            <v>2132</v>
          </cell>
          <cell r="J89">
            <v>2132</v>
          </cell>
          <cell r="K89">
            <v>8684</v>
          </cell>
          <cell r="L89">
            <v>8684</v>
          </cell>
          <cell r="M89">
            <v>8517</v>
          </cell>
          <cell r="N89">
            <v>8517</v>
          </cell>
          <cell r="O89">
            <v>2132</v>
          </cell>
          <cell r="P89">
            <v>2132</v>
          </cell>
          <cell r="Q89">
            <v>8684</v>
          </cell>
          <cell r="R89">
            <v>8684</v>
          </cell>
          <cell r="S89">
            <v>8517</v>
          </cell>
          <cell r="T89">
            <v>8517</v>
          </cell>
          <cell r="U89">
            <v>4.3703987730067118</v>
          </cell>
          <cell r="V89">
            <v>4.3305214723927623</v>
          </cell>
          <cell r="W89" t="str">
            <v>Down Lock, Nose Gear</v>
          </cell>
          <cell r="X89" t="str">
            <v>Down Lock, Main Gear</v>
          </cell>
          <cell r="Y89" t="str">
            <v>Plumb Bob</v>
          </cell>
          <cell r="Z89" t="str">
            <v>Fuel, Trapped, Usable (5.5 Gal)</v>
          </cell>
          <cell r="AA89" t="str">
            <v>Life Raft (PN R1200-103)</v>
          </cell>
          <cell r="AB89" t="str">
            <v>Life Raft (PN R1200-103)</v>
          </cell>
          <cell r="AK89">
            <v>0.3</v>
          </cell>
          <cell r="AL89">
            <v>0.4</v>
          </cell>
          <cell r="AM89">
            <v>0.5</v>
          </cell>
          <cell r="AN89">
            <v>17</v>
          </cell>
          <cell r="AO89">
            <v>16.78</v>
          </cell>
          <cell r="AP89">
            <v>19.5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91</v>
          </cell>
          <cell r="AZ89">
            <v>702</v>
          </cell>
          <cell r="BA89">
            <v>685</v>
          </cell>
          <cell r="BB89">
            <v>632</v>
          </cell>
          <cell r="BC89">
            <v>304</v>
          </cell>
          <cell r="BD89">
            <v>350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 t="str">
            <v>Flaps 0 - 40° (Up when weighed)</v>
          </cell>
          <cell r="BN89" t="str">
            <v>Fuel, Drain, Unusable (5.6 Gal)</v>
          </cell>
          <cell r="BO89" t="str">
            <v>Lavatory Pre-charge Fluid (6.0 Gal)</v>
          </cell>
          <cell r="BP89" t="str">
            <v>Water, Potable (62.6 Gal)</v>
          </cell>
          <cell r="BQ89" t="str">
            <v>Lavatory Dry Supplies</v>
          </cell>
          <cell r="CB89">
            <v>0</v>
          </cell>
          <cell r="CC89">
            <v>17.3</v>
          </cell>
          <cell r="CD89">
            <v>22.7</v>
          </cell>
          <cell r="CE89">
            <v>236.4</v>
          </cell>
          <cell r="CF89">
            <v>4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646</v>
          </cell>
          <cell r="CR89">
            <v>1112</v>
          </cell>
          <cell r="CS89">
            <v>1150</v>
          </cell>
          <cell r="CT89">
            <v>1145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N89" t="str">
            <v>18/06/2024</v>
          </cell>
          <cell r="DU89" t="str">
            <v>GOL</v>
          </cell>
        </row>
        <row r="90">
          <cell r="A90" t="str">
            <v>PS-GFE</v>
          </cell>
          <cell r="D90" t="str">
            <v>08/07/2023</v>
          </cell>
          <cell r="E90">
            <v>1</v>
          </cell>
          <cell r="F90">
            <v>1</v>
          </cell>
          <cell r="G90" t="str">
            <v>Lagoa Santa, MG - Brasil</v>
          </cell>
          <cell r="H90" t="str">
            <v>BCF Conversion</v>
          </cell>
          <cell r="I90">
            <v>2155</v>
          </cell>
          <cell r="J90">
            <v>2155</v>
          </cell>
          <cell r="K90">
            <v>8663</v>
          </cell>
          <cell r="L90">
            <v>8663</v>
          </cell>
          <cell r="M90">
            <v>8713.5</v>
          </cell>
          <cell r="N90">
            <v>8713.5</v>
          </cell>
          <cell r="O90">
            <v>2155</v>
          </cell>
          <cell r="P90">
            <v>2155</v>
          </cell>
          <cell r="Q90">
            <v>8663</v>
          </cell>
          <cell r="R90">
            <v>8663</v>
          </cell>
          <cell r="S90">
            <v>8713.5</v>
          </cell>
          <cell r="T90">
            <v>8713.5</v>
          </cell>
          <cell r="U90">
            <v>-4702.2239263803694</v>
          </cell>
          <cell r="V90">
            <v>5.7085889570555333</v>
          </cell>
          <cell r="W90" t="str">
            <v>Down Lock, Nose Gear</v>
          </cell>
          <cell r="X90" t="str">
            <v>Down Lock, Main Gear</v>
          </cell>
          <cell r="Y90" t="str">
            <v>Plumb Bob</v>
          </cell>
          <cell r="Z90" t="str">
            <v>Life Raft (R1200-103)</v>
          </cell>
          <cell r="AA90" t="str">
            <v>Life Raft (R1200-203)</v>
          </cell>
          <cell r="AK90">
            <v>0.3</v>
          </cell>
          <cell r="AL90">
            <v>0.4</v>
          </cell>
          <cell r="AM90">
            <v>0.5</v>
          </cell>
          <cell r="AN90">
            <v>16.78</v>
          </cell>
          <cell r="AO90">
            <v>19.5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91</v>
          </cell>
          <cell r="AZ90">
            <v>702</v>
          </cell>
          <cell r="BA90">
            <v>685</v>
          </cell>
          <cell r="BB90">
            <v>105</v>
          </cell>
          <cell r="BC90">
            <v>150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 t="str">
            <v>Flaps 0 - 40° (Up when weighed)</v>
          </cell>
          <cell r="BN90" t="str">
            <v>Fuel, Drain, Unusable (5.6 Gal)</v>
          </cell>
          <cell r="BO90" t="str">
            <v>Water, Potable (62.6 Gal)</v>
          </cell>
          <cell r="BP90" t="str">
            <v>Lavatory Pre-charge Fluid (6.0 Gal)</v>
          </cell>
          <cell r="BQ90" t="str">
            <v>Operations Manuals</v>
          </cell>
          <cell r="CB90">
            <v>0</v>
          </cell>
          <cell r="CC90">
            <v>17.3</v>
          </cell>
          <cell r="CD90">
            <v>236.4</v>
          </cell>
          <cell r="CE90">
            <v>22.7</v>
          </cell>
          <cell r="CF90">
            <v>2.2999999999999998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646</v>
          </cell>
          <cell r="CR90">
            <v>1150</v>
          </cell>
          <cell r="CS90">
            <v>1112</v>
          </cell>
          <cell r="CT90">
            <v>67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N90" t="str">
            <v>02/07/2024</v>
          </cell>
          <cell r="DU90" t="str">
            <v>GOL</v>
          </cell>
        </row>
        <row r="91">
          <cell r="A91" t="str">
            <v>PS-GFF</v>
          </cell>
          <cell r="D91" t="str">
            <v>12/10/2023</v>
          </cell>
          <cell r="E91">
            <v>2</v>
          </cell>
          <cell r="F91">
            <v>1</v>
          </cell>
          <cell r="G91" t="str">
            <v>Lagoa Santa, MG - Brasil</v>
          </cell>
          <cell r="H91" t="str">
            <v>New Livery</v>
          </cell>
          <cell r="I91">
            <v>2123</v>
          </cell>
          <cell r="J91">
            <v>2123</v>
          </cell>
          <cell r="K91">
            <v>8699</v>
          </cell>
          <cell r="L91">
            <v>8699</v>
          </cell>
          <cell r="M91">
            <v>8511.5</v>
          </cell>
          <cell r="N91">
            <v>8511.5</v>
          </cell>
          <cell r="O91">
            <v>2123</v>
          </cell>
          <cell r="P91">
            <v>2123</v>
          </cell>
          <cell r="Q91">
            <v>8699</v>
          </cell>
          <cell r="R91">
            <v>8699</v>
          </cell>
          <cell r="S91">
            <v>8511.5</v>
          </cell>
          <cell r="T91">
            <v>8511.5</v>
          </cell>
          <cell r="U91">
            <v>3.7400306748467642</v>
          </cell>
          <cell r="V91">
            <v>4.134202453988312</v>
          </cell>
          <cell r="W91" t="str">
            <v>Down Lock, Nose Gear</v>
          </cell>
          <cell r="X91" t="str">
            <v>Down Lock, Main Gear</v>
          </cell>
          <cell r="Y91" t="str">
            <v>Plumb Bob</v>
          </cell>
          <cell r="Z91" t="str">
            <v>R1200-103 (Life Raft)</v>
          </cell>
          <cell r="AA91" t="str">
            <v>R1200-203 (Life Raft)</v>
          </cell>
          <cell r="AK91">
            <v>0.3</v>
          </cell>
          <cell r="AL91">
            <v>0.4</v>
          </cell>
          <cell r="AM91">
            <v>0.5</v>
          </cell>
          <cell r="AN91">
            <v>16.78</v>
          </cell>
          <cell r="AO91">
            <v>19.5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91</v>
          </cell>
          <cell r="AZ91">
            <v>702</v>
          </cell>
          <cell r="BA91">
            <v>685</v>
          </cell>
          <cell r="BB91">
            <v>105</v>
          </cell>
          <cell r="BC91">
            <v>150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 t="str">
            <v>Flaps 0 - 40° (Up when weighed)</v>
          </cell>
          <cell r="BN91" t="str">
            <v>Fuel, Drain, Unusable (5.6 Gal)</v>
          </cell>
          <cell r="BO91" t="str">
            <v>Water, Potable (62.6 Gal)</v>
          </cell>
          <cell r="BP91" t="str">
            <v>Lavatory Pre-charge Fluid (6.0 Gal)</v>
          </cell>
          <cell r="BQ91" t="str">
            <v>Operations Manuals</v>
          </cell>
          <cell r="CB91">
            <v>0</v>
          </cell>
          <cell r="CC91">
            <v>17.3</v>
          </cell>
          <cell r="CD91">
            <v>236.4</v>
          </cell>
          <cell r="CE91">
            <v>22.7</v>
          </cell>
          <cell r="CF91">
            <v>2.2999999999999998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646</v>
          </cell>
          <cell r="CR91">
            <v>1150</v>
          </cell>
          <cell r="CS91">
            <v>1112</v>
          </cell>
          <cell r="CT91">
            <v>67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N91" t="str">
            <v>02/07/2024</v>
          </cell>
          <cell r="DU91" t="str">
            <v>GOL</v>
          </cell>
        </row>
        <row r="92">
          <cell r="A92" t="str">
            <v>PS-GRE</v>
          </cell>
          <cell r="D92" t="str">
            <v>10/05/2024</v>
          </cell>
          <cell r="E92">
            <v>1</v>
          </cell>
          <cell r="F92">
            <v>0</v>
          </cell>
          <cell r="G92" t="str">
            <v>Seattle, WA - EUA</v>
          </cell>
          <cell r="H92" t="str">
            <v>New Production Aircraft</v>
          </cell>
          <cell r="I92">
            <v>1877.6456000000001</v>
          </cell>
          <cell r="J92">
            <v>1877.6456000000001</v>
          </cell>
          <cell r="K92">
            <v>10025.071749999999</v>
          </cell>
          <cell r="L92">
            <v>10025.071749999999</v>
          </cell>
          <cell r="M92">
            <v>10015.999900000001</v>
          </cell>
          <cell r="N92">
            <v>10015.999900000001</v>
          </cell>
          <cell r="O92">
            <v>1877.6456000000001</v>
          </cell>
          <cell r="P92">
            <v>1877.6456000000001</v>
          </cell>
          <cell r="Q92">
            <v>10025.071749999999</v>
          </cell>
          <cell r="R92">
            <v>10025.071749999999</v>
          </cell>
          <cell r="S92">
            <v>10015.999900000001</v>
          </cell>
          <cell r="T92">
            <v>10015.999900000001</v>
          </cell>
          <cell r="U92">
            <v>10.199386503067799</v>
          </cell>
          <cell r="V92">
            <v>9.4325153374234532</v>
          </cell>
          <cell r="W92" t="str">
            <v>Down Lock, Nose Gear</v>
          </cell>
          <cell r="X92" t="str">
            <v>Down Lock, Main Gear</v>
          </cell>
          <cell r="Y92" t="str">
            <v>Plumb Bob</v>
          </cell>
          <cell r="Z92" t="str">
            <v>Wiring Diagrams</v>
          </cell>
          <cell r="AK92">
            <v>0.3</v>
          </cell>
          <cell r="AL92">
            <v>0.4</v>
          </cell>
          <cell r="AM92">
            <v>0.5</v>
          </cell>
          <cell r="AN92">
            <v>23.6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82</v>
          </cell>
          <cell r="AZ92">
            <v>702</v>
          </cell>
          <cell r="BA92">
            <v>685</v>
          </cell>
          <cell r="BB92">
            <v>269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 t="str">
            <v>Flaps 0 - 40° (Up when weighed)</v>
          </cell>
          <cell r="BN92" t="str">
            <v>Fuel, Drain, Unusable (5.6 Gal)</v>
          </cell>
          <cell r="BO92" t="str">
            <v>Lavatory Dry Supplies</v>
          </cell>
          <cell r="BP92" t="str">
            <v>Lavatory Dry Supplies</v>
          </cell>
          <cell r="BQ92" t="str">
            <v>Lavatory Pre-charge Fluid (6.0 Gal)</v>
          </cell>
          <cell r="BR92" t="str">
            <v>Water, Potable (62.6 Gal)</v>
          </cell>
          <cell r="BS92" t="str">
            <v>Level Correction (value added to CG)</v>
          </cell>
          <cell r="BT92" t="str">
            <v>Fuel, Trapped, Unusable (14.2 Gal)</v>
          </cell>
          <cell r="BU92" t="str">
            <v>Fuel, Trapped, Usable (5.5 Gal)</v>
          </cell>
          <cell r="BV92" t="str">
            <v>Oil, Drain, Usable Engine (10.2 Gal)</v>
          </cell>
          <cell r="BW92" t="str">
            <v>Oil, Drain, Unusable Engine (6.6 Gal)</v>
          </cell>
          <cell r="BX92" t="str">
            <v>Oil, Trapped, Unusable Engine (1.0 Gal)</v>
          </cell>
          <cell r="BY92" t="str">
            <v>Oil, Integrated Drive Gen (4.4 Gal)</v>
          </cell>
          <cell r="BZ92" t="str">
            <v>Oil, Auxiliary Power Unit (2.3 Gal)</v>
          </cell>
          <cell r="CA92" t="str">
            <v>Operations Manual</v>
          </cell>
          <cell r="CB92">
            <v>0</v>
          </cell>
          <cell r="CC92">
            <v>17.3</v>
          </cell>
          <cell r="CD92">
            <v>2</v>
          </cell>
          <cell r="CE92">
            <v>4</v>
          </cell>
          <cell r="CF92">
            <v>22.7</v>
          </cell>
          <cell r="CG92">
            <v>236.4</v>
          </cell>
          <cell r="CH92">
            <v>0</v>
          </cell>
          <cell r="CI92">
            <v>43.8</v>
          </cell>
          <cell r="CJ92">
            <v>17</v>
          </cell>
          <cell r="CK92">
            <v>38.4</v>
          </cell>
          <cell r="CL92">
            <v>24.8</v>
          </cell>
          <cell r="CM92">
            <v>3.8</v>
          </cell>
          <cell r="CN92">
            <v>17</v>
          </cell>
          <cell r="CO92">
            <v>8.6</v>
          </cell>
          <cell r="CP92">
            <v>0</v>
          </cell>
          <cell r="CQ92">
            <v>646</v>
          </cell>
          <cell r="CR92">
            <v>80</v>
          </cell>
          <cell r="CS92">
            <v>1138</v>
          </cell>
          <cell r="CT92">
            <v>1112</v>
          </cell>
          <cell r="CU92">
            <v>1150</v>
          </cell>
          <cell r="CV92">
            <v>0.4</v>
          </cell>
          <cell r="CW92">
            <v>638</v>
          </cell>
          <cell r="CX92">
            <v>632</v>
          </cell>
          <cell r="CY92">
            <v>508</v>
          </cell>
          <cell r="CZ92">
            <v>508</v>
          </cell>
          <cell r="DA92">
            <v>535</v>
          </cell>
          <cell r="DB92">
            <v>495</v>
          </cell>
          <cell r="DC92">
            <v>1333</v>
          </cell>
          <cell r="DN92" t="str">
            <v>19/06/2024</v>
          </cell>
          <cell r="DU92" t="str">
            <v>Boeing</v>
          </cell>
          <cell r="DV92" t="str">
            <v>186 Pax + 10 Flight Crew</v>
          </cell>
        </row>
        <row r="93">
          <cell r="A93" t="str">
            <v>PS-GRG</v>
          </cell>
          <cell r="D93" t="str">
            <v>03/07/2024</v>
          </cell>
          <cell r="E93">
            <v>1</v>
          </cell>
          <cell r="F93">
            <v>0</v>
          </cell>
          <cell r="G93" t="str">
            <v>Seattle, WA - EUA</v>
          </cell>
          <cell r="H93" t="str">
            <v>New Production Aircraft</v>
          </cell>
          <cell r="I93">
            <v>1942.78</v>
          </cell>
          <cell r="J93">
            <v>1942.78</v>
          </cell>
          <cell r="K93">
            <v>10064.535</v>
          </cell>
          <cell r="L93">
            <v>10064.535</v>
          </cell>
          <cell r="M93">
            <v>10006.045</v>
          </cell>
          <cell r="N93">
            <v>10006.045</v>
          </cell>
          <cell r="O93">
            <v>1942.78</v>
          </cell>
          <cell r="P93">
            <v>1942.78</v>
          </cell>
          <cell r="Q93">
            <v>10064.535</v>
          </cell>
          <cell r="R93">
            <v>10064.535</v>
          </cell>
          <cell r="S93">
            <v>10006.045</v>
          </cell>
          <cell r="T93">
            <v>10006.045</v>
          </cell>
          <cell r="U93">
            <v>12.49999999999997</v>
          </cell>
          <cell r="V93">
            <v>12.49999999999997</v>
          </cell>
          <cell r="W93" t="str">
            <v>Down Lock, Nose Gear</v>
          </cell>
          <cell r="X93" t="str">
            <v>Down Lock, Main Gear</v>
          </cell>
          <cell r="Y93" t="str">
            <v>Plumb Bob</v>
          </cell>
          <cell r="Z93" t="str">
            <v>Operation Manuals</v>
          </cell>
          <cell r="AA93" t="str">
            <v>Wiring Diagrams</v>
          </cell>
          <cell r="AB93" t="str">
            <v>Production Flight Emergency Equipment</v>
          </cell>
          <cell r="AC93" t="str">
            <v>Defibrillator</v>
          </cell>
          <cell r="AK93">
            <v>0.3</v>
          </cell>
          <cell r="AL93">
            <v>0.4</v>
          </cell>
          <cell r="AM93">
            <v>0.5</v>
          </cell>
          <cell r="AN93">
            <v>2.2999999999999998</v>
          </cell>
          <cell r="AO93">
            <v>23.6</v>
          </cell>
          <cell r="AP93">
            <v>29.5</v>
          </cell>
          <cell r="AQ93">
            <v>5.4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82</v>
          </cell>
          <cell r="AZ93">
            <v>702</v>
          </cell>
          <cell r="BA93">
            <v>685</v>
          </cell>
          <cell r="BB93">
            <v>67</v>
          </cell>
          <cell r="BC93">
            <v>230</v>
          </cell>
          <cell r="BD93">
            <v>230</v>
          </cell>
          <cell r="BE93">
            <v>230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 t="str">
            <v>Flaps 0 - 40° (Up when weighed)</v>
          </cell>
          <cell r="BN93" t="str">
            <v>Lavatory Pre-charge Fluid (6.0 Gal)</v>
          </cell>
          <cell r="BO93" t="str">
            <v>Lavatory Dry Supplies</v>
          </cell>
          <cell r="BP93" t="str">
            <v>Fuel, Drain, Unusable (5.6 Gal)</v>
          </cell>
          <cell r="BQ93" t="str">
            <v>Lavatory Dry Supplies</v>
          </cell>
          <cell r="BR93" t="str">
            <v>Water, Potable (62.6 Gal)</v>
          </cell>
          <cell r="BS93" t="str">
            <v>Level Correction (value added to CG)</v>
          </cell>
          <cell r="CB93">
            <v>0</v>
          </cell>
          <cell r="CC93">
            <v>22.7</v>
          </cell>
          <cell r="CD93">
            <v>2</v>
          </cell>
          <cell r="CE93">
            <v>17.3</v>
          </cell>
          <cell r="CF93">
            <v>4</v>
          </cell>
          <cell r="CG93">
            <v>236.4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1112</v>
          </cell>
          <cell r="CR93">
            <v>80</v>
          </cell>
          <cell r="CS93">
            <v>646</v>
          </cell>
          <cell r="CT93">
            <v>1138</v>
          </cell>
          <cell r="CU93">
            <v>1150</v>
          </cell>
          <cell r="CV93">
            <v>0.8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N93" t="str">
            <v>23/07/2024</v>
          </cell>
          <cell r="DU93" t="str">
            <v>Boeing</v>
          </cell>
          <cell r="DV93" t="str">
            <v>186 Pax + 10 Flight Crew</v>
          </cell>
        </row>
        <row r="94">
          <cell r="A94" t="str">
            <v>PR-GGF</v>
          </cell>
          <cell r="D94" t="str">
            <v>02/03/2020</v>
          </cell>
          <cell r="E94">
            <v>5</v>
          </cell>
          <cell r="F94">
            <v>1</v>
          </cell>
          <cell r="G94" t="str">
            <v>Lagoa Santa, MG - Brazil</v>
          </cell>
          <cell r="H94" t="str">
            <v>New Painting</v>
          </cell>
          <cell r="I94">
            <v>1481</v>
          </cell>
          <cell r="J94">
            <v>1481</v>
          </cell>
          <cell r="K94">
            <v>9548</v>
          </cell>
          <cell r="L94">
            <v>9548</v>
          </cell>
          <cell r="M94">
            <v>9577.5</v>
          </cell>
          <cell r="N94">
            <v>9577.5</v>
          </cell>
          <cell r="O94">
            <v>1481</v>
          </cell>
          <cell r="P94">
            <v>1481</v>
          </cell>
          <cell r="Q94">
            <v>9548</v>
          </cell>
          <cell r="R94">
            <v>9548</v>
          </cell>
          <cell r="S94">
            <v>9577.5</v>
          </cell>
          <cell r="T94">
            <v>9577.5</v>
          </cell>
          <cell r="U94">
            <v>3.306748466257591</v>
          </cell>
          <cell r="V94">
            <v>2.9524539877299918</v>
          </cell>
          <cell r="W94" t="str">
            <v>Plumb Bob</v>
          </cell>
          <cell r="X94" t="str">
            <v>Down Lock, Nose Gear</v>
          </cell>
          <cell r="Y94" t="str">
            <v>Down Lock, Main Gear</v>
          </cell>
          <cell r="AK94">
            <v>0.5</v>
          </cell>
          <cell r="AL94">
            <v>0.3</v>
          </cell>
          <cell r="AM94">
            <v>0.4</v>
          </cell>
          <cell r="AN94">
            <v>0</v>
          </cell>
          <cell r="AO94">
            <v>0.3</v>
          </cell>
          <cell r="AP94">
            <v>0.4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685</v>
          </cell>
          <cell r="AZ94">
            <v>91</v>
          </cell>
          <cell r="BA94">
            <v>702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 t="str">
            <v>Water, Potable (62.6 Gal)</v>
          </cell>
          <cell r="BN94" t="str">
            <v>Standard Container (2 EA) - Galley #4</v>
          </cell>
          <cell r="BO94" t="str">
            <v>Lavatory Pre-charge Fluid (6.0 Gal)</v>
          </cell>
          <cell r="BP94" t="str">
            <v>Lavatory Dry Supplies</v>
          </cell>
          <cell r="BQ94" t="str">
            <v>Fuel, Drain, Unusable (5.6 Gal)</v>
          </cell>
          <cell r="BR94" t="str">
            <v>Flaps 0 - 40° (Up when weighed)</v>
          </cell>
          <cell r="CB94">
            <v>236.4</v>
          </cell>
          <cell r="CC94">
            <v>5.8</v>
          </cell>
          <cell r="CD94">
            <v>22.7</v>
          </cell>
          <cell r="CE94">
            <v>4</v>
          </cell>
          <cell r="CF94">
            <v>17.3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1150</v>
          </cell>
          <cell r="CQ94">
            <v>1219</v>
          </cell>
          <cell r="CR94">
            <v>1112</v>
          </cell>
          <cell r="CS94">
            <v>1145</v>
          </cell>
          <cell r="CT94">
            <v>646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N94">
            <v>0</v>
          </cell>
          <cell r="DV94" t="str">
            <v>186 Pax + 10 Flight Crew</v>
          </cell>
        </row>
        <row r="95">
          <cell r="A95" t="str">
            <v>PS-GPP</v>
          </cell>
          <cell r="D95" t="str">
            <v>20/03/2024</v>
          </cell>
          <cell r="E95">
            <v>2</v>
          </cell>
          <cell r="F95">
            <v>0</v>
          </cell>
          <cell r="G95" t="str">
            <v>Lagoa Santa, MG - Brazil</v>
          </cell>
          <cell r="H95" t="str">
            <v>New Painting</v>
          </cell>
          <cell r="I95">
            <v>1914.5</v>
          </cell>
          <cell r="J95">
            <v>1914.5</v>
          </cell>
          <cell r="K95">
            <v>10063.75</v>
          </cell>
          <cell r="L95">
            <v>10063.75</v>
          </cell>
          <cell r="M95">
            <v>10156.25</v>
          </cell>
          <cell r="N95">
            <v>10156.25</v>
          </cell>
          <cell r="O95">
            <v>1914.5</v>
          </cell>
          <cell r="P95">
            <v>1914.5</v>
          </cell>
          <cell r="Q95">
            <v>10063.75</v>
          </cell>
          <cell r="R95">
            <v>10063.75</v>
          </cell>
          <cell r="S95">
            <v>10156.25</v>
          </cell>
          <cell r="T95">
            <v>10156.25</v>
          </cell>
          <cell r="U95">
            <v>5.7085889570555333</v>
          </cell>
          <cell r="V95">
            <v>5.1180981595095352</v>
          </cell>
          <cell r="W95" t="str">
            <v>Plumb Bob</v>
          </cell>
          <cell r="X95" t="str">
            <v>Down Lock, Nose Gear</v>
          </cell>
          <cell r="Y95" t="str">
            <v>Down Lock, Main Gear</v>
          </cell>
          <cell r="AK95">
            <v>0.3</v>
          </cell>
          <cell r="AL95">
            <v>0.4</v>
          </cell>
          <cell r="AM95">
            <v>0.5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82</v>
          </cell>
          <cell r="AZ95">
            <v>702</v>
          </cell>
          <cell r="BA95">
            <v>685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 t="str">
            <v>Water, Potable (62.6 Gal)</v>
          </cell>
          <cell r="BN95" t="str">
            <v>Lavatory Pre-charge Fluid (6.0 Gal)</v>
          </cell>
          <cell r="BO95" t="str">
            <v>Lavatory Dry Supplies</v>
          </cell>
          <cell r="BP95" t="str">
            <v>Fuel, Drain, Unusable (5.6 Gal)</v>
          </cell>
          <cell r="BQ95" t="str">
            <v>Flaps 0 - 40° (Up when weighed)</v>
          </cell>
          <cell r="CB95">
            <v>236.4</v>
          </cell>
          <cell r="CC95">
            <v>22.7</v>
          </cell>
          <cell r="CD95">
            <v>4</v>
          </cell>
          <cell r="CE95">
            <v>17.3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1150</v>
          </cell>
          <cell r="CQ95">
            <v>1112</v>
          </cell>
          <cell r="CR95">
            <v>1138</v>
          </cell>
          <cell r="CS95">
            <v>646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N95">
            <v>0</v>
          </cell>
          <cell r="DV95" t="str">
            <v>186 Pax + 10 Flight Crew</v>
          </cell>
        </row>
        <row r="96">
          <cell r="A96" t="str">
            <v>PS-GFD</v>
          </cell>
          <cell r="D96" t="str">
            <v>10/04/2023</v>
          </cell>
          <cell r="E96">
            <v>7</v>
          </cell>
          <cell r="F96">
            <v>1</v>
          </cell>
          <cell r="G96" t="str">
            <v>Lagoa Santa, MG</v>
          </cell>
          <cell r="H96" t="str">
            <v>New Painting</v>
          </cell>
          <cell r="I96">
            <v>2132</v>
          </cell>
          <cell r="J96">
            <v>2132</v>
          </cell>
          <cell r="K96">
            <v>8684</v>
          </cell>
          <cell r="L96">
            <v>8684</v>
          </cell>
          <cell r="M96">
            <v>8684</v>
          </cell>
          <cell r="N96">
            <v>8684</v>
          </cell>
          <cell r="O96">
            <v>2132</v>
          </cell>
          <cell r="P96">
            <v>2132</v>
          </cell>
          <cell r="Q96">
            <v>2132</v>
          </cell>
          <cell r="R96">
            <v>2132</v>
          </cell>
          <cell r="S96">
            <v>2132</v>
          </cell>
          <cell r="T96">
            <v>2132</v>
          </cell>
          <cell r="W96" t="str">
            <v>Down Lock, Nose Gear</v>
          </cell>
          <cell r="X96" t="str">
            <v>Down Lock, Main Gear</v>
          </cell>
          <cell r="Y96" t="str">
            <v>Plumb Bob</v>
          </cell>
          <cell r="Z96" t="str">
            <v>Fuel, Trapped, Usable (5.5 Gal)</v>
          </cell>
          <cell r="AA96" t="str">
            <v>Life Raft (PN R1200-103)</v>
          </cell>
          <cell r="AB96" t="str">
            <v>Life Raft (PN R1200-103)</v>
          </cell>
          <cell r="AK96">
            <v>0.3</v>
          </cell>
          <cell r="AL96">
            <v>0.4</v>
          </cell>
          <cell r="AM96">
            <v>0.5</v>
          </cell>
          <cell r="AN96">
            <v>17</v>
          </cell>
          <cell r="AO96">
            <v>16.78</v>
          </cell>
          <cell r="AP96">
            <v>19.5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91</v>
          </cell>
          <cell r="AZ96">
            <v>702</v>
          </cell>
          <cell r="BA96">
            <v>685</v>
          </cell>
          <cell r="BB96">
            <v>632</v>
          </cell>
          <cell r="BC96">
            <v>304</v>
          </cell>
          <cell r="BD96">
            <v>350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 t="str">
            <v>Flaps 0 - 40° (Up when weighed)</v>
          </cell>
          <cell r="BN96" t="str">
            <v>Fuel, Drain, Unusable (5.6 Gal)</v>
          </cell>
          <cell r="BO96" t="str">
            <v>Lavatory Pre-charge Fluid (6.0 Gal)</v>
          </cell>
          <cell r="BP96" t="str">
            <v>Water, Potable (62.6 Gal)</v>
          </cell>
          <cell r="BQ96" t="str">
            <v>Lavatory Dry Supplies</v>
          </cell>
          <cell r="CB96">
            <v>0</v>
          </cell>
          <cell r="CC96">
            <v>17.3</v>
          </cell>
          <cell r="CD96">
            <v>22.7</v>
          </cell>
          <cell r="CE96">
            <v>236.4</v>
          </cell>
          <cell r="CF96">
            <v>4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646</v>
          </cell>
          <cell r="CR96">
            <v>1112</v>
          </cell>
          <cell r="CS96">
            <v>1150</v>
          </cell>
          <cell r="CT96">
            <v>1145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N96">
            <v>0</v>
          </cell>
        </row>
        <row r="97">
          <cell r="A97" t="str">
            <v>PS-GFE</v>
          </cell>
          <cell r="D97" t="str">
            <v>08/07/2023</v>
          </cell>
          <cell r="E97">
            <v>1</v>
          </cell>
          <cell r="F97">
            <v>1</v>
          </cell>
          <cell r="G97" t="str">
            <v>Lagoa Santa, MG - Brasil</v>
          </cell>
          <cell r="H97" t="str">
            <v>BCF Conversion</v>
          </cell>
          <cell r="I97">
            <v>2155</v>
          </cell>
          <cell r="J97">
            <v>2155</v>
          </cell>
          <cell r="K97">
            <v>8663</v>
          </cell>
          <cell r="L97">
            <v>8663</v>
          </cell>
          <cell r="M97">
            <v>8663</v>
          </cell>
          <cell r="N97">
            <v>8663</v>
          </cell>
          <cell r="O97">
            <v>2155</v>
          </cell>
          <cell r="P97">
            <v>2155</v>
          </cell>
          <cell r="Q97">
            <v>2155</v>
          </cell>
          <cell r="R97">
            <v>2155</v>
          </cell>
          <cell r="S97">
            <v>2155</v>
          </cell>
          <cell r="T97">
            <v>2155</v>
          </cell>
          <cell r="W97" t="str">
            <v>Down Lock, Nose Gear</v>
          </cell>
          <cell r="X97" t="str">
            <v>Down Lock, Main Gear</v>
          </cell>
          <cell r="Y97" t="str">
            <v>Plumb Bob</v>
          </cell>
          <cell r="Z97" t="str">
            <v>Life Raft (R1200-103)</v>
          </cell>
          <cell r="AA97" t="str">
            <v>Life Raft (R1200-203)</v>
          </cell>
          <cell r="AK97">
            <v>0.3</v>
          </cell>
          <cell r="AL97">
            <v>0.4</v>
          </cell>
          <cell r="AM97">
            <v>0.5</v>
          </cell>
          <cell r="AN97">
            <v>16.78</v>
          </cell>
          <cell r="AO97">
            <v>19.5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91</v>
          </cell>
          <cell r="AZ97">
            <v>702</v>
          </cell>
          <cell r="BA97">
            <v>685</v>
          </cell>
          <cell r="BB97">
            <v>105</v>
          </cell>
          <cell r="BC97">
            <v>150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 t="str">
            <v>Flaps 0 - 40° (Up when weighed)</v>
          </cell>
          <cell r="BN97" t="str">
            <v>Fuel, Drain, Unusable (5.6 Gal)</v>
          </cell>
          <cell r="BO97" t="str">
            <v>Water, Potable (62.6 Gal)</v>
          </cell>
          <cell r="BP97" t="str">
            <v>Lavatory Pre-charge Fluid (6.0 Gal)</v>
          </cell>
          <cell r="BQ97" t="str">
            <v>Operations Manuals</v>
          </cell>
          <cell r="CB97">
            <v>0</v>
          </cell>
          <cell r="CC97">
            <v>17.3</v>
          </cell>
          <cell r="CD97">
            <v>236.4</v>
          </cell>
          <cell r="CE97">
            <v>22.7</v>
          </cell>
          <cell r="CF97">
            <v>2.2999999999999998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646</v>
          </cell>
          <cell r="CR97">
            <v>1150</v>
          </cell>
          <cell r="CS97">
            <v>1112</v>
          </cell>
          <cell r="CT97">
            <v>67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N97">
            <v>0</v>
          </cell>
        </row>
        <row r="98">
          <cell r="A98" t="str">
            <v>PS-GFF</v>
          </cell>
          <cell r="D98" t="str">
            <v>12/10/2023</v>
          </cell>
          <cell r="E98">
            <v>2</v>
          </cell>
          <cell r="F98">
            <v>1</v>
          </cell>
          <cell r="G98" t="str">
            <v>Lagoa Santa, MG - Brasil</v>
          </cell>
          <cell r="H98" t="str">
            <v>New Livery</v>
          </cell>
          <cell r="I98">
            <v>2123</v>
          </cell>
          <cell r="J98">
            <v>2123</v>
          </cell>
          <cell r="K98">
            <v>8699</v>
          </cell>
          <cell r="L98">
            <v>8699</v>
          </cell>
          <cell r="M98">
            <v>8699</v>
          </cell>
          <cell r="N98">
            <v>8699</v>
          </cell>
          <cell r="O98">
            <v>2123</v>
          </cell>
          <cell r="P98">
            <v>2123</v>
          </cell>
          <cell r="Q98">
            <v>2123</v>
          </cell>
          <cell r="R98">
            <v>2123</v>
          </cell>
          <cell r="S98">
            <v>2123</v>
          </cell>
          <cell r="T98">
            <v>2123</v>
          </cell>
          <cell r="W98" t="str">
            <v>Down Lock, Nose Gear</v>
          </cell>
          <cell r="X98" t="str">
            <v>Down Lock, Main Gear</v>
          </cell>
          <cell r="Y98" t="str">
            <v>Plumb Bob</v>
          </cell>
          <cell r="Z98" t="str">
            <v>R1200-103 (Life Raft)</v>
          </cell>
          <cell r="AA98" t="str">
            <v>R1200-203 (Life Raft)</v>
          </cell>
          <cell r="AK98">
            <v>0.3</v>
          </cell>
          <cell r="AL98">
            <v>0.4</v>
          </cell>
          <cell r="AM98">
            <v>0.5</v>
          </cell>
          <cell r="AN98">
            <v>16.78</v>
          </cell>
          <cell r="AO98">
            <v>19.5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91</v>
          </cell>
          <cell r="AZ98">
            <v>702</v>
          </cell>
          <cell r="BA98">
            <v>685</v>
          </cell>
          <cell r="BB98">
            <v>105</v>
          </cell>
          <cell r="BC98">
            <v>150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 t="str">
            <v>Flaps 0 - 40° (Up when weighed)</v>
          </cell>
          <cell r="BN98" t="str">
            <v>Fuel, Drain, Unusable (5.6 Gal)</v>
          </cell>
          <cell r="BO98" t="str">
            <v>Water, Potable (62.6 Gal)</v>
          </cell>
          <cell r="BP98" t="str">
            <v>Lavatory Pre-charge Fluid (6.0 Gal)</v>
          </cell>
          <cell r="BQ98" t="str">
            <v>Operations Manuals</v>
          </cell>
          <cell r="CB98">
            <v>0</v>
          </cell>
          <cell r="CC98">
            <v>17.3</v>
          </cell>
          <cell r="CD98">
            <v>236.4</v>
          </cell>
          <cell r="CE98">
            <v>22.7</v>
          </cell>
          <cell r="CF98">
            <v>2.2999999999999998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646</v>
          </cell>
          <cell r="CR98">
            <v>1150</v>
          </cell>
          <cell r="CS98">
            <v>1112</v>
          </cell>
          <cell r="CT98">
            <v>67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N98">
            <v>0</v>
          </cell>
        </row>
        <row r="99">
          <cell r="A99" t="str">
            <v>PR-GGM</v>
          </cell>
          <cell r="D99" t="str">
            <v>15/10/2022</v>
          </cell>
          <cell r="E99">
            <v>4</v>
          </cell>
          <cell r="F99">
            <v>0</v>
          </cell>
          <cell r="G99" t="str">
            <v>Lagoa Santa, MG - Brazil</v>
          </cell>
          <cell r="H99" t="str">
            <v>Five Years</v>
          </cell>
          <cell r="I99">
            <v>1486.5</v>
          </cell>
          <cell r="J99">
            <v>1486.5</v>
          </cell>
          <cell r="K99">
            <v>9530.5</v>
          </cell>
          <cell r="L99">
            <v>9530.5</v>
          </cell>
          <cell r="M99">
            <v>9565</v>
          </cell>
          <cell r="N99">
            <v>9565</v>
          </cell>
          <cell r="O99">
            <v>1486.5</v>
          </cell>
          <cell r="P99">
            <v>1486.5</v>
          </cell>
          <cell r="Q99">
            <v>9530.5</v>
          </cell>
          <cell r="R99">
            <v>9530.5</v>
          </cell>
          <cell r="S99">
            <v>9565</v>
          </cell>
          <cell r="T99">
            <v>9565</v>
          </cell>
          <cell r="U99">
            <v>3.7799079754607132</v>
          </cell>
          <cell r="V99">
            <v>3.9371165644175381</v>
          </cell>
          <cell r="W99" t="str">
            <v>Down Lock, Nose Gear (1 ea)</v>
          </cell>
          <cell r="X99" t="str">
            <v>Down Lock, Main Gear (2 ea)</v>
          </cell>
          <cell r="Y99" t="str">
            <v>Plumb Bob</v>
          </cell>
          <cell r="AK99">
            <v>0.3</v>
          </cell>
          <cell r="AL99">
            <v>0.4</v>
          </cell>
          <cell r="AM99">
            <v>0.5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91</v>
          </cell>
          <cell r="AZ99">
            <v>702</v>
          </cell>
          <cell r="BA99">
            <v>685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 t="str">
            <v>Flaps 0 - 40° (up when weighed)</v>
          </cell>
          <cell r="BN99" t="str">
            <v>Fuel, Drain., Unusable (5.6 Gal)</v>
          </cell>
          <cell r="BO99" t="str">
            <v>Lavatory Pre-Charge Fluid (6.0 Gal)</v>
          </cell>
          <cell r="BP99" t="str">
            <v>Lavatory Dry Supplies (2 ea)</v>
          </cell>
          <cell r="BQ99" t="str">
            <v>Water, Potable (62.6 Gal)</v>
          </cell>
          <cell r="CB99">
            <v>0</v>
          </cell>
          <cell r="CC99">
            <v>17.3</v>
          </cell>
          <cell r="CD99">
            <v>22.7</v>
          </cell>
          <cell r="CE99">
            <v>4</v>
          </cell>
          <cell r="CF99">
            <v>236.4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646</v>
          </cell>
          <cell r="CR99">
            <v>1112</v>
          </cell>
          <cell r="CS99">
            <v>1145</v>
          </cell>
          <cell r="CT99">
            <v>1150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N99" t="str">
            <v>15/10/2022</v>
          </cell>
          <cell r="DU99" t="str">
            <v>GOL</v>
          </cell>
          <cell r="DV99" t="str">
            <v>186 Pax + 10 Flight Crew</v>
          </cell>
          <cell r="DW99" t="str">
            <v>GLP-800-004-GGM</v>
          </cell>
        </row>
        <row r="100">
          <cell r="A100" t="str">
            <v>PR-GGP</v>
          </cell>
          <cell r="D100" t="str">
            <v>13/10/2023</v>
          </cell>
          <cell r="E100">
            <v>4</v>
          </cell>
          <cell r="F100">
            <v>0</v>
          </cell>
          <cell r="G100" t="str">
            <v>Lagoa Santa, MG - Brazil</v>
          </cell>
          <cell r="H100" t="str">
            <v>New Painting</v>
          </cell>
          <cell r="I100">
            <v>1482.5</v>
          </cell>
          <cell r="J100">
            <v>1482.5</v>
          </cell>
          <cell r="K100">
            <v>9430.5</v>
          </cell>
          <cell r="L100">
            <v>9430.5</v>
          </cell>
          <cell r="M100">
            <v>9374</v>
          </cell>
          <cell r="N100">
            <v>9374</v>
          </cell>
          <cell r="O100">
            <v>1482.5</v>
          </cell>
          <cell r="P100">
            <v>1482.5</v>
          </cell>
          <cell r="Q100">
            <v>9430.5</v>
          </cell>
          <cell r="R100">
            <v>9430.5</v>
          </cell>
          <cell r="S100">
            <v>9374</v>
          </cell>
          <cell r="T100">
            <v>9374</v>
          </cell>
          <cell r="U100">
            <v>5.7085889570555333</v>
          </cell>
          <cell r="V100">
            <v>5.3542944785279341</v>
          </cell>
          <cell r="W100" t="str">
            <v>Down Lock, Nose Gear (1 ea)</v>
          </cell>
          <cell r="X100" t="str">
            <v>Down Lock, Main Gear (2 ea)</v>
          </cell>
          <cell r="Y100" t="str">
            <v>Plumb Bob</v>
          </cell>
          <cell r="AK100">
            <v>0.3</v>
          </cell>
          <cell r="AL100">
            <v>0.4</v>
          </cell>
          <cell r="AM100">
            <v>0.5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91</v>
          </cell>
          <cell r="AZ100">
            <v>702</v>
          </cell>
          <cell r="BA100">
            <v>685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 t="str">
            <v>Flaps 0 - 40° (up when weighed)</v>
          </cell>
          <cell r="BN100" t="str">
            <v>Fuel, Drain., Unusable (5.6 Gal)</v>
          </cell>
          <cell r="BO100" t="str">
            <v>Lavatory Pre-Charge Fluid (6.0 Gal)</v>
          </cell>
          <cell r="BP100" t="str">
            <v>Lavatory Dry Supplies</v>
          </cell>
          <cell r="BQ100" t="str">
            <v>Water, Potable (62.6 Gal)</v>
          </cell>
          <cell r="CB100">
            <v>0</v>
          </cell>
          <cell r="CC100">
            <v>17.3</v>
          </cell>
          <cell r="CD100">
            <v>22.7</v>
          </cell>
          <cell r="CE100">
            <v>4</v>
          </cell>
          <cell r="CF100">
            <v>236.4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646</v>
          </cell>
          <cell r="CR100">
            <v>1112</v>
          </cell>
          <cell r="CS100">
            <v>1145</v>
          </cell>
          <cell r="CT100">
            <v>1150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N100" t="str">
            <v>13/10/2023</v>
          </cell>
          <cell r="DU100" t="str">
            <v>GOL Linhas Aéreas</v>
          </cell>
          <cell r="DV100" t="str">
            <v>186 Pax + 10 Flight Crew</v>
          </cell>
          <cell r="DW100" t="str">
            <v>GLP-800-004-GGP</v>
          </cell>
        </row>
        <row r="101">
          <cell r="A101" t="str">
            <v>PR-GGR</v>
          </cell>
          <cell r="D101" t="str">
            <v>03/08/2023</v>
          </cell>
          <cell r="E101">
            <v>4</v>
          </cell>
          <cell r="F101">
            <v>0</v>
          </cell>
          <cell r="G101" t="str">
            <v>Lagoa Santa, MG - Brasil</v>
          </cell>
          <cell r="H101" t="str">
            <v>Scheduling - Five years</v>
          </cell>
          <cell r="I101">
            <v>1481</v>
          </cell>
          <cell r="J101">
            <v>1481</v>
          </cell>
          <cell r="K101">
            <v>9567.5</v>
          </cell>
          <cell r="L101">
            <v>9567.5</v>
          </cell>
          <cell r="M101">
            <v>9556.5</v>
          </cell>
          <cell r="N101">
            <v>9556.5</v>
          </cell>
          <cell r="O101">
            <v>1481</v>
          </cell>
          <cell r="P101">
            <v>1481</v>
          </cell>
          <cell r="Q101">
            <v>9567.5</v>
          </cell>
          <cell r="R101">
            <v>9567.5</v>
          </cell>
          <cell r="S101">
            <v>9556.5</v>
          </cell>
          <cell r="T101">
            <v>9556.5</v>
          </cell>
          <cell r="U101">
            <v>5.5981595092025938</v>
          </cell>
          <cell r="V101">
            <v>5.5981595092025938</v>
          </cell>
          <cell r="W101" t="str">
            <v>Down Lock Nose Gear (1 ea)</v>
          </cell>
          <cell r="X101" t="str">
            <v>Down Lock Main Gear (2 ea)</v>
          </cell>
          <cell r="Y101" t="str">
            <v>Plumb Bob</v>
          </cell>
          <cell r="AK101">
            <v>0.3</v>
          </cell>
          <cell r="AL101">
            <v>0.4</v>
          </cell>
          <cell r="AM101">
            <v>0.5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91</v>
          </cell>
          <cell r="AZ101">
            <v>702</v>
          </cell>
          <cell r="BA101">
            <v>685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 t="str">
            <v>Flaps 0 - 40° (up when weighed)</v>
          </cell>
          <cell r="BN101" t="str">
            <v>Fuel, Drain., Unusable (5.6 Gal)</v>
          </cell>
          <cell r="BO101" t="str">
            <v>Lavatory Pre-Charge Fluid (6.0 Gal)</v>
          </cell>
          <cell r="BP101" t="str">
            <v>Lavatory Dry Supplies</v>
          </cell>
          <cell r="BQ101" t="str">
            <v>Water, Potable (62.6 Gal)</v>
          </cell>
          <cell r="CB101">
            <v>0</v>
          </cell>
          <cell r="CC101">
            <v>17.3</v>
          </cell>
          <cell r="CD101">
            <v>22.7</v>
          </cell>
          <cell r="CE101">
            <v>4</v>
          </cell>
          <cell r="CF101">
            <v>236.4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646</v>
          </cell>
          <cell r="CR101">
            <v>1112</v>
          </cell>
          <cell r="CS101">
            <v>1145</v>
          </cell>
          <cell r="CT101">
            <v>1150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N101" t="str">
            <v>03/08/2023</v>
          </cell>
          <cell r="DU101" t="str">
            <v>Gol</v>
          </cell>
          <cell r="DV101" t="str">
            <v>186 Pax + 10 Flight Crew</v>
          </cell>
          <cell r="DW101" t="str">
            <v>GLP-800-002-GGR</v>
          </cell>
        </row>
        <row r="102">
          <cell r="A102" t="str">
            <v>PR-GGW</v>
          </cell>
          <cell r="D102" t="str">
            <v>19/04/2023</v>
          </cell>
          <cell r="E102">
            <v>9</v>
          </cell>
          <cell r="F102">
            <v>0</v>
          </cell>
          <cell r="G102" t="str">
            <v>Lagoa Santa - MG</v>
          </cell>
          <cell r="H102" t="str">
            <v>New Painting</v>
          </cell>
          <cell r="I102">
            <v>1518</v>
          </cell>
          <cell r="J102">
            <v>1518</v>
          </cell>
          <cell r="K102">
            <v>9413.5</v>
          </cell>
          <cell r="L102">
            <v>9413.5</v>
          </cell>
          <cell r="M102">
            <v>9558.5</v>
          </cell>
          <cell r="N102">
            <v>9558.5</v>
          </cell>
          <cell r="O102">
            <v>1518</v>
          </cell>
          <cell r="P102">
            <v>1518</v>
          </cell>
          <cell r="Q102">
            <v>9413.5</v>
          </cell>
          <cell r="R102">
            <v>9413.5</v>
          </cell>
          <cell r="S102">
            <v>9558.5</v>
          </cell>
          <cell r="T102">
            <v>9558.5</v>
          </cell>
          <cell r="U102">
            <v>5.983895705521558</v>
          </cell>
          <cell r="V102">
            <v>5.7476993865031583</v>
          </cell>
          <cell r="W102" t="str">
            <v>Down Lock Nose Gear (1 ea)</v>
          </cell>
          <cell r="X102" t="str">
            <v>Down Lock Main Gear (2 ea)</v>
          </cell>
          <cell r="Y102" t="str">
            <v>Plumb Bob (1 ea)</v>
          </cell>
          <cell r="AK102">
            <v>0.3</v>
          </cell>
          <cell r="AL102">
            <v>0.4</v>
          </cell>
          <cell r="AM102">
            <v>0.5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91</v>
          </cell>
          <cell r="AZ102">
            <v>702</v>
          </cell>
          <cell r="BA102">
            <v>685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 t="str">
            <v>Flaps 0 - 40° (up when weighed)</v>
          </cell>
          <cell r="BN102" t="str">
            <v>Fuel, Drain., Unusable (5.6 Gal)</v>
          </cell>
          <cell r="BO102" t="str">
            <v>Lavatory Pre-Charge Fluid (6.0 Gal)</v>
          </cell>
          <cell r="BP102" t="str">
            <v>Lavatory Dry Supplies</v>
          </cell>
          <cell r="BQ102" t="str">
            <v>Potable Water (62.6 Gal)</v>
          </cell>
          <cell r="CB102">
            <v>0</v>
          </cell>
          <cell r="CC102">
            <v>17.3</v>
          </cell>
          <cell r="CD102">
            <v>22.7</v>
          </cell>
          <cell r="CE102">
            <v>4</v>
          </cell>
          <cell r="CF102">
            <v>236.4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10.1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646</v>
          </cell>
          <cell r="CR102">
            <v>1112</v>
          </cell>
          <cell r="CS102">
            <v>1145</v>
          </cell>
          <cell r="CT102">
            <v>1150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N102" t="str">
            <v>25/04/2023</v>
          </cell>
          <cell r="DU102" t="str">
            <v>GOL</v>
          </cell>
          <cell r="DV102" t="str">
            <v>186 Pax + 10 Flight Crew</v>
          </cell>
          <cell r="DW102" t="str">
            <v>GLP-800-002-GGW</v>
          </cell>
        </row>
        <row r="103">
          <cell r="A103" t="str">
            <v>PR-GTE</v>
          </cell>
          <cell r="D103" t="str">
            <v>18/03/2018</v>
          </cell>
          <cell r="E103">
            <v>5</v>
          </cell>
          <cell r="F103">
            <v>0</v>
          </cell>
          <cell r="G103" t="str">
            <v>Lagoa Santa, MG - Brazil</v>
          </cell>
          <cell r="H103" t="str">
            <v>New paint</v>
          </cell>
          <cell r="I103">
            <v>1504</v>
          </cell>
          <cell r="J103">
            <v>1504</v>
          </cell>
          <cell r="K103">
            <v>9549.5</v>
          </cell>
          <cell r="L103">
            <v>9549.5</v>
          </cell>
          <cell r="M103">
            <v>9512</v>
          </cell>
          <cell r="N103">
            <v>9512</v>
          </cell>
          <cell r="O103">
            <v>1504</v>
          </cell>
          <cell r="P103">
            <v>1504</v>
          </cell>
          <cell r="Q103">
            <v>9549.5</v>
          </cell>
          <cell r="R103">
            <v>9549.5</v>
          </cell>
          <cell r="S103">
            <v>9512</v>
          </cell>
          <cell r="T103">
            <v>9512</v>
          </cell>
          <cell r="U103">
            <v>3.34662576687154</v>
          </cell>
          <cell r="V103">
            <v>3.5429447852759899</v>
          </cell>
          <cell r="W103" t="str">
            <v>Down Lock Nose Gear (1 ea)</v>
          </cell>
          <cell r="X103" t="str">
            <v>Down Lock Main Gear (2 ea)</v>
          </cell>
          <cell r="Y103" t="str">
            <v>Plumb Bob (1 ea)</v>
          </cell>
          <cell r="AK103">
            <v>0.3</v>
          </cell>
          <cell r="AL103">
            <v>0.4</v>
          </cell>
          <cell r="AM103">
            <v>0.5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91</v>
          </cell>
          <cell r="AZ103">
            <v>702</v>
          </cell>
          <cell r="BA103">
            <v>685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 t="str">
            <v>Drainable Fuel Unuseable (5.6 Gal)</v>
          </cell>
          <cell r="BN103" t="str">
            <v>Flaps 0 - 40° (up when weighed)</v>
          </cell>
          <cell r="BO103" t="str">
            <v>Lavatory Pre-Charge Fluid (6.0 Gal)</v>
          </cell>
          <cell r="BP103" t="str">
            <v>Potable Water (62.6 Gal)</v>
          </cell>
          <cell r="BQ103" t="str">
            <v>Lavatory Dry Supplies (2 ea)</v>
          </cell>
          <cell r="CB103">
            <v>17.3</v>
          </cell>
          <cell r="CC103">
            <v>0</v>
          </cell>
          <cell r="CD103">
            <v>22.7</v>
          </cell>
          <cell r="CE103">
            <v>236.7</v>
          </cell>
          <cell r="CF103">
            <v>4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646</v>
          </cell>
          <cell r="CQ103">
            <v>0</v>
          </cell>
          <cell r="CR103">
            <v>1112</v>
          </cell>
          <cell r="CS103">
            <v>1150</v>
          </cell>
          <cell r="CT103">
            <v>1145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N103" t="str">
            <v>18/03/2018</v>
          </cell>
          <cell r="DU103" t="str">
            <v>GOL</v>
          </cell>
          <cell r="DV103" t="str">
            <v>186 Pax +10 Flight Crew</v>
          </cell>
          <cell r="DW103" t="str">
            <v xml:space="preserve">GLP-800-001-GTE </v>
          </cell>
        </row>
        <row r="104">
          <cell r="A104" t="str">
            <v>PR-GTG</v>
          </cell>
          <cell r="D104" t="str">
            <v>17/03/2020</v>
          </cell>
          <cell r="E104">
            <v>4</v>
          </cell>
          <cell r="F104">
            <v>0</v>
          </cell>
          <cell r="G104" t="str">
            <v>Lagoa Santa, MG - Brazil</v>
          </cell>
          <cell r="H104" t="str">
            <v>5 years</v>
          </cell>
          <cell r="I104">
            <v>1476.5</v>
          </cell>
          <cell r="J104">
            <v>1476.5</v>
          </cell>
          <cell r="K104">
            <v>9468</v>
          </cell>
          <cell r="L104">
            <v>9468</v>
          </cell>
          <cell r="M104">
            <v>9611.5</v>
          </cell>
          <cell r="N104">
            <v>9611.5</v>
          </cell>
          <cell r="O104">
            <v>1476.5</v>
          </cell>
          <cell r="P104">
            <v>1476.5</v>
          </cell>
          <cell r="Q104">
            <v>9468</v>
          </cell>
          <cell r="R104">
            <v>9468</v>
          </cell>
          <cell r="S104">
            <v>9611.5</v>
          </cell>
          <cell r="T104">
            <v>9611.5</v>
          </cell>
          <cell r="U104">
            <v>5.0000000000003348</v>
          </cell>
          <cell r="V104">
            <v>4.0161042944791134</v>
          </cell>
          <cell r="W104" t="str">
            <v>Down Lock Nose Gear (1 ea)</v>
          </cell>
          <cell r="X104" t="str">
            <v>Down Lock Main Gear (2 ea)</v>
          </cell>
          <cell r="Y104" t="str">
            <v>Plumb Bob</v>
          </cell>
          <cell r="AK104">
            <v>0.3</v>
          </cell>
          <cell r="AL104">
            <v>0.4</v>
          </cell>
          <cell r="AM104">
            <v>0.5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91</v>
          </cell>
          <cell r="AZ104">
            <v>702</v>
          </cell>
          <cell r="BA104">
            <v>685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 t="str">
            <v>Fuel, Drain, unusable (5.6 Gal)</v>
          </cell>
          <cell r="BN104" t="str">
            <v>Lav. Fluid, precharge (6.0 Gal)</v>
          </cell>
          <cell r="BO104" t="str">
            <v>Flaps 0 - 40° (up when weighed)</v>
          </cell>
          <cell r="BP104" t="str">
            <v>Water, Potable (62.6 Gal)</v>
          </cell>
          <cell r="BQ104" t="str">
            <v>Lavatory Dry Supplies (2 ea)</v>
          </cell>
          <cell r="CB104">
            <v>17.3</v>
          </cell>
          <cell r="CC104">
            <v>22.7</v>
          </cell>
          <cell r="CD104">
            <v>0</v>
          </cell>
          <cell r="CE104">
            <v>236.4</v>
          </cell>
          <cell r="CF104">
            <v>4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646</v>
          </cell>
          <cell r="CQ104">
            <v>1112</v>
          </cell>
          <cell r="CR104">
            <v>0</v>
          </cell>
          <cell r="CS104">
            <v>1150</v>
          </cell>
          <cell r="CT104">
            <v>1145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N104" t="str">
            <v>17/03/2020</v>
          </cell>
          <cell r="DU104" t="str">
            <v>GOL</v>
          </cell>
          <cell r="DV104" t="str">
            <v>186 Pax + 10 Flight Crew</v>
          </cell>
          <cell r="DW104" t="str">
            <v>GLP-800-001-GTG</v>
          </cell>
        </row>
        <row r="105">
          <cell r="A105" t="str">
            <v>PR-GUC</v>
          </cell>
          <cell r="D105" t="str">
            <v>09/02/2023</v>
          </cell>
          <cell r="E105">
            <v>4</v>
          </cell>
          <cell r="F105">
            <v>0</v>
          </cell>
          <cell r="G105" t="str">
            <v>Lagoa Santa, MG - Brasil</v>
          </cell>
          <cell r="H105" t="str">
            <v>Painting</v>
          </cell>
          <cell r="I105">
            <v>1473</v>
          </cell>
          <cell r="J105">
            <v>1473</v>
          </cell>
          <cell r="K105">
            <v>9525.5</v>
          </cell>
          <cell r="L105">
            <v>9525.5</v>
          </cell>
          <cell r="M105">
            <v>9596.5</v>
          </cell>
          <cell r="N105">
            <v>9596.5</v>
          </cell>
          <cell r="O105">
            <v>1473</v>
          </cell>
          <cell r="P105">
            <v>1473</v>
          </cell>
          <cell r="Q105">
            <v>9525.5</v>
          </cell>
          <cell r="R105">
            <v>9525.5</v>
          </cell>
          <cell r="S105">
            <v>9596.5</v>
          </cell>
          <cell r="T105">
            <v>9596.5</v>
          </cell>
          <cell r="U105">
            <v>4.7246932515343101</v>
          </cell>
          <cell r="V105">
            <v>4.6848159509203624</v>
          </cell>
          <cell r="W105" t="str">
            <v>Down Lock Nose Gear (1 ea)</v>
          </cell>
          <cell r="X105" t="str">
            <v>Down Lock Main Gear (2 ea)</v>
          </cell>
          <cell r="Y105" t="str">
            <v>Plumb Bob</v>
          </cell>
          <cell r="AK105">
            <v>0.3</v>
          </cell>
          <cell r="AL105">
            <v>0.4</v>
          </cell>
          <cell r="AM105">
            <v>0.5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91</v>
          </cell>
          <cell r="AZ105">
            <v>702</v>
          </cell>
          <cell r="BA105">
            <v>685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 t="str">
            <v>Flaps 0 - 40° (up when weighed)</v>
          </cell>
          <cell r="BN105" t="str">
            <v>Fuel, Drain., Unusable (5.6 Gal)</v>
          </cell>
          <cell r="BO105" t="str">
            <v>Lavatory Pre-Charge Fluid (6.0 Gal)</v>
          </cell>
          <cell r="BP105" t="str">
            <v>Lavatory Dry Supplies (2 ea)</v>
          </cell>
          <cell r="BQ105" t="str">
            <v>Water, Potable (62.6 Gal)</v>
          </cell>
          <cell r="CB105">
            <v>0</v>
          </cell>
          <cell r="CC105">
            <v>17.3</v>
          </cell>
          <cell r="CD105">
            <v>22.7</v>
          </cell>
          <cell r="CE105">
            <v>4</v>
          </cell>
          <cell r="CF105">
            <v>236.4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646</v>
          </cell>
          <cell r="CR105">
            <v>1112</v>
          </cell>
          <cell r="CS105">
            <v>1145</v>
          </cell>
          <cell r="CT105">
            <v>1150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N105" t="str">
            <v>09/02/2023</v>
          </cell>
          <cell r="DU105" t="str">
            <v>GOL</v>
          </cell>
          <cell r="DV105" t="str">
            <v>186 Pax + 10 Flight Crew</v>
          </cell>
          <cell r="DW105" t="str">
            <v>GLP-800-004-GUC</v>
          </cell>
        </row>
        <row r="106">
          <cell r="A106" t="str">
            <v>PR-GUK</v>
          </cell>
          <cell r="D106" t="str">
            <v>08/03/2023</v>
          </cell>
          <cell r="E106">
            <v>6</v>
          </cell>
          <cell r="F106">
            <v>0</v>
          </cell>
          <cell r="G106" t="str">
            <v>Lagoa Santa, MG - Brasil</v>
          </cell>
          <cell r="H106" t="str">
            <v>Scheduled</v>
          </cell>
          <cell r="I106">
            <v>1526</v>
          </cell>
          <cell r="J106">
            <v>1526</v>
          </cell>
          <cell r="K106">
            <v>9602.5</v>
          </cell>
          <cell r="L106">
            <v>9602.5</v>
          </cell>
          <cell r="M106">
            <v>9760</v>
          </cell>
          <cell r="N106">
            <v>9760</v>
          </cell>
          <cell r="O106">
            <v>1526</v>
          </cell>
          <cell r="P106">
            <v>1526</v>
          </cell>
          <cell r="Q106">
            <v>9602.5</v>
          </cell>
          <cell r="R106">
            <v>9602.5</v>
          </cell>
          <cell r="S106">
            <v>9760</v>
          </cell>
          <cell r="T106">
            <v>9760</v>
          </cell>
          <cell r="U106">
            <v>5.3151840490803091</v>
          </cell>
          <cell r="V106">
            <v>5.3151840490803091</v>
          </cell>
          <cell r="W106" t="str">
            <v>Down Lock Nose Gear (1 ea)</v>
          </cell>
          <cell r="X106" t="str">
            <v>Down Lock Main Gear (2 ea)</v>
          </cell>
          <cell r="Y106" t="str">
            <v>Plumb Bob</v>
          </cell>
          <cell r="AK106">
            <v>0.3</v>
          </cell>
          <cell r="AL106">
            <v>0.4</v>
          </cell>
          <cell r="AM106">
            <v>0.5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82</v>
          </cell>
          <cell r="AZ106">
            <v>702</v>
          </cell>
          <cell r="BA106">
            <v>685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 t="str">
            <v>Flaps 0 - 40° (up when weighed)</v>
          </cell>
          <cell r="BN106" t="str">
            <v>Drainable Fuel Unusable (5.6 Gal)</v>
          </cell>
          <cell r="BO106" t="str">
            <v>Lavatory Pre-Charge Fluid (6.0 Gal)</v>
          </cell>
          <cell r="BP106" t="str">
            <v>Water, Potable (62.6 Gal)</v>
          </cell>
          <cell r="BQ106" t="str">
            <v>Lavatory Dry Supplies</v>
          </cell>
          <cell r="CB106">
            <v>0</v>
          </cell>
          <cell r="CC106">
            <v>17.3</v>
          </cell>
          <cell r="CD106">
            <v>22.7</v>
          </cell>
          <cell r="CE106">
            <v>236.4</v>
          </cell>
          <cell r="CF106">
            <v>4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646</v>
          </cell>
          <cell r="CR106">
            <v>1112</v>
          </cell>
          <cell r="CS106">
            <v>1150</v>
          </cell>
          <cell r="CT106">
            <v>1145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N106" t="str">
            <v>08/03/2023</v>
          </cell>
          <cell r="DU106" t="str">
            <v>GOL</v>
          </cell>
          <cell r="DV106" t="str">
            <v>186 Pax + 10 Flight Crew</v>
          </cell>
          <cell r="DW106" t="str">
            <v>GLP-800-004-GUK</v>
          </cell>
        </row>
        <row r="107">
          <cell r="A107" t="str">
            <v>PR-GXE</v>
          </cell>
          <cell r="D107" t="str">
            <v>29/05/2023</v>
          </cell>
          <cell r="E107">
            <v>3</v>
          </cell>
          <cell r="F107">
            <v>0</v>
          </cell>
          <cell r="G107" t="str">
            <v>Lagoa Santa - MG</v>
          </cell>
          <cell r="H107" t="str">
            <v>Painting</v>
          </cell>
          <cell r="I107">
            <v>1499.5</v>
          </cell>
          <cell r="J107">
            <v>1499.5</v>
          </cell>
          <cell r="K107">
            <v>9569.5</v>
          </cell>
          <cell r="L107">
            <v>9569.5</v>
          </cell>
          <cell r="M107">
            <v>9571.5</v>
          </cell>
          <cell r="N107">
            <v>9571.5</v>
          </cell>
          <cell r="O107">
            <v>1499.5</v>
          </cell>
          <cell r="P107">
            <v>1499.5</v>
          </cell>
          <cell r="Q107">
            <v>9569.5</v>
          </cell>
          <cell r="R107">
            <v>9569.5</v>
          </cell>
          <cell r="S107">
            <v>9571.5</v>
          </cell>
          <cell r="T107">
            <v>9571.5</v>
          </cell>
          <cell r="U107">
            <v>4.0161042944791134</v>
          </cell>
          <cell r="V107">
            <v>4.2523006134975114</v>
          </cell>
          <cell r="W107" t="str">
            <v>Down Lock, Nose Gear (1 ea)</v>
          </cell>
          <cell r="X107" t="str">
            <v>Down Lock, Main Gear (2 ea)</v>
          </cell>
          <cell r="Y107" t="str">
            <v>Plumb Bob</v>
          </cell>
          <cell r="AK107">
            <v>0.3</v>
          </cell>
          <cell r="AL107">
            <v>0.4</v>
          </cell>
          <cell r="AM107">
            <v>0.5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82</v>
          </cell>
          <cell r="AZ107">
            <v>702</v>
          </cell>
          <cell r="BA107">
            <v>685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 t="str">
            <v>Fuel, Drain, Unusable (5.6 Gal)</v>
          </cell>
          <cell r="BN107" t="str">
            <v>Lav. Fluid, Precharge (6.0 Gal)</v>
          </cell>
          <cell r="BO107" t="str">
            <v>Lavatory Dry Supplies (1 EA)</v>
          </cell>
          <cell r="BP107" t="str">
            <v>Lavatory Dry Supplies (2 EA)</v>
          </cell>
          <cell r="BQ107" t="str">
            <v>Water Potable (62.6 Gal)</v>
          </cell>
          <cell r="BR107" t="str">
            <v>Moment change 0 to 40 degrees flaps</v>
          </cell>
          <cell r="CB107">
            <v>17.3</v>
          </cell>
          <cell r="CC107">
            <v>22.7</v>
          </cell>
          <cell r="CD107">
            <v>2</v>
          </cell>
          <cell r="CE107">
            <v>4</v>
          </cell>
          <cell r="CF107">
            <v>236.4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646</v>
          </cell>
          <cell r="CQ107">
            <v>1112</v>
          </cell>
          <cell r="CR107">
            <v>89</v>
          </cell>
          <cell r="CS107">
            <v>1145</v>
          </cell>
          <cell r="CT107">
            <v>1150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N107" t="str">
            <v>30/05/2023</v>
          </cell>
          <cell r="DU107" t="str">
            <v>GOL</v>
          </cell>
          <cell r="DV107" t="str">
            <v>186 Pax + 10 Flight Crew</v>
          </cell>
          <cell r="DW107" t="str">
            <v>GLP-800-003-GXE</v>
          </cell>
        </row>
        <row r="108">
          <cell r="A108" t="str">
            <v>PR-GXR</v>
          </cell>
          <cell r="D108" t="str">
            <v>30/08/2023</v>
          </cell>
          <cell r="E108">
            <v>3</v>
          </cell>
          <cell r="F108">
            <v>0</v>
          </cell>
          <cell r="G108" t="str">
            <v>Confins ( CNF ) - Brazil</v>
          </cell>
          <cell r="H108" t="str">
            <v>New Painting</v>
          </cell>
          <cell r="I108">
            <v>1513</v>
          </cell>
          <cell r="J108">
            <v>1513</v>
          </cell>
          <cell r="K108">
            <v>9569</v>
          </cell>
          <cell r="L108">
            <v>9569</v>
          </cell>
          <cell r="M108">
            <v>9549.5</v>
          </cell>
          <cell r="N108">
            <v>9549.5</v>
          </cell>
          <cell r="O108">
            <v>1513</v>
          </cell>
          <cell r="P108">
            <v>1513</v>
          </cell>
          <cell r="Q108">
            <v>9569</v>
          </cell>
          <cell r="R108">
            <v>9569</v>
          </cell>
          <cell r="S108">
            <v>9549.5</v>
          </cell>
          <cell r="T108">
            <v>9549.5</v>
          </cell>
          <cell r="U108">
            <v>3.7400306748467642</v>
          </cell>
          <cell r="V108">
            <v>4.0161042944791134</v>
          </cell>
          <cell r="W108" t="str">
            <v>Down Lock Nose Gear (1 ea)</v>
          </cell>
          <cell r="X108" t="str">
            <v>Down Lock Main Gear (2 ea)</v>
          </cell>
          <cell r="Y108" t="str">
            <v>Plumb Bob (1 ea)</v>
          </cell>
          <cell r="AK108">
            <v>0.3</v>
          </cell>
          <cell r="AL108">
            <v>0.4</v>
          </cell>
          <cell r="AM108">
            <v>0.5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82</v>
          </cell>
          <cell r="AZ108">
            <v>702</v>
          </cell>
          <cell r="BA108">
            <v>685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 t="str">
            <v>Flaps 0 - 40° (up when weighed)</v>
          </cell>
          <cell r="BN108" t="str">
            <v>Fuel, Drainable, Unusable (5.6 Gal)</v>
          </cell>
          <cell r="BO108" t="str">
            <v>Lavatory Fluid, Precharge (6.0 Gal)</v>
          </cell>
          <cell r="BP108" t="str">
            <v>Lavatory Dry Supplies (2 ea)</v>
          </cell>
          <cell r="BQ108" t="str">
            <v>Water, Portable (62.6 Gal)</v>
          </cell>
          <cell r="CB108">
            <v>0</v>
          </cell>
          <cell r="CC108">
            <v>17.3</v>
          </cell>
          <cell r="CD108">
            <v>22.7</v>
          </cell>
          <cell r="CE108">
            <v>4</v>
          </cell>
          <cell r="CF108">
            <v>236.4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646</v>
          </cell>
          <cell r="CR108">
            <v>1112</v>
          </cell>
          <cell r="CS108">
            <v>1145</v>
          </cell>
          <cell r="CT108">
            <v>1150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N108" t="str">
            <v>30/08/2023</v>
          </cell>
          <cell r="DU108" t="str">
            <v>GOL</v>
          </cell>
          <cell r="DV108" t="str">
            <v>186 Pax + 10 Flight Crew</v>
          </cell>
          <cell r="DW108" t="str">
            <v>GLP-800-003-GXR</v>
          </cell>
        </row>
        <row r="109">
          <cell r="A109" t="str">
            <v>PR-GZI</v>
          </cell>
          <cell r="D109" t="str">
            <v>04/07/2019</v>
          </cell>
          <cell r="E109">
            <v>2</v>
          </cell>
          <cell r="F109">
            <v>0</v>
          </cell>
          <cell r="G109" t="str">
            <v>Confins-MG- Brazil</v>
          </cell>
          <cell r="H109" t="str">
            <v>New Painting</v>
          </cell>
          <cell r="I109">
            <v>1578.5</v>
          </cell>
          <cell r="J109">
            <v>1578.5</v>
          </cell>
          <cell r="K109">
            <v>9419</v>
          </cell>
          <cell r="L109">
            <v>9419</v>
          </cell>
          <cell r="M109">
            <v>9549.5</v>
          </cell>
          <cell r="N109">
            <v>9549.5</v>
          </cell>
          <cell r="O109">
            <v>1578.5</v>
          </cell>
          <cell r="P109">
            <v>1578.5</v>
          </cell>
          <cell r="Q109">
            <v>9419</v>
          </cell>
          <cell r="R109">
            <v>9419</v>
          </cell>
          <cell r="S109">
            <v>9549.5</v>
          </cell>
          <cell r="T109">
            <v>9549.5</v>
          </cell>
          <cell r="U109">
            <v>4.9210122699387613</v>
          </cell>
          <cell r="V109">
            <v>4.8427914110435104</v>
          </cell>
          <cell r="W109" t="str">
            <v>Down Lock Nose Gear (1 ea)</v>
          </cell>
          <cell r="X109" t="str">
            <v>Down Lock Main Gear (2 ea)</v>
          </cell>
          <cell r="Y109" t="str">
            <v>Plumb Bob (1 ea)</v>
          </cell>
          <cell r="AK109">
            <v>0.3</v>
          </cell>
          <cell r="AL109">
            <v>0.4</v>
          </cell>
          <cell r="AM109">
            <v>0.5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82</v>
          </cell>
          <cell r="AZ109">
            <v>702</v>
          </cell>
          <cell r="BA109">
            <v>685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 t="str">
            <v>Flaps 0 - 40° (up when weighed)</v>
          </cell>
          <cell r="BN109" t="str">
            <v>Fuel, Drainable, Unusable (5.6 Gal)</v>
          </cell>
          <cell r="BO109" t="str">
            <v>Lavatory Fluid, Precharge (6.0 Gal)</v>
          </cell>
          <cell r="BP109" t="str">
            <v>Water, Potable (42.6 Gal)</v>
          </cell>
          <cell r="BQ109" t="str">
            <v>Lavatory Dry Supplies (2ea)</v>
          </cell>
          <cell r="CB109">
            <v>0</v>
          </cell>
          <cell r="CC109">
            <v>17.3</v>
          </cell>
          <cell r="CD109">
            <v>22.7</v>
          </cell>
          <cell r="CE109">
            <v>160.9</v>
          </cell>
          <cell r="CF109">
            <v>4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646</v>
          </cell>
          <cell r="CR109">
            <v>1112</v>
          </cell>
          <cell r="CS109">
            <v>1141</v>
          </cell>
          <cell r="CT109">
            <v>1145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N109" t="str">
            <v>04/07/2019</v>
          </cell>
          <cell r="DU109" t="str">
            <v>Gol Airlines</v>
          </cell>
          <cell r="DV109" t="str">
            <v>186 PAX+10 Flight Crew</v>
          </cell>
          <cell r="DW109" t="str">
            <v>GLP-800-006-GZI</v>
          </cell>
        </row>
        <row r="110">
          <cell r="A110" t="str">
            <v>PR-GZI</v>
          </cell>
          <cell r="D110" t="str">
            <v>04/07/2019</v>
          </cell>
          <cell r="E110">
            <v>2</v>
          </cell>
          <cell r="F110">
            <v>0</v>
          </cell>
          <cell r="G110" t="str">
            <v>Confins-MG- Brazil</v>
          </cell>
          <cell r="H110" t="str">
            <v>New Painting</v>
          </cell>
          <cell r="I110">
            <v>1578.5</v>
          </cell>
          <cell r="J110">
            <v>1578.5</v>
          </cell>
          <cell r="K110">
            <v>9419</v>
          </cell>
          <cell r="L110">
            <v>9419</v>
          </cell>
          <cell r="M110">
            <v>9419</v>
          </cell>
          <cell r="N110">
            <v>9419</v>
          </cell>
          <cell r="O110">
            <v>1578.5</v>
          </cell>
          <cell r="P110">
            <v>1578.5</v>
          </cell>
          <cell r="Q110">
            <v>1578.5</v>
          </cell>
          <cell r="R110">
            <v>1578.5</v>
          </cell>
          <cell r="S110">
            <v>1578.5</v>
          </cell>
          <cell r="T110">
            <v>1578.5</v>
          </cell>
          <cell r="W110" t="str">
            <v>Down Lock Nose Gear (1 ea)</v>
          </cell>
          <cell r="X110" t="str">
            <v>Down Lock Main Gear (2 ea)</v>
          </cell>
          <cell r="Y110" t="str">
            <v>Plumb Bob (1 ea)</v>
          </cell>
          <cell r="AK110">
            <v>0.3</v>
          </cell>
          <cell r="AL110">
            <v>0.4</v>
          </cell>
          <cell r="AM110">
            <v>0.5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82</v>
          </cell>
          <cell r="AZ110">
            <v>702</v>
          </cell>
          <cell r="BA110">
            <v>685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 t="str">
            <v>Flaps 0 - 40° (up when weighed)</v>
          </cell>
          <cell r="BN110" t="str">
            <v>Fuel, Drainable, Unusable (5.6 Gal)</v>
          </cell>
          <cell r="BO110" t="str">
            <v>Lavatory Fluid, Precharge (6.0 Gal)</v>
          </cell>
          <cell r="BP110" t="str">
            <v>Water, Potable (42.6 Gal)</v>
          </cell>
          <cell r="BQ110" t="str">
            <v>Lavatory Dry Supplies (2ea)</v>
          </cell>
          <cell r="CB110">
            <v>0</v>
          </cell>
          <cell r="CC110">
            <v>17.3</v>
          </cell>
          <cell r="CD110">
            <v>22.7</v>
          </cell>
          <cell r="CE110">
            <v>160.9</v>
          </cell>
          <cell r="CF110">
            <v>4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646</v>
          </cell>
          <cell r="CR110">
            <v>1112</v>
          </cell>
          <cell r="CS110">
            <v>1141</v>
          </cell>
          <cell r="CT110">
            <v>1145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N110">
            <v>0</v>
          </cell>
        </row>
        <row r="111">
          <cell r="A111" t="str">
            <v>PR-GZI</v>
          </cell>
          <cell r="D111" t="str">
            <v>04/07/2019</v>
          </cell>
          <cell r="E111">
            <v>2</v>
          </cell>
          <cell r="F111">
            <v>1</v>
          </cell>
          <cell r="G111" t="str">
            <v>Confins-MG- Brazil</v>
          </cell>
          <cell r="H111" t="str">
            <v>New Painting</v>
          </cell>
          <cell r="I111" t="str">
            <v>1578,5</v>
          </cell>
          <cell r="J111" t="str">
            <v>1578,5</v>
          </cell>
          <cell r="K111" t="str">
            <v>9419</v>
          </cell>
          <cell r="L111" t="str">
            <v>9419</v>
          </cell>
          <cell r="M111">
            <v>9419</v>
          </cell>
          <cell r="N111" t="str">
            <v>9419</v>
          </cell>
          <cell r="O111" t="str">
            <v>1578,5</v>
          </cell>
          <cell r="P111" t="str">
            <v>1578,5</v>
          </cell>
          <cell r="Q111" t="str">
            <v>1578,5</v>
          </cell>
          <cell r="R111" t="str">
            <v>1578,5</v>
          </cell>
          <cell r="S111" t="str">
            <v>1578,5</v>
          </cell>
          <cell r="T111" t="str">
            <v>1578,5</v>
          </cell>
          <cell r="U111" t="str">
            <v/>
          </cell>
          <cell r="V111" t="str">
            <v/>
          </cell>
          <cell r="W111" t="str">
            <v>Down Lock Nose Gear (1 ea)</v>
          </cell>
          <cell r="X111" t="str">
            <v>Down Lock Main Gear (2 ea)</v>
          </cell>
          <cell r="Y111" t="str">
            <v>Plumb Bob (1 ea)</v>
          </cell>
          <cell r="Z111" t="str">
            <v/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>
            <v>0.3</v>
          </cell>
          <cell r="AL111" t="str">
            <v>0,4</v>
          </cell>
          <cell r="AM111" t="str">
            <v>0,5</v>
          </cell>
          <cell r="AN111" t="str">
            <v>0</v>
          </cell>
          <cell r="AO111" t="str">
            <v>0</v>
          </cell>
          <cell r="AP111" t="str">
            <v>0</v>
          </cell>
          <cell r="AQ111" t="str">
            <v>0</v>
          </cell>
          <cell r="AR111" t="str">
            <v>0</v>
          </cell>
          <cell r="AS111" t="str">
            <v>0</v>
          </cell>
          <cell r="AT111" t="str">
            <v>0</v>
          </cell>
          <cell r="AU111" t="str">
            <v>0</v>
          </cell>
          <cell r="AV111" t="str">
            <v>0</v>
          </cell>
          <cell r="AW111" t="str">
            <v>0</v>
          </cell>
          <cell r="AX111" t="str">
            <v>0</v>
          </cell>
          <cell r="AY111" t="str">
            <v>82</v>
          </cell>
          <cell r="AZ111" t="str">
            <v>702</v>
          </cell>
          <cell r="BA111" t="str">
            <v>685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 t="str">
            <v>Flaps 0 - 40° (up when weighed)</v>
          </cell>
          <cell r="BN111" t="str">
            <v>Fuel, Drainable, Unusable (5.6 Gal)</v>
          </cell>
          <cell r="BO111" t="str">
            <v>Lavatory Fluid, Precharge (6.0 Gal)</v>
          </cell>
          <cell r="BP111" t="str">
            <v>Water, Potable (42.6 Gal)</v>
          </cell>
          <cell r="BQ111" t="str">
            <v>Lavatory Dry Supplies (2ea)</v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B111" t="str">
            <v>0</v>
          </cell>
          <cell r="CC111" t="str">
            <v>17,3</v>
          </cell>
          <cell r="CD111" t="str">
            <v>22,7</v>
          </cell>
          <cell r="CE111" t="str">
            <v>160,9</v>
          </cell>
          <cell r="CF111" t="str">
            <v>4</v>
          </cell>
          <cell r="CG111" t="str">
            <v>0</v>
          </cell>
          <cell r="CH111" t="str">
            <v>0</v>
          </cell>
          <cell r="CI111" t="str">
            <v>0</v>
          </cell>
          <cell r="CJ111" t="str">
            <v>0</v>
          </cell>
          <cell r="CK111" t="str">
            <v>0</v>
          </cell>
          <cell r="CL111" t="str">
            <v>0</v>
          </cell>
          <cell r="CM111" t="str">
            <v>0</v>
          </cell>
          <cell r="CN111" t="str">
            <v>0</v>
          </cell>
          <cell r="CO111" t="str">
            <v>0</v>
          </cell>
          <cell r="CP111" t="str">
            <v>0</v>
          </cell>
          <cell r="CQ111" t="str">
            <v>646</v>
          </cell>
          <cell r="CR111" t="str">
            <v>1112</v>
          </cell>
          <cell r="CS111" t="str">
            <v>1141</v>
          </cell>
          <cell r="CT111" t="str">
            <v>1145</v>
          </cell>
          <cell r="CU111" t="str">
            <v>0</v>
          </cell>
          <cell r="CV111" t="str">
            <v>0</v>
          </cell>
          <cell r="CW111" t="str">
            <v>0</v>
          </cell>
          <cell r="CX111" t="str">
            <v>0</v>
          </cell>
          <cell r="CY111" t="str">
            <v>0</v>
          </cell>
          <cell r="CZ111" t="str">
            <v>0</v>
          </cell>
          <cell r="DA111" t="str">
            <v>0</v>
          </cell>
          <cell r="DB111" t="str">
            <v>0</v>
          </cell>
          <cell r="DC111" t="str">
            <v/>
          </cell>
          <cell r="DN111" t="str">
            <v>04/07/2019</v>
          </cell>
          <cell r="DQ111" t="str">
            <v>Danton</v>
          </cell>
          <cell r="DS111" t="str">
            <v>2</v>
          </cell>
          <cell r="DT111" t="str">
            <v>0</v>
          </cell>
          <cell r="DU111" t="str">
            <v>Raul</v>
          </cell>
          <cell r="DW111" t="str">
            <v/>
          </cell>
        </row>
        <row r="112">
          <cell r="A112" t="str">
            <v>PR-GZI</v>
          </cell>
          <cell r="D112" t="str">
            <v>14/08/2024</v>
          </cell>
          <cell r="E112">
            <v>3</v>
          </cell>
          <cell r="F112">
            <v>0</v>
          </cell>
          <cell r="G112" t="str">
            <v>Confins-MG- Brazil</v>
          </cell>
          <cell r="H112" t="str">
            <v>Nova pintura</v>
          </cell>
          <cell r="I112" t="str">
            <v>1578,5</v>
          </cell>
          <cell r="J112" t="str">
            <v>1578,5</v>
          </cell>
          <cell r="K112" t="str">
            <v>9419</v>
          </cell>
          <cell r="L112" t="str">
            <v>9419</v>
          </cell>
          <cell r="M112" t="str">
            <v>9419</v>
          </cell>
          <cell r="N112" t="str">
            <v>9419</v>
          </cell>
          <cell r="O112" t="str">
            <v>1578,5</v>
          </cell>
          <cell r="P112" t="str">
            <v>1578,5</v>
          </cell>
          <cell r="Q112" t="str">
            <v>1578,5</v>
          </cell>
          <cell r="R112" t="str">
            <v>1578,5</v>
          </cell>
          <cell r="S112" t="str">
            <v>1578,5</v>
          </cell>
          <cell r="T112" t="str">
            <v>1578,5</v>
          </cell>
          <cell r="U112" t="str">
            <v/>
          </cell>
          <cell r="V112" t="str">
            <v/>
          </cell>
          <cell r="W112" t="str">
            <v>Down Lock Nose Gear (1 ea)</v>
          </cell>
          <cell r="X112" t="str">
            <v>Down Lock Main Gear (2 ea)</v>
          </cell>
          <cell r="Y112" t="str">
            <v>Plumb Bob (1 ea)</v>
          </cell>
          <cell r="Z112" t="str">
            <v/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>0,3</v>
          </cell>
          <cell r="AL112" t="str">
            <v>0,4</v>
          </cell>
          <cell r="AM112" t="str">
            <v>0,5</v>
          </cell>
          <cell r="AN112" t="str">
            <v>0</v>
          </cell>
          <cell r="AO112" t="str">
            <v>0</v>
          </cell>
          <cell r="AP112" t="str">
            <v>0</v>
          </cell>
          <cell r="AQ112" t="str">
            <v>0</v>
          </cell>
          <cell r="AR112" t="str">
            <v>0</v>
          </cell>
          <cell r="AS112" t="str">
            <v>0</v>
          </cell>
          <cell r="AT112" t="str">
            <v>0</v>
          </cell>
          <cell r="AU112" t="str">
            <v>0</v>
          </cell>
          <cell r="AV112" t="str">
            <v>0</v>
          </cell>
          <cell r="AW112" t="str">
            <v>0</v>
          </cell>
          <cell r="AX112" t="str">
            <v>0</v>
          </cell>
          <cell r="AY112" t="str">
            <v>82</v>
          </cell>
          <cell r="AZ112" t="str">
            <v>702</v>
          </cell>
          <cell r="BA112" t="str">
            <v>685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 t="str">
            <v>Flaps 0 - 40° (up when weighed)</v>
          </cell>
          <cell r="BN112" t="str">
            <v>Fuel, Drainable, Unusable (5.6 Gal)</v>
          </cell>
          <cell r="BO112" t="str">
            <v>Lavatory Fluid, Precharge (6.0 Gal)</v>
          </cell>
          <cell r="BP112" t="str">
            <v>Water, Potable (42.6 Gal)</v>
          </cell>
          <cell r="BQ112" t="str">
            <v>Lavatory Dry Supplies (2ea)</v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B112" t="str">
            <v>0</v>
          </cell>
          <cell r="CC112" t="str">
            <v>17,3</v>
          </cell>
          <cell r="CD112" t="str">
            <v>22,7</v>
          </cell>
          <cell r="CE112" t="str">
            <v>160,9</v>
          </cell>
          <cell r="CF112" t="str">
            <v>4</v>
          </cell>
          <cell r="CG112" t="str">
            <v>0</v>
          </cell>
          <cell r="CH112" t="str">
            <v>0</v>
          </cell>
          <cell r="CI112" t="str">
            <v>0</v>
          </cell>
          <cell r="CJ112" t="str">
            <v>0</v>
          </cell>
          <cell r="CK112" t="str">
            <v>0</v>
          </cell>
          <cell r="CL112" t="str">
            <v>0</v>
          </cell>
          <cell r="CM112" t="str">
            <v>0</v>
          </cell>
          <cell r="CN112" t="str">
            <v>0</v>
          </cell>
          <cell r="CO112" t="str">
            <v>0</v>
          </cell>
          <cell r="CP112" t="str">
            <v>0</v>
          </cell>
          <cell r="CQ112" t="str">
            <v>646</v>
          </cell>
          <cell r="CR112" t="str">
            <v>1112</v>
          </cell>
          <cell r="CS112" t="str">
            <v>1141</v>
          </cell>
          <cell r="CT112" t="str">
            <v>1145</v>
          </cell>
          <cell r="CU112" t="str">
            <v>0</v>
          </cell>
          <cell r="CV112" t="str">
            <v>0</v>
          </cell>
          <cell r="CW112" t="str">
            <v>0</v>
          </cell>
          <cell r="CX112" t="str">
            <v>0</v>
          </cell>
          <cell r="CY112" t="str">
            <v>0</v>
          </cell>
          <cell r="CZ112" t="str">
            <v>0</v>
          </cell>
          <cell r="DA112" t="str">
            <v>0</v>
          </cell>
          <cell r="DB112" t="str">
            <v>0</v>
          </cell>
          <cell r="DC112" t="str">
            <v/>
          </cell>
          <cell r="DN112" t="str">
            <v>14/08/2024</v>
          </cell>
          <cell r="DQ112" t="str">
            <v>Raul</v>
          </cell>
          <cell r="DS112" t="str">
            <v>2</v>
          </cell>
          <cell r="DT112" t="str">
            <v>1</v>
          </cell>
          <cell r="DU112" t="str">
            <v>Raul</v>
          </cell>
          <cell r="DW112" t="str">
            <v/>
          </cell>
        </row>
        <row r="113">
          <cell r="A113" t="str">
            <v>PR-GZI</v>
          </cell>
          <cell r="D113" t="str">
            <v>14/08/2024</v>
          </cell>
          <cell r="E113">
            <v>3</v>
          </cell>
          <cell r="F113">
            <v>1</v>
          </cell>
          <cell r="G113" t="str">
            <v>Confins-MG- Brazil</v>
          </cell>
          <cell r="H113" t="str">
            <v>Nova pintura</v>
          </cell>
          <cell r="I113" t="str">
            <v>1578,5</v>
          </cell>
          <cell r="J113" t="str">
            <v>1578,5</v>
          </cell>
          <cell r="K113" t="str">
            <v>9419</v>
          </cell>
          <cell r="L113" t="str">
            <v>9419</v>
          </cell>
          <cell r="M113" t="str">
            <v>9419</v>
          </cell>
          <cell r="N113" t="str">
            <v>9419</v>
          </cell>
          <cell r="O113" t="str">
            <v>1578,5</v>
          </cell>
          <cell r="P113" t="str">
            <v>1578,5</v>
          </cell>
          <cell r="Q113" t="str">
            <v>1578,5</v>
          </cell>
          <cell r="R113" t="str">
            <v>1578,5</v>
          </cell>
          <cell r="S113" t="str">
            <v>1578,5</v>
          </cell>
          <cell r="T113" t="str">
            <v>1578,5</v>
          </cell>
          <cell r="U113" t="str">
            <v/>
          </cell>
          <cell r="V113" t="str">
            <v/>
          </cell>
          <cell r="W113" t="str">
            <v>Down Lock Nose Gear (1 ea)</v>
          </cell>
          <cell r="X113" t="str">
            <v>Down Lock Main Gear (2 ea)</v>
          </cell>
          <cell r="Y113" t="str">
            <v>Plumb Bob (1 ea)</v>
          </cell>
          <cell r="Z113" t="str">
            <v/>
          </cell>
          <cell r="AA113" t="str">
            <v/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  <cell r="AG113" t="str">
            <v/>
          </cell>
          <cell r="AH113" t="str">
            <v/>
          </cell>
          <cell r="AI113" t="str">
            <v/>
          </cell>
          <cell r="AJ113" t="str">
            <v/>
          </cell>
          <cell r="AK113">
            <v>0.3</v>
          </cell>
          <cell r="AL113" t="str">
            <v>0,4</v>
          </cell>
          <cell r="AM113" t="str">
            <v>0,5</v>
          </cell>
          <cell r="AN113" t="str">
            <v>0</v>
          </cell>
          <cell r="AO113" t="str">
            <v>0</v>
          </cell>
          <cell r="AP113" t="str">
            <v>0</v>
          </cell>
          <cell r="AQ113" t="str">
            <v>0</v>
          </cell>
          <cell r="AR113" t="str">
            <v>0</v>
          </cell>
          <cell r="AS113" t="str">
            <v>0</v>
          </cell>
          <cell r="AT113" t="str">
            <v>0</v>
          </cell>
          <cell r="AU113" t="str">
            <v>0</v>
          </cell>
          <cell r="AV113" t="str">
            <v>0</v>
          </cell>
          <cell r="AW113" t="str">
            <v>0</v>
          </cell>
          <cell r="AX113" t="str">
            <v>0</v>
          </cell>
          <cell r="AY113" t="str">
            <v>82</v>
          </cell>
          <cell r="AZ113" t="str">
            <v>702</v>
          </cell>
          <cell r="BA113" t="str">
            <v>685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 t="str">
            <v>Flaps 0 - 40° (up when weighed)</v>
          </cell>
          <cell r="BN113" t="str">
            <v>Fuel, Drainable, Unusable (5.6 Gal)</v>
          </cell>
          <cell r="BO113" t="str">
            <v>Lavatory Fluid, Precharge (6.0 Gal)</v>
          </cell>
          <cell r="BP113" t="str">
            <v>Water, Potable (42.6 Gal)</v>
          </cell>
          <cell r="BQ113" t="str">
            <v>Lavatory Dry Supplies (2ea)</v>
          </cell>
          <cell r="BR113" t="str">
            <v/>
          </cell>
          <cell r="BS113" t="str">
            <v/>
          </cell>
          <cell r="BT113" t="str">
            <v/>
          </cell>
          <cell r="BU113" t="str">
            <v/>
          </cell>
          <cell r="BV113" t="str">
            <v/>
          </cell>
          <cell r="BW113" t="str">
            <v/>
          </cell>
          <cell r="BX113" t="str">
            <v/>
          </cell>
          <cell r="BY113" t="str">
            <v/>
          </cell>
          <cell r="BZ113" t="str">
            <v/>
          </cell>
          <cell r="CB113" t="str">
            <v>0</v>
          </cell>
          <cell r="CC113" t="str">
            <v>17,3</v>
          </cell>
          <cell r="CD113" t="str">
            <v>22,7</v>
          </cell>
          <cell r="CE113" t="str">
            <v>160,9</v>
          </cell>
          <cell r="CF113" t="str">
            <v>4</v>
          </cell>
          <cell r="CG113" t="str">
            <v>0</v>
          </cell>
          <cell r="CH113" t="str">
            <v>0</v>
          </cell>
          <cell r="CI113" t="str">
            <v>0</v>
          </cell>
          <cell r="CJ113" t="str">
            <v>0</v>
          </cell>
          <cell r="CK113" t="str">
            <v>0</v>
          </cell>
          <cell r="CL113" t="str">
            <v>0</v>
          </cell>
          <cell r="CM113" t="str">
            <v>0</v>
          </cell>
          <cell r="CN113" t="str">
            <v>0</v>
          </cell>
          <cell r="CO113" t="str">
            <v>0</v>
          </cell>
          <cell r="CP113" t="str">
            <v>0</v>
          </cell>
          <cell r="CQ113" t="str">
            <v>646</v>
          </cell>
          <cell r="CR113" t="str">
            <v>1112</v>
          </cell>
          <cell r="CS113" t="str">
            <v>1141</v>
          </cell>
          <cell r="CT113" t="str">
            <v>1145</v>
          </cell>
          <cell r="CU113" t="str">
            <v>0</v>
          </cell>
          <cell r="CV113" t="str">
            <v>0</v>
          </cell>
          <cell r="CW113" t="str">
            <v>0</v>
          </cell>
          <cell r="CX113" t="str">
            <v>0</v>
          </cell>
          <cell r="CY113" t="str">
            <v>0</v>
          </cell>
          <cell r="CZ113" t="str">
            <v>0</v>
          </cell>
          <cell r="DA113" t="str">
            <v>0</v>
          </cell>
          <cell r="DB113" t="str">
            <v>0</v>
          </cell>
          <cell r="DC113" t="str">
            <v/>
          </cell>
          <cell r="DN113" t="str">
            <v>14/08/2024</v>
          </cell>
          <cell r="DQ113" t="str">
            <v>Raul</v>
          </cell>
          <cell r="DS113" t="str">
            <v>3</v>
          </cell>
          <cell r="DT113" t="str">
            <v>0</v>
          </cell>
          <cell r="DU113" t="str">
            <v>Raul</v>
          </cell>
          <cell r="DW113" t="str">
            <v/>
          </cell>
        </row>
        <row r="114">
          <cell r="A114" t="str">
            <v>PR-GUD</v>
          </cell>
          <cell r="D114" t="str">
            <v>19/04/2022</v>
          </cell>
          <cell r="E114">
            <v>3</v>
          </cell>
          <cell r="F114">
            <v>1</v>
          </cell>
          <cell r="G114" t="str">
            <v>Lagoa Santa, MG - Brazil</v>
          </cell>
          <cell r="H114" t="str">
            <v>New Painting</v>
          </cell>
          <cell r="I114">
            <v>1527</v>
          </cell>
          <cell r="J114">
            <v>1527</v>
          </cell>
          <cell r="K114">
            <v>9483</v>
          </cell>
          <cell r="L114">
            <v>9483</v>
          </cell>
          <cell r="M114">
            <v>9533.5</v>
          </cell>
          <cell r="N114">
            <v>9533.5</v>
          </cell>
          <cell r="O114">
            <v>1527</v>
          </cell>
          <cell r="P114">
            <v>1527</v>
          </cell>
          <cell r="Q114">
            <v>9483</v>
          </cell>
          <cell r="R114">
            <v>9483</v>
          </cell>
          <cell r="S114">
            <v>9533.5</v>
          </cell>
          <cell r="T114">
            <v>9533.5</v>
          </cell>
          <cell r="U114">
            <v>4.3305214723927623</v>
          </cell>
          <cell r="V114">
            <v>4.5276073619635362</v>
          </cell>
          <cell r="W114" t="str">
            <v>Down Lock, Nose Gear</v>
          </cell>
          <cell r="X114" t="str">
            <v>Down Lock, Main Gear</v>
          </cell>
          <cell r="Y114" t="str">
            <v>Plumb Bob</v>
          </cell>
          <cell r="AK114">
            <v>0.3</v>
          </cell>
          <cell r="AL114">
            <v>0.4</v>
          </cell>
          <cell r="AM114">
            <v>0.5</v>
          </cell>
          <cell r="AY114">
            <v>91</v>
          </cell>
          <cell r="AZ114">
            <v>702</v>
          </cell>
          <cell r="BA114">
            <v>685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N114" t="str">
            <v>19/04/2022</v>
          </cell>
          <cell r="DU114" t="str">
            <v>GOL</v>
          </cell>
          <cell r="DV114" t="str">
            <v>186 Pax + 10 Flight Crew</v>
          </cell>
          <cell r="DW114" t="str">
            <v>GLP-800-004-GUD R00</v>
          </cell>
        </row>
        <row r="115">
          <cell r="A115" t="str">
            <v>PR-GOL</v>
          </cell>
          <cell r="D115" t="str">
            <v>14/08/2024</v>
          </cell>
          <cell r="E115">
            <v>12</v>
          </cell>
          <cell r="F115">
            <v>1</v>
          </cell>
          <cell r="G115" t="str">
            <v>Confins-MG- Brazil</v>
          </cell>
          <cell r="H115" t="str">
            <v>Nova pintura</v>
          </cell>
          <cell r="I115" t="str">
            <v>1578,5</v>
          </cell>
          <cell r="J115" t="str">
            <v>1578,5</v>
          </cell>
          <cell r="K115" t="str">
            <v>9419</v>
          </cell>
          <cell r="L115" t="str">
            <v>9419</v>
          </cell>
          <cell r="M115" t="str">
            <v>9419</v>
          </cell>
          <cell r="N115" t="str">
            <v>9419</v>
          </cell>
          <cell r="O115" t="str">
            <v>1578,5</v>
          </cell>
          <cell r="P115" t="str">
            <v>1578,5</v>
          </cell>
          <cell r="Q115" t="str">
            <v>1578,5</v>
          </cell>
          <cell r="R115" t="str">
            <v>1578,5</v>
          </cell>
          <cell r="S115" t="str">
            <v>1578,5</v>
          </cell>
          <cell r="T115" t="str">
            <v>1578,5</v>
          </cell>
          <cell r="U115" t="str">
            <v>4</v>
          </cell>
          <cell r="V115" t="str">
            <v>4</v>
          </cell>
          <cell r="W115" t="str">
            <v>Down Lock Nose Gear (1 ea)</v>
          </cell>
          <cell r="X115" t="str">
            <v>Down Lock Main Gear (2 ea)</v>
          </cell>
          <cell r="Y115" t="str">
            <v>Plumb Bob (1 ea)</v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>0,3</v>
          </cell>
          <cell r="AL115" t="str">
            <v>0,4</v>
          </cell>
          <cell r="AM115" t="str">
            <v>0,5</v>
          </cell>
          <cell r="AN115" t="str">
            <v>0</v>
          </cell>
          <cell r="AO115" t="str">
            <v>0</v>
          </cell>
          <cell r="AP115" t="str">
            <v>0</v>
          </cell>
          <cell r="AQ115" t="str">
            <v>0</v>
          </cell>
          <cell r="AR115" t="str">
            <v>0</v>
          </cell>
          <cell r="AS115" t="str">
            <v>0</v>
          </cell>
          <cell r="AT115" t="str">
            <v>0</v>
          </cell>
          <cell r="AU115" t="str">
            <v>0</v>
          </cell>
          <cell r="AV115" t="str">
            <v>0</v>
          </cell>
          <cell r="AW115" t="str">
            <v>0</v>
          </cell>
          <cell r="AX115" t="str">
            <v>0</v>
          </cell>
          <cell r="AY115" t="str">
            <v>82</v>
          </cell>
          <cell r="AZ115" t="str">
            <v>702</v>
          </cell>
          <cell r="BA115" t="str">
            <v>685</v>
          </cell>
          <cell r="BB115" t="str">
            <v>0</v>
          </cell>
          <cell r="BC115" t="str">
            <v>0</v>
          </cell>
          <cell r="BD115" t="str">
            <v>0</v>
          </cell>
          <cell r="BE115" t="str">
            <v>0</v>
          </cell>
          <cell r="BF115" t="str">
            <v>0</v>
          </cell>
          <cell r="BG115" t="str">
            <v>0</v>
          </cell>
          <cell r="BH115" t="str">
            <v>0</v>
          </cell>
          <cell r="BI115" t="str">
            <v>0</v>
          </cell>
          <cell r="BJ115" t="str">
            <v>0</v>
          </cell>
          <cell r="BK115" t="str">
            <v>0</v>
          </cell>
          <cell r="BL115" t="str">
            <v>0</v>
          </cell>
          <cell r="BM115" t="str">
            <v>Flaps 0 - 40° (up when weighed)</v>
          </cell>
          <cell r="BN115" t="str">
            <v>Fuel, Drainable, Unusable (5.6 Gal)</v>
          </cell>
          <cell r="BO115" t="str">
            <v>Lavatory Fluid, Precharge (6.0 Gal)</v>
          </cell>
          <cell r="BP115" t="str">
            <v>Water, Potable (42.6 Gal)</v>
          </cell>
          <cell r="BQ115" t="str">
            <v>Lavatory Dry Supplies (2ea)</v>
          </cell>
          <cell r="BR115" t="str">
            <v/>
          </cell>
          <cell r="BS115" t="str">
            <v/>
          </cell>
          <cell r="BT115" t="str">
            <v/>
          </cell>
          <cell r="BU115" t="str">
            <v/>
          </cell>
          <cell r="BV115" t="str">
            <v/>
          </cell>
          <cell r="BW115" t="str">
            <v/>
          </cell>
          <cell r="BX115" t="str">
            <v/>
          </cell>
          <cell r="BY115" t="str">
            <v/>
          </cell>
          <cell r="BZ115" t="str">
            <v/>
          </cell>
          <cell r="CB115" t="str">
            <v>0</v>
          </cell>
          <cell r="CC115" t="str">
            <v>17,3</v>
          </cell>
          <cell r="CD115" t="str">
            <v>22,7</v>
          </cell>
          <cell r="CE115" t="str">
            <v>160,9</v>
          </cell>
          <cell r="CF115" t="str">
            <v>4</v>
          </cell>
          <cell r="CG115" t="str">
            <v>0</v>
          </cell>
          <cell r="CH115" t="str">
            <v>0</v>
          </cell>
          <cell r="CI115" t="str">
            <v>0</v>
          </cell>
          <cell r="CJ115" t="str">
            <v>0</v>
          </cell>
          <cell r="CK115" t="str">
            <v>0</v>
          </cell>
          <cell r="CL115" t="str">
            <v>0</v>
          </cell>
          <cell r="CM115" t="str">
            <v>0</v>
          </cell>
          <cell r="CN115" t="str">
            <v>0</v>
          </cell>
          <cell r="CO115" t="str">
            <v>0</v>
          </cell>
          <cell r="CP115" t="str">
            <v>0</v>
          </cell>
          <cell r="CQ115" t="str">
            <v>646</v>
          </cell>
          <cell r="CR115" t="str">
            <v>1112</v>
          </cell>
          <cell r="CS115" t="str">
            <v>1141</v>
          </cell>
          <cell r="CT115" t="str">
            <v>1145</v>
          </cell>
          <cell r="CU115" t="str">
            <v>0</v>
          </cell>
          <cell r="CV115" t="str">
            <v>0</v>
          </cell>
          <cell r="CW115" t="str">
            <v>0</v>
          </cell>
          <cell r="CX115" t="str">
            <v>0</v>
          </cell>
          <cell r="CY115" t="str">
            <v>0</v>
          </cell>
          <cell r="CZ115" t="str">
            <v>0</v>
          </cell>
          <cell r="DA115" t="str">
            <v>0</v>
          </cell>
          <cell r="DB115" t="str">
            <v>0</v>
          </cell>
          <cell r="DC115" t="str">
            <v/>
          </cell>
          <cell r="DD115" t="str">
            <v/>
          </cell>
          <cell r="DE115" t="str">
            <v/>
          </cell>
          <cell r="DF115" t="str">
            <v/>
          </cell>
          <cell r="DG115" t="str">
            <v/>
          </cell>
          <cell r="DH115" t="str">
            <v/>
          </cell>
          <cell r="DI115" t="str">
            <v/>
          </cell>
          <cell r="DJ115" t="str">
            <v/>
          </cell>
          <cell r="DN115" t="str">
            <v>14/08/2024</v>
          </cell>
          <cell r="DQ115" t="str">
            <v>Raul</v>
          </cell>
          <cell r="DS115" t="str">
            <v>3</v>
          </cell>
          <cell r="DT115" t="str">
            <v>0</v>
          </cell>
          <cell r="DU115" t="str">
            <v>Raul</v>
          </cell>
          <cell r="DW115" t="str">
            <v/>
          </cell>
        </row>
        <row r="116">
          <cell r="A116" t="str">
            <v>PR-GOL</v>
          </cell>
          <cell r="D116" t="str">
            <v>14/08/2024</v>
          </cell>
          <cell r="E116">
            <v>12</v>
          </cell>
          <cell r="F116">
            <v>2</v>
          </cell>
          <cell r="G116" t="str">
            <v>Jacksonville, FL - EUA</v>
          </cell>
          <cell r="H116" t="str">
            <v>New Painting</v>
          </cell>
          <cell r="I116" t="str">
            <v>1578,5</v>
          </cell>
          <cell r="J116" t="str">
            <v>1678,5</v>
          </cell>
          <cell r="K116" t="str">
            <v>9519</v>
          </cell>
          <cell r="L116" t="str">
            <v>9519</v>
          </cell>
          <cell r="M116" t="str">
            <v>9440</v>
          </cell>
          <cell r="N116" t="str">
            <v>9440</v>
          </cell>
          <cell r="O116" t="str">
            <v>1378,5</v>
          </cell>
          <cell r="P116" t="str">
            <v>1478,5</v>
          </cell>
          <cell r="Q116" t="str">
            <v>1578,5</v>
          </cell>
          <cell r="R116" t="str">
            <v>1578,5</v>
          </cell>
          <cell r="S116" t="str">
            <v>1978,5</v>
          </cell>
          <cell r="T116" t="str">
            <v>1678,5</v>
          </cell>
          <cell r="U116" t="str">
            <v>5</v>
          </cell>
          <cell r="V116" t="str">
            <v>6</v>
          </cell>
          <cell r="W116" t="str">
            <v>Down Lock Nose Gear (1 ea)</v>
          </cell>
          <cell r="X116" t="str">
            <v>Down Lock Main Gear (2 ea)</v>
          </cell>
          <cell r="Y116" t="str">
            <v>Plumb Bob (1 ea)</v>
          </cell>
          <cell r="Z116" t="str">
            <v/>
          </cell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>0,3</v>
          </cell>
          <cell r="AL116" t="str">
            <v>0,4</v>
          </cell>
          <cell r="AM116" t="str">
            <v>0,5</v>
          </cell>
          <cell r="AN116" t="str">
            <v>0</v>
          </cell>
          <cell r="AO116" t="str">
            <v>0</v>
          </cell>
          <cell r="AP116" t="str">
            <v>0</v>
          </cell>
          <cell r="AQ116" t="str">
            <v>0</v>
          </cell>
          <cell r="AR116" t="str">
            <v>0</v>
          </cell>
          <cell r="AS116" t="str">
            <v>0</v>
          </cell>
          <cell r="AT116" t="str">
            <v>0</v>
          </cell>
          <cell r="AU116" t="str">
            <v>0</v>
          </cell>
          <cell r="AV116" t="str">
            <v>0</v>
          </cell>
          <cell r="AW116" t="str">
            <v>0</v>
          </cell>
          <cell r="AX116" t="str">
            <v>0</v>
          </cell>
          <cell r="AY116" t="str">
            <v>82</v>
          </cell>
          <cell r="AZ116" t="str">
            <v>702</v>
          </cell>
          <cell r="BA116" t="str">
            <v>685</v>
          </cell>
          <cell r="BB116" t="str">
            <v>0</v>
          </cell>
          <cell r="BC116" t="str">
            <v>0</v>
          </cell>
          <cell r="BD116" t="str">
            <v>0</v>
          </cell>
          <cell r="BE116" t="str">
            <v>0</v>
          </cell>
          <cell r="BF116" t="str">
            <v>0</v>
          </cell>
          <cell r="BG116" t="str">
            <v>0</v>
          </cell>
          <cell r="BH116" t="str">
            <v>0</v>
          </cell>
          <cell r="BI116" t="str">
            <v>0</v>
          </cell>
          <cell r="BJ116" t="str">
            <v>0</v>
          </cell>
          <cell r="BK116" t="str">
            <v>0</v>
          </cell>
          <cell r="BL116" t="str">
            <v>0</v>
          </cell>
          <cell r="BM116" t="str">
            <v>Flaps 0 - 40° (up when weighed)</v>
          </cell>
          <cell r="BN116" t="str">
            <v>Fuel, Drainable, Unusable (5.6 Gal)</v>
          </cell>
          <cell r="BO116" t="str">
            <v>Lavatory Fluid, Precharge (6.0 Gal)</v>
          </cell>
          <cell r="BP116" t="str">
            <v>Water, Potable (42.6 Gal)</v>
          </cell>
          <cell r="BQ116" t="str">
            <v>Lavatory Dry Supplies (2ea)</v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B116" t="str">
            <v>0</v>
          </cell>
          <cell r="CC116" t="str">
            <v>17,3</v>
          </cell>
          <cell r="CD116" t="str">
            <v>22,7</v>
          </cell>
          <cell r="CE116" t="str">
            <v>160,9</v>
          </cell>
          <cell r="CF116" t="str">
            <v>4</v>
          </cell>
          <cell r="CG116" t="str">
            <v>0</v>
          </cell>
          <cell r="CH116" t="str">
            <v>0</v>
          </cell>
          <cell r="CI116" t="str">
            <v>0</v>
          </cell>
          <cell r="CJ116" t="str">
            <v>0</v>
          </cell>
          <cell r="CK116" t="str">
            <v>0</v>
          </cell>
          <cell r="CL116" t="str">
            <v>0</v>
          </cell>
          <cell r="CM116" t="str">
            <v>0</v>
          </cell>
          <cell r="CN116" t="str">
            <v>0</v>
          </cell>
          <cell r="CO116" t="str">
            <v>0</v>
          </cell>
          <cell r="CP116" t="str">
            <v>0</v>
          </cell>
          <cell r="CQ116" t="str">
            <v>646</v>
          </cell>
          <cell r="CR116" t="str">
            <v>1112</v>
          </cell>
          <cell r="CS116" t="str">
            <v>1141</v>
          </cell>
          <cell r="CT116" t="str">
            <v>1145</v>
          </cell>
          <cell r="CU116" t="str">
            <v>0</v>
          </cell>
          <cell r="CV116" t="str">
            <v>0</v>
          </cell>
          <cell r="CW116" t="str">
            <v>0</v>
          </cell>
          <cell r="CX116" t="str">
            <v>0</v>
          </cell>
          <cell r="CY116" t="str">
            <v>0</v>
          </cell>
          <cell r="CZ116" t="str">
            <v>0</v>
          </cell>
          <cell r="DA116" t="str">
            <v>0</v>
          </cell>
          <cell r="DB116" t="str">
            <v>0</v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N116" t="str">
            <v>14/08/2024</v>
          </cell>
          <cell r="DQ116" t="str">
            <v>Raul</v>
          </cell>
          <cell r="DS116" t="str">
            <v>3</v>
          </cell>
          <cell r="DT116" t="str">
            <v>1</v>
          </cell>
          <cell r="DU116" t="str">
            <v>Flightstar</v>
          </cell>
        </row>
        <row r="117">
          <cell r="A117" t="str">
            <v>PR-GOL</v>
          </cell>
          <cell r="D117" t="str">
            <v>14/08/2024</v>
          </cell>
          <cell r="E117">
            <v>12</v>
          </cell>
          <cell r="F117">
            <v>3</v>
          </cell>
          <cell r="G117" t="str">
            <v>Confins-MG- Brazil</v>
          </cell>
          <cell r="H117" t="str">
            <v>Nova pintura</v>
          </cell>
          <cell r="I117" t="str">
            <v>1578,5</v>
          </cell>
          <cell r="J117" t="str">
            <v>1578,5</v>
          </cell>
          <cell r="K117" t="str">
            <v>9419</v>
          </cell>
          <cell r="L117" t="str">
            <v>9419</v>
          </cell>
          <cell r="M117" t="str">
            <v>9419</v>
          </cell>
          <cell r="N117" t="str">
            <v>9419</v>
          </cell>
          <cell r="O117" t="str">
            <v>1578,5</v>
          </cell>
          <cell r="P117" t="str">
            <v>1578,5</v>
          </cell>
          <cell r="Q117" t="str">
            <v>1578,5</v>
          </cell>
          <cell r="R117" t="str">
            <v>1578,5</v>
          </cell>
          <cell r="S117" t="str">
            <v>1578,5</v>
          </cell>
          <cell r="T117" t="str">
            <v>1578,5</v>
          </cell>
          <cell r="U117" t="str">
            <v/>
          </cell>
          <cell r="V117" t="str">
            <v/>
          </cell>
          <cell r="W117" t="str">
            <v>Down Lock Nose Gear (1 ea)</v>
          </cell>
          <cell r="X117" t="str">
            <v>Down Lock Main Gear (2 ea)</v>
          </cell>
          <cell r="Y117" t="str">
            <v>Plumb Bob (1 ea)</v>
          </cell>
          <cell r="Z117" t="str">
            <v/>
          </cell>
          <cell r="AA117" t="str">
            <v/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>
            <v>0.3</v>
          </cell>
          <cell r="AL117" t="str">
            <v>0,4</v>
          </cell>
          <cell r="AM117" t="str">
            <v>0,5</v>
          </cell>
          <cell r="AN117" t="str">
            <v>0</v>
          </cell>
          <cell r="AO117" t="str">
            <v>0</v>
          </cell>
          <cell r="AP117" t="str">
            <v>0</v>
          </cell>
          <cell r="AQ117" t="str">
            <v>0</v>
          </cell>
          <cell r="AR117" t="str">
            <v>0</v>
          </cell>
          <cell r="AS117" t="str">
            <v>0</v>
          </cell>
          <cell r="AT117" t="str">
            <v>0</v>
          </cell>
          <cell r="AU117" t="str">
            <v>0</v>
          </cell>
          <cell r="AV117" t="str">
            <v>0</v>
          </cell>
          <cell r="AW117" t="str">
            <v>0</v>
          </cell>
          <cell r="AX117" t="str">
            <v>0</v>
          </cell>
          <cell r="AY117" t="str">
            <v>82</v>
          </cell>
          <cell r="AZ117" t="str">
            <v>702</v>
          </cell>
          <cell r="BA117" t="str">
            <v>685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 t="str">
            <v>Flaps 0 - 40° (up when weighed)</v>
          </cell>
          <cell r="BN117" t="str">
            <v>Fuel, Drainable, Unusable (5.6 Gal)</v>
          </cell>
          <cell r="BO117" t="str">
            <v>Lavatory Fluid, Precharge (6.0 Gal)</v>
          </cell>
          <cell r="BP117" t="str">
            <v>Water, Potable (42.6 Gal)</v>
          </cell>
          <cell r="BQ117" t="str">
            <v>Lavatory Dry Supplies (2ea)</v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B117" t="str">
            <v>0</v>
          </cell>
          <cell r="CC117" t="str">
            <v>17,3</v>
          </cell>
          <cell r="CD117" t="str">
            <v>22,7</v>
          </cell>
          <cell r="CE117" t="str">
            <v>160,9</v>
          </cell>
          <cell r="CF117" t="str">
            <v>4</v>
          </cell>
          <cell r="CG117" t="str">
            <v>0</v>
          </cell>
          <cell r="CH117" t="str">
            <v>0</v>
          </cell>
          <cell r="CI117" t="str">
            <v>0</v>
          </cell>
          <cell r="CJ117" t="str">
            <v>0</v>
          </cell>
          <cell r="CK117" t="str">
            <v>0</v>
          </cell>
          <cell r="CL117" t="str">
            <v>0</v>
          </cell>
          <cell r="CM117" t="str">
            <v>0</v>
          </cell>
          <cell r="CN117" t="str">
            <v>0</v>
          </cell>
          <cell r="CO117" t="str">
            <v>0</v>
          </cell>
          <cell r="CP117" t="str">
            <v>0</v>
          </cell>
          <cell r="CQ117" t="str">
            <v>646</v>
          </cell>
          <cell r="CR117" t="str">
            <v>1112</v>
          </cell>
          <cell r="CS117" t="str">
            <v>1141</v>
          </cell>
          <cell r="CT117" t="str">
            <v>1145</v>
          </cell>
          <cell r="CU117" t="str">
            <v>0</v>
          </cell>
          <cell r="CV117" t="str">
            <v>0</v>
          </cell>
          <cell r="CW117" t="str">
            <v>0</v>
          </cell>
          <cell r="CX117" t="str">
            <v>0</v>
          </cell>
          <cell r="CY117" t="str">
            <v>0</v>
          </cell>
          <cell r="CZ117" t="str">
            <v>0</v>
          </cell>
          <cell r="DA117" t="str">
            <v>0</v>
          </cell>
          <cell r="DB117" t="str">
            <v>0</v>
          </cell>
          <cell r="DC117" t="str">
            <v/>
          </cell>
          <cell r="DN117" t="str">
            <v>14/08/2024</v>
          </cell>
          <cell r="DQ117" t="str">
            <v>Raul</v>
          </cell>
          <cell r="DS117" t="str">
            <v>3</v>
          </cell>
          <cell r="DT117" t="str">
            <v>0</v>
          </cell>
          <cell r="DU117" t="str">
            <v>Raul</v>
          </cell>
          <cell r="DW117" t="str">
            <v/>
          </cell>
        </row>
        <row r="118">
          <cell r="A118" t="str">
            <v>PR-GOL</v>
          </cell>
          <cell r="D118" t="str">
            <v>30/08/2023</v>
          </cell>
          <cell r="E118">
            <v>12</v>
          </cell>
          <cell r="F118">
            <v>4</v>
          </cell>
          <cell r="G118" t="str">
            <v>Confins ( CNF ) - Brazil</v>
          </cell>
          <cell r="H118" t="str">
            <v>New Painting</v>
          </cell>
          <cell r="I118">
            <v>1513</v>
          </cell>
          <cell r="J118">
            <v>1513</v>
          </cell>
          <cell r="K118">
            <v>9569</v>
          </cell>
          <cell r="L118">
            <v>9569</v>
          </cell>
          <cell r="M118">
            <v>9549.5</v>
          </cell>
          <cell r="N118">
            <v>9549.5</v>
          </cell>
          <cell r="O118">
            <v>1513</v>
          </cell>
          <cell r="P118">
            <v>1513</v>
          </cell>
          <cell r="Q118">
            <v>9569</v>
          </cell>
          <cell r="R118">
            <v>9569</v>
          </cell>
          <cell r="S118">
            <v>9549.5</v>
          </cell>
          <cell r="T118">
            <v>9549.5</v>
          </cell>
          <cell r="U118">
            <v>3.7400306748467642</v>
          </cell>
          <cell r="V118">
            <v>4.0161042944791134</v>
          </cell>
          <cell r="W118" t="str">
            <v>Down Lock Nose Gear (1 ea)</v>
          </cell>
          <cell r="X118" t="str">
            <v>Down Lock Main Gear (2 ea)</v>
          </cell>
          <cell r="Y118" t="str">
            <v>Plumb Bob (1 ea)</v>
          </cell>
          <cell r="AK118">
            <v>0.3</v>
          </cell>
          <cell r="AL118">
            <v>0.4</v>
          </cell>
          <cell r="AM118">
            <v>0.5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82</v>
          </cell>
          <cell r="AZ118">
            <v>702</v>
          </cell>
          <cell r="BA118">
            <v>685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 t="str">
            <v>Flaps 0 - 40° (up when weighed)</v>
          </cell>
          <cell r="BN118" t="str">
            <v>Fuel, Drainable, Unusable (5.6 Gal)</v>
          </cell>
          <cell r="BO118" t="str">
            <v>Lavatory Fluid, Precharge (6.0 Gal)</v>
          </cell>
          <cell r="BP118" t="str">
            <v>Lavatory Dry Supplies (2 ea)</v>
          </cell>
          <cell r="BQ118" t="str">
            <v>Water, Portable (62.6 Gal)</v>
          </cell>
          <cell r="CB118">
            <v>0</v>
          </cell>
          <cell r="CC118">
            <v>17.3</v>
          </cell>
          <cell r="CD118">
            <v>22.7</v>
          </cell>
          <cell r="CE118">
            <v>4</v>
          </cell>
          <cell r="CF118">
            <v>236.4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646</v>
          </cell>
          <cell r="CR118">
            <v>1112</v>
          </cell>
          <cell r="CS118">
            <v>1145</v>
          </cell>
          <cell r="CT118">
            <v>1150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N118" t="str">
            <v>30/08/2023</v>
          </cell>
          <cell r="DU118" t="str">
            <v>GOL</v>
          </cell>
          <cell r="DV118" t="str">
            <v>186 Pax + 10 Flight Crew</v>
          </cell>
          <cell r="DW118" t="str">
            <v>GLP-800-003-GXR</v>
          </cell>
        </row>
        <row r="119">
          <cell r="A119" t="str">
            <v>PR-GOL</v>
          </cell>
          <cell r="D119" t="str">
            <v>30/08/2023</v>
          </cell>
          <cell r="E119">
            <v>12</v>
          </cell>
          <cell r="F119">
            <v>5</v>
          </cell>
          <cell r="G119" t="str">
            <v>San Salvador - El Salvador</v>
          </cell>
          <cell r="H119" t="str">
            <v>New Painting</v>
          </cell>
          <cell r="I119" t="str">
            <v>1513</v>
          </cell>
          <cell r="J119" t="str">
            <v>1513</v>
          </cell>
          <cell r="K119" t="str">
            <v>9569</v>
          </cell>
          <cell r="L119" t="str">
            <v>9569</v>
          </cell>
          <cell r="M119" t="str">
            <v>9549,5</v>
          </cell>
          <cell r="N119" t="str">
            <v>9549,5</v>
          </cell>
          <cell r="O119" t="str">
            <v>1513</v>
          </cell>
          <cell r="P119" t="str">
            <v>1513</v>
          </cell>
          <cell r="Q119" t="str">
            <v>9569</v>
          </cell>
          <cell r="R119" t="str">
            <v>9569</v>
          </cell>
          <cell r="S119" t="str">
            <v>9549,5</v>
          </cell>
          <cell r="T119" t="str">
            <v>9549,5</v>
          </cell>
          <cell r="U119" t="str">
            <v>3,74003067484676</v>
          </cell>
          <cell r="V119" t="str">
            <v>4,01610429447911</v>
          </cell>
          <cell r="W119" t="str">
            <v>Down Lock Nose Gear (1 ea)</v>
          </cell>
          <cell r="X119" t="str">
            <v>Down Lock Main Gear (2 ea)</v>
          </cell>
          <cell r="Y119" t="str">
            <v>Plumb Bob (1 ea)</v>
          </cell>
          <cell r="Z119" t="str">
            <v/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>0,3</v>
          </cell>
          <cell r="AL119" t="str">
            <v>0,4</v>
          </cell>
          <cell r="AM119" t="str">
            <v>0,5</v>
          </cell>
          <cell r="AN119" t="str">
            <v>0</v>
          </cell>
          <cell r="AO119" t="str">
            <v>0</v>
          </cell>
          <cell r="AP119" t="str">
            <v>0</v>
          </cell>
          <cell r="AQ119" t="str">
            <v>0</v>
          </cell>
          <cell r="AR119" t="str">
            <v>0</v>
          </cell>
          <cell r="AS119" t="str">
            <v>0</v>
          </cell>
          <cell r="AT119" t="str">
            <v>0</v>
          </cell>
          <cell r="AU119" t="str">
            <v>0</v>
          </cell>
          <cell r="AV119" t="str">
            <v>0</v>
          </cell>
          <cell r="AW119" t="str">
            <v>0</v>
          </cell>
          <cell r="AX119" t="str">
            <v>0</v>
          </cell>
          <cell r="AY119" t="str">
            <v>82</v>
          </cell>
          <cell r="AZ119" t="str">
            <v>702</v>
          </cell>
          <cell r="BA119" t="str">
            <v>685</v>
          </cell>
          <cell r="BB119" t="str">
            <v>0</v>
          </cell>
          <cell r="BC119" t="str">
            <v>0</v>
          </cell>
          <cell r="BD119" t="str">
            <v>0</v>
          </cell>
          <cell r="BE119" t="str">
            <v>0</v>
          </cell>
          <cell r="BF119" t="str">
            <v>0</v>
          </cell>
          <cell r="BG119" t="str">
            <v>0</v>
          </cell>
          <cell r="BH119" t="str">
            <v>0</v>
          </cell>
          <cell r="BI119" t="str">
            <v>0</v>
          </cell>
          <cell r="BJ119" t="str">
            <v>0</v>
          </cell>
          <cell r="BK119" t="str">
            <v>0</v>
          </cell>
          <cell r="BL119" t="str">
            <v>0</v>
          </cell>
          <cell r="BM119" t="str">
            <v>Flaps 0 - 40° (up when weighed)</v>
          </cell>
          <cell r="BN119" t="str">
            <v>Fuel, Drainable, Unusable (5.6 Gal)</v>
          </cell>
          <cell r="BO119" t="str">
            <v>Lavatory Fluid, Precharge (6.0 Gal)</v>
          </cell>
          <cell r="BP119" t="str">
            <v>Lavatory Dry Supplies (2 ea)</v>
          </cell>
          <cell r="BQ119" t="str">
            <v>Water, Portable (62.6 Gal)</v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B119" t="str">
            <v>0</v>
          </cell>
          <cell r="CC119" t="str">
            <v>17,3</v>
          </cell>
          <cell r="CD119" t="str">
            <v>22,7</v>
          </cell>
          <cell r="CE119" t="str">
            <v>4</v>
          </cell>
          <cell r="CF119" t="str">
            <v>236,4</v>
          </cell>
          <cell r="CG119" t="str">
            <v>0</v>
          </cell>
          <cell r="CH119" t="str">
            <v>0</v>
          </cell>
          <cell r="CI119" t="str">
            <v>0</v>
          </cell>
          <cell r="CJ119" t="str">
            <v>0</v>
          </cell>
          <cell r="CK119" t="str">
            <v>0</v>
          </cell>
          <cell r="CL119" t="str">
            <v>0</v>
          </cell>
          <cell r="CM119" t="str">
            <v>0</v>
          </cell>
          <cell r="CN119" t="str">
            <v>0</v>
          </cell>
          <cell r="CO119" t="str">
            <v>0</v>
          </cell>
          <cell r="CP119" t="str">
            <v>0</v>
          </cell>
          <cell r="CQ119" t="str">
            <v>646</v>
          </cell>
          <cell r="CR119" t="str">
            <v>1112</v>
          </cell>
          <cell r="CS119" t="str">
            <v>1145</v>
          </cell>
          <cell r="CT119" t="str">
            <v>1150</v>
          </cell>
          <cell r="CU119" t="str">
            <v>0</v>
          </cell>
          <cell r="CV119" t="str">
            <v>0</v>
          </cell>
          <cell r="CW119" t="str">
            <v>0</v>
          </cell>
          <cell r="CX119" t="str">
            <v>0</v>
          </cell>
          <cell r="CY119" t="str">
            <v>0</v>
          </cell>
          <cell r="CZ119" t="str">
            <v>0</v>
          </cell>
          <cell r="DA119" t="str">
            <v>0</v>
          </cell>
          <cell r="DB119" t="str">
            <v>0</v>
          </cell>
          <cell r="DC119" t="str">
            <v/>
          </cell>
          <cell r="DN119" t="str">
            <v>30/08/2023</v>
          </cell>
          <cell r="DS119" t="str">
            <v>12</v>
          </cell>
          <cell r="DT119" t="str">
            <v>4</v>
          </cell>
          <cell r="DU119" t="str">
            <v>Transavia</v>
          </cell>
          <cell r="DV119" t="str">
            <v>186 Pax + 10 Flight Crew</v>
          </cell>
          <cell r="DW119" t="str">
            <v xml:space="preserve">GLP-800-004-GGH </v>
          </cell>
        </row>
        <row r="120">
          <cell r="A120" t="str">
            <v>PR-GOL</v>
          </cell>
          <cell r="D120" t="str">
            <v>30/08/2023</v>
          </cell>
          <cell r="E120">
            <v>12</v>
          </cell>
          <cell r="F120">
            <v>6</v>
          </cell>
          <cell r="G120" t="str">
            <v>Seattle, WA - EUA</v>
          </cell>
          <cell r="H120" t="str">
            <v>New Production Aircraft</v>
          </cell>
          <cell r="I120" t="str">
            <v>1513</v>
          </cell>
          <cell r="J120" t="str">
            <v>1513</v>
          </cell>
          <cell r="K120" t="str">
            <v>9569</v>
          </cell>
          <cell r="L120" t="str">
            <v>9569</v>
          </cell>
          <cell r="M120" t="str">
            <v>9549,5</v>
          </cell>
          <cell r="N120" t="str">
            <v>9549,5</v>
          </cell>
          <cell r="O120" t="str">
            <v>1513</v>
          </cell>
          <cell r="P120" t="str">
            <v>1513</v>
          </cell>
          <cell r="Q120" t="str">
            <v>9569</v>
          </cell>
          <cell r="R120" t="str">
            <v>9569</v>
          </cell>
          <cell r="S120" t="str">
            <v>9549,5</v>
          </cell>
          <cell r="T120" t="str">
            <v>9549,5</v>
          </cell>
          <cell r="U120" t="str">
            <v>3,74003067484676</v>
          </cell>
          <cell r="V120" t="str">
            <v>4,01610429447911</v>
          </cell>
          <cell r="W120" t="str">
            <v>Down Lock Nose Gear (1 ea)</v>
          </cell>
          <cell r="X120" t="str">
            <v>Down Lock Main Gear (2 ea)</v>
          </cell>
          <cell r="Y120" t="str">
            <v>Plumb Bob (1 ea)</v>
          </cell>
          <cell r="Z120" t="str">
            <v/>
          </cell>
          <cell r="AA120" t="str">
            <v/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>0,3</v>
          </cell>
          <cell r="AL120" t="str">
            <v>0,4</v>
          </cell>
          <cell r="AM120" t="str">
            <v>0,5</v>
          </cell>
          <cell r="AN120" t="str">
            <v>0</v>
          </cell>
          <cell r="AO120" t="str">
            <v>0</v>
          </cell>
          <cell r="AP120" t="str">
            <v>0</v>
          </cell>
          <cell r="AQ120" t="str">
            <v>0</v>
          </cell>
          <cell r="AR120" t="str">
            <v>0</v>
          </cell>
          <cell r="AS120" t="str">
            <v>0</v>
          </cell>
          <cell r="AT120" t="str">
            <v>0</v>
          </cell>
          <cell r="AU120" t="str">
            <v>0</v>
          </cell>
          <cell r="AV120" t="str">
            <v>0</v>
          </cell>
          <cell r="AW120" t="str">
            <v>0</v>
          </cell>
          <cell r="AX120" t="str">
            <v>0</v>
          </cell>
          <cell r="AY120" t="str">
            <v>82</v>
          </cell>
          <cell r="AZ120" t="str">
            <v>702</v>
          </cell>
          <cell r="BA120" t="str">
            <v>685</v>
          </cell>
          <cell r="BB120" t="str">
            <v>0</v>
          </cell>
          <cell r="BC120" t="str">
            <v>0</v>
          </cell>
          <cell r="BD120" t="str">
            <v>0</v>
          </cell>
          <cell r="BE120" t="str">
            <v>0</v>
          </cell>
          <cell r="BF120" t="str">
            <v>0</v>
          </cell>
          <cell r="BG120" t="str">
            <v>0</v>
          </cell>
          <cell r="BH120" t="str">
            <v>0</v>
          </cell>
          <cell r="BI120" t="str">
            <v>0</v>
          </cell>
          <cell r="BJ120" t="str">
            <v>0</v>
          </cell>
          <cell r="BK120" t="str">
            <v>0</v>
          </cell>
          <cell r="BL120" t="str">
            <v>0</v>
          </cell>
          <cell r="BM120" t="str">
            <v>Flaps 0 - 40° (up when weighed)</v>
          </cell>
          <cell r="BN120" t="str">
            <v>Fuel, Drainable, Unusable (5.6 Gal)</v>
          </cell>
          <cell r="BO120" t="str">
            <v>Lavatory Fluid, Precharge (6.0 Gal)</v>
          </cell>
          <cell r="BP120" t="str">
            <v>Lavatory Dry Supplies (2 ea)</v>
          </cell>
          <cell r="BQ120" t="str">
            <v>Water, Portable (62.6 Gal)</v>
          </cell>
          <cell r="BR120" t="str">
            <v/>
          </cell>
          <cell r="BS120" t="str">
            <v/>
          </cell>
          <cell r="BT120" t="str">
            <v/>
          </cell>
          <cell r="BU120" t="str">
            <v/>
          </cell>
          <cell r="BV120" t="str">
            <v/>
          </cell>
          <cell r="BW120" t="str">
            <v/>
          </cell>
          <cell r="BX120" t="str">
            <v/>
          </cell>
          <cell r="BY120" t="str">
            <v/>
          </cell>
          <cell r="BZ120" t="str">
            <v/>
          </cell>
          <cell r="CB120" t="str">
            <v>0</v>
          </cell>
          <cell r="CC120" t="str">
            <v>17,3</v>
          </cell>
          <cell r="CD120" t="str">
            <v>22,7</v>
          </cell>
          <cell r="CE120" t="str">
            <v>4</v>
          </cell>
          <cell r="CF120" t="str">
            <v>236,4</v>
          </cell>
          <cell r="CG120" t="str">
            <v>0</v>
          </cell>
          <cell r="CH120" t="str">
            <v>0</v>
          </cell>
          <cell r="CI120" t="str">
            <v>0</v>
          </cell>
          <cell r="CJ120" t="str">
            <v>0</v>
          </cell>
          <cell r="CK120" t="str">
            <v>0</v>
          </cell>
          <cell r="CL120" t="str">
            <v>0</v>
          </cell>
          <cell r="CM120" t="str">
            <v>0</v>
          </cell>
          <cell r="CN120" t="str">
            <v>0</v>
          </cell>
          <cell r="CO120" t="str">
            <v>0</v>
          </cell>
          <cell r="CP120" t="str">
            <v>0</v>
          </cell>
          <cell r="CQ120" t="str">
            <v>646</v>
          </cell>
          <cell r="CR120" t="str">
            <v>1112</v>
          </cell>
          <cell r="CS120" t="str">
            <v>1145</v>
          </cell>
          <cell r="CT120" t="str">
            <v>1150</v>
          </cell>
          <cell r="CU120" t="str">
            <v>0</v>
          </cell>
          <cell r="CV120" t="str">
            <v>0</v>
          </cell>
          <cell r="CW120" t="str">
            <v>0</v>
          </cell>
          <cell r="CX120" t="str">
            <v>0</v>
          </cell>
          <cell r="CY120" t="str">
            <v>0</v>
          </cell>
          <cell r="CZ120" t="str">
            <v>0</v>
          </cell>
          <cell r="DA120" t="str">
            <v>0</v>
          </cell>
          <cell r="DB120" t="str">
            <v>0</v>
          </cell>
          <cell r="DC120" t="str">
            <v/>
          </cell>
          <cell r="DN120" t="str">
            <v>30/08/2023</v>
          </cell>
          <cell r="DS120" t="str">
            <v>12</v>
          </cell>
          <cell r="DT120" t="str">
            <v>5</v>
          </cell>
          <cell r="DU120" t="str">
            <v>Transavia</v>
          </cell>
          <cell r="DV120" t="str">
            <v>186 Pax + 10 Flight Crew</v>
          </cell>
          <cell r="DW120" t="str">
            <v>GLP-800-003-GYA</v>
          </cell>
        </row>
        <row r="121">
          <cell r="A121" t="str">
            <v>PR-GOL</v>
          </cell>
          <cell r="D121" t="str">
            <v>30/08/2023</v>
          </cell>
          <cell r="E121">
            <v>12</v>
          </cell>
          <cell r="F121">
            <v>7</v>
          </cell>
          <cell r="G121" t="str">
            <v>Seattle, WA - EUA</v>
          </cell>
          <cell r="H121" t="str">
            <v>5 Years Check</v>
          </cell>
          <cell r="I121" t="str">
            <v>1513</v>
          </cell>
          <cell r="J121" t="str">
            <v>1513</v>
          </cell>
          <cell r="K121" t="str">
            <v>9569</v>
          </cell>
          <cell r="L121" t="str">
            <v>9569</v>
          </cell>
          <cell r="M121" t="str">
            <v>9549,5</v>
          </cell>
          <cell r="N121" t="str">
            <v>9549,5</v>
          </cell>
          <cell r="O121" t="str">
            <v>1513</v>
          </cell>
          <cell r="P121" t="str">
            <v>1513</v>
          </cell>
          <cell r="Q121" t="str">
            <v>9569</v>
          </cell>
          <cell r="R121" t="str">
            <v>9569</v>
          </cell>
          <cell r="S121" t="str">
            <v>9549,5</v>
          </cell>
          <cell r="T121" t="str">
            <v>9549,5</v>
          </cell>
          <cell r="U121" t="str">
            <v>3,74003067484676</v>
          </cell>
          <cell r="V121" t="str">
            <v>4,01610429447911</v>
          </cell>
          <cell r="W121" t="str">
            <v>Down Lock Nose Gear (1 ea)</v>
          </cell>
          <cell r="X121" t="str">
            <v>Down Lock Main Gear (2 ea)</v>
          </cell>
          <cell r="Y121" t="str">
            <v>Plumb Bob (1 ea)</v>
          </cell>
          <cell r="Z121" t="str">
            <v/>
          </cell>
          <cell r="AA121" t="str">
            <v/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  <cell r="AF121" t="str">
            <v/>
          </cell>
          <cell r="AG121" t="str">
            <v/>
          </cell>
          <cell r="AH121" t="str">
            <v/>
          </cell>
          <cell r="AI121" t="str">
            <v/>
          </cell>
          <cell r="AJ121" t="str">
            <v/>
          </cell>
          <cell r="AK121" t="str">
            <v>0,3</v>
          </cell>
          <cell r="AL121" t="str">
            <v>0,4</v>
          </cell>
          <cell r="AM121" t="str">
            <v>0,5</v>
          </cell>
          <cell r="AN121" t="str">
            <v>0</v>
          </cell>
          <cell r="AO121" t="str">
            <v>0</v>
          </cell>
          <cell r="AP121" t="str">
            <v>0</v>
          </cell>
          <cell r="AQ121" t="str">
            <v>0</v>
          </cell>
          <cell r="AR121" t="str">
            <v>0</v>
          </cell>
          <cell r="AS121" t="str">
            <v>0</v>
          </cell>
          <cell r="AT121" t="str">
            <v>0</v>
          </cell>
          <cell r="AU121" t="str">
            <v>0</v>
          </cell>
          <cell r="AV121" t="str">
            <v>0</v>
          </cell>
          <cell r="AW121" t="str">
            <v>0</v>
          </cell>
          <cell r="AX121" t="str">
            <v>0</v>
          </cell>
          <cell r="AY121" t="str">
            <v>82</v>
          </cell>
          <cell r="AZ121" t="str">
            <v>702</v>
          </cell>
          <cell r="BA121" t="str">
            <v>685</v>
          </cell>
          <cell r="BB121" t="str">
            <v>0</v>
          </cell>
          <cell r="BC121" t="str">
            <v>0</v>
          </cell>
          <cell r="BD121" t="str">
            <v>0</v>
          </cell>
          <cell r="BE121" t="str">
            <v>0</v>
          </cell>
          <cell r="BF121" t="str">
            <v>0</v>
          </cell>
          <cell r="BG121" t="str">
            <v>0</v>
          </cell>
          <cell r="BH121" t="str">
            <v>0</v>
          </cell>
          <cell r="BI121" t="str">
            <v>0</v>
          </cell>
          <cell r="BJ121" t="str">
            <v>0</v>
          </cell>
          <cell r="BK121" t="str">
            <v>0</v>
          </cell>
          <cell r="BL121" t="str">
            <v>0</v>
          </cell>
          <cell r="BM121" t="str">
            <v>Flaps 0 - 40° (up when weighed)</v>
          </cell>
          <cell r="BN121" t="str">
            <v>Fuel, Drainable, Unusable (5.6 Gal)</v>
          </cell>
          <cell r="BO121" t="str">
            <v>Lavatory Fluid, Precharge (6.0 Gal)</v>
          </cell>
          <cell r="BP121" t="str">
            <v>Lavatory Dry Supplies (2 ea)</v>
          </cell>
          <cell r="BQ121" t="str">
            <v>Water, Portable (62.6 Gal)</v>
          </cell>
          <cell r="BR121" t="str">
            <v/>
          </cell>
          <cell r="BS121" t="str">
            <v/>
          </cell>
          <cell r="BT121" t="str">
            <v/>
          </cell>
          <cell r="BU121" t="str">
            <v/>
          </cell>
          <cell r="BV121" t="str">
            <v/>
          </cell>
          <cell r="BW121" t="str">
            <v/>
          </cell>
          <cell r="BX121" t="str">
            <v/>
          </cell>
          <cell r="BY121" t="str">
            <v/>
          </cell>
          <cell r="BZ121" t="str">
            <v/>
          </cell>
          <cell r="CB121" t="str">
            <v>0</v>
          </cell>
          <cell r="CC121" t="str">
            <v>17,3</v>
          </cell>
          <cell r="CD121" t="str">
            <v>22,7</v>
          </cell>
          <cell r="CE121" t="str">
            <v>4</v>
          </cell>
          <cell r="CF121" t="str">
            <v>236,4</v>
          </cell>
          <cell r="CG121" t="str">
            <v>0</v>
          </cell>
          <cell r="CH121" t="str">
            <v>0</v>
          </cell>
          <cell r="CI121" t="str">
            <v>0</v>
          </cell>
          <cell r="CJ121" t="str">
            <v>0</v>
          </cell>
          <cell r="CK121" t="str">
            <v>0</v>
          </cell>
          <cell r="CL121" t="str">
            <v>0</v>
          </cell>
          <cell r="CM121" t="str">
            <v>0</v>
          </cell>
          <cell r="CN121" t="str">
            <v>0</v>
          </cell>
          <cell r="CO121" t="str">
            <v>0</v>
          </cell>
          <cell r="CP121" t="str">
            <v>0</v>
          </cell>
          <cell r="CQ121" t="str">
            <v>646</v>
          </cell>
          <cell r="CR121" t="str">
            <v>1112</v>
          </cell>
          <cell r="CS121" t="str">
            <v>1145</v>
          </cell>
          <cell r="CT121" t="str">
            <v>1150</v>
          </cell>
          <cell r="CU121" t="str">
            <v>0</v>
          </cell>
          <cell r="CV121" t="str">
            <v>0</v>
          </cell>
          <cell r="CW121" t="str">
            <v>0</v>
          </cell>
          <cell r="CX121" t="str">
            <v>0</v>
          </cell>
          <cell r="CY121" t="str">
            <v>0</v>
          </cell>
          <cell r="CZ121" t="str">
            <v>0</v>
          </cell>
          <cell r="DA121" t="str">
            <v>0</v>
          </cell>
          <cell r="DB121" t="str">
            <v>0</v>
          </cell>
          <cell r="DC121" t="str">
            <v/>
          </cell>
          <cell r="DN121" t="str">
            <v>30/08/2023</v>
          </cell>
          <cell r="DS121" t="str">
            <v>12</v>
          </cell>
          <cell r="DT121" t="str">
            <v>6</v>
          </cell>
          <cell r="DU121" t="str">
            <v>GOL</v>
          </cell>
          <cell r="DV121" t="str">
            <v>189 Pax + 10 Flight Crew</v>
          </cell>
          <cell r="DW121" t="str">
            <v xml:space="preserve">GLP-800-004-GGH </v>
          </cell>
        </row>
        <row r="122">
          <cell r="A122" t="str">
            <v>PR-GOL</v>
          </cell>
          <cell r="D122" t="str">
            <v>30/08/2023</v>
          </cell>
          <cell r="E122">
            <v>12</v>
          </cell>
          <cell r="F122">
            <v>8</v>
          </cell>
          <cell r="G122" t="str">
            <v>Jacksonville, FL - EUA</v>
          </cell>
          <cell r="H122" t="str">
            <v>New Painting</v>
          </cell>
          <cell r="I122" t="str">
            <v>1513</v>
          </cell>
          <cell r="J122" t="str">
            <v>1513</v>
          </cell>
          <cell r="K122" t="str">
            <v>9569</v>
          </cell>
          <cell r="L122" t="str">
            <v>9569</v>
          </cell>
          <cell r="M122" t="str">
            <v>9549,5</v>
          </cell>
          <cell r="N122" t="str">
            <v>9549,5</v>
          </cell>
          <cell r="O122" t="str">
            <v>1513</v>
          </cell>
          <cell r="P122" t="str">
            <v>1513</v>
          </cell>
          <cell r="Q122" t="str">
            <v>9569</v>
          </cell>
          <cell r="R122" t="str">
            <v>9569</v>
          </cell>
          <cell r="S122" t="str">
            <v>9549,5</v>
          </cell>
          <cell r="T122" t="str">
            <v>9549,5</v>
          </cell>
          <cell r="U122" t="str">
            <v>3,74003067484676</v>
          </cell>
          <cell r="V122" t="str">
            <v>4,01610429447911</v>
          </cell>
          <cell r="W122" t="str">
            <v>Down Lock Nose Gear (1 ea)</v>
          </cell>
          <cell r="X122" t="str">
            <v>Down Lock Main Gear (2 ea)</v>
          </cell>
          <cell r="Y122" t="str">
            <v>Plumb Bob (1 ea)</v>
          </cell>
          <cell r="Z122" t="str">
            <v/>
          </cell>
          <cell r="AA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  <cell r="AG122" t="str">
            <v/>
          </cell>
          <cell r="AH122" t="str">
            <v/>
          </cell>
          <cell r="AI122" t="str">
            <v/>
          </cell>
          <cell r="AJ122" t="str">
            <v/>
          </cell>
          <cell r="AK122" t="str">
            <v>0,3</v>
          </cell>
          <cell r="AL122" t="str">
            <v>0,4</v>
          </cell>
          <cell r="AM122" t="str">
            <v>0,5</v>
          </cell>
          <cell r="AN122" t="str">
            <v>0</v>
          </cell>
          <cell r="AO122" t="str">
            <v>0</v>
          </cell>
          <cell r="AP122" t="str">
            <v>0</v>
          </cell>
          <cell r="AQ122" t="str">
            <v>0</v>
          </cell>
          <cell r="AR122" t="str">
            <v>0</v>
          </cell>
          <cell r="AS122" t="str">
            <v>0</v>
          </cell>
          <cell r="AT122" t="str">
            <v>0</v>
          </cell>
          <cell r="AU122" t="str">
            <v>0</v>
          </cell>
          <cell r="AV122" t="str">
            <v>0</v>
          </cell>
          <cell r="AW122" t="str">
            <v>0</v>
          </cell>
          <cell r="AX122" t="str">
            <v>0</v>
          </cell>
          <cell r="AY122" t="str">
            <v>82</v>
          </cell>
          <cell r="AZ122" t="str">
            <v>702</v>
          </cell>
          <cell r="BA122" t="str">
            <v>685</v>
          </cell>
          <cell r="BB122" t="str">
            <v>0</v>
          </cell>
          <cell r="BC122" t="str">
            <v>0</v>
          </cell>
          <cell r="BD122" t="str">
            <v>0</v>
          </cell>
          <cell r="BE122" t="str">
            <v>0</v>
          </cell>
          <cell r="BF122" t="str">
            <v>0</v>
          </cell>
          <cell r="BG122" t="str">
            <v>0</v>
          </cell>
          <cell r="BH122" t="str">
            <v>0</v>
          </cell>
          <cell r="BI122" t="str">
            <v>0</v>
          </cell>
          <cell r="BJ122" t="str">
            <v>0</v>
          </cell>
          <cell r="BK122" t="str">
            <v>0</v>
          </cell>
          <cell r="BL122" t="str">
            <v>0</v>
          </cell>
          <cell r="BM122" t="str">
            <v>Flaps 0 - 40° (up when weighed)</v>
          </cell>
          <cell r="BN122" t="str">
            <v>Fuel, Drainable, Unusable (5.6 Gal)</v>
          </cell>
          <cell r="BO122" t="str">
            <v>Lavatory Fluid, Precharge (6.0 Gal)</v>
          </cell>
          <cell r="BP122" t="str">
            <v>Lavatory Dry Supplies (2 ea)</v>
          </cell>
          <cell r="BQ122" t="str">
            <v>Water, Portable (62.6 Gal)</v>
          </cell>
          <cell r="BR122" t="str">
            <v/>
          </cell>
          <cell r="BS122" t="str">
            <v/>
          </cell>
          <cell r="BT122" t="str">
            <v/>
          </cell>
          <cell r="BU122" t="str">
            <v/>
          </cell>
          <cell r="BV122" t="str">
            <v/>
          </cell>
          <cell r="BW122" t="str">
            <v/>
          </cell>
          <cell r="BX122" t="str">
            <v/>
          </cell>
          <cell r="BY122" t="str">
            <v/>
          </cell>
          <cell r="BZ122" t="str">
            <v/>
          </cell>
          <cell r="CB122" t="str">
            <v>0</v>
          </cell>
          <cell r="CC122" t="str">
            <v>17,3</v>
          </cell>
          <cell r="CD122" t="str">
            <v>22,7</v>
          </cell>
          <cell r="CE122" t="str">
            <v>4</v>
          </cell>
          <cell r="CF122" t="str">
            <v>236,4</v>
          </cell>
          <cell r="CG122" t="str">
            <v>0</v>
          </cell>
          <cell r="CH122" t="str">
            <v>0</v>
          </cell>
          <cell r="CI122" t="str">
            <v>0</v>
          </cell>
          <cell r="CJ122" t="str">
            <v>0</v>
          </cell>
          <cell r="CK122" t="str">
            <v>0</v>
          </cell>
          <cell r="CL122" t="str">
            <v>0</v>
          </cell>
          <cell r="CM122" t="str">
            <v>0</v>
          </cell>
          <cell r="CN122" t="str">
            <v>0</v>
          </cell>
          <cell r="CO122" t="str">
            <v>0</v>
          </cell>
          <cell r="CP122" t="str">
            <v>0</v>
          </cell>
          <cell r="CQ122" t="str">
            <v>646</v>
          </cell>
          <cell r="CR122" t="str">
            <v>1112</v>
          </cell>
          <cell r="CS122" t="str">
            <v>1145</v>
          </cell>
          <cell r="CT122" t="str">
            <v>1150</v>
          </cell>
          <cell r="CU122" t="str">
            <v>0</v>
          </cell>
          <cell r="CV122" t="str">
            <v>0</v>
          </cell>
          <cell r="CW122" t="str">
            <v>0</v>
          </cell>
          <cell r="CX122" t="str">
            <v>0</v>
          </cell>
          <cell r="CY122" t="str">
            <v>0</v>
          </cell>
          <cell r="CZ122" t="str">
            <v>0</v>
          </cell>
          <cell r="DA122" t="str">
            <v>0</v>
          </cell>
          <cell r="DB122" t="str">
            <v>0</v>
          </cell>
          <cell r="DC122" t="str">
            <v/>
          </cell>
          <cell r="DN122" t="str">
            <v>30/08/2023</v>
          </cell>
          <cell r="DS122" t="str">
            <v>12</v>
          </cell>
          <cell r="DT122" t="str">
            <v>7</v>
          </cell>
          <cell r="DU122" t="str">
            <v>Aeroman</v>
          </cell>
          <cell r="DV122" t="str">
            <v>168 Pax + 9 Flight Crew</v>
          </cell>
          <cell r="DW122" t="str">
            <v>GLP-800-002-GGQ</v>
          </cell>
        </row>
        <row r="123">
          <cell r="A123" t="str">
            <v>PR-GOL</v>
          </cell>
          <cell r="D123" t="str">
            <v>30/08/2023</v>
          </cell>
          <cell r="E123">
            <v>12</v>
          </cell>
          <cell r="F123">
            <v>9</v>
          </cell>
          <cell r="G123" t="str">
            <v>Jacksonville, FL - EUA</v>
          </cell>
          <cell r="H123" t="str">
            <v>New Painting</v>
          </cell>
          <cell r="I123" t="str">
            <v>1513</v>
          </cell>
          <cell r="J123" t="str">
            <v>1513</v>
          </cell>
          <cell r="K123" t="str">
            <v>9569</v>
          </cell>
          <cell r="L123" t="str">
            <v>9569</v>
          </cell>
          <cell r="M123" t="str">
            <v>9549,5</v>
          </cell>
          <cell r="N123" t="str">
            <v>9549,5</v>
          </cell>
          <cell r="O123" t="str">
            <v>1513</v>
          </cell>
          <cell r="P123" t="str">
            <v>1513</v>
          </cell>
          <cell r="Q123" t="str">
            <v>9569</v>
          </cell>
          <cell r="R123" t="str">
            <v>9569</v>
          </cell>
          <cell r="S123" t="str">
            <v>9549,5</v>
          </cell>
          <cell r="T123" t="str">
            <v>9549,5</v>
          </cell>
          <cell r="U123" t="str">
            <v>3,74003067484676</v>
          </cell>
          <cell r="V123" t="str">
            <v>4,01610429447911</v>
          </cell>
          <cell r="W123" t="str">
            <v>Down Lock Nose Gear (1 ea)</v>
          </cell>
          <cell r="X123" t="str">
            <v>Down Lock Main Gear (2 ea)</v>
          </cell>
          <cell r="Y123" t="str">
            <v>Plumb Bob (1 ea)</v>
          </cell>
          <cell r="Z123" t="str">
            <v/>
          </cell>
          <cell r="AA123" t="str">
            <v/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  <cell r="AF123" t="str">
            <v/>
          </cell>
          <cell r="AG123" t="str">
            <v/>
          </cell>
          <cell r="AH123" t="str">
            <v/>
          </cell>
          <cell r="AI123" t="str">
            <v/>
          </cell>
          <cell r="AJ123" t="str">
            <v/>
          </cell>
          <cell r="AK123" t="str">
            <v>0,3</v>
          </cell>
          <cell r="AL123" t="str">
            <v>0,4</v>
          </cell>
          <cell r="AM123" t="str">
            <v>0,5</v>
          </cell>
          <cell r="AN123" t="str">
            <v>0</v>
          </cell>
          <cell r="AO123" t="str">
            <v>0</v>
          </cell>
          <cell r="AP123" t="str">
            <v>0</v>
          </cell>
          <cell r="AQ123" t="str">
            <v>0</v>
          </cell>
          <cell r="AR123" t="str">
            <v>0</v>
          </cell>
          <cell r="AS123" t="str">
            <v>0</v>
          </cell>
          <cell r="AT123" t="str">
            <v>0</v>
          </cell>
          <cell r="AU123" t="str">
            <v>0</v>
          </cell>
          <cell r="AV123" t="str">
            <v>0</v>
          </cell>
          <cell r="AW123" t="str">
            <v>0</v>
          </cell>
          <cell r="AX123" t="str">
            <v>0</v>
          </cell>
          <cell r="AY123" t="str">
            <v>82</v>
          </cell>
          <cell r="AZ123" t="str">
            <v>702</v>
          </cell>
          <cell r="BA123" t="str">
            <v>685</v>
          </cell>
          <cell r="BB123" t="str">
            <v>0</v>
          </cell>
          <cell r="BC123" t="str">
            <v>0</v>
          </cell>
          <cell r="BD123" t="str">
            <v>0</v>
          </cell>
          <cell r="BE123" t="str">
            <v>0</v>
          </cell>
          <cell r="BF123" t="str">
            <v>0</v>
          </cell>
          <cell r="BG123" t="str">
            <v>0</v>
          </cell>
          <cell r="BH123" t="str">
            <v>0</v>
          </cell>
          <cell r="BI123" t="str">
            <v>0</v>
          </cell>
          <cell r="BJ123" t="str">
            <v>0</v>
          </cell>
          <cell r="BK123" t="str">
            <v>0</v>
          </cell>
          <cell r="BL123" t="str">
            <v>0</v>
          </cell>
          <cell r="BM123" t="str">
            <v>Flaps 0 - 40° (up when weighed)</v>
          </cell>
          <cell r="BN123" t="str">
            <v>Fuel, Drainable, Unusable (5.6 Gal)</v>
          </cell>
          <cell r="BO123" t="str">
            <v>Lavatory Fluid, Precharge (6.0 Gal)</v>
          </cell>
          <cell r="BP123" t="str">
            <v>Lavatory Dry Supplies (2 ea)</v>
          </cell>
          <cell r="BQ123" t="str">
            <v>Water, Portable (62.6 Gal)</v>
          </cell>
          <cell r="BR123" t="str">
            <v/>
          </cell>
          <cell r="BS123" t="str">
            <v/>
          </cell>
          <cell r="BT123" t="str">
            <v/>
          </cell>
          <cell r="BU123" t="str">
            <v/>
          </cell>
          <cell r="BV123" t="str">
            <v/>
          </cell>
          <cell r="BW123" t="str">
            <v/>
          </cell>
          <cell r="BX123" t="str">
            <v/>
          </cell>
          <cell r="BY123" t="str">
            <v/>
          </cell>
          <cell r="BZ123" t="str">
            <v/>
          </cell>
          <cell r="CB123" t="str">
            <v>0</v>
          </cell>
          <cell r="CC123" t="str">
            <v>17,3</v>
          </cell>
          <cell r="CD123" t="str">
            <v>22,7</v>
          </cell>
          <cell r="CE123" t="str">
            <v>4</v>
          </cell>
          <cell r="CF123" t="str">
            <v>236,4</v>
          </cell>
          <cell r="CG123" t="str">
            <v>0</v>
          </cell>
          <cell r="CH123" t="str">
            <v>0</v>
          </cell>
          <cell r="CI123" t="str">
            <v>0</v>
          </cell>
          <cell r="CJ123" t="str">
            <v>0</v>
          </cell>
          <cell r="CK123" t="str">
            <v>0</v>
          </cell>
          <cell r="CL123" t="str">
            <v>0</v>
          </cell>
          <cell r="CM123" t="str">
            <v>0</v>
          </cell>
          <cell r="CN123" t="str">
            <v>0</v>
          </cell>
          <cell r="CO123" t="str">
            <v>0</v>
          </cell>
          <cell r="CP123" t="str">
            <v>0</v>
          </cell>
          <cell r="CQ123" t="str">
            <v>646</v>
          </cell>
          <cell r="CR123" t="str">
            <v>1112</v>
          </cell>
          <cell r="CS123" t="str">
            <v>1145</v>
          </cell>
          <cell r="CT123" t="str">
            <v>1150</v>
          </cell>
          <cell r="CU123" t="str">
            <v>0</v>
          </cell>
          <cell r="CV123" t="str">
            <v>0</v>
          </cell>
          <cell r="CW123" t="str">
            <v>0</v>
          </cell>
          <cell r="CX123" t="str">
            <v>0</v>
          </cell>
          <cell r="CY123" t="str">
            <v>0</v>
          </cell>
          <cell r="CZ123" t="str">
            <v>0</v>
          </cell>
          <cell r="DA123" t="str">
            <v>0</v>
          </cell>
          <cell r="DB123" t="str">
            <v>0</v>
          </cell>
          <cell r="DC123" t="str">
            <v/>
          </cell>
          <cell r="DN123" t="str">
            <v>30/08/2023</v>
          </cell>
          <cell r="DS123" t="str">
            <v>12</v>
          </cell>
          <cell r="DT123" t="str">
            <v>8</v>
          </cell>
          <cell r="DU123" t="str">
            <v>Boeing</v>
          </cell>
          <cell r="DV123" t="str">
            <v>186 Pax + 10 Flight Crew</v>
          </cell>
          <cell r="DW123" t="str">
            <v>GLP-800-002-GGQ</v>
          </cell>
        </row>
        <row r="124">
          <cell r="A124" t="str">
            <v>PR-GOL</v>
          </cell>
          <cell r="D124" t="str">
            <v>30/08/2023</v>
          </cell>
          <cell r="E124">
            <v>13</v>
          </cell>
          <cell r="F124">
            <v>0</v>
          </cell>
          <cell r="G124" t="str">
            <v>São José dos Campos, SP - Brazil</v>
          </cell>
          <cell r="H124" t="str">
            <v>IFE Installation</v>
          </cell>
          <cell r="I124" t="str">
            <v>1513</v>
          </cell>
          <cell r="J124" t="str">
            <v>1513</v>
          </cell>
          <cell r="K124" t="str">
            <v>9569</v>
          </cell>
          <cell r="L124" t="str">
            <v>9569</v>
          </cell>
          <cell r="M124" t="str">
            <v>9549,5</v>
          </cell>
          <cell r="N124" t="str">
            <v>9549,5</v>
          </cell>
          <cell r="O124" t="str">
            <v>1513</v>
          </cell>
          <cell r="P124" t="str">
            <v>1513</v>
          </cell>
          <cell r="Q124" t="str">
            <v>9569</v>
          </cell>
          <cell r="R124" t="str">
            <v>9569</v>
          </cell>
          <cell r="S124" t="str">
            <v>9549,5</v>
          </cell>
          <cell r="T124" t="str">
            <v>9549,5</v>
          </cell>
          <cell r="U124" t="str">
            <v>3,74003067484676</v>
          </cell>
          <cell r="V124" t="str">
            <v>4,01610429447911</v>
          </cell>
          <cell r="W124" t="str">
            <v>Down Lock Nose Gear (1 ea)</v>
          </cell>
          <cell r="X124" t="str">
            <v>Down Lock Main Gear (2 ea)</v>
          </cell>
          <cell r="Y124" t="str">
            <v>Plumb Bob (1 ea)</v>
          </cell>
          <cell r="Z124" t="str">
            <v/>
          </cell>
          <cell r="AA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  <cell r="AG124" t="str">
            <v/>
          </cell>
          <cell r="AH124" t="str">
            <v/>
          </cell>
          <cell r="AI124" t="str">
            <v/>
          </cell>
          <cell r="AJ124" t="str">
            <v/>
          </cell>
          <cell r="AK124" t="str">
            <v>0,3</v>
          </cell>
          <cell r="AL124" t="str">
            <v>0,4</v>
          </cell>
          <cell r="AM124" t="str">
            <v>0,5</v>
          </cell>
          <cell r="AN124" t="str">
            <v>0</v>
          </cell>
          <cell r="AO124" t="str">
            <v>0</v>
          </cell>
          <cell r="AP124" t="str">
            <v>0</v>
          </cell>
          <cell r="AQ124" t="str">
            <v>0</v>
          </cell>
          <cell r="AR124" t="str">
            <v>0</v>
          </cell>
          <cell r="AS124" t="str">
            <v>0</v>
          </cell>
          <cell r="AT124" t="str">
            <v>0</v>
          </cell>
          <cell r="AU124" t="str">
            <v>0</v>
          </cell>
          <cell r="AV124" t="str">
            <v>0</v>
          </cell>
          <cell r="AW124" t="str">
            <v>0</v>
          </cell>
          <cell r="AX124" t="str">
            <v>0</v>
          </cell>
          <cell r="AY124" t="str">
            <v>82</v>
          </cell>
          <cell r="AZ124" t="str">
            <v>702</v>
          </cell>
          <cell r="BA124" t="str">
            <v>685</v>
          </cell>
          <cell r="BB124" t="str">
            <v>0</v>
          </cell>
          <cell r="BC124" t="str">
            <v>0</v>
          </cell>
          <cell r="BD124" t="str">
            <v>0</v>
          </cell>
          <cell r="BE124" t="str">
            <v>0</v>
          </cell>
          <cell r="BF124" t="str">
            <v>0</v>
          </cell>
          <cell r="BG124" t="str">
            <v>0</v>
          </cell>
          <cell r="BH124" t="str">
            <v>0</v>
          </cell>
          <cell r="BI124" t="str">
            <v>0</v>
          </cell>
          <cell r="BJ124" t="str">
            <v>0</v>
          </cell>
          <cell r="BK124" t="str">
            <v>0</v>
          </cell>
          <cell r="BL124" t="str">
            <v>0</v>
          </cell>
          <cell r="BM124" t="str">
            <v>Flaps 0 - 40° (up when weighed)</v>
          </cell>
          <cell r="BN124" t="str">
            <v>Fuel, Drainable, Unusable (5.6 Gal)</v>
          </cell>
          <cell r="BO124" t="str">
            <v>Lavatory Fluid, Precharge (6.0 Gal)</v>
          </cell>
          <cell r="BP124" t="str">
            <v>Lavatory Dry Supplies (2 ea)</v>
          </cell>
          <cell r="BQ124" t="str">
            <v>Water, Portable (62.6 Gal)</v>
          </cell>
          <cell r="BR124" t="str">
            <v/>
          </cell>
          <cell r="BS124" t="str">
            <v/>
          </cell>
          <cell r="BT124" t="str">
            <v/>
          </cell>
          <cell r="BU124" t="str">
            <v/>
          </cell>
          <cell r="BV124" t="str">
            <v/>
          </cell>
          <cell r="BW124" t="str">
            <v/>
          </cell>
          <cell r="BX124" t="str">
            <v/>
          </cell>
          <cell r="BY124" t="str">
            <v/>
          </cell>
          <cell r="BZ124" t="str">
            <v/>
          </cell>
          <cell r="CB124" t="str">
            <v>0</v>
          </cell>
          <cell r="CC124" t="str">
            <v>17,3</v>
          </cell>
          <cell r="CD124" t="str">
            <v>22,7</v>
          </cell>
          <cell r="CE124" t="str">
            <v>4</v>
          </cell>
          <cell r="CF124" t="str">
            <v>236,4</v>
          </cell>
          <cell r="CG124" t="str">
            <v>0</v>
          </cell>
          <cell r="CH124" t="str">
            <v>0</v>
          </cell>
          <cell r="CI124" t="str">
            <v>0</v>
          </cell>
          <cell r="CJ124" t="str">
            <v>0</v>
          </cell>
          <cell r="CK124" t="str">
            <v>0</v>
          </cell>
          <cell r="CL124" t="str">
            <v>0</v>
          </cell>
          <cell r="CM124" t="str">
            <v>0</v>
          </cell>
          <cell r="CN124" t="str">
            <v>0</v>
          </cell>
          <cell r="CO124" t="str">
            <v>0</v>
          </cell>
          <cell r="CP124" t="str">
            <v>0</v>
          </cell>
          <cell r="CQ124" t="str">
            <v>646</v>
          </cell>
          <cell r="CR124" t="str">
            <v>1112</v>
          </cell>
          <cell r="CS124" t="str">
            <v>1145</v>
          </cell>
          <cell r="CT124" t="str">
            <v>1150</v>
          </cell>
          <cell r="CU124" t="str">
            <v>0</v>
          </cell>
          <cell r="CV124" t="str">
            <v>0</v>
          </cell>
          <cell r="CW124" t="str">
            <v>0</v>
          </cell>
          <cell r="CX124" t="str">
            <v>0</v>
          </cell>
          <cell r="CY124" t="str">
            <v>0</v>
          </cell>
          <cell r="CZ124" t="str">
            <v>0</v>
          </cell>
          <cell r="DA124" t="str">
            <v>0</v>
          </cell>
          <cell r="DB124" t="str">
            <v>0</v>
          </cell>
          <cell r="DC124" t="str">
            <v/>
          </cell>
          <cell r="DN124" t="str">
            <v>30/08/2023</v>
          </cell>
          <cell r="DS124" t="str">
            <v/>
          </cell>
          <cell r="DT124" t="str">
            <v/>
          </cell>
          <cell r="DU124" t="str">
            <v>Flightstar</v>
          </cell>
          <cell r="DV124" t="str">
            <v>186 Pax + 10 Flight Crew</v>
          </cell>
          <cell r="DW124" t="str">
            <v>GLP-800-002-GGQ</v>
          </cell>
        </row>
        <row r="125">
          <cell r="A125" t="str">
            <v>PR-GOL</v>
          </cell>
          <cell r="D125" t="str">
            <v>30/08/2023</v>
          </cell>
          <cell r="E125">
            <v>13</v>
          </cell>
          <cell r="F125">
            <v>1</v>
          </cell>
          <cell r="G125" t="str">
            <v>Renton, WA - EUA</v>
          </cell>
          <cell r="H125" t="str">
            <v>New Painting</v>
          </cell>
          <cell r="I125" t="str">
            <v>1513</v>
          </cell>
          <cell r="J125" t="str">
            <v>1513</v>
          </cell>
          <cell r="K125" t="str">
            <v>9569</v>
          </cell>
          <cell r="L125" t="str">
            <v>9569</v>
          </cell>
          <cell r="M125" t="str">
            <v>9549,5</v>
          </cell>
          <cell r="N125" t="str">
            <v>9549,5</v>
          </cell>
          <cell r="O125" t="str">
            <v>1513</v>
          </cell>
          <cell r="P125" t="str">
            <v>1513</v>
          </cell>
          <cell r="Q125" t="str">
            <v>9569</v>
          </cell>
          <cell r="R125" t="str">
            <v>9569</v>
          </cell>
          <cell r="S125" t="str">
            <v>9549,5</v>
          </cell>
          <cell r="T125" t="str">
            <v>9549,5</v>
          </cell>
          <cell r="U125" t="str">
            <v>3,74003067484676</v>
          </cell>
          <cell r="V125" t="str">
            <v>4,01610429447911</v>
          </cell>
          <cell r="W125" t="str">
            <v>Down Lock Nose Gear (1 ea)</v>
          </cell>
          <cell r="X125" t="str">
            <v>Down Lock Main Gear (2 ea)</v>
          </cell>
          <cell r="Y125" t="str">
            <v>Plumb Bob (1 ea)</v>
          </cell>
          <cell r="Z125" t="str">
            <v/>
          </cell>
          <cell r="AA125" t="str">
            <v/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  <cell r="AG125" t="str">
            <v/>
          </cell>
          <cell r="AH125" t="str">
            <v/>
          </cell>
          <cell r="AI125" t="str">
            <v/>
          </cell>
          <cell r="AJ125" t="str">
            <v/>
          </cell>
          <cell r="AK125" t="str">
            <v>0,3</v>
          </cell>
          <cell r="AL125" t="str">
            <v>0,4</v>
          </cell>
          <cell r="AM125" t="str">
            <v>0,5</v>
          </cell>
          <cell r="AN125" t="str">
            <v>0</v>
          </cell>
          <cell r="AO125" t="str">
            <v>0</v>
          </cell>
          <cell r="AP125" t="str">
            <v>0</v>
          </cell>
          <cell r="AQ125" t="str">
            <v>0</v>
          </cell>
          <cell r="AR125" t="str">
            <v>0</v>
          </cell>
          <cell r="AS125" t="str">
            <v>0</v>
          </cell>
          <cell r="AT125" t="str">
            <v>0</v>
          </cell>
          <cell r="AU125" t="str">
            <v>0</v>
          </cell>
          <cell r="AV125" t="str">
            <v>0</v>
          </cell>
          <cell r="AW125" t="str">
            <v>0</v>
          </cell>
          <cell r="AX125" t="str">
            <v>0</v>
          </cell>
          <cell r="AY125" t="str">
            <v>82</v>
          </cell>
          <cell r="AZ125" t="str">
            <v>702</v>
          </cell>
          <cell r="BA125" t="str">
            <v>685</v>
          </cell>
          <cell r="BB125" t="str">
            <v>0</v>
          </cell>
          <cell r="BC125" t="str">
            <v>0</v>
          </cell>
          <cell r="BD125" t="str">
            <v>0</v>
          </cell>
          <cell r="BE125" t="str">
            <v>0</v>
          </cell>
          <cell r="BF125" t="str">
            <v>0</v>
          </cell>
          <cell r="BG125" t="str">
            <v>0</v>
          </cell>
          <cell r="BH125" t="str">
            <v>0</v>
          </cell>
          <cell r="BI125" t="str">
            <v>0</v>
          </cell>
          <cell r="BJ125" t="str">
            <v>0</v>
          </cell>
          <cell r="BK125" t="str">
            <v>0</v>
          </cell>
          <cell r="BL125" t="str">
            <v>0</v>
          </cell>
          <cell r="BM125" t="str">
            <v>Flaps 0 - 40° (up when weighed)</v>
          </cell>
          <cell r="BN125" t="str">
            <v>Fuel, Drainable, Unusable (5.6 Gal)</v>
          </cell>
          <cell r="BO125" t="str">
            <v>Lavatory Fluid, Precharge (6.0 Gal)</v>
          </cell>
          <cell r="BP125" t="str">
            <v>Lavatory Dry Supplies (2 ea)</v>
          </cell>
          <cell r="BQ125" t="str">
            <v>Water, Portable (62.6 Gal)</v>
          </cell>
          <cell r="BR125" t="str">
            <v/>
          </cell>
          <cell r="BS125" t="str">
            <v/>
          </cell>
          <cell r="BT125" t="str">
            <v/>
          </cell>
          <cell r="BU125" t="str">
            <v/>
          </cell>
          <cell r="BV125" t="str">
            <v/>
          </cell>
          <cell r="BW125" t="str">
            <v/>
          </cell>
          <cell r="BX125" t="str">
            <v/>
          </cell>
          <cell r="BY125" t="str">
            <v/>
          </cell>
          <cell r="BZ125" t="str">
            <v/>
          </cell>
          <cell r="CB125" t="str">
            <v>0</v>
          </cell>
          <cell r="CC125" t="str">
            <v>17,3</v>
          </cell>
          <cell r="CD125" t="str">
            <v>22,7</v>
          </cell>
          <cell r="CE125" t="str">
            <v>4</v>
          </cell>
          <cell r="CF125" t="str">
            <v>236,4</v>
          </cell>
          <cell r="CG125" t="str">
            <v>0</v>
          </cell>
          <cell r="CH125" t="str">
            <v>0</v>
          </cell>
          <cell r="CI125" t="str">
            <v>0</v>
          </cell>
          <cell r="CJ125" t="str">
            <v>0</v>
          </cell>
          <cell r="CK125" t="str">
            <v>0</v>
          </cell>
          <cell r="CL125" t="str">
            <v>0</v>
          </cell>
          <cell r="CM125" t="str">
            <v>0</v>
          </cell>
          <cell r="CN125" t="str">
            <v>0</v>
          </cell>
          <cell r="CO125" t="str">
            <v>0</v>
          </cell>
          <cell r="CP125" t="str">
            <v>0</v>
          </cell>
          <cell r="CQ125" t="str">
            <v>646</v>
          </cell>
          <cell r="CR125" t="str">
            <v>1112</v>
          </cell>
          <cell r="CS125" t="str">
            <v>1145</v>
          </cell>
          <cell r="CT125" t="str">
            <v>1150</v>
          </cell>
          <cell r="CU125" t="str">
            <v>0</v>
          </cell>
          <cell r="CV125" t="str">
            <v>0</v>
          </cell>
          <cell r="CW125" t="str">
            <v>0</v>
          </cell>
          <cell r="CX125" t="str">
            <v>0</v>
          </cell>
          <cell r="CY125" t="str">
            <v>0</v>
          </cell>
          <cell r="CZ125" t="str">
            <v>0</v>
          </cell>
          <cell r="DA125" t="str">
            <v>0</v>
          </cell>
          <cell r="DB125" t="str">
            <v>0</v>
          </cell>
          <cell r="DC125" t="str">
            <v/>
          </cell>
          <cell r="DN125" t="str">
            <v>30/08/2023</v>
          </cell>
          <cell r="DS125" t="str">
            <v>13</v>
          </cell>
          <cell r="DT125" t="str">
            <v>0</v>
          </cell>
          <cell r="DU125" t="str">
            <v>Aeroman</v>
          </cell>
          <cell r="DV125" t="str">
            <v>168 Pax + 9 Flight Crew</v>
          </cell>
          <cell r="DW125" t="str">
            <v xml:space="preserve">GLP-800-002-GGZ </v>
          </cell>
        </row>
        <row r="126">
          <cell r="A126" t="str">
            <v>PR-GOL</v>
          </cell>
          <cell r="D126" t="str">
            <v>30/08/2023</v>
          </cell>
          <cell r="E126">
            <v>13</v>
          </cell>
          <cell r="F126">
            <v>2</v>
          </cell>
          <cell r="G126" t="str">
            <v>Jacksonville, FL - EUA</v>
          </cell>
          <cell r="H126" t="str">
            <v>IFE Installation</v>
          </cell>
          <cell r="I126" t="str">
            <v>1513</v>
          </cell>
          <cell r="J126" t="str">
            <v>1513</v>
          </cell>
          <cell r="K126" t="str">
            <v>9569</v>
          </cell>
          <cell r="L126" t="str">
            <v>9569</v>
          </cell>
          <cell r="M126" t="str">
            <v>9549,5</v>
          </cell>
          <cell r="N126" t="str">
            <v>9549,5</v>
          </cell>
          <cell r="O126" t="str">
            <v>1513</v>
          </cell>
          <cell r="P126" t="str">
            <v>1513</v>
          </cell>
          <cell r="Q126" t="str">
            <v>9569</v>
          </cell>
          <cell r="R126" t="str">
            <v>9569</v>
          </cell>
          <cell r="S126" t="str">
            <v>9549,5</v>
          </cell>
          <cell r="T126" t="str">
            <v>9549,5</v>
          </cell>
          <cell r="U126" t="str">
            <v>3,74003067484676</v>
          </cell>
          <cell r="V126" t="str">
            <v>4,01610429447911</v>
          </cell>
          <cell r="W126" t="str">
            <v>Down Lock Nose Gear (1 ea)</v>
          </cell>
          <cell r="X126" t="str">
            <v>Down Lock Main Gear (2 ea)</v>
          </cell>
          <cell r="Y126" t="str">
            <v>Plumb Bob (1 ea)</v>
          </cell>
          <cell r="Z126" t="str">
            <v/>
          </cell>
          <cell r="AA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  <cell r="AG126" t="str">
            <v/>
          </cell>
          <cell r="AH126" t="str">
            <v/>
          </cell>
          <cell r="AI126" t="str">
            <v/>
          </cell>
          <cell r="AJ126" t="str">
            <v/>
          </cell>
          <cell r="AK126" t="str">
            <v>0,3</v>
          </cell>
          <cell r="AL126" t="str">
            <v>0,4</v>
          </cell>
          <cell r="AM126" t="str">
            <v>0,5</v>
          </cell>
          <cell r="AN126" t="str">
            <v>0</v>
          </cell>
          <cell r="AO126" t="str">
            <v>0</v>
          </cell>
          <cell r="AP126" t="str">
            <v>0</v>
          </cell>
          <cell r="AQ126" t="str">
            <v>0</v>
          </cell>
          <cell r="AR126" t="str">
            <v>0</v>
          </cell>
          <cell r="AS126" t="str">
            <v>0</v>
          </cell>
          <cell r="AT126" t="str">
            <v>0</v>
          </cell>
          <cell r="AU126" t="str">
            <v>0</v>
          </cell>
          <cell r="AV126" t="str">
            <v>0</v>
          </cell>
          <cell r="AW126" t="str">
            <v>0</v>
          </cell>
          <cell r="AX126" t="str">
            <v>0</v>
          </cell>
          <cell r="AY126" t="str">
            <v>82</v>
          </cell>
          <cell r="AZ126" t="str">
            <v>702</v>
          </cell>
          <cell r="BA126" t="str">
            <v>685</v>
          </cell>
          <cell r="BB126" t="str">
            <v>0</v>
          </cell>
          <cell r="BC126" t="str">
            <v>0</v>
          </cell>
          <cell r="BD126" t="str">
            <v>0</v>
          </cell>
          <cell r="BE126" t="str">
            <v>0</v>
          </cell>
          <cell r="BF126" t="str">
            <v>0</v>
          </cell>
          <cell r="BG126" t="str">
            <v>0</v>
          </cell>
          <cell r="BH126" t="str">
            <v>0</v>
          </cell>
          <cell r="BI126" t="str">
            <v>0</v>
          </cell>
          <cell r="BJ126" t="str">
            <v>0</v>
          </cell>
          <cell r="BK126" t="str">
            <v>0</v>
          </cell>
          <cell r="BL126" t="str">
            <v>0</v>
          </cell>
          <cell r="BM126" t="str">
            <v>Flaps 0 - 40° (up when weighed)</v>
          </cell>
          <cell r="BN126" t="str">
            <v>Fuel, Drainable, Unusable (5.6 Gal)</v>
          </cell>
          <cell r="BO126" t="str">
            <v>Lavatory Fluid, Precharge (6.0 Gal)</v>
          </cell>
          <cell r="BP126" t="str">
            <v>Lavatory Dry Supplies (2 ea)</v>
          </cell>
          <cell r="BQ126" t="str">
            <v>Water, Portable (62.6 Gal)</v>
          </cell>
          <cell r="BR126" t="str">
            <v/>
          </cell>
          <cell r="BS126" t="str">
            <v/>
          </cell>
          <cell r="BT126" t="str">
            <v/>
          </cell>
          <cell r="BU126" t="str">
            <v/>
          </cell>
          <cell r="BV126" t="str">
            <v/>
          </cell>
          <cell r="BW126" t="str">
            <v/>
          </cell>
          <cell r="BX126" t="str">
            <v/>
          </cell>
          <cell r="BY126" t="str">
            <v/>
          </cell>
          <cell r="BZ126" t="str">
            <v/>
          </cell>
          <cell r="CB126" t="str">
            <v>0</v>
          </cell>
          <cell r="CC126" t="str">
            <v>17,3</v>
          </cell>
          <cell r="CD126" t="str">
            <v>22,7</v>
          </cell>
          <cell r="CE126" t="str">
            <v>4</v>
          </cell>
          <cell r="CF126" t="str">
            <v>236,4</v>
          </cell>
          <cell r="CG126" t="str">
            <v>0</v>
          </cell>
          <cell r="CH126" t="str">
            <v>0</v>
          </cell>
          <cell r="CI126" t="str">
            <v>0</v>
          </cell>
          <cell r="CJ126" t="str">
            <v>0</v>
          </cell>
          <cell r="CK126" t="str">
            <v>0</v>
          </cell>
          <cell r="CL126" t="str">
            <v>0</v>
          </cell>
          <cell r="CM126" t="str">
            <v>0</v>
          </cell>
          <cell r="CN126" t="str">
            <v>0</v>
          </cell>
          <cell r="CO126" t="str">
            <v>0</v>
          </cell>
          <cell r="CP126" t="str">
            <v>0</v>
          </cell>
          <cell r="CQ126" t="str">
            <v>646</v>
          </cell>
          <cell r="CR126" t="str">
            <v>1112</v>
          </cell>
          <cell r="CS126" t="str">
            <v>1145</v>
          </cell>
          <cell r="CT126" t="str">
            <v>1150</v>
          </cell>
          <cell r="CU126" t="str">
            <v>0</v>
          </cell>
          <cell r="CV126" t="str">
            <v>0</v>
          </cell>
          <cell r="CW126" t="str">
            <v>0</v>
          </cell>
          <cell r="CX126" t="str">
            <v>0</v>
          </cell>
          <cell r="CY126" t="str">
            <v>0</v>
          </cell>
          <cell r="CZ126" t="str">
            <v>0</v>
          </cell>
          <cell r="DA126" t="str">
            <v>0</v>
          </cell>
          <cell r="DB126" t="str">
            <v>0</v>
          </cell>
          <cell r="DC126" t="str">
            <v/>
          </cell>
          <cell r="DN126" t="str">
            <v>30/08/2023</v>
          </cell>
          <cell r="DQ126">
            <v>0</v>
          </cell>
          <cell r="DS126" t="str">
            <v>13</v>
          </cell>
          <cell r="DT126" t="str">
            <v>1</v>
          </cell>
          <cell r="DU126" t="str">
            <v>Flightstar</v>
          </cell>
          <cell r="DV126" t="str">
            <v>189 Pax + 10 Flight Crew</v>
          </cell>
          <cell r="DW126" t="str">
            <v xml:space="preserve">GLP-800-004-GGH </v>
          </cell>
        </row>
        <row r="127">
          <cell r="A127" t="str">
            <v>PR-GOL</v>
          </cell>
          <cell r="D127" t="str">
            <v>17/09/2024</v>
          </cell>
          <cell r="E127">
            <v>14</v>
          </cell>
          <cell r="F127">
            <v>0</v>
          </cell>
          <cell r="G127" t="str">
            <v>Jacksonville, FL - EUA</v>
          </cell>
          <cell r="H127" t="str">
            <v>New Painting</v>
          </cell>
          <cell r="I127" t="str">
            <v>1513</v>
          </cell>
          <cell r="J127" t="str">
            <v>1513</v>
          </cell>
          <cell r="K127" t="str">
            <v>9569</v>
          </cell>
          <cell r="L127" t="str">
            <v>9569</v>
          </cell>
          <cell r="M127" t="str">
            <v>9549,5</v>
          </cell>
          <cell r="N127" t="str">
            <v>9549,5</v>
          </cell>
          <cell r="O127" t="str">
            <v>1513</v>
          </cell>
          <cell r="P127" t="str">
            <v>1513</v>
          </cell>
          <cell r="Q127" t="str">
            <v>9569</v>
          </cell>
          <cell r="R127" t="str">
            <v>9569</v>
          </cell>
          <cell r="S127" t="str">
            <v>9549,5</v>
          </cell>
          <cell r="T127" t="str">
            <v>9549,5</v>
          </cell>
          <cell r="U127" t="str">
            <v>3,74003067484676</v>
          </cell>
          <cell r="V127" t="str">
            <v>4,01610429447911</v>
          </cell>
          <cell r="W127" t="str">
            <v>Down Lock Nose Gear (1 ea)</v>
          </cell>
          <cell r="X127" t="str">
            <v>Down Lock Main Gear (2 ea)</v>
          </cell>
          <cell r="Y127" t="str">
            <v>Plumb Bob (1 ea)</v>
          </cell>
          <cell r="Z127" t="str">
            <v/>
          </cell>
          <cell r="AA127" t="str">
            <v/>
          </cell>
          <cell r="AB127" t="str">
            <v/>
          </cell>
          <cell r="AC127" t="str">
            <v/>
          </cell>
          <cell r="AD127" t="str">
            <v/>
          </cell>
          <cell r="AE127" t="str">
            <v/>
          </cell>
          <cell r="AF127" t="str">
            <v/>
          </cell>
          <cell r="AG127" t="str">
            <v/>
          </cell>
          <cell r="AH127" t="str">
            <v/>
          </cell>
          <cell r="AI127" t="str">
            <v/>
          </cell>
          <cell r="AJ127" t="str">
            <v/>
          </cell>
          <cell r="AK127" t="str">
            <v>0,3</v>
          </cell>
          <cell r="AL127" t="str">
            <v>0,4</v>
          </cell>
          <cell r="AM127" t="str">
            <v>0,5</v>
          </cell>
          <cell r="AN127" t="str">
            <v>0</v>
          </cell>
          <cell r="AO127" t="str">
            <v>0</v>
          </cell>
          <cell r="AP127" t="str">
            <v>0</v>
          </cell>
          <cell r="AQ127" t="str">
            <v>0</v>
          </cell>
          <cell r="AR127" t="str">
            <v>0</v>
          </cell>
          <cell r="AS127" t="str">
            <v>0</v>
          </cell>
          <cell r="AT127" t="str">
            <v>0</v>
          </cell>
          <cell r="AU127" t="str">
            <v>0</v>
          </cell>
          <cell r="AV127" t="str">
            <v>0</v>
          </cell>
          <cell r="AW127" t="str">
            <v>0</v>
          </cell>
          <cell r="AX127" t="str">
            <v>0</v>
          </cell>
          <cell r="AY127" t="str">
            <v>82</v>
          </cell>
          <cell r="AZ127" t="str">
            <v>702</v>
          </cell>
          <cell r="BA127" t="str">
            <v>685</v>
          </cell>
          <cell r="BB127" t="str">
            <v>0</v>
          </cell>
          <cell r="BC127" t="str">
            <v>0</v>
          </cell>
          <cell r="BD127" t="str">
            <v>0</v>
          </cell>
          <cell r="BE127" t="str">
            <v>0</v>
          </cell>
          <cell r="BF127" t="str">
            <v>0</v>
          </cell>
          <cell r="BG127" t="str">
            <v>0</v>
          </cell>
          <cell r="BH127" t="str">
            <v>0</v>
          </cell>
          <cell r="BI127" t="str">
            <v>0</v>
          </cell>
          <cell r="BJ127" t="str">
            <v>0</v>
          </cell>
          <cell r="BK127" t="str">
            <v>0</v>
          </cell>
          <cell r="BL127" t="str">
            <v>0</v>
          </cell>
          <cell r="BM127" t="str">
            <v>Flaps 0 - 40° (up when weighed)</v>
          </cell>
          <cell r="BN127" t="str">
            <v>Fuel, Drainable, Unusable (5.6 Gal)</v>
          </cell>
          <cell r="BO127" t="str">
            <v>Lavatory Fluid, Precharge (6.0 Gal)</v>
          </cell>
          <cell r="BP127" t="str">
            <v>Lavatory Dry Supplies (2 ea)</v>
          </cell>
          <cell r="BQ127" t="str">
            <v>Water, Portable (62.6 Gal)</v>
          </cell>
          <cell r="BR127" t="str">
            <v/>
          </cell>
          <cell r="BS127" t="str">
            <v/>
          </cell>
          <cell r="BT127" t="str">
            <v/>
          </cell>
          <cell r="BU127" t="str">
            <v/>
          </cell>
          <cell r="BV127" t="str">
            <v/>
          </cell>
          <cell r="BW127" t="str">
            <v/>
          </cell>
          <cell r="BX127" t="str">
            <v/>
          </cell>
          <cell r="BY127" t="str">
            <v/>
          </cell>
          <cell r="BZ127" t="str">
            <v/>
          </cell>
          <cell r="CB127" t="str">
            <v>0</v>
          </cell>
          <cell r="CC127" t="str">
            <v>17,3</v>
          </cell>
          <cell r="CD127" t="str">
            <v>22,7</v>
          </cell>
          <cell r="CE127" t="str">
            <v>4</v>
          </cell>
          <cell r="CF127" t="str">
            <v>236,4</v>
          </cell>
          <cell r="CG127" t="str">
            <v>0</v>
          </cell>
          <cell r="CH127" t="str">
            <v>0</v>
          </cell>
          <cell r="CI127" t="str">
            <v>0</v>
          </cell>
          <cell r="CJ127" t="str">
            <v>0</v>
          </cell>
          <cell r="CK127" t="str">
            <v>0</v>
          </cell>
          <cell r="CL127" t="str">
            <v>0</v>
          </cell>
          <cell r="CM127" t="str">
            <v>0</v>
          </cell>
          <cell r="CN127" t="str">
            <v>0</v>
          </cell>
          <cell r="CO127" t="str">
            <v>0</v>
          </cell>
          <cell r="CP127" t="str">
            <v>0</v>
          </cell>
          <cell r="CQ127" t="str">
            <v>646</v>
          </cell>
          <cell r="CR127" t="str">
            <v>1112</v>
          </cell>
          <cell r="CS127" t="str">
            <v>1145</v>
          </cell>
          <cell r="CT127" t="str">
            <v>1150</v>
          </cell>
          <cell r="CU127" t="str">
            <v>0</v>
          </cell>
          <cell r="CV127" t="str">
            <v>0</v>
          </cell>
          <cell r="CW127" t="str">
            <v>0</v>
          </cell>
          <cell r="CX127" t="str">
            <v>0</v>
          </cell>
          <cell r="CY127" t="str">
            <v>0</v>
          </cell>
          <cell r="CZ127" t="str">
            <v>0</v>
          </cell>
          <cell r="DA127" t="str">
            <v>0</v>
          </cell>
          <cell r="DB127" t="str">
            <v>0</v>
          </cell>
          <cell r="DC127" t="str">
            <v/>
          </cell>
          <cell r="DN127" t="str">
            <v>17/09/2024</v>
          </cell>
          <cell r="DQ127">
            <v>0</v>
          </cell>
          <cell r="DR127" t="str">
            <v>Raul</v>
          </cell>
          <cell r="DS127" t="str">
            <v>13</v>
          </cell>
          <cell r="DT127" t="str">
            <v>2</v>
          </cell>
          <cell r="DU127" t="str">
            <v>Aeroman</v>
          </cell>
          <cell r="DV127" t="str">
            <v>186 Pax + 10 Flight Crew</v>
          </cell>
          <cell r="DW127" t="str">
            <v xml:space="preserve">GLP-800-004-GGH </v>
          </cell>
        </row>
        <row r="128">
          <cell r="A128" t="str">
            <v>PR-GOL</v>
          </cell>
          <cell r="D128" t="str">
            <v>17/09/2024</v>
          </cell>
          <cell r="E128">
            <v>14</v>
          </cell>
          <cell r="F128">
            <v>1</v>
          </cell>
          <cell r="G128" t="str">
            <v>San Salvador - El Salvador</v>
          </cell>
          <cell r="H128" t="str">
            <v>IFE Installation</v>
          </cell>
          <cell r="I128" t="str">
            <v>1513</v>
          </cell>
          <cell r="J128" t="str">
            <v>1513</v>
          </cell>
          <cell r="K128" t="str">
            <v>9569</v>
          </cell>
          <cell r="L128" t="str">
            <v>9569</v>
          </cell>
          <cell r="M128" t="str">
            <v>9549,5</v>
          </cell>
          <cell r="N128" t="str">
            <v>9549,5</v>
          </cell>
          <cell r="O128" t="str">
            <v>1513</v>
          </cell>
          <cell r="P128" t="str">
            <v>1513</v>
          </cell>
          <cell r="Q128" t="str">
            <v>9569</v>
          </cell>
          <cell r="R128" t="str">
            <v>9569</v>
          </cell>
          <cell r="S128" t="str">
            <v>9549,5</v>
          </cell>
          <cell r="T128" t="str">
            <v>9549,5</v>
          </cell>
          <cell r="U128" t="str">
            <v>3,74003067484676</v>
          </cell>
          <cell r="V128" t="str">
            <v>4,01610429447911</v>
          </cell>
          <cell r="W128" t="str">
            <v>Down Lock Nose Gear (1 ea)</v>
          </cell>
          <cell r="X128" t="str">
            <v>Down Lock Main Gear (2 ea)</v>
          </cell>
          <cell r="Y128" t="str">
            <v>Plumb Bob (1 ea)</v>
          </cell>
          <cell r="Z128" t="str">
            <v/>
          </cell>
          <cell r="AA128" t="str">
            <v/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  <cell r="AF128" t="str">
            <v/>
          </cell>
          <cell r="AG128" t="str">
            <v/>
          </cell>
          <cell r="AH128" t="str">
            <v/>
          </cell>
          <cell r="AI128" t="str">
            <v/>
          </cell>
          <cell r="AJ128" t="str">
            <v/>
          </cell>
          <cell r="AK128" t="str">
            <v>0,3</v>
          </cell>
          <cell r="AL128" t="str">
            <v>0,4</v>
          </cell>
          <cell r="AM128" t="str">
            <v>0,5</v>
          </cell>
          <cell r="AN128" t="str">
            <v>0</v>
          </cell>
          <cell r="AO128" t="str">
            <v>0</v>
          </cell>
          <cell r="AP128" t="str">
            <v>0</v>
          </cell>
          <cell r="AQ128" t="str">
            <v>0</v>
          </cell>
          <cell r="AR128" t="str">
            <v>0</v>
          </cell>
          <cell r="AS128" t="str">
            <v>0</v>
          </cell>
          <cell r="AT128" t="str">
            <v>0</v>
          </cell>
          <cell r="AU128" t="str">
            <v>0</v>
          </cell>
          <cell r="AV128" t="str">
            <v>0</v>
          </cell>
          <cell r="AW128" t="str">
            <v>0</v>
          </cell>
          <cell r="AX128" t="str">
            <v>0</v>
          </cell>
          <cell r="AY128" t="str">
            <v>82</v>
          </cell>
          <cell r="AZ128" t="str">
            <v>702</v>
          </cell>
          <cell r="BA128" t="str">
            <v>685</v>
          </cell>
          <cell r="BB128" t="str">
            <v>0</v>
          </cell>
          <cell r="BC128" t="str">
            <v>0</v>
          </cell>
          <cell r="BD128" t="str">
            <v>0</v>
          </cell>
          <cell r="BE128" t="str">
            <v>0</v>
          </cell>
          <cell r="BF128" t="str">
            <v>0</v>
          </cell>
          <cell r="BG128" t="str">
            <v>0</v>
          </cell>
          <cell r="BH128" t="str">
            <v>0</v>
          </cell>
          <cell r="BI128" t="str">
            <v>0</v>
          </cell>
          <cell r="BJ128" t="str">
            <v>0</v>
          </cell>
          <cell r="BK128" t="str">
            <v>0</v>
          </cell>
          <cell r="BL128" t="str">
            <v>0</v>
          </cell>
          <cell r="BM128" t="str">
            <v>Flaps 0 - 40° (up when weighed)</v>
          </cell>
          <cell r="BN128" t="str">
            <v>Fuel, Drainable, Unusable (5.6 Gal)</v>
          </cell>
          <cell r="BO128" t="str">
            <v>Lavatory Fluid, Precharge (6.0 Gal)</v>
          </cell>
          <cell r="BP128" t="str">
            <v>Lavatory Dry Supplies (2 ea)</v>
          </cell>
          <cell r="BQ128" t="str">
            <v>Water, Portable (62.6 Gal)</v>
          </cell>
          <cell r="BR128" t="str">
            <v/>
          </cell>
          <cell r="BS128" t="str">
            <v/>
          </cell>
          <cell r="BT128" t="str">
            <v/>
          </cell>
          <cell r="BU128" t="str">
            <v/>
          </cell>
          <cell r="BV128" t="str">
            <v/>
          </cell>
          <cell r="BW128" t="str">
            <v/>
          </cell>
          <cell r="BX128" t="str">
            <v/>
          </cell>
          <cell r="BY128" t="str">
            <v/>
          </cell>
          <cell r="BZ128" t="str">
            <v/>
          </cell>
          <cell r="CB128" t="str">
            <v>0</v>
          </cell>
          <cell r="CC128" t="str">
            <v>17,3</v>
          </cell>
          <cell r="CD128" t="str">
            <v>22,7</v>
          </cell>
          <cell r="CE128" t="str">
            <v>4</v>
          </cell>
          <cell r="CF128" t="str">
            <v>236,4</v>
          </cell>
          <cell r="CG128" t="str">
            <v>0</v>
          </cell>
          <cell r="CH128" t="str">
            <v>0</v>
          </cell>
          <cell r="CI128" t="str">
            <v>0</v>
          </cell>
          <cell r="CJ128" t="str">
            <v>0</v>
          </cell>
          <cell r="CK128" t="str">
            <v>0</v>
          </cell>
          <cell r="CL128" t="str">
            <v>0</v>
          </cell>
          <cell r="CM128" t="str">
            <v>0</v>
          </cell>
          <cell r="CN128" t="str">
            <v>0</v>
          </cell>
          <cell r="CO128" t="str">
            <v>0</v>
          </cell>
          <cell r="CP128" t="str">
            <v>0</v>
          </cell>
          <cell r="CQ128" t="str">
            <v>646</v>
          </cell>
          <cell r="CR128" t="str">
            <v>1112</v>
          </cell>
          <cell r="CS128" t="str">
            <v>1145</v>
          </cell>
          <cell r="CT128" t="str">
            <v>1150</v>
          </cell>
          <cell r="CU128" t="str">
            <v>0</v>
          </cell>
          <cell r="CV128" t="str">
            <v>0</v>
          </cell>
          <cell r="CW128" t="str">
            <v>0</v>
          </cell>
          <cell r="CX128" t="str">
            <v>0</v>
          </cell>
          <cell r="CY128" t="str">
            <v>0</v>
          </cell>
          <cell r="CZ128" t="str">
            <v>0</v>
          </cell>
          <cell r="DA128" t="str">
            <v>0</v>
          </cell>
          <cell r="DB128" t="str">
            <v>0</v>
          </cell>
          <cell r="DC128" t="str">
            <v/>
          </cell>
          <cell r="DN128" t="str">
            <v>17/09/2024</v>
          </cell>
          <cell r="DS128" t="str">
            <v>14</v>
          </cell>
          <cell r="DT128" t="str">
            <v>0</v>
          </cell>
          <cell r="DU128" t="str">
            <v>Aeroman</v>
          </cell>
          <cell r="DV128" t="str">
            <v>138 Pax + 9 Flight Crew</v>
          </cell>
          <cell r="DW128" t="str">
            <v xml:space="preserve">GLP-800-004-GGH </v>
          </cell>
        </row>
        <row r="129">
          <cell r="A129" t="str">
            <v>PR-GOL</v>
          </cell>
          <cell r="D129" t="str">
            <v>17/09/2024</v>
          </cell>
          <cell r="E129">
            <v>14</v>
          </cell>
          <cell r="F129">
            <v>2</v>
          </cell>
          <cell r="G129" t="str">
            <v>Renton, WA - EUA</v>
          </cell>
          <cell r="H129" t="str">
            <v>New Production Aircraft</v>
          </cell>
          <cell r="I129" t="str">
            <v>1513</v>
          </cell>
          <cell r="J129" t="str">
            <v>1513</v>
          </cell>
          <cell r="K129" t="str">
            <v>9569</v>
          </cell>
          <cell r="L129" t="str">
            <v>9569</v>
          </cell>
          <cell r="M129" t="str">
            <v>9549,5</v>
          </cell>
          <cell r="N129" t="str">
            <v>9549,5</v>
          </cell>
          <cell r="O129" t="str">
            <v>1513</v>
          </cell>
          <cell r="P129" t="str">
            <v>1513</v>
          </cell>
          <cell r="Q129" t="str">
            <v>9569</v>
          </cell>
          <cell r="R129" t="str">
            <v>9569</v>
          </cell>
          <cell r="S129" t="str">
            <v>9549,5</v>
          </cell>
          <cell r="T129" t="str">
            <v>9549,5</v>
          </cell>
          <cell r="U129" t="str">
            <v>3,74003067484676</v>
          </cell>
          <cell r="V129" t="str">
            <v>4,01610429447911</v>
          </cell>
          <cell r="W129" t="str">
            <v>Down Lock Nose Gear (1 ea)</v>
          </cell>
          <cell r="X129" t="str">
            <v>Down Lock Main Gear (2 ea)</v>
          </cell>
          <cell r="Y129" t="str">
            <v>Plumb Bob (1 ea)</v>
          </cell>
          <cell r="Z129" t="str">
            <v/>
          </cell>
          <cell r="AA129" t="str">
            <v/>
          </cell>
          <cell r="AB129" t="str">
            <v/>
          </cell>
          <cell r="AC129" t="str">
            <v/>
          </cell>
          <cell r="AD129" t="str">
            <v/>
          </cell>
          <cell r="AE129" t="str">
            <v/>
          </cell>
          <cell r="AF129" t="str">
            <v/>
          </cell>
          <cell r="AG129" t="str">
            <v/>
          </cell>
          <cell r="AH129" t="str">
            <v/>
          </cell>
          <cell r="AI129" t="str">
            <v/>
          </cell>
          <cell r="AJ129" t="str">
            <v/>
          </cell>
          <cell r="AK129" t="str">
            <v>0,3</v>
          </cell>
          <cell r="AL129" t="str">
            <v>0,4</v>
          </cell>
          <cell r="AM129" t="str">
            <v>0,5</v>
          </cell>
          <cell r="AN129" t="str">
            <v>0</v>
          </cell>
          <cell r="AO129" t="str">
            <v>0</v>
          </cell>
          <cell r="AP129" t="str">
            <v>0</v>
          </cell>
          <cell r="AQ129" t="str">
            <v>0</v>
          </cell>
          <cell r="AR129" t="str">
            <v>0</v>
          </cell>
          <cell r="AS129" t="str">
            <v>0</v>
          </cell>
          <cell r="AT129" t="str">
            <v>0</v>
          </cell>
          <cell r="AU129" t="str">
            <v>0</v>
          </cell>
          <cell r="AV129" t="str">
            <v>0</v>
          </cell>
          <cell r="AW129" t="str">
            <v>0</v>
          </cell>
          <cell r="AX129" t="str">
            <v>0</v>
          </cell>
          <cell r="AY129" t="str">
            <v>82</v>
          </cell>
          <cell r="AZ129" t="str">
            <v>702</v>
          </cell>
          <cell r="BA129" t="str">
            <v>685</v>
          </cell>
          <cell r="BB129" t="str">
            <v>0</v>
          </cell>
          <cell r="BC129" t="str">
            <v>0</v>
          </cell>
          <cell r="BD129" t="str">
            <v>0</v>
          </cell>
          <cell r="BE129" t="str">
            <v>0</v>
          </cell>
          <cell r="BF129" t="str">
            <v>0</v>
          </cell>
          <cell r="BG129" t="str">
            <v>0</v>
          </cell>
          <cell r="BH129" t="str">
            <v>0</v>
          </cell>
          <cell r="BI129" t="str">
            <v>0</v>
          </cell>
          <cell r="BJ129" t="str">
            <v>0</v>
          </cell>
          <cell r="BK129" t="str">
            <v>0</v>
          </cell>
          <cell r="BL129" t="str">
            <v>0</v>
          </cell>
          <cell r="BM129" t="str">
            <v>Flaps 0 - 40° (up when weighed)</v>
          </cell>
          <cell r="BN129" t="str">
            <v>Fuel, Drainable, Unusable (5.6 Gal)</v>
          </cell>
          <cell r="BO129" t="str">
            <v>Lavatory Fluid, Precharge (6.0 Gal)</v>
          </cell>
          <cell r="BP129" t="str">
            <v>Lavatory Dry Supplies (2 ea)</v>
          </cell>
          <cell r="BQ129" t="str">
            <v>Water, Portable (62.6 Gal)</v>
          </cell>
          <cell r="BR129" t="str">
            <v/>
          </cell>
          <cell r="BS129" t="str">
            <v/>
          </cell>
          <cell r="BT129" t="str">
            <v/>
          </cell>
          <cell r="BU129" t="str">
            <v/>
          </cell>
          <cell r="BV129" t="str">
            <v/>
          </cell>
          <cell r="BW129" t="str">
            <v/>
          </cell>
          <cell r="BX129" t="str">
            <v/>
          </cell>
          <cell r="BY129" t="str">
            <v/>
          </cell>
          <cell r="BZ129" t="str">
            <v/>
          </cell>
          <cell r="CB129" t="str">
            <v>0</v>
          </cell>
          <cell r="CC129" t="str">
            <v>17,3</v>
          </cell>
          <cell r="CD129" t="str">
            <v>22,7</v>
          </cell>
          <cell r="CE129" t="str">
            <v>4</v>
          </cell>
          <cell r="CF129" t="str">
            <v>236,4</v>
          </cell>
          <cell r="CG129" t="str">
            <v>0</v>
          </cell>
          <cell r="CH129" t="str">
            <v>0</v>
          </cell>
          <cell r="CI129" t="str">
            <v>0</v>
          </cell>
          <cell r="CJ129" t="str">
            <v>0</v>
          </cell>
          <cell r="CK129" t="str">
            <v>0</v>
          </cell>
          <cell r="CL129" t="str">
            <v>0</v>
          </cell>
          <cell r="CM129" t="str">
            <v>0</v>
          </cell>
          <cell r="CN129" t="str">
            <v>0</v>
          </cell>
          <cell r="CO129" t="str">
            <v>0</v>
          </cell>
          <cell r="CP129" t="str">
            <v>0</v>
          </cell>
          <cell r="CQ129" t="str">
            <v>646</v>
          </cell>
          <cell r="CR129" t="str">
            <v>1112</v>
          </cell>
          <cell r="CS129" t="str">
            <v>1145</v>
          </cell>
          <cell r="CT129" t="str">
            <v>1150</v>
          </cell>
          <cell r="CU129" t="str">
            <v>0</v>
          </cell>
          <cell r="CV129" t="str">
            <v>0</v>
          </cell>
          <cell r="CW129" t="str">
            <v>0</v>
          </cell>
          <cell r="CX129" t="str">
            <v>0</v>
          </cell>
          <cell r="CY129" t="str">
            <v>0</v>
          </cell>
          <cell r="CZ129" t="str">
            <v>0</v>
          </cell>
          <cell r="DA129" t="str">
            <v>0</v>
          </cell>
          <cell r="DB129" t="str">
            <v>0</v>
          </cell>
          <cell r="DC129" t="str">
            <v/>
          </cell>
          <cell r="DN129" t="str">
            <v>17/09/2024</v>
          </cell>
          <cell r="DS129" t="str">
            <v>14</v>
          </cell>
          <cell r="DT129" t="str">
            <v>1</v>
          </cell>
          <cell r="DU129" t="str">
            <v>GOL</v>
          </cell>
          <cell r="DV129" t="str">
            <v>186 Pax + 10 Flight Crew</v>
          </cell>
          <cell r="DW129" t="str">
            <v>GLP-800-002-GGQ</v>
          </cell>
        </row>
        <row r="130">
          <cell r="A130" t="str">
            <v>PR-GOL</v>
          </cell>
          <cell r="D130" t="str">
            <v>17/09/2024</v>
          </cell>
          <cell r="E130">
            <v>14</v>
          </cell>
          <cell r="F130">
            <v>3</v>
          </cell>
          <cell r="G130" t="str">
            <v>Seattle, WA - EUA</v>
          </cell>
          <cell r="H130" t="str">
            <v>New Painting</v>
          </cell>
          <cell r="I130" t="str">
            <v>1513</v>
          </cell>
          <cell r="J130" t="str">
            <v>1513</v>
          </cell>
          <cell r="K130" t="str">
            <v>9569</v>
          </cell>
          <cell r="L130" t="str">
            <v>9569</v>
          </cell>
          <cell r="M130" t="str">
            <v>9549,5</v>
          </cell>
          <cell r="N130" t="str">
            <v>9549,5</v>
          </cell>
          <cell r="O130" t="str">
            <v>1513</v>
          </cell>
          <cell r="P130" t="str">
            <v>1513</v>
          </cell>
          <cell r="Q130" t="str">
            <v>9569</v>
          </cell>
          <cell r="R130" t="str">
            <v>9569</v>
          </cell>
          <cell r="S130" t="str">
            <v>9549,5</v>
          </cell>
          <cell r="T130" t="str">
            <v>9549,5</v>
          </cell>
          <cell r="U130" t="str">
            <v>3,74003067484676</v>
          </cell>
          <cell r="V130" t="str">
            <v>4,01610429447911</v>
          </cell>
          <cell r="W130" t="str">
            <v>Down Lock Nose Gear (1 ea)</v>
          </cell>
          <cell r="X130" t="str">
            <v>Down Lock Main Gear (2 ea)</v>
          </cell>
          <cell r="Y130" t="str">
            <v>Plumb Bob (1 ea)</v>
          </cell>
          <cell r="Z130" t="str">
            <v/>
          </cell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H130" t="str">
            <v/>
          </cell>
          <cell r="AI130" t="str">
            <v/>
          </cell>
          <cell r="AJ130" t="str">
            <v/>
          </cell>
          <cell r="AK130" t="str">
            <v>0,3</v>
          </cell>
          <cell r="AL130" t="str">
            <v>0,4</v>
          </cell>
          <cell r="AM130" t="str">
            <v>0,5</v>
          </cell>
          <cell r="AN130" t="str">
            <v>0</v>
          </cell>
          <cell r="AO130" t="str">
            <v>0</v>
          </cell>
          <cell r="AP130" t="str">
            <v>0</v>
          </cell>
          <cell r="AQ130" t="str">
            <v>0</v>
          </cell>
          <cell r="AR130" t="str">
            <v>0</v>
          </cell>
          <cell r="AS130" t="str">
            <v>0</v>
          </cell>
          <cell r="AT130" t="str">
            <v>0</v>
          </cell>
          <cell r="AU130" t="str">
            <v>0</v>
          </cell>
          <cell r="AV130" t="str">
            <v>0</v>
          </cell>
          <cell r="AW130" t="str">
            <v>0</v>
          </cell>
          <cell r="AX130" t="str">
            <v>0</v>
          </cell>
          <cell r="AY130" t="str">
            <v>82</v>
          </cell>
          <cell r="AZ130" t="str">
            <v>702</v>
          </cell>
          <cell r="BA130" t="str">
            <v>685</v>
          </cell>
          <cell r="BB130" t="str">
            <v>0</v>
          </cell>
          <cell r="BC130" t="str">
            <v>0</v>
          </cell>
          <cell r="BD130" t="str">
            <v>0</v>
          </cell>
          <cell r="BE130" t="str">
            <v>0</v>
          </cell>
          <cell r="BF130" t="str">
            <v>0</v>
          </cell>
          <cell r="BG130" t="str">
            <v>0</v>
          </cell>
          <cell r="BH130" t="str">
            <v>0</v>
          </cell>
          <cell r="BI130" t="str">
            <v>0</v>
          </cell>
          <cell r="BJ130" t="str">
            <v>0</v>
          </cell>
          <cell r="BK130" t="str">
            <v>0</v>
          </cell>
          <cell r="BL130" t="str">
            <v>0</v>
          </cell>
          <cell r="BM130" t="str">
            <v>Flaps 0 - 40° (up when weighed)</v>
          </cell>
          <cell r="BN130" t="str">
            <v>Fuel, Drainable, Unusable (5.6 Gal)</v>
          </cell>
          <cell r="BO130" t="str">
            <v>Lavatory Fluid, Precharge (6.0 Gal)</v>
          </cell>
          <cell r="BP130" t="str">
            <v>Lavatory Dry Supplies (2 ea)</v>
          </cell>
          <cell r="BQ130" t="str">
            <v>Water, Portable (62.6 Gal)</v>
          </cell>
          <cell r="BR130" t="str">
            <v/>
          </cell>
          <cell r="BS130" t="str">
            <v/>
          </cell>
          <cell r="BT130" t="str">
            <v/>
          </cell>
          <cell r="BU130" t="str">
            <v/>
          </cell>
          <cell r="BV130" t="str">
            <v/>
          </cell>
          <cell r="BW130" t="str">
            <v/>
          </cell>
          <cell r="BX130" t="str">
            <v/>
          </cell>
          <cell r="BY130" t="str">
            <v/>
          </cell>
          <cell r="BZ130" t="str">
            <v/>
          </cell>
          <cell r="CB130" t="str">
            <v>0</v>
          </cell>
          <cell r="CC130" t="str">
            <v>17,3</v>
          </cell>
          <cell r="CD130" t="str">
            <v>22,7</v>
          </cell>
          <cell r="CE130" t="str">
            <v>4</v>
          </cell>
          <cell r="CF130" t="str">
            <v>236,4</v>
          </cell>
          <cell r="CG130" t="str">
            <v>0</v>
          </cell>
          <cell r="CH130" t="str">
            <v>0</v>
          </cell>
          <cell r="CI130" t="str">
            <v>0</v>
          </cell>
          <cell r="CJ130" t="str">
            <v>0</v>
          </cell>
          <cell r="CK130" t="str">
            <v>0</v>
          </cell>
          <cell r="CL130" t="str">
            <v>0</v>
          </cell>
          <cell r="CM130" t="str">
            <v>0</v>
          </cell>
          <cell r="CN130" t="str">
            <v>0</v>
          </cell>
          <cell r="CO130" t="str">
            <v>0</v>
          </cell>
          <cell r="CP130" t="str">
            <v>0</v>
          </cell>
          <cell r="CQ130" t="str">
            <v>646</v>
          </cell>
          <cell r="CR130" t="str">
            <v>1112</v>
          </cell>
          <cell r="CS130" t="str">
            <v>1145</v>
          </cell>
          <cell r="CT130" t="str">
            <v>1150</v>
          </cell>
          <cell r="CU130" t="str">
            <v>0</v>
          </cell>
          <cell r="CV130" t="str">
            <v>0</v>
          </cell>
          <cell r="CW130" t="str">
            <v>0</v>
          </cell>
          <cell r="CX130" t="str">
            <v>0</v>
          </cell>
          <cell r="CY130" t="str">
            <v>0</v>
          </cell>
          <cell r="CZ130" t="str">
            <v>0</v>
          </cell>
          <cell r="DA130" t="str">
            <v>0</v>
          </cell>
          <cell r="DB130" t="str">
            <v>0</v>
          </cell>
          <cell r="DC130" t="str">
            <v/>
          </cell>
          <cell r="DN130" t="str">
            <v>17/09/2024</v>
          </cell>
          <cell r="DS130" t="str">
            <v>14</v>
          </cell>
          <cell r="DT130" t="str">
            <v>2</v>
          </cell>
          <cell r="DU130" t="str">
            <v>Flightstar</v>
          </cell>
          <cell r="DV130" t="str">
            <v>186 Pax + 9 Flight Crew</v>
          </cell>
          <cell r="DW130" t="str">
            <v>GLP-800-002-GGQ</v>
          </cell>
        </row>
        <row r="131">
          <cell r="A131" t="str">
            <v>PR-GOL</v>
          </cell>
          <cell r="D131" t="str">
            <v>17/09/2024</v>
          </cell>
          <cell r="E131">
            <v>14</v>
          </cell>
          <cell r="F131">
            <v>4</v>
          </cell>
          <cell r="G131" t="str">
            <v>Renton, WA - EUA</v>
          </cell>
          <cell r="H131" t="str">
            <v>Scheduled</v>
          </cell>
          <cell r="I131" t="str">
            <v>1513</v>
          </cell>
          <cell r="J131" t="str">
            <v>1513</v>
          </cell>
          <cell r="K131" t="str">
            <v>9569</v>
          </cell>
          <cell r="L131" t="str">
            <v>9569</v>
          </cell>
          <cell r="M131" t="str">
            <v>9549,5</v>
          </cell>
          <cell r="N131" t="str">
            <v>9549,5</v>
          </cell>
          <cell r="O131" t="str">
            <v>1513</v>
          </cell>
          <cell r="P131" t="str">
            <v>1513</v>
          </cell>
          <cell r="Q131" t="str">
            <v>9569</v>
          </cell>
          <cell r="R131" t="str">
            <v>9569</v>
          </cell>
          <cell r="S131" t="str">
            <v>9549,5</v>
          </cell>
          <cell r="T131" t="str">
            <v>9549,5</v>
          </cell>
          <cell r="U131" t="str">
            <v>3,74003067484676</v>
          </cell>
          <cell r="V131" t="str">
            <v>4,01610429447911</v>
          </cell>
          <cell r="W131" t="str">
            <v>Down Lock Nose Gear (1 ea)</v>
          </cell>
          <cell r="X131" t="str">
            <v>Down Lock Main Gear (2 ea)</v>
          </cell>
          <cell r="Y131" t="str">
            <v>Plumb Bob (1 ea)</v>
          </cell>
          <cell r="Z131" t="str">
            <v/>
          </cell>
          <cell r="AA131" t="str">
            <v/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  <cell r="AF131" t="str">
            <v/>
          </cell>
          <cell r="AG131" t="str">
            <v/>
          </cell>
          <cell r="AH131" t="str">
            <v/>
          </cell>
          <cell r="AI131" t="str">
            <v/>
          </cell>
          <cell r="AJ131" t="str">
            <v/>
          </cell>
          <cell r="AK131" t="str">
            <v>0,3</v>
          </cell>
          <cell r="AL131" t="str">
            <v>0,4</v>
          </cell>
          <cell r="AM131" t="str">
            <v>0,5</v>
          </cell>
          <cell r="AN131" t="str">
            <v>0</v>
          </cell>
          <cell r="AO131" t="str">
            <v>0</v>
          </cell>
          <cell r="AP131" t="str">
            <v>0</v>
          </cell>
          <cell r="AQ131" t="str">
            <v>0</v>
          </cell>
          <cell r="AR131" t="str">
            <v>0</v>
          </cell>
          <cell r="AS131" t="str">
            <v>0</v>
          </cell>
          <cell r="AT131" t="str">
            <v>0</v>
          </cell>
          <cell r="AU131" t="str">
            <v>0</v>
          </cell>
          <cell r="AV131" t="str">
            <v>0</v>
          </cell>
          <cell r="AW131" t="str">
            <v>0</v>
          </cell>
          <cell r="AX131" t="str">
            <v>0</v>
          </cell>
          <cell r="AY131" t="str">
            <v>82</v>
          </cell>
          <cell r="AZ131" t="str">
            <v>702</v>
          </cell>
          <cell r="BA131" t="str">
            <v>685</v>
          </cell>
          <cell r="BB131" t="str">
            <v>0</v>
          </cell>
          <cell r="BC131" t="str">
            <v>0</v>
          </cell>
          <cell r="BD131" t="str">
            <v>0</v>
          </cell>
          <cell r="BE131" t="str">
            <v>0</v>
          </cell>
          <cell r="BF131" t="str">
            <v>0</v>
          </cell>
          <cell r="BG131" t="str">
            <v>0</v>
          </cell>
          <cell r="BH131" t="str">
            <v>0</v>
          </cell>
          <cell r="BI131" t="str">
            <v>0</v>
          </cell>
          <cell r="BJ131" t="str">
            <v>0</v>
          </cell>
          <cell r="BK131" t="str">
            <v>0</v>
          </cell>
          <cell r="BL131" t="str">
            <v>0</v>
          </cell>
          <cell r="BM131" t="str">
            <v>Flaps 0 - 40° (up when weighed)</v>
          </cell>
          <cell r="BN131" t="str">
            <v>Fuel, Drainable, Unusable (5.6 Gal)</v>
          </cell>
          <cell r="BO131" t="str">
            <v>Lavatory Fluid, Precharge (6.0 Gal)</v>
          </cell>
          <cell r="BP131" t="str">
            <v>Lavatory Dry Supplies (2 ea)</v>
          </cell>
          <cell r="BQ131" t="str">
            <v>Water, Portable (62.6 Gal)</v>
          </cell>
          <cell r="BR131" t="str">
            <v/>
          </cell>
          <cell r="BS131" t="str">
            <v/>
          </cell>
          <cell r="BT131" t="str">
            <v/>
          </cell>
          <cell r="BU131" t="str">
            <v/>
          </cell>
          <cell r="BV131" t="str">
            <v/>
          </cell>
          <cell r="BW131" t="str">
            <v/>
          </cell>
          <cell r="BX131" t="str">
            <v/>
          </cell>
          <cell r="BY131" t="str">
            <v/>
          </cell>
          <cell r="BZ131" t="str">
            <v/>
          </cell>
          <cell r="CB131" t="str">
            <v>0</v>
          </cell>
          <cell r="CC131" t="str">
            <v>17,3</v>
          </cell>
          <cell r="CD131" t="str">
            <v>22,7</v>
          </cell>
          <cell r="CE131" t="str">
            <v>4</v>
          </cell>
          <cell r="CF131" t="str">
            <v>236,4</v>
          </cell>
          <cell r="CG131" t="str">
            <v>0</v>
          </cell>
          <cell r="CH131" t="str">
            <v>0</v>
          </cell>
          <cell r="CI131" t="str">
            <v>0</v>
          </cell>
          <cell r="CJ131" t="str">
            <v>0</v>
          </cell>
          <cell r="CK131" t="str">
            <v>0</v>
          </cell>
          <cell r="CL131" t="str">
            <v>0</v>
          </cell>
          <cell r="CM131" t="str">
            <v>0</v>
          </cell>
          <cell r="CN131" t="str">
            <v>0</v>
          </cell>
          <cell r="CO131" t="str">
            <v>0</v>
          </cell>
          <cell r="CP131" t="str">
            <v>0</v>
          </cell>
          <cell r="CQ131" t="str">
            <v>646</v>
          </cell>
          <cell r="CR131" t="str">
            <v>1112</v>
          </cell>
          <cell r="CS131" t="str">
            <v>1145</v>
          </cell>
          <cell r="CT131" t="str">
            <v>1150</v>
          </cell>
          <cell r="CU131" t="str">
            <v>0</v>
          </cell>
          <cell r="CV131" t="str">
            <v>0</v>
          </cell>
          <cell r="CW131" t="str">
            <v>0</v>
          </cell>
          <cell r="CX131" t="str">
            <v>0</v>
          </cell>
          <cell r="CY131" t="str">
            <v>0</v>
          </cell>
          <cell r="CZ131" t="str">
            <v>0</v>
          </cell>
          <cell r="DA131" t="str">
            <v>0</v>
          </cell>
          <cell r="DB131" t="str">
            <v>0</v>
          </cell>
          <cell r="DC131" t="str">
            <v/>
          </cell>
          <cell r="DN131" t="str">
            <v>17/09/2024</v>
          </cell>
          <cell r="DQ131" t="str">
            <v>Raul</v>
          </cell>
          <cell r="DR131" t="str">
            <v>Raul</v>
          </cell>
          <cell r="DS131" t="str">
            <v/>
          </cell>
          <cell r="DT131" t="str">
            <v/>
          </cell>
          <cell r="DU131" t="str">
            <v>DIGEX</v>
          </cell>
          <cell r="DV131" t="str">
            <v>186 Pax + 9 Flight Crew</v>
          </cell>
          <cell r="DW131" t="str">
            <v>GLP-800-003-GYA</v>
          </cell>
        </row>
        <row r="132">
          <cell r="A132" t="str">
            <v>PR-GTG</v>
          </cell>
          <cell r="D132" t="str">
            <v>17/09/2024</v>
          </cell>
          <cell r="E132">
            <v>5</v>
          </cell>
          <cell r="F132">
            <v>0</v>
          </cell>
          <cell r="G132" t="str">
            <v>Lagoa Santa, MG - Brazil</v>
          </cell>
          <cell r="H132" t="str">
            <v>New Painting</v>
          </cell>
          <cell r="I132" t="str">
            <v>1432</v>
          </cell>
          <cell r="J132" t="str">
            <v>1524</v>
          </cell>
          <cell r="K132" t="str">
            <v>9855</v>
          </cell>
          <cell r="L132" t="str">
            <v>9441</v>
          </cell>
          <cell r="M132" t="str">
            <v>10614</v>
          </cell>
          <cell r="N132" t="str">
            <v>8403</v>
          </cell>
          <cell r="O132" t="str">
            <v>1433</v>
          </cell>
          <cell r="P132" t="str">
            <v>1524</v>
          </cell>
          <cell r="Q132" t="str">
            <v>9761</v>
          </cell>
          <cell r="R132" t="str">
            <v>9526</v>
          </cell>
          <cell r="S132" t="str">
            <v>10640</v>
          </cell>
          <cell r="T132" t="str">
            <v>8381</v>
          </cell>
          <cell r="U132" t="str">
            <v>5,51</v>
          </cell>
          <cell r="V132" t="str">
            <v>4,8</v>
          </cell>
          <cell r="W132" t="str">
            <v>Down Lock Nose Gear (1 ea)</v>
          </cell>
          <cell r="X132" t="str">
            <v>Down Lock Main Gear (2 ea)</v>
          </cell>
          <cell r="Y132" t="str">
            <v>Plumb Bob</v>
          </cell>
          <cell r="Z132" t="str">
            <v/>
          </cell>
          <cell r="AA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  <cell r="AG132" t="str">
            <v/>
          </cell>
          <cell r="AH132" t="str">
            <v/>
          </cell>
          <cell r="AI132" t="str">
            <v/>
          </cell>
          <cell r="AJ132" t="str">
            <v/>
          </cell>
          <cell r="AK132" t="str">
            <v>0,3</v>
          </cell>
          <cell r="AL132" t="str">
            <v>0,4</v>
          </cell>
          <cell r="AM132" t="str">
            <v>0,5</v>
          </cell>
          <cell r="AN132" t="str">
            <v>0</v>
          </cell>
          <cell r="AO132" t="str">
            <v>0</v>
          </cell>
          <cell r="AP132" t="str">
            <v>0</v>
          </cell>
          <cell r="AQ132" t="str">
            <v>0</v>
          </cell>
          <cell r="AR132" t="str">
            <v>0</v>
          </cell>
          <cell r="AS132" t="str">
            <v>0</v>
          </cell>
          <cell r="AT132" t="str">
            <v>0</v>
          </cell>
          <cell r="AU132" t="str">
            <v>0</v>
          </cell>
          <cell r="AV132" t="str">
            <v>0</v>
          </cell>
          <cell r="AW132" t="str">
            <v>0</v>
          </cell>
          <cell r="AX132" t="str">
            <v>0</v>
          </cell>
          <cell r="AY132" t="str">
            <v>91</v>
          </cell>
          <cell r="AZ132" t="str">
            <v>702</v>
          </cell>
          <cell r="BA132" t="str">
            <v>685</v>
          </cell>
          <cell r="BB132" t="str">
            <v>0</v>
          </cell>
          <cell r="BC132" t="str">
            <v>0</v>
          </cell>
          <cell r="BD132" t="str">
            <v>0</v>
          </cell>
          <cell r="BE132" t="str">
            <v>0</v>
          </cell>
          <cell r="BF132" t="str">
            <v>0</v>
          </cell>
          <cell r="BG132" t="str">
            <v>0</v>
          </cell>
          <cell r="BH132" t="str">
            <v>0</v>
          </cell>
          <cell r="BI132" t="str">
            <v>0</v>
          </cell>
          <cell r="BJ132" t="str">
            <v>0</v>
          </cell>
          <cell r="BK132" t="str">
            <v>0</v>
          </cell>
          <cell r="BL132" t="str">
            <v>0</v>
          </cell>
          <cell r="BM132" t="str">
            <v>Fuel, Drain, unusable (5.6 Gal)</v>
          </cell>
          <cell r="BN132" t="str">
            <v>Lav. Fluid, precharge (6.0 Gal)</v>
          </cell>
          <cell r="BO132" t="str">
            <v>Flaps 0 - 40° (up when weighed)</v>
          </cell>
          <cell r="BP132" t="str">
            <v>Water, Potable (62.6 Gal)</v>
          </cell>
          <cell r="BQ132" t="str">
            <v>Lavatory Dry Supplies</v>
          </cell>
          <cell r="BR132" t="str">
            <v>Standard Container</v>
          </cell>
          <cell r="BS132" t="str">
            <v/>
          </cell>
          <cell r="BT132" t="str">
            <v/>
          </cell>
          <cell r="BU132" t="str">
            <v/>
          </cell>
          <cell r="BV132" t="str">
            <v/>
          </cell>
          <cell r="BW132" t="str">
            <v/>
          </cell>
          <cell r="BX132" t="str">
            <v/>
          </cell>
          <cell r="BY132" t="str">
            <v/>
          </cell>
          <cell r="BZ132" t="str">
            <v/>
          </cell>
          <cell r="CB132" t="str">
            <v>17,3</v>
          </cell>
          <cell r="CC132" t="str">
            <v>22,7</v>
          </cell>
          <cell r="CD132" t="str">
            <v>0</v>
          </cell>
          <cell r="CE132" t="str">
            <v>236,4</v>
          </cell>
          <cell r="CF132" t="str">
            <v>4</v>
          </cell>
          <cell r="CG132" t="str">
            <v>11,6</v>
          </cell>
          <cell r="CH132" t="str">
            <v>0</v>
          </cell>
          <cell r="CI132" t="str">
            <v>0</v>
          </cell>
          <cell r="CJ132" t="str">
            <v>0</v>
          </cell>
          <cell r="CK132" t="str">
            <v>0</v>
          </cell>
          <cell r="CL132" t="str">
            <v>0</v>
          </cell>
          <cell r="CM132" t="str">
            <v>0</v>
          </cell>
          <cell r="CN132" t="str">
            <v>0</v>
          </cell>
          <cell r="CO132" t="str">
            <v>0</v>
          </cell>
          <cell r="CP132" t="str">
            <v>646</v>
          </cell>
          <cell r="CQ132" t="str">
            <v>1112</v>
          </cell>
          <cell r="CR132" t="str">
            <v>0</v>
          </cell>
          <cell r="CS132" t="str">
            <v>1150</v>
          </cell>
          <cell r="CT132" t="str">
            <v>1145</v>
          </cell>
          <cell r="CU132" t="str">
            <v>1219</v>
          </cell>
          <cell r="CV132" t="str">
            <v>0</v>
          </cell>
          <cell r="CW132" t="str">
            <v>0</v>
          </cell>
          <cell r="CX132" t="str">
            <v>0</v>
          </cell>
          <cell r="CY132" t="str">
            <v>0</v>
          </cell>
          <cell r="CZ132" t="str">
            <v>0</v>
          </cell>
          <cell r="DA132" t="str">
            <v>0</v>
          </cell>
          <cell r="DB132" t="str">
            <v>0</v>
          </cell>
          <cell r="DC132" t="str">
            <v/>
          </cell>
          <cell r="DD132" t="str">
            <v/>
          </cell>
          <cell r="DE132" t="str">
            <v/>
          </cell>
          <cell r="DF132" t="str">
            <v/>
          </cell>
          <cell r="DH132" t="str">
            <v/>
          </cell>
          <cell r="DI132" t="str">
            <v/>
          </cell>
          <cell r="DN132" t="str">
            <v>17/09/2024</v>
          </cell>
          <cell r="DQ132" t="str">
            <v>Raul</v>
          </cell>
          <cell r="DS132" t="str">
            <v>4</v>
          </cell>
          <cell r="DT132" t="str">
            <v>0</v>
          </cell>
          <cell r="DU132" t="str">
            <v>GOL</v>
          </cell>
          <cell r="DV132" t="str">
            <v>186 Pax + 10 Flight Crew</v>
          </cell>
          <cell r="DW132" t="str">
            <v>186 Pax + 10 Flight Crew</v>
          </cell>
        </row>
        <row r="133">
          <cell r="A133" t="str">
            <v>PR-GOL</v>
          </cell>
          <cell r="D133" t="str">
            <v>17/09/2024</v>
          </cell>
          <cell r="E133">
            <v>14</v>
          </cell>
          <cell r="F133">
            <v>5</v>
          </cell>
          <cell r="G133" t="str">
            <v>Jacksonville, FL - EUA</v>
          </cell>
          <cell r="H133" t="str">
            <v>New Painting</v>
          </cell>
          <cell r="I133" t="str">
            <v>1513</v>
          </cell>
          <cell r="J133" t="str">
            <v>1513</v>
          </cell>
          <cell r="K133" t="str">
            <v>9569</v>
          </cell>
          <cell r="L133" t="str">
            <v>9569</v>
          </cell>
          <cell r="M133" t="str">
            <v>9549,5</v>
          </cell>
          <cell r="N133" t="str">
            <v>9549,5</v>
          </cell>
          <cell r="O133" t="str">
            <v>1513</v>
          </cell>
          <cell r="P133" t="str">
            <v>1513</v>
          </cell>
          <cell r="Q133" t="str">
            <v>9569</v>
          </cell>
          <cell r="R133" t="str">
            <v>9569</v>
          </cell>
          <cell r="S133" t="str">
            <v>9549,5</v>
          </cell>
          <cell r="T133" t="str">
            <v>9549,5</v>
          </cell>
          <cell r="U133">
            <v>3.9370078740157481</v>
          </cell>
          <cell r="V133">
            <v>1.1811023622047245</v>
          </cell>
          <cell r="W133" t="str">
            <v>Down Lock Nose Gear (1 ea)</v>
          </cell>
          <cell r="X133" t="str">
            <v>Down Lock Main Gear (2 ea)</v>
          </cell>
          <cell r="Y133" t="str">
            <v>Plumb Bob (1 ea)</v>
          </cell>
          <cell r="Z133" t="str">
            <v/>
          </cell>
          <cell r="AA133" t="str">
            <v/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  <cell r="AF133" t="str">
            <v/>
          </cell>
          <cell r="AG133" t="str">
            <v/>
          </cell>
          <cell r="AH133" t="str">
            <v/>
          </cell>
          <cell r="AI133" t="str">
            <v/>
          </cell>
          <cell r="AJ133" t="str">
            <v/>
          </cell>
          <cell r="AK133" t="str">
            <v>0,3</v>
          </cell>
          <cell r="AL133" t="str">
            <v>0,4</v>
          </cell>
          <cell r="AM133" t="str">
            <v>0,5</v>
          </cell>
          <cell r="AN133" t="str">
            <v>0</v>
          </cell>
          <cell r="AO133" t="str">
            <v>0</v>
          </cell>
          <cell r="AP133" t="str">
            <v>0</v>
          </cell>
          <cell r="AQ133" t="str">
            <v>0</v>
          </cell>
          <cell r="AR133" t="str">
            <v>0</v>
          </cell>
          <cell r="AS133" t="str">
            <v>0</v>
          </cell>
          <cell r="AT133" t="str">
            <v>0</v>
          </cell>
          <cell r="AU133" t="str">
            <v>0</v>
          </cell>
          <cell r="AV133" t="str">
            <v>0</v>
          </cell>
          <cell r="AW133" t="str">
            <v>0</v>
          </cell>
          <cell r="AX133" t="str">
            <v>0</v>
          </cell>
          <cell r="AY133" t="str">
            <v>82</v>
          </cell>
          <cell r="AZ133" t="str">
            <v>702</v>
          </cell>
          <cell r="BA133" t="str">
            <v>685</v>
          </cell>
          <cell r="BB133" t="str">
            <v>0</v>
          </cell>
          <cell r="BC133" t="str">
            <v>0</v>
          </cell>
          <cell r="BD133" t="str">
            <v>0</v>
          </cell>
          <cell r="BE133" t="str">
            <v>0</v>
          </cell>
          <cell r="BF133" t="str">
            <v>0</v>
          </cell>
          <cell r="BG133" t="str">
            <v>0</v>
          </cell>
          <cell r="BH133" t="str">
            <v>0</v>
          </cell>
          <cell r="BI133" t="str">
            <v>0</v>
          </cell>
          <cell r="BJ133" t="str">
            <v>0</v>
          </cell>
          <cell r="BK133" t="str">
            <v>0</v>
          </cell>
          <cell r="BL133" t="str">
            <v>0</v>
          </cell>
          <cell r="BM133" t="str">
            <v>Flaps 0 - 40° (up when weighed)</v>
          </cell>
          <cell r="BN133" t="str">
            <v>Fuel, Drainable, Unusable (5.6 Gal)</v>
          </cell>
          <cell r="BO133" t="str">
            <v>Lavatory Fluid, Precharge (6.0 Gal)</v>
          </cell>
          <cell r="BP133" t="str">
            <v>Lavatory Dry Supplies (2 ea)</v>
          </cell>
          <cell r="BQ133" t="str">
            <v>Water, Portable (62.6 Gal)</v>
          </cell>
          <cell r="BR133" t="str">
            <v/>
          </cell>
          <cell r="BS133" t="str">
            <v/>
          </cell>
          <cell r="BT133" t="str">
            <v/>
          </cell>
          <cell r="BU133" t="str">
            <v/>
          </cell>
          <cell r="BV133" t="str">
            <v/>
          </cell>
          <cell r="BW133" t="str">
            <v/>
          </cell>
          <cell r="BX133" t="str">
            <v/>
          </cell>
          <cell r="BY133" t="str">
            <v/>
          </cell>
          <cell r="BZ133" t="str">
            <v/>
          </cell>
          <cell r="CB133" t="str">
            <v>0</v>
          </cell>
          <cell r="CC133" t="str">
            <v>17,3</v>
          </cell>
          <cell r="CD133" t="str">
            <v>22,7</v>
          </cell>
          <cell r="CE133" t="str">
            <v>4</v>
          </cell>
          <cell r="CF133" t="str">
            <v>236,4</v>
          </cell>
          <cell r="CG133" t="str">
            <v>0</v>
          </cell>
          <cell r="CH133" t="str">
            <v>0</v>
          </cell>
          <cell r="CI133" t="str">
            <v>0</v>
          </cell>
          <cell r="CJ133" t="str">
            <v>0</v>
          </cell>
          <cell r="CK133" t="str">
            <v>0</v>
          </cell>
          <cell r="CL133" t="str">
            <v>0</v>
          </cell>
          <cell r="CM133" t="str">
            <v>0</v>
          </cell>
          <cell r="CN133" t="str">
            <v>0</v>
          </cell>
          <cell r="CO133" t="str">
            <v>0</v>
          </cell>
          <cell r="CP133" t="str">
            <v>0</v>
          </cell>
          <cell r="CQ133" t="str">
            <v>646</v>
          </cell>
          <cell r="CR133" t="str">
            <v>1112</v>
          </cell>
          <cell r="CS133" t="str">
            <v>1145</v>
          </cell>
          <cell r="CT133" t="str">
            <v>1150</v>
          </cell>
          <cell r="CU133" t="str">
            <v>0</v>
          </cell>
          <cell r="CV133" t="str">
            <v>0</v>
          </cell>
          <cell r="CW133" t="str">
            <v>0</v>
          </cell>
          <cell r="CX133" t="str">
            <v>0</v>
          </cell>
          <cell r="CY133" t="str">
            <v>0</v>
          </cell>
          <cell r="CZ133" t="str">
            <v>0</v>
          </cell>
          <cell r="DA133" t="str">
            <v>0</v>
          </cell>
          <cell r="DB133" t="str">
            <v>0</v>
          </cell>
          <cell r="DC133" t="str">
            <v/>
          </cell>
          <cell r="DD133" t="str">
            <v/>
          </cell>
          <cell r="DE133" t="str">
            <v/>
          </cell>
          <cell r="DF133" t="str">
            <v/>
          </cell>
          <cell r="DH133" t="str">
            <v/>
          </cell>
          <cell r="DI133" t="str">
            <v/>
          </cell>
          <cell r="DN133" t="str">
            <v>17/09/2024</v>
          </cell>
          <cell r="DQ133" t="str">
            <v>Raul</v>
          </cell>
          <cell r="DS133" t="str">
            <v>14</v>
          </cell>
          <cell r="DT133" t="str">
            <v>4</v>
          </cell>
          <cell r="DU133" t="str">
            <v>DIGEX</v>
          </cell>
          <cell r="DV133" t="str">
            <v>186 Pax + 10 Flight Crew</v>
          </cell>
          <cell r="DW133" t="str">
            <v>GLP-800-002-GGQ</v>
          </cell>
        </row>
        <row r="134">
          <cell r="A134" t="str">
            <v>PR-RAU</v>
          </cell>
          <cell r="D134" t="str">
            <v>10/10/2024</v>
          </cell>
          <cell r="E134">
            <v>3</v>
          </cell>
          <cell r="F134">
            <v>2</v>
          </cell>
          <cell r="G134" t="str">
            <v>São José dos Campos, SP - Brazil</v>
          </cell>
          <cell r="H134" t="str">
            <v>New Production Aircraft</v>
          </cell>
          <cell r="I134" t="str">
            <v>4000</v>
          </cell>
          <cell r="J134" t="str">
            <v>4000</v>
          </cell>
          <cell r="K134" t="str">
            <v>4000</v>
          </cell>
          <cell r="L134" t="str">
            <v>4000</v>
          </cell>
          <cell r="M134" t="str">
            <v>4000</v>
          </cell>
          <cell r="N134" t="str">
            <v>4000</v>
          </cell>
          <cell r="O134" t="str">
            <v>4000</v>
          </cell>
          <cell r="P134" t="str">
            <v>4000</v>
          </cell>
          <cell r="Q134" t="str">
            <v>4000</v>
          </cell>
          <cell r="R134" t="str">
            <v>4000</v>
          </cell>
          <cell r="S134" t="str">
            <v>4000</v>
          </cell>
          <cell r="T134" t="str">
            <v>4000</v>
          </cell>
          <cell r="U134">
            <v>3.9370078740157481</v>
          </cell>
          <cell r="V134">
            <v>4.7244094488188981</v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  <cell r="AA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  <cell r="AG134" t="str">
            <v/>
          </cell>
          <cell r="AH134" t="str">
            <v/>
          </cell>
          <cell r="AI134" t="str">
            <v/>
          </cell>
          <cell r="AJ134" t="str">
            <v/>
          </cell>
          <cell r="AK134" t="str">
            <v/>
          </cell>
          <cell r="AL134" t="str">
            <v/>
          </cell>
          <cell r="AM134" t="str">
            <v/>
          </cell>
          <cell r="AN134" t="str">
            <v/>
          </cell>
          <cell r="AO134" t="str">
            <v/>
          </cell>
          <cell r="AP134" t="str">
            <v/>
          </cell>
          <cell r="AQ134" t="str">
            <v/>
          </cell>
          <cell r="AR134" t="str">
            <v/>
          </cell>
          <cell r="AS134" t="str">
            <v/>
          </cell>
          <cell r="AT134" t="str">
            <v/>
          </cell>
          <cell r="AU134" t="str">
            <v/>
          </cell>
          <cell r="AV134" t="str">
            <v/>
          </cell>
          <cell r="AW134" t="str">
            <v/>
          </cell>
          <cell r="AX134" t="str">
            <v/>
          </cell>
          <cell r="AY134" t="str">
            <v/>
          </cell>
          <cell r="AZ134" t="str">
            <v/>
          </cell>
          <cell r="BA134" t="str">
            <v/>
          </cell>
          <cell r="BB134" t="str">
            <v/>
          </cell>
          <cell r="BC134" t="str">
            <v/>
          </cell>
          <cell r="BD134" t="str">
            <v/>
          </cell>
          <cell r="BE134" t="str">
            <v/>
          </cell>
          <cell r="BF134" t="str">
            <v/>
          </cell>
          <cell r="BG134" t="str">
            <v/>
          </cell>
          <cell r="BH134" t="str">
            <v/>
          </cell>
          <cell r="BI134" t="str">
            <v/>
          </cell>
          <cell r="BJ134" t="str">
            <v/>
          </cell>
          <cell r="BK134" t="str">
            <v/>
          </cell>
          <cell r="BL134" t="str">
            <v/>
          </cell>
          <cell r="BM134" t="str">
            <v/>
          </cell>
          <cell r="BN134" t="str">
            <v/>
          </cell>
          <cell r="BO134" t="str">
            <v/>
          </cell>
          <cell r="BP134" t="str">
            <v/>
          </cell>
          <cell r="BQ134" t="str">
            <v/>
          </cell>
          <cell r="BR134" t="str">
            <v/>
          </cell>
          <cell r="BS134" t="str">
            <v/>
          </cell>
          <cell r="BT134" t="str">
            <v/>
          </cell>
          <cell r="BU134" t="str">
            <v/>
          </cell>
          <cell r="BV134" t="str">
            <v/>
          </cell>
          <cell r="BW134" t="str">
            <v/>
          </cell>
          <cell r="BX134" t="str">
            <v/>
          </cell>
          <cell r="BY134" t="str">
            <v/>
          </cell>
          <cell r="BZ134" t="str">
            <v/>
          </cell>
          <cell r="CB134" t="str">
            <v/>
          </cell>
          <cell r="CC134" t="str">
            <v/>
          </cell>
          <cell r="CD134" t="str">
            <v/>
          </cell>
          <cell r="CE134" t="str">
            <v/>
          </cell>
          <cell r="CF134" t="str">
            <v/>
          </cell>
          <cell r="CG134" t="str">
            <v/>
          </cell>
          <cell r="CH134" t="str">
            <v/>
          </cell>
          <cell r="CI134" t="str">
            <v/>
          </cell>
          <cell r="CJ134" t="str">
            <v/>
          </cell>
          <cell r="CK134" t="str">
            <v/>
          </cell>
          <cell r="CL134" t="str">
            <v/>
          </cell>
          <cell r="CM134" t="str">
            <v/>
          </cell>
          <cell r="CN134" t="str">
            <v/>
          </cell>
          <cell r="CO134" t="str">
            <v/>
          </cell>
          <cell r="CP134" t="str">
            <v/>
          </cell>
          <cell r="CQ134" t="str">
            <v/>
          </cell>
          <cell r="CR134" t="str">
            <v/>
          </cell>
          <cell r="CS134" t="str">
            <v/>
          </cell>
          <cell r="CT134" t="str">
            <v/>
          </cell>
          <cell r="CU134" t="str">
            <v/>
          </cell>
          <cell r="CV134" t="str">
            <v/>
          </cell>
          <cell r="CW134" t="str">
            <v/>
          </cell>
          <cell r="CX134" t="str">
            <v/>
          </cell>
          <cell r="CY134" t="str">
            <v/>
          </cell>
          <cell r="CZ134" t="str">
            <v/>
          </cell>
          <cell r="DA134" t="str">
            <v/>
          </cell>
          <cell r="DB134" t="str">
            <v/>
          </cell>
          <cell r="DC134" t="str">
            <v/>
          </cell>
          <cell r="DN134" t="str">
            <v>10/10/2024</v>
          </cell>
          <cell r="DS134" t="str">
            <v>3</v>
          </cell>
          <cell r="DT134" t="str">
            <v>1</v>
          </cell>
          <cell r="DU134" t="str">
            <v>Flightstar</v>
          </cell>
          <cell r="DV134" t="str">
            <v>189 Pax + 10 Flight Crew</v>
          </cell>
          <cell r="DW134" t="str">
            <v>GLP-800-002-GGX</v>
          </cell>
        </row>
        <row r="135">
          <cell r="A135" t="str">
            <v>PR-RAU</v>
          </cell>
          <cell r="D135" t="str">
            <v>10/10/2024</v>
          </cell>
          <cell r="E135">
            <v>3</v>
          </cell>
          <cell r="F135">
            <v>3</v>
          </cell>
          <cell r="G135" t="str">
            <v>Jacksonville, FL - EUA</v>
          </cell>
          <cell r="H135" t="str">
            <v>New Painting</v>
          </cell>
          <cell r="I135" t="str">
            <v>4000</v>
          </cell>
          <cell r="J135" t="str">
            <v>4000</v>
          </cell>
          <cell r="K135" t="str">
            <v>4000</v>
          </cell>
          <cell r="L135" t="str">
            <v>4000</v>
          </cell>
          <cell r="M135" t="str">
            <v>4000</v>
          </cell>
          <cell r="N135" t="str">
            <v>4000</v>
          </cell>
          <cell r="O135" t="str">
            <v>4000</v>
          </cell>
          <cell r="P135" t="str">
            <v>4000</v>
          </cell>
          <cell r="Q135" t="str">
            <v>4000</v>
          </cell>
          <cell r="R135" t="str">
            <v>4000</v>
          </cell>
          <cell r="S135" t="str">
            <v>4000</v>
          </cell>
          <cell r="T135" t="str">
            <v>4000</v>
          </cell>
          <cell r="U135">
            <v>0.15500031000062009</v>
          </cell>
          <cell r="V135">
            <v>0.1860003720007441</v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  <cell r="AA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  <cell r="AG135" t="str">
            <v/>
          </cell>
          <cell r="AH135" t="str">
            <v/>
          </cell>
          <cell r="AI135" t="str">
            <v/>
          </cell>
          <cell r="AJ135" t="str">
            <v/>
          </cell>
          <cell r="AK135" t="str">
            <v/>
          </cell>
          <cell r="AL135" t="str">
            <v/>
          </cell>
          <cell r="AM135" t="str">
            <v/>
          </cell>
          <cell r="AN135" t="str">
            <v/>
          </cell>
          <cell r="AO135" t="str">
            <v/>
          </cell>
          <cell r="AP135" t="str">
            <v/>
          </cell>
          <cell r="AQ135" t="str">
            <v/>
          </cell>
          <cell r="AR135" t="str">
            <v/>
          </cell>
          <cell r="AS135" t="str">
            <v/>
          </cell>
          <cell r="AT135" t="str">
            <v/>
          </cell>
          <cell r="AU135" t="str">
            <v/>
          </cell>
          <cell r="AV135" t="str">
            <v/>
          </cell>
          <cell r="AW135" t="str">
            <v/>
          </cell>
          <cell r="AX135" t="str">
            <v/>
          </cell>
          <cell r="AY135" t="str">
            <v/>
          </cell>
          <cell r="AZ135" t="str">
            <v/>
          </cell>
          <cell r="BA135" t="str">
            <v/>
          </cell>
          <cell r="BB135" t="str">
            <v/>
          </cell>
          <cell r="BC135" t="str">
            <v/>
          </cell>
          <cell r="BD135" t="str">
            <v/>
          </cell>
          <cell r="BE135" t="str">
            <v/>
          </cell>
          <cell r="BF135" t="str">
            <v/>
          </cell>
          <cell r="BG135" t="str">
            <v/>
          </cell>
          <cell r="BH135" t="str">
            <v/>
          </cell>
          <cell r="BI135" t="str">
            <v/>
          </cell>
          <cell r="BJ135" t="str">
            <v/>
          </cell>
          <cell r="BK135" t="str">
            <v/>
          </cell>
          <cell r="BL135" t="str">
            <v/>
          </cell>
          <cell r="BM135" t="str">
            <v/>
          </cell>
          <cell r="BN135" t="str">
            <v/>
          </cell>
          <cell r="BO135" t="str">
            <v/>
          </cell>
          <cell r="BP135" t="str">
            <v/>
          </cell>
          <cell r="BQ135" t="str">
            <v/>
          </cell>
          <cell r="BR135" t="str">
            <v/>
          </cell>
          <cell r="BS135" t="str">
            <v/>
          </cell>
          <cell r="BT135" t="str">
            <v/>
          </cell>
          <cell r="BU135" t="str">
            <v/>
          </cell>
          <cell r="BV135" t="str">
            <v/>
          </cell>
          <cell r="BW135" t="str">
            <v/>
          </cell>
          <cell r="BX135" t="str">
            <v/>
          </cell>
          <cell r="BY135" t="str">
            <v/>
          </cell>
          <cell r="BZ135" t="str">
            <v/>
          </cell>
          <cell r="CB135" t="str">
            <v/>
          </cell>
          <cell r="CC135" t="str">
            <v/>
          </cell>
          <cell r="CD135" t="str">
            <v/>
          </cell>
          <cell r="CE135" t="str">
            <v/>
          </cell>
          <cell r="CF135" t="str">
            <v/>
          </cell>
          <cell r="CG135" t="str">
            <v/>
          </cell>
          <cell r="CH135" t="str">
            <v/>
          </cell>
          <cell r="CI135" t="str">
            <v/>
          </cell>
          <cell r="CJ135" t="str">
            <v/>
          </cell>
          <cell r="CK135" t="str">
            <v/>
          </cell>
          <cell r="CL135" t="str">
            <v/>
          </cell>
          <cell r="CM135" t="str">
            <v/>
          </cell>
          <cell r="CN135" t="str">
            <v/>
          </cell>
          <cell r="CO135" t="str">
            <v/>
          </cell>
          <cell r="CP135" t="str">
            <v/>
          </cell>
          <cell r="CQ135" t="str">
            <v/>
          </cell>
          <cell r="CR135" t="str">
            <v/>
          </cell>
          <cell r="CS135" t="str">
            <v/>
          </cell>
          <cell r="CT135" t="str">
            <v/>
          </cell>
          <cell r="CU135" t="str">
            <v/>
          </cell>
          <cell r="CV135" t="str">
            <v/>
          </cell>
          <cell r="CW135" t="str">
            <v/>
          </cell>
          <cell r="CX135" t="str">
            <v/>
          </cell>
          <cell r="CY135" t="str">
            <v/>
          </cell>
          <cell r="CZ135" t="str">
            <v/>
          </cell>
          <cell r="DA135" t="str">
            <v/>
          </cell>
          <cell r="DB135" t="str">
            <v/>
          </cell>
          <cell r="DC135" t="str">
            <v/>
          </cell>
          <cell r="DN135" t="str">
            <v>10/10/2024</v>
          </cell>
          <cell r="DQ135" t="str">
            <v>Danton</v>
          </cell>
          <cell r="DS135" t="str">
            <v>3</v>
          </cell>
          <cell r="DT135" t="str">
            <v>2</v>
          </cell>
          <cell r="DU135" t="str">
            <v>Flightstar</v>
          </cell>
          <cell r="DV135" t="str">
            <v>186 Pax + 10 Flight Crew</v>
          </cell>
          <cell r="DW135" t="str">
            <v>GLP-800-002-GGQ</v>
          </cell>
        </row>
        <row r="136">
          <cell r="A136" t="str">
            <v>PR-XMH</v>
          </cell>
          <cell r="D136" t="str">
            <v>10/10/2024</v>
          </cell>
          <cell r="E136">
            <v>1</v>
          </cell>
          <cell r="F136">
            <v>0</v>
          </cell>
          <cell r="G136" t="str">
            <v>Jacksonville, FL - EUA</v>
          </cell>
          <cell r="H136" t="str">
            <v>Scheduled</v>
          </cell>
          <cell r="I136" t="str">
            <v>4000</v>
          </cell>
          <cell r="J136" t="str">
            <v>4000</v>
          </cell>
          <cell r="K136" t="str">
            <v>4000</v>
          </cell>
          <cell r="L136" t="str">
            <v>4000</v>
          </cell>
          <cell r="M136" t="str">
            <v>4000</v>
          </cell>
          <cell r="N136" t="str">
            <v>4000</v>
          </cell>
          <cell r="O136" t="str">
            <v>4000</v>
          </cell>
          <cell r="P136" t="str">
            <v>4000</v>
          </cell>
          <cell r="Q136" t="str">
            <v>4000</v>
          </cell>
          <cell r="R136" t="str">
            <v>4000</v>
          </cell>
          <cell r="S136" t="str">
            <v>4000</v>
          </cell>
          <cell r="T136" t="str">
            <v>4000</v>
          </cell>
          <cell r="U136">
            <v>39.370078740157481</v>
          </cell>
          <cell r="V136">
            <v>3.9370078740157481</v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I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  <cell r="CN136" t="str">
            <v/>
          </cell>
          <cell r="CO136" t="str">
            <v/>
          </cell>
          <cell r="CP136" t="str">
            <v/>
          </cell>
          <cell r="CQ136" t="str">
            <v/>
          </cell>
          <cell r="CR136" t="str">
            <v/>
          </cell>
          <cell r="CS136" t="str">
            <v/>
          </cell>
          <cell r="CT136" t="str">
            <v/>
          </cell>
          <cell r="CU136" t="str">
            <v/>
          </cell>
          <cell r="CV136" t="str">
            <v/>
          </cell>
          <cell r="CW136" t="str">
            <v/>
          </cell>
          <cell r="CX136" t="str">
            <v/>
          </cell>
          <cell r="CY136" t="str">
            <v/>
          </cell>
          <cell r="CZ136" t="str">
            <v/>
          </cell>
          <cell r="DA136" t="str">
            <v/>
          </cell>
          <cell r="DB136" t="str">
            <v/>
          </cell>
          <cell r="DC136" t="str">
            <v/>
          </cell>
          <cell r="DN136" t="str">
            <v>10/10/2024</v>
          </cell>
          <cell r="DQ136" t="str">
            <v>Danton</v>
          </cell>
          <cell r="DS136" t="str">
            <v/>
          </cell>
          <cell r="DT136" t="str">
            <v/>
          </cell>
          <cell r="DU136" t="str">
            <v>Flightstar</v>
          </cell>
          <cell r="DV136" t="str">
            <v>186 Pax + 10 Flight Crew</v>
          </cell>
          <cell r="DW136" t="str">
            <v>GLP-800-002-GGQ</v>
          </cell>
        </row>
        <row r="137">
          <cell r="A137" t="str">
            <v>PR-RAU</v>
          </cell>
          <cell r="D137" t="str">
            <v>13/10/2024</v>
          </cell>
          <cell r="E137">
            <v>6</v>
          </cell>
          <cell r="F137">
            <v>0</v>
          </cell>
          <cell r="G137" t="str">
            <v>Renton, WA - EUA</v>
          </cell>
          <cell r="H137" t="str">
            <v>IFE Installation</v>
          </cell>
          <cell r="I137" t="str">
            <v>1518</v>
          </cell>
          <cell r="J137" t="str">
            <v>1518</v>
          </cell>
          <cell r="K137" t="str">
            <v>9413,5</v>
          </cell>
          <cell r="L137" t="str">
            <v>9413,5</v>
          </cell>
          <cell r="M137" t="str">
            <v>9558,5</v>
          </cell>
          <cell r="N137" t="str">
            <v>9558,5</v>
          </cell>
          <cell r="O137" t="str">
            <v>1518</v>
          </cell>
          <cell r="P137" t="str">
            <v>1518</v>
          </cell>
          <cell r="Q137" t="str">
            <v>9413,5</v>
          </cell>
          <cell r="R137" t="str">
            <v>9413,5</v>
          </cell>
          <cell r="S137" t="str">
            <v>9558,5</v>
          </cell>
          <cell r="T137" t="str">
            <v>9558,5</v>
          </cell>
          <cell r="U137" t="str">
            <v>5,98389570552156</v>
          </cell>
          <cell r="V137" t="str">
            <v>5,74769938650316</v>
          </cell>
          <cell r="W137" t="str">
            <v>Down Lock Nose Gear (1 ea)</v>
          </cell>
          <cell r="X137" t="str">
            <v>Down Lock Main Gear (2 ea)</v>
          </cell>
          <cell r="Y137" t="str">
            <v>Plumb Bob (1 ea)</v>
          </cell>
          <cell r="Z137" t="str">
            <v/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>0,3</v>
          </cell>
          <cell r="AL137" t="str">
            <v>0,4</v>
          </cell>
          <cell r="AM137" t="str">
            <v>0,5</v>
          </cell>
          <cell r="AN137" t="str">
            <v>0</v>
          </cell>
          <cell r="AO137" t="str">
            <v>0</v>
          </cell>
          <cell r="AP137" t="str">
            <v>0</v>
          </cell>
          <cell r="AQ137" t="str">
            <v>0</v>
          </cell>
          <cell r="AR137" t="str">
            <v>0</v>
          </cell>
          <cell r="AS137" t="str">
            <v>0</v>
          </cell>
          <cell r="AT137" t="str">
            <v>0</v>
          </cell>
          <cell r="AU137" t="str">
            <v>0</v>
          </cell>
          <cell r="AV137" t="str">
            <v>0</v>
          </cell>
          <cell r="AW137" t="str">
            <v>0</v>
          </cell>
          <cell r="AX137" t="str">
            <v>0</v>
          </cell>
          <cell r="AY137" t="str">
            <v>91</v>
          </cell>
          <cell r="AZ137" t="str">
            <v>702</v>
          </cell>
          <cell r="BA137" t="str">
            <v>685</v>
          </cell>
          <cell r="BB137" t="str">
            <v>0</v>
          </cell>
          <cell r="BC137" t="str">
            <v>0</v>
          </cell>
          <cell r="BD137" t="str">
            <v>0</v>
          </cell>
          <cell r="BE137" t="str">
            <v>0</v>
          </cell>
          <cell r="BF137" t="str">
            <v>0</v>
          </cell>
          <cell r="BG137" t="str">
            <v>0</v>
          </cell>
          <cell r="BH137" t="str">
            <v>0</v>
          </cell>
          <cell r="BI137" t="str">
            <v>0</v>
          </cell>
          <cell r="BJ137" t="str">
            <v>0</v>
          </cell>
          <cell r="BK137" t="str">
            <v>0</v>
          </cell>
          <cell r="BL137" t="str">
            <v>0</v>
          </cell>
          <cell r="BM137" t="str">
            <v>Flaps 0 - 40° (up when weighed)</v>
          </cell>
          <cell r="BN137" t="str">
            <v>Fuel, Drain., Unusable (5.6 Gal)</v>
          </cell>
          <cell r="BO137" t="str">
            <v>Lavatory Pre-Charge Fluid (6.0 Gal)</v>
          </cell>
          <cell r="BP137" t="str">
            <v>Lavatory Dry Supplies</v>
          </cell>
          <cell r="BQ137" t="str">
            <v>Potable Water (62.6 Gal)</v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B137" t="str">
            <v>0</v>
          </cell>
          <cell r="CC137" t="str">
            <v>17,3</v>
          </cell>
          <cell r="CD137" t="str">
            <v>22,7</v>
          </cell>
          <cell r="CE137" t="str">
            <v>4</v>
          </cell>
          <cell r="CF137" t="str">
            <v>236,4</v>
          </cell>
          <cell r="CG137" t="str">
            <v>0</v>
          </cell>
          <cell r="CH137" t="str">
            <v>0</v>
          </cell>
          <cell r="CI137" t="str">
            <v>0</v>
          </cell>
          <cell r="CJ137" t="str">
            <v>0</v>
          </cell>
          <cell r="CK137" t="str">
            <v>0</v>
          </cell>
          <cell r="CL137" t="str">
            <v>0</v>
          </cell>
          <cell r="CM137" t="str">
            <v>0</v>
          </cell>
          <cell r="CN137" t="str">
            <v>0</v>
          </cell>
          <cell r="CO137" t="str">
            <v>0</v>
          </cell>
          <cell r="CP137" t="str">
            <v>0</v>
          </cell>
          <cell r="CQ137" t="str">
            <v>646</v>
          </cell>
          <cell r="CR137" t="str">
            <v>1112</v>
          </cell>
          <cell r="CS137" t="str">
            <v>1145</v>
          </cell>
          <cell r="CT137" t="str">
            <v>1150</v>
          </cell>
          <cell r="CU137" t="str">
            <v>0</v>
          </cell>
          <cell r="CV137" t="str">
            <v>0</v>
          </cell>
          <cell r="CW137" t="str">
            <v>0</v>
          </cell>
          <cell r="CX137" t="str">
            <v>0</v>
          </cell>
          <cell r="CY137" t="str">
            <v>0</v>
          </cell>
          <cell r="CZ137" t="str">
            <v>0</v>
          </cell>
          <cell r="DA137" t="str">
            <v>0</v>
          </cell>
          <cell r="DB137" t="str">
            <v>0</v>
          </cell>
          <cell r="DC137" t="str">
            <v/>
          </cell>
          <cell r="DD137" t="str">
            <v/>
          </cell>
          <cell r="DE137" t="str">
            <v/>
          </cell>
          <cell r="DF137" t="str">
            <v/>
          </cell>
          <cell r="DH137" t="str">
            <v/>
          </cell>
          <cell r="DN137" t="str">
            <v>13/05/2024</v>
          </cell>
          <cell r="DQ137" t="str">
            <v>Raul</v>
          </cell>
          <cell r="DS137" t="str">
            <v>5</v>
          </cell>
          <cell r="DT137" t="str">
            <v>0</v>
          </cell>
          <cell r="DU137" t="str">
            <v>GOL</v>
          </cell>
          <cell r="DV137" t="str">
            <v>186 Pax + 10 Flight Crew</v>
          </cell>
          <cell r="DW137" t="str">
            <v>GLP-800-002-GGX</v>
          </cell>
        </row>
        <row r="138">
          <cell r="A138" t="str">
            <v>PR-GZU</v>
          </cell>
          <cell r="D138" t="str">
            <v/>
          </cell>
          <cell r="E138">
            <v>2</v>
          </cell>
          <cell r="F138">
            <v>0</v>
          </cell>
          <cell r="G138" t="str">
            <v>Lagoa Santa, MG - Brazil</v>
          </cell>
          <cell r="H138" t="str">
            <v>Scheduled</v>
          </cell>
          <cell r="I138" t="str">
            <v>1540</v>
          </cell>
          <cell r="J138" t="str">
            <v>1527</v>
          </cell>
          <cell r="K138" t="str">
            <v>9722</v>
          </cell>
          <cell r="L138" t="str">
            <v>8998</v>
          </cell>
          <cell r="M138" t="str">
            <v>8520</v>
          </cell>
          <cell r="N138" t="str">
            <v>10369</v>
          </cell>
          <cell r="O138" t="str">
            <v>1543</v>
          </cell>
          <cell r="P138" t="str">
            <v>1524</v>
          </cell>
          <cell r="Q138" t="str">
            <v>9729</v>
          </cell>
          <cell r="R138" t="str">
            <v>8985</v>
          </cell>
          <cell r="S138" t="str">
            <v>8491</v>
          </cell>
          <cell r="T138" t="str">
            <v>10402</v>
          </cell>
          <cell r="U138">
            <v>4.0551181102362204</v>
          </cell>
          <cell r="V138">
            <v>4.0551181102362204</v>
          </cell>
          <cell r="W138" t="str">
            <v xml:space="preserve">Down Lock, Nose Gear </v>
          </cell>
          <cell r="X138" t="str">
            <v xml:space="preserve">Down Lock, Main Gear </v>
          </cell>
          <cell r="Y138" t="str">
            <v>Plumb Bob</v>
          </cell>
          <cell r="Z138" t="str">
            <v/>
          </cell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/>
          </cell>
          <cell r="AK138" t="str">
            <v>0,3</v>
          </cell>
          <cell r="AL138" t="str">
            <v>0,4</v>
          </cell>
          <cell r="AM138" t="str">
            <v>0,5</v>
          </cell>
          <cell r="AN138" t="str">
            <v/>
          </cell>
          <cell r="AO138" t="str">
            <v/>
          </cell>
          <cell r="AP138" t="str">
            <v/>
          </cell>
          <cell r="AQ138" t="str">
            <v/>
          </cell>
          <cell r="AR138" t="str">
            <v/>
          </cell>
          <cell r="AS138" t="str">
            <v/>
          </cell>
          <cell r="AT138" t="str">
            <v/>
          </cell>
          <cell r="AU138" t="str">
            <v/>
          </cell>
          <cell r="AV138" t="str">
            <v/>
          </cell>
          <cell r="AW138" t="str">
            <v/>
          </cell>
          <cell r="AX138" t="str">
            <v/>
          </cell>
          <cell r="AY138" t="str">
            <v>82</v>
          </cell>
          <cell r="AZ138" t="str">
            <v>702</v>
          </cell>
          <cell r="BA138" t="str">
            <v>685</v>
          </cell>
          <cell r="BB138" t="str">
            <v/>
          </cell>
          <cell r="BC138" t="str">
            <v/>
          </cell>
          <cell r="BD138" t="str">
            <v/>
          </cell>
          <cell r="BE138" t="str">
            <v/>
          </cell>
          <cell r="BF138" t="str">
            <v/>
          </cell>
          <cell r="BG138" t="str">
            <v/>
          </cell>
          <cell r="BH138" t="str">
            <v/>
          </cell>
          <cell r="BI138" t="str">
            <v/>
          </cell>
          <cell r="BJ138" t="str">
            <v/>
          </cell>
          <cell r="BK138" t="str">
            <v/>
          </cell>
          <cell r="BL138" t="str">
            <v/>
          </cell>
          <cell r="BM138" t="str">
            <v>Fuel, Drain, Unusable (5.6 Gal)</v>
          </cell>
          <cell r="BN138" t="str">
            <v>Lavatory Pre-charge Fluid (6.0 Gal)</v>
          </cell>
          <cell r="BO138" t="str">
            <v>Lavatory Dry Supplies</v>
          </cell>
          <cell r="BP138" t="str">
            <v xml:space="preserve">Water, Potable (42.6 Gal) </v>
          </cell>
          <cell r="BQ138" t="str">
            <v>Flaps 0 - 40° (Up when weighed)</v>
          </cell>
          <cell r="BR138" t="str">
            <v>Cart 2/3 Size (Galley #4 - 2ea)</v>
          </cell>
          <cell r="BS138" t="str">
            <v>Standard Container (Galley #4 - 4ea)</v>
          </cell>
          <cell r="BT138" t="str">
            <v>Cart 2/3 Size (Galley #2 - 2ea)</v>
          </cell>
          <cell r="BU138" t="str">
            <v>Standard Container (Galley #2 - 4ea)</v>
          </cell>
          <cell r="BV138" t="str">
            <v>Cart Full Size (Galley #1 - 1ea)</v>
          </cell>
          <cell r="BW138" t="str">
            <v/>
          </cell>
          <cell r="BX138" t="str">
            <v/>
          </cell>
          <cell r="BY138" t="str">
            <v/>
          </cell>
          <cell r="BZ138" t="str">
            <v/>
          </cell>
          <cell r="CB138" t="str">
            <v>17,3</v>
          </cell>
          <cell r="CC138" t="str">
            <v>22,7</v>
          </cell>
          <cell r="CD138" t="str">
            <v>4</v>
          </cell>
          <cell r="CE138" t="str">
            <v>160,9</v>
          </cell>
          <cell r="CF138" t="str">
            <v/>
          </cell>
          <cell r="CG138" t="str">
            <v>42,4</v>
          </cell>
          <cell r="CH138" t="str">
            <v>11,2</v>
          </cell>
          <cell r="CI138" t="str">
            <v>42,4</v>
          </cell>
          <cell r="CJ138" t="str">
            <v>11,2</v>
          </cell>
          <cell r="CK138" t="str">
            <v>21,2</v>
          </cell>
          <cell r="CL138" t="str">
            <v/>
          </cell>
          <cell r="CM138" t="str">
            <v/>
          </cell>
          <cell r="CN138" t="str">
            <v/>
          </cell>
          <cell r="CO138" t="str">
            <v/>
          </cell>
          <cell r="CP138" t="str">
            <v>646</v>
          </cell>
          <cell r="CQ138" t="str">
            <v>1112</v>
          </cell>
          <cell r="CR138" t="str">
            <v>1145</v>
          </cell>
          <cell r="CS138" t="str">
            <v>1141</v>
          </cell>
          <cell r="CT138" t="str">
            <v/>
          </cell>
          <cell r="CU138" t="str">
            <v>1219</v>
          </cell>
          <cell r="CV138" t="str">
            <v>1219</v>
          </cell>
          <cell r="CW138" t="str">
            <v>156</v>
          </cell>
          <cell r="CX138" t="str">
            <v>156</v>
          </cell>
          <cell r="CY138" t="str">
            <v>85</v>
          </cell>
          <cell r="CZ138" t="str">
            <v/>
          </cell>
          <cell r="DA138" t="str">
            <v/>
          </cell>
          <cell r="DB138" t="str">
            <v/>
          </cell>
          <cell r="DC138" t="str">
            <v/>
          </cell>
          <cell r="DD138" t="str">
            <v/>
          </cell>
          <cell r="DE138" t="str">
            <v/>
          </cell>
          <cell r="DF138" t="str">
            <v/>
          </cell>
          <cell r="DH138" t="str">
            <v/>
          </cell>
          <cell r="DI138" t="str">
            <v/>
          </cell>
          <cell r="DN138" t="str">
            <v>20/09/2024</v>
          </cell>
          <cell r="DQ138" t="str">
            <v>Danton</v>
          </cell>
          <cell r="DR138" t="str">
            <v>Fernando Meirelles</v>
          </cell>
          <cell r="DS138" t="str">
            <v>2</v>
          </cell>
          <cell r="DT138" t="str">
            <v>0</v>
          </cell>
          <cell r="DU138" t="str">
            <v>GOL</v>
          </cell>
          <cell r="DV138" t="str">
            <v>186 Pax + 10 Flight Crew</v>
          </cell>
          <cell r="DW138" t="str">
            <v>GLP-800-009-GZU</v>
          </cell>
        </row>
        <row r="139">
          <cell r="A139" t="str">
            <v>PR-GZU</v>
          </cell>
          <cell r="D139" t="str">
            <v>24/09/2024</v>
          </cell>
          <cell r="E139">
            <v>3</v>
          </cell>
          <cell r="F139">
            <v>0</v>
          </cell>
          <cell r="G139" t="str">
            <v>Lagoa Santa, MG - Brazil</v>
          </cell>
          <cell r="H139" t="str">
            <v>Scheduled</v>
          </cell>
          <cell r="I139" t="str">
            <v>1540</v>
          </cell>
          <cell r="J139" t="str">
            <v>1527</v>
          </cell>
          <cell r="K139" t="str">
            <v>9722</v>
          </cell>
          <cell r="L139" t="str">
            <v>8998</v>
          </cell>
          <cell r="M139" t="str">
            <v>8520</v>
          </cell>
          <cell r="N139" t="str">
            <v>10369</v>
          </cell>
          <cell r="O139" t="str">
            <v>1543</v>
          </cell>
          <cell r="P139" t="str">
            <v>1524</v>
          </cell>
          <cell r="Q139" t="str">
            <v>9729</v>
          </cell>
          <cell r="R139" t="str">
            <v>8985</v>
          </cell>
          <cell r="S139" t="str">
            <v>8491</v>
          </cell>
          <cell r="T139" t="str">
            <v>10402</v>
          </cell>
          <cell r="U139" t="str">
            <v>4,05511811023622</v>
          </cell>
          <cell r="V139" t="str">
            <v>4,05511811023622</v>
          </cell>
          <cell r="W139" t="str">
            <v xml:space="preserve">Down Lock, Nose Gear </v>
          </cell>
          <cell r="X139" t="str">
            <v xml:space="preserve">Down Lock, Main Gear </v>
          </cell>
          <cell r="Y139" t="str">
            <v>Plumb Bob</v>
          </cell>
          <cell r="Z139" t="str">
            <v/>
          </cell>
          <cell r="AA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  <cell r="AG139" t="str">
            <v/>
          </cell>
          <cell r="AH139" t="str">
            <v/>
          </cell>
          <cell r="AI139" t="str">
            <v/>
          </cell>
          <cell r="AJ139" t="str">
            <v/>
          </cell>
          <cell r="AK139" t="str">
            <v>0,3</v>
          </cell>
          <cell r="AL139" t="str">
            <v>0,4</v>
          </cell>
          <cell r="AM139" t="str">
            <v>0,5</v>
          </cell>
          <cell r="AN139" t="str">
            <v/>
          </cell>
          <cell r="AO139" t="str">
            <v/>
          </cell>
          <cell r="AP139" t="str">
            <v/>
          </cell>
          <cell r="AQ139" t="str">
            <v/>
          </cell>
          <cell r="AR139" t="str">
            <v/>
          </cell>
          <cell r="AS139" t="str">
            <v/>
          </cell>
          <cell r="AT139" t="str">
            <v/>
          </cell>
          <cell r="AU139" t="str">
            <v/>
          </cell>
          <cell r="AV139" t="str">
            <v/>
          </cell>
          <cell r="AW139" t="str">
            <v/>
          </cell>
          <cell r="AX139" t="str">
            <v/>
          </cell>
          <cell r="AY139" t="str">
            <v>82</v>
          </cell>
          <cell r="AZ139" t="str">
            <v>702</v>
          </cell>
          <cell r="BA139" t="str">
            <v>685</v>
          </cell>
          <cell r="BB139" t="str">
            <v/>
          </cell>
          <cell r="BC139" t="str">
            <v/>
          </cell>
          <cell r="BD139" t="str">
            <v/>
          </cell>
          <cell r="BE139" t="str">
            <v/>
          </cell>
          <cell r="BF139" t="str">
            <v/>
          </cell>
          <cell r="BG139" t="str">
            <v/>
          </cell>
          <cell r="BH139" t="str">
            <v/>
          </cell>
          <cell r="BI139" t="str">
            <v/>
          </cell>
          <cell r="BJ139" t="str">
            <v/>
          </cell>
          <cell r="BK139" t="str">
            <v/>
          </cell>
          <cell r="BL139" t="str">
            <v/>
          </cell>
          <cell r="BM139" t="str">
            <v>Fuel, Drain, Unusable (5.6 Gal)</v>
          </cell>
          <cell r="BN139" t="str">
            <v>Lavatory Pre-charge Fluid (6.0 Gal)</v>
          </cell>
          <cell r="BO139" t="str">
            <v>Lavatory Dry Supplies</v>
          </cell>
          <cell r="BP139" t="str">
            <v xml:space="preserve">Water, Potable (42.6 Gal) </v>
          </cell>
          <cell r="BQ139" t="str">
            <v>Flaps 0 - 40° (Up when weighed)</v>
          </cell>
          <cell r="BR139" t="str">
            <v>Cart 2/3 Size (Galley #4 - 2ea)</v>
          </cell>
          <cell r="BS139" t="str">
            <v>Standard Container (Galley #4 - 4ea)</v>
          </cell>
          <cell r="BT139" t="str">
            <v>Cart 2/3 Size (Galley #2 - 2ea)</v>
          </cell>
          <cell r="BU139" t="str">
            <v>Standard Container (Galley #2 - 4ea)</v>
          </cell>
          <cell r="BV139" t="str">
            <v>Cart Full Size (Galley #1 - 1ea)</v>
          </cell>
          <cell r="BW139" t="str">
            <v/>
          </cell>
          <cell r="BX139" t="str">
            <v/>
          </cell>
          <cell r="BY139" t="str">
            <v/>
          </cell>
          <cell r="BZ139" t="str">
            <v/>
          </cell>
          <cell r="CB139" t="str">
            <v>17,3</v>
          </cell>
          <cell r="CC139" t="str">
            <v>22,7</v>
          </cell>
          <cell r="CD139" t="str">
            <v>4</v>
          </cell>
          <cell r="CE139" t="str">
            <v>160,9</v>
          </cell>
          <cell r="CF139" t="str">
            <v>0</v>
          </cell>
          <cell r="CG139" t="str">
            <v>42,4</v>
          </cell>
          <cell r="CH139" t="str">
            <v>11,2</v>
          </cell>
          <cell r="CI139" t="str">
            <v>42,4</v>
          </cell>
          <cell r="CJ139" t="str">
            <v>11,2</v>
          </cell>
          <cell r="CK139" t="str">
            <v>21,2</v>
          </cell>
          <cell r="CL139" t="str">
            <v/>
          </cell>
          <cell r="CM139" t="str">
            <v/>
          </cell>
          <cell r="CN139" t="str">
            <v/>
          </cell>
          <cell r="CO139" t="str">
            <v/>
          </cell>
          <cell r="CP139" t="str">
            <v>646</v>
          </cell>
          <cell r="CQ139" t="str">
            <v>1112</v>
          </cell>
          <cell r="CR139" t="str">
            <v>1145</v>
          </cell>
          <cell r="CS139" t="str">
            <v>1141</v>
          </cell>
          <cell r="CT139" t="str">
            <v>0</v>
          </cell>
          <cell r="CU139" t="str">
            <v>1219</v>
          </cell>
          <cell r="CV139" t="str">
            <v>1219</v>
          </cell>
          <cell r="CW139" t="str">
            <v>156</v>
          </cell>
          <cell r="CX139" t="str">
            <v>156</v>
          </cell>
          <cell r="CY139" t="str">
            <v>85</v>
          </cell>
          <cell r="CZ139" t="str">
            <v/>
          </cell>
          <cell r="DA139" t="str">
            <v/>
          </cell>
          <cell r="DB139" t="str">
            <v/>
          </cell>
          <cell r="DC139" t="str">
            <v/>
          </cell>
          <cell r="DD139" t="str">
            <v/>
          </cell>
          <cell r="DE139" t="str">
            <v/>
          </cell>
          <cell r="DF139" t="str">
            <v/>
          </cell>
          <cell r="DH139" t="str">
            <v/>
          </cell>
          <cell r="DI139" t="str">
            <v>24/09/2024</v>
          </cell>
          <cell r="DN139" t="str">
            <v>24/09/2024</v>
          </cell>
          <cell r="DQ139" t="str">
            <v>Fernando Meirelles</v>
          </cell>
          <cell r="DR139" t="str">
            <v>Euler</v>
          </cell>
          <cell r="DS139" t="str">
            <v>2</v>
          </cell>
          <cell r="DT139" t="str">
            <v>0</v>
          </cell>
          <cell r="DU139" t="str">
            <v>GOL</v>
          </cell>
          <cell r="DV139" t="str">
            <v>186 Pax + 10 Flight Crew</v>
          </cell>
          <cell r="DW139" t="str">
            <v>GLP-800-009-GZU</v>
          </cell>
        </row>
        <row r="140">
          <cell r="A140" t="str">
            <v>PR-GZI</v>
          </cell>
          <cell r="E140">
            <v>3</v>
          </cell>
          <cell r="F140">
            <v>0</v>
          </cell>
          <cell r="G140" t="str">
            <v>Lagoa Santa, MG - Brazil</v>
          </cell>
          <cell r="H140" t="str">
            <v>5 Years Check</v>
          </cell>
          <cell r="I140" t="str">
            <v>1554</v>
          </cell>
          <cell r="J140" t="str">
            <v>1659</v>
          </cell>
          <cell r="K140" t="str">
            <v>9030</v>
          </cell>
          <cell r="L140" t="str">
            <v>9905</v>
          </cell>
          <cell r="M140" t="str">
            <v>9879</v>
          </cell>
          <cell r="N140" t="str">
            <v>9011</v>
          </cell>
          <cell r="O140" t="str">
            <v>1549</v>
          </cell>
          <cell r="P140" t="str">
            <v>1661</v>
          </cell>
          <cell r="Q140" t="str">
            <v>9051</v>
          </cell>
          <cell r="R140" t="str">
            <v>9885</v>
          </cell>
          <cell r="S140" t="str">
            <v>9849</v>
          </cell>
          <cell r="T140" t="str">
            <v>9040</v>
          </cell>
          <cell r="U140">
            <v>4.3307086614173231</v>
          </cell>
          <cell r="V140">
            <v>4.1338582677165361</v>
          </cell>
          <cell r="W140" t="str">
            <v xml:space="preserve">Down Lock, Nose Gear </v>
          </cell>
          <cell r="X140" t="str">
            <v xml:space="preserve">Down Lock, Main Gear </v>
          </cell>
          <cell r="Y140" t="str">
            <v>Plumb Bob</v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str">
            <v/>
          </cell>
          <cell r="AK140" t="str">
            <v>0,3000</v>
          </cell>
          <cell r="AL140" t="str">
            <v>0,4000</v>
          </cell>
          <cell r="AM140" t="str">
            <v>0,5000</v>
          </cell>
          <cell r="AN140" t="str">
            <v/>
          </cell>
          <cell r="AO140" t="str">
            <v/>
          </cell>
          <cell r="AP140" t="str">
            <v/>
          </cell>
          <cell r="AQ140" t="str">
            <v/>
          </cell>
          <cell r="AR140" t="str">
            <v/>
          </cell>
          <cell r="AS140" t="str">
            <v/>
          </cell>
          <cell r="AT140" t="str">
            <v/>
          </cell>
          <cell r="AU140" t="str">
            <v/>
          </cell>
          <cell r="AV140" t="str">
            <v/>
          </cell>
          <cell r="AW140" t="str">
            <v/>
          </cell>
          <cell r="AX140" t="str">
            <v/>
          </cell>
          <cell r="AY140" t="str">
            <v>82</v>
          </cell>
          <cell r="AZ140" t="str">
            <v>702</v>
          </cell>
          <cell r="BA140" t="str">
            <v>685</v>
          </cell>
          <cell r="BB140" t="str">
            <v/>
          </cell>
          <cell r="BC140" t="str">
            <v/>
          </cell>
          <cell r="BD140" t="str">
            <v/>
          </cell>
          <cell r="BE140" t="str">
            <v/>
          </cell>
          <cell r="BF140" t="str">
            <v/>
          </cell>
          <cell r="BG140" t="str">
            <v/>
          </cell>
          <cell r="BH140" t="str">
            <v/>
          </cell>
          <cell r="BI140" t="str">
            <v/>
          </cell>
          <cell r="BJ140" t="str">
            <v/>
          </cell>
          <cell r="BK140" t="str">
            <v/>
          </cell>
          <cell r="BL140" t="str">
            <v/>
          </cell>
          <cell r="BM140" t="str">
            <v>Flaps 0 - 40° (Up when weighed)</v>
          </cell>
          <cell r="BN140" t="str">
            <v>Fuel, Drain, Unusable (5.6 Gal)</v>
          </cell>
          <cell r="BO140" t="str">
            <v>Lavatory Pre-charge Fluid (6.0 Gal)</v>
          </cell>
          <cell r="BP140" t="str">
            <v xml:space="preserve">Water, Potable (42.2 Gal) </v>
          </cell>
          <cell r="BQ140" t="str">
            <v>Lavatory Dry Supplies</v>
          </cell>
          <cell r="BR140" t="str">
            <v/>
          </cell>
          <cell r="BS140" t="str">
            <v/>
          </cell>
          <cell r="BT140" t="str">
            <v/>
          </cell>
          <cell r="BU140" t="str">
            <v/>
          </cell>
          <cell r="BV140" t="str">
            <v/>
          </cell>
          <cell r="BW140" t="str">
            <v/>
          </cell>
          <cell r="BX140" t="str">
            <v/>
          </cell>
          <cell r="BY140" t="str">
            <v/>
          </cell>
          <cell r="BZ140" t="str">
            <v/>
          </cell>
          <cell r="CB140" t="str">
            <v/>
          </cell>
          <cell r="CC140" t="str">
            <v>17,3</v>
          </cell>
          <cell r="CD140" t="str">
            <v>22,7</v>
          </cell>
          <cell r="CE140" t="str">
            <v>160,9</v>
          </cell>
          <cell r="CF140" t="str">
            <v>4</v>
          </cell>
          <cell r="CG140" t="str">
            <v/>
          </cell>
          <cell r="CH140" t="str">
            <v/>
          </cell>
          <cell r="CI140" t="str">
            <v/>
          </cell>
          <cell r="CJ140" t="str">
            <v/>
          </cell>
          <cell r="CK140" t="str">
            <v/>
          </cell>
          <cell r="CL140" t="str">
            <v/>
          </cell>
          <cell r="CM140" t="str">
            <v/>
          </cell>
          <cell r="CN140" t="str">
            <v/>
          </cell>
          <cell r="CO140" t="str">
            <v/>
          </cell>
          <cell r="CP140" t="str">
            <v/>
          </cell>
          <cell r="CQ140" t="str">
            <v>646</v>
          </cell>
          <cell r="CR140" t="str">
            <v>1112</v>
          </cell>
          <cell r="CS140" t="str">
            <v>1141</v>
          </cell>
          <cell r="CT140" t="str">
            <v>1145</v>
          </cell>
          <cell r="CU140" t="str">
            <v/>
          </cell>
          <cell r="CV140" t="str">
            <v/>
          </cell>
          <cell r="CW140" t="str">
            <v/>
          </cell>
          <cell r="CX140" t="str">
            <v/>
          </cell>
          <cell r="CY140" t="str">
            <v/>
          </cell>
          <cell r="CZ140" t="str">
            <v/>
          </cell>
          <cell r="DA140" t="str">
            <v/>
          </cell>
          <cell r="DB140" t="str">
            <v/>
          </cell>
          <cell r="DC140" t="str">
            <v/>
          </cell>
          <cell r="DN140" t="str">
            <v>02/10/2024</v>
          </cell>
          <cell r="DQ140" t="str">
            <v>Jeferson</v>
          </cell>
          <cell r="DS140" t="str">
            <v>3</v>
          </cell>
          <cell r="DT140" t="str">
            <v>0</v>
          </cell>
          <cell r="DU140" t="str">
            <v>GOL</v>
          </cell>
          <cell r="DV140" t="str">
            <v>186 Pax + 10 Flight Crew</v>
          </cell>
          <cell r="DW140" t="str">
            <v>GLP-800-006-GZI</v>
          </cell>
        </row>
        <row r="141">
          <cell r="A141" t="str">
            <v>PR-GUY</v>
          </cell>
          <cell r="D141" t="str">
            <v/>
          </cell>
          <cell r="E141">
            <v>5</v>
          </cell>
          <cell r="F141">
            <v>0</v>
          </cell>
          <cell r="G141" t="str">
            <v>Lagoa Santa, MG - Brazil</v>
          </cell>
          <cell r="H141" t="str">
            <v>New Painting</v>
          </cell>
          <cell r="I141" t="str">
            <v>1377</v>
          </cell>
          <cell r="J141" t="str">
            <v>1652</v>
          </cell>
          <cell r="K141" t="str">
            <v>8821</v>
          </cell>
          <cell r="L141" t="str">
            <v>10290</v>
          </cell>
          <cell r="M141" t="str">
            <v>10434</v>
          </cell>
          <cell r="N141" t="str">
            <v>8613</v>
          </cell>
          <cell r="O141" t="str">
            <v>1374</v>
          </cell>
          <cell r="P141" t="str">
            <v>1654</v>
          </cell>
          <cell r="Q141" t="str">
            <v>10354</v>
          </cell>
          <cell r="R141" t="str">
            <v>8747</v>
          </cell>
          <cell r="S141" t="str">
            <v>8568</v>
          </cell>
          <cell r="T141" t="str">
            <v>10481</v>
          </cell>
          <cell r="U141">
            <v>5.5118110236220472</v>
          </cell>
          <cell r="V141">
            <v>5.5118110236220472</v>
          </cell>
          <cell r="W141" t="str">
            <v>Down Lock, Nose Gear</v>
          </cell>
          <cell r="X141" t="str">
            <v>Down Lock, Main Gear</v>
          </cell>
          <cell r="Y141" t="str">
            <v>Plumb Bob</v>
          </cell>
          <cell r="Z141" t="str">
            <v/>
          </cell>
          <cell r="AA141" t="str">
            <v/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  <cell r="AG141" t="str">
            <v/>
          </cell>
          <cell r="AH141" t="str">
            <v/>
          </cell>
          <cell r="AI141" t="str">
            <v/>
          </cell>
          <cell r="AJ141" t="str">
            <v/>
          </cell>
          <cell r="AK141" t="str">
            <v>0,3</v>
          </cell>
          <cell r="AL141" t="str">
            <v>0,4</v>
          </cell>
          <cell r="AM141" t="str">
            <v>0,5</v>
          </cell>
          <cell r="AN141" t="str">
            <v>0</v>
          </cell>
          <cell r="AO141" t="str">
            <v>0</v>
          </cell>
          <cell r="AP141" t="str">
            <v>0</v>
          </cell>
          <cell r="AQ141" t="str">
            <v>0</v>
          </cell>
          <cell r="AR141" t="str">
            <v>0</v>
          </cell>
          <cell r="AS141" t="str">
            <v>0</v>
          </cell>
          <cell r="AT141" t="str">
            <v>0</v>
          </cell>
          <cell r="AU141" t="str">
            <v>0</v>
          </cell>
          <cell r="AV141" t="str">
            <v>0</v>
          </cell>
          <cell r="AW141" t="str">
            <v>0</v>
          </cell>
          <cell r="AX141" t="str">
            <v>0</v>
          </cell>
          <cell r="AY141" t="str">
            <v>82</v>
          </cell>
          <cell r="AZ141" t="str">
            <v>702</v>
          </cell>
          <cell r="BA141" t="str">
            <v>685</v>
          </cell>
          <cell r="BB141" t="str">
            <v>0</v>
          </cell>
          <cell r="BC141" t="str">
            <v>0</v>
          </cell>
          <cell r="BD141" t="str">
            <v>0</v>
          </cell>
          <cell r="BE141" t="str">
            <v>0</v>
          </cell>
          <cell r="BF141" t="str">
            <v>0</v>
          </cell>
          <cell r="BG141" t="str">
            <v>0</v>
          </cell>
          <cell r="BH141" t="str">
            <v>0</v>
          </cell>
          <cell r="BI141" t="str">
            <v>0</v>
          </cell>
          <cell r="BJ141" t="str">
            <v>0</v>
          </cell>
          <cell r="BK141" t="str">
            <v>0</v>
          </cell>
          <cell r="BL141" t="str">
            <v>0</v>
          </cell>
          <cell r="BM141" t="str">
            <v>Flaps 0 - 40° (Up when weighed)</v>
          </cell>
          <cell r="BN141" t="str">
            <v>Fuel, Drain, Unusable (5.6 Gal)</v>
          </cell>
          <cell r="BO141" t="str">
            <v>Lavatory Dry Supplies</v>
          </cell>
          <cell r="BP141" t="str">
            <v>Lavatory Pre-charge Fluid (6.0 Gal)</v>
          </cell>
          <cell r="BQ141" t="str">
            <v>Water, Potable (62.6 Gal)</v>
          </cell>
          <cell r="BR141" t="str">
            <v/>
          </cell>
          <cell r="BS141" t="str">
            <v/>
          </cell>
          <cell r="BT141" t="str">
            <v/>
          </cell>
          <cell r="BU141" t="str">
            <v/>
          </cell>
          <cell r="BV141" t="str">
            <v/>
          </cell>
          <cell r="BW141" t="str">
            <v/>
          </cell>
          <cell r="BX141" t="str">
            <v/>
          </cell>
          <cell r="BY141" t="str">
            <v/>
          </cell>
          <cell r="BZ141" t="str">
            <v/>
          </cell>
          <cell r="CB141" t="str">
            <v>0</v>
          </cell>
          <cell r="CC141" t="str">
            <v>17,3</v>
          </cell>
          <cell r="CD141" t="str">
            <v>4</v>
          </cell>
          <cell r="CE141" t="str">
            <v>22,7</v>
          </cell>
          <cell r="CF141" t="str">
            <v>236,4</v>
          </cell>
          <cell r="CG141" t="str">
            <v/>
          </cell>
          <cell r="CH141" t="str">
            <v>0</v>
          </cell>
          <cell r="CI141" t="str">
            <v>0</v>
          </cell>
          <cell r="CJ141" t="str">
            <v>0</v>
          </cell>
          <cell r="CK141" t="str">
            <v>0</v>
          </cell>
          <cell r="CL141" t="str">
            <v>0</v>
          </cell>
          <cell r="CM141" t="str">
            <v>0</v>
          </cell>
          <cell r="CN141" t="str">
            <v>0</v>
          </cell>
          <cell r="CO141" t="str">
            <v>0</v>
          </cell>
          <cell r="CP141" t="str">
            <v>0</v>
          </cell>
          <cell r="CQ141" t="str">
            <v>646</v>
          </cell>
          <cell r="CR141" t="str">
            <v>1138</v>
          </cell>
          <cell r="CS141" t="str">
            <v>1112</v>
          </cell>
          <cell r="CT141" t="str">
            <v>1150</v>
          </cell>
          <cell r="CU141" t="str">
            <v/>
          </cell>
          <cell r="CV141" t="str">
            <v>0</v>
          </cell>
          <cell r="CW141" t="str">
            <v>0</v>
          </cell>
          <cell r="CX141" t="str">
            <v>0</v>
          </cell>
          <cell r="CY141" t="str">
            <v>0</v>
          </cell>
          <cell r="CZ141" t="str">
            <v>0</v>
          </cell>
          <cell r="DA141" t="str">
            <v>0</v>
          </cell>
          <cell r="DB141" t="str">
            <v>0</v>
          </cell>
          <cell r="DC141" t="str">
            <v/>
          </cell>
          <cell r="DD141" t="str">
            <v/>
          </cell>
          <cell r="DE141" t="str">
            <v/>
          </cell>
          <cell r="DF141" t="str">
            <v/>
          </cell>
          <cell r="DH141" t="str">
            <v/>
          </cell>
          <cell r="DI141" t="str">
            <v/>
          </cell>
          <cell r="DN141" t="str">
            <v>20/09/2024</v>
          </cell>
          <cell r="DQ141" t="str">
            <v>Euler</v>
          </cell>
          <cell r="DR141" t="str">
            <v>Danton</v>
          </cell>
          <cell r="DS141" t="str">
            <v>4</v>
          </cell>
          <cell r="DT141" t="str">
            <v>0</v>
          </cell>
          <cell r="DU141" t="str">
            <v>GOL</v>
          </cell>
          <cell r="DV141" t="str">
            <v xml:space="preserve">GLP-800-003-GUY </v>
          </cell>
          <cell r="DW141" t="str">
            <v>186 Pax + 10 Flight Crew</v>
          </cell>
        </row>
        <row r="142">
          <cell r="A142" t="str">
            <v>PR-GOL</v>
          </cell>
          <cell r="D142" t="str">
            <v>17/06/2024</v>
          </cell>
          <cell r="E142">
            <v>14</v>
          </cell>
          <cell r="F142">
            <v>6</v>
          </cell>
          <cell r="G142" t="str">
            <v>Jacksonville, FL - EUA</v>
          </cell>
          <cell r="H142" t="str">
            <v>New Painting</v>
          </cell>
          <cell r="I142" t="str">
            <v>2513</v>
          </cell>
          <cell r="J142" t="str">
            <v>2513</v>
          </cell>
          <cell r="K142" t="str">
            <v>9569</v>
          </cell>
          <cell r="L142" t="str">
            <v>9569</v>
          </cell>
          <cell r="M142" t="str">
            <v>9549,5</v>
          </cell>
          <cell r="N142" t="str">
            <v>9549,5</v>
          </cell>
          <cell r="O142" t="str">
            <v>1513</v>
          </cell>
          <cell r="P142" t="str">
            <v>1513</v>
          </cell>
          <cell r="Q142" t="str">
            <v>9569</v>
          </cell>
          <cell r="R142" t="str">
            <v>9569</v>
          </cell>
          <cell r="S142" t="str">
            <v>9549,5</v>
          </cell>
          <cell r="T142" t="str">
            <v>9549,5</v>
          </cell>
          <cell r="U142" t="str">
            <v>3,93700787401575</v>
          </cell>
          <cell r="V142" t="str">
            <v>1,18110236220472</v>
          </cell>
          <cell r="W142" t="str">
            <v>Down Lock Nose Gear (1 ea)</v>
          </cell>
          <cell r="X142" t="str">
            <v>Down Lock Main Gear (2 ea)</v>
          </cell>
          <cell r="Y142" t="str">
            <v>Plumb Bob (1 ea)</v>
          </cell>
          <cell r="Z142" t="str">
            <v/>
          </cell>
          <cell r="AA142" t="str">
            <v/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  <cell r="AF142" t="str">
            <v/>
          </cell>
          <cell r="AG142" t="str">
            <v/>
          </cell>
          <cell r="AH142" t="str">
            <v/>
          </cell>
          <cell r="AI142" t="str">
            <v/>
          </cell>
          <cell r="AJ142" t="str">
            <v/>
          </cell>
          <cell r="AK142" t="str">
            <v>0,3</v>
          </cell>
          <cell r="AL142" t="str">
            <v>0,4</v>
          </cell>
          <cell r="AM142" t="str">
            <v>0,5</v>
          </cell>
          <cell r="AN142" t="str">
            <v>0</v>
          </cell>
          <cell r="AO142" t="str">
            <v>0</v>
          </cell>
          <cell r="AP142" t="str">
            <v>0</v>
          </cell>
          <cell r="AQ142" t="str">
            <v>0</v>
          </cell>
          <cell r="AR142" t="str">
            <v>0</v>
          </cell>
          <cell r="AS142" t="str">
            <v>0</v>
          </cell>
          <cell r="AT142" t="str">
            <v>0</v>
          </cell>
          <cell r="AU142" t="str">
            <v>0</v>
          </cell>
          <cell r="AV142" t="str">
            <v>0</v>
          </cell>
          <cell r="AW142" t="str">
            <v>0</v>
          </cell>
          <cell r="AX142" t="str">
            <v>0</v>
          </cell>
          <cell r="AY142" t="str">
            <v>82</v>
          </cell>
          <cell r="AZ142" t="str">
            <v>702</v>
          </cell>
          <cell r="BA142" t="str">
            <v>685</v>
          </cell>
          <cell r="BB142" t="str">
            <v>0</v>
          </cell>
          <cell r="BC142" t="str">
            <v>0</v>
          </cell>
          <cell r="BD142" t="str">
            <v>0</v>
          </cell>
          <cell r="BE142" t="str">
            <v>0</v>
          </cell>
          <cell r="BF142" t="str">
            <v>0</v>
          </cell>
          <cell r="BG142" t="str">
            <v>0</v>
          </cell>
          <cell r="BH142" t="str">
            <v>0</v>
          </cell>
          <cell r="BI142" t="str">
            <v>0</v>
          </cell>
          <cell r="BJ142" t="str">
            <v>0</v>
          </cell>
          <cell r="BK142" t="str">
            <v>0</v>
          </cell>
          <cell r="BL142" t="str">
            <v>0</v>
          </cell>
          <cell r="BM142" t="str">
            <v>Flaps 0 - 40° (up when weighed)</v>
          </cell>
          <cell r="BN142" t="str">
            <v>Fuel, Drainable, Unusable (5.6 Gal)</v>
          </cell>
          <cell r="BO142" t="str">
            <v>Lavatory Fluid, Precharge (6.0 Gal)</v>
          </cell>
          <cell r="BP142" t="str">
            <v>Lavatory Dry Supplies (2 ea)</v>
          </cell>
          <cell r="BQ142" t="str">
            <v>Water, Portable (62.6 Gal)</v>
          </cell>
          <cell r="BR142" t="str">
            <v/>
          </cell>
          <cell r="BS142" t="str">
            <v/>
          </cell>
          <cell r="BT142" t="str">
            <v/>
          </cell>
          <cell r="BU142" t="str">
            <v/>
          </cell>
          <cell r="BV142" t="str">
            <v/>
          </cell>
          <cell r="BW142" t="str">
            <v/>
          </cell>
          <cell r="BX142" t="str">
            <v/>
          </cell>
          <cell r="BY142" t="str">
            <v/>
          </cell>
          <cell r="BZ142" t="str">
            <v/>
          </cell>
          <cell r="CB142" t="str">
            <v>0</v>
          </cell>
          <cell r="CC142" t="str">
            <v>17,3</v>
          </cell>
          <cell r="CD142" t="str">
            <v>22,7</v>
          </cell>
          <cell r="CE142" t="str">
            <v>4</v>
          </cell>
          <cell r="CF142" t="str">
            <v>236,4</v>
          </cell>
          <cell r="CG142" t="str">
            <v>0</v>
          </cell>
          <cell r="CH142" t="str">
            <v>0</v>
          </cell>
          <cell r="CI142" t="str">
            <v>0</v>
          </cell>
          <cell r="CJ142" t="str">
            <v>0</v>
          </cell>
          <cell r="CK142" t="str">
            <v>0</v>
          </cell>
          <cell r="CL142" t="str">
            <v>0</v>
          </cell>
          <cell r="CM142" t="str">
            <v>0</v>
          </cell>
          <cell r="CN142" t="str">
            <v>0</v>
          </cell>
          <cell r="CO142" t="str">
            <v>0</v>
          </cell>
          <cell r="CP142" t="str">
            <v>0</v>
          </cell>
          <cell r="CQ142" t="str">
            <v>646</v>
          </cell>
          <cell r="CR142" t="str">
            <v>1112</v>
          </cell>
          <cell r="CS142" t="str">
            <v>1145</v>
          </cell>
          <cell r="CT142" t="str">
            <v>1150</v>
          </cell>
          <cell r="CU142" t="str">
            <v>0</v>
          </cell>
          <cell r="CV142" t="str">
            <v>0</v>
          </cell>
          <cell r="CW142" t="str">
            <v>0</v>
          </cell>
          <cell r="CX142" t="str">
            <v>0</v>
          </cell>
          <cell r="CY142" t="str">
            <v>0</v>
          </cell>
          <cell r="CZ142" t="str">
            <v>0</v>
          </cell>
          <cell r="DA142" t="str">
            <v>0</v>
          </cell>
          <cell r="DB142" t="str">
            <v>0</v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H142" t="str">
            <v/>
          </cell>
          <cell r="DI142" t="str">
            <v>17/09/2024</v>
          </cell>
          <cell r="DN142" t="str">
            <v>17/09/2024</v>
          </cell>
          <cell r="DQ142" t="str">
            <v>Raul</v>
          </cell>
          <cell r="DS142" t="str">
            <v>14</v>
          </cell>
          <cell r="DT142" t="str">
            <v>5</v>
          </cell>
          <cell r="DU142" t="str">
            <v>DIGEX</v>
          </cell>
          <cell r="DV142" t="str">
            <v>168 Pax + 9 Flight Crew</v>
          </cell>
          <cell r="DW142" t="str">
            <v>GLP-800-003-GYA</v>
          </cell>
        </row>
        <row r="143">
          <cell r="A143" t="str">
            <v>PR-GYD</v>
          </cell>
          <cell r="E143">
            <v>3</v>
          </cell>
          <cell r="F143">
            <v>0</v>
          </cell>
          <cell r="G143" t="str">
            <v>Lagoa Santa, MG - Brazil</v>
          </cell>
          <cell r="H143" t="str">
            <v>Scheduled</v>
          </cell>
          <cell r="I143" t="str">
            <v>1873</v>
          </cell>
          <cell r="J143" t="str">
            <v>1235</v>
          </cell>
          <cell r="K143" t="str">
            <v>9336</v>
          </cell>
          <cell r="L143" t="str">
            <v>9891</v>
          </cell>
          <cell r="M143" t="str">
            <v>10261</v>
          </cell>
          <cell r="N143" t="str">
            <v>8607</v>
          </cell>
          <cell r="O143" t="str">
            <v>1842</v>
          </cell>
          <cell r="P143" t="str">
            <v>1268</v>
          </cell>
          <cell r="Q143" t="str">
            <v>9271</v>
          </cell>
          <cell r="R143" t="str">
            <v>9961</v>
          </cell>
          <cell r="S143" t="str">
            <v>10343</v>
          </cell>
          <cell r="T143" t="str">
            <v>8514</v>
          </cell>
          <cell r="U143">
            <v>2.5590551181102366</v>
          </cell>
          <cell r="V143">
            <v>0</v>
          </cell>
          <cell r="W143" t="str">
            <v>Down Lock, Nose Gear</v>
          </cell>
          <cell r="X143" t="str">
            <v>Down Lock, Main Gear</v>
          </cell>
          <cell r="Y143" t="str">
            <v>Plumb Bob</v>
          </cell>
          <cell r="Z143" t="str">
            <v/>
          </cell>
          <cell r="AA143" t="str">
            <v/>
          </cell>
          <cell r="AB143" t="str">
            <v/>
          </cell>
          <cell r="AC143" t="str">
            <v/>
          </cell>
          <cell r="AD143" t="str">
            <v/>
          </cell>
          <cell r="AE143" t="str">
            <v/>
          </cell>
          <cell r="AF143" t="str">
            <v/>
          </cell>
          <cell r="AG143" t="str">
            <v/>
          </cell>
          <cell r="AH143" t="str">
            <v/>
          </cell>
          <cell r="AI143" t="str">
            <v/>
          </cell>
          <cell r="AJ143" t="str">
            <v/>
          </cell>
          <cell r="AK143" t="str">
            <v>0,3</v>
          </cell>
          <cell r="AL143" t="str">
            <v>0,4</v>
          </cell>
          <cell r="AM143" t="str">
            <v>0,5</v>
          </cell>
          <cell r="AN143" t="str">
            <v>0</v>
          </cell>
          <cell r="AO143" t="str">
            <v>0</v>
          </cell>
          <cell r="AP143" t="str">
            <v>0</v>
          </cell>
          <cell r="AQ143" t="str">
            <v>0</v>
          </cell>
          <cell r="AR143" t="str">
            <v>0</v>
          </cell>
          <cell r="AS143" t="str">
            <v>0</v>
          </cell>
          <cell r="AT143" t="str">
            <v>0</v>
          </cell>
          <cell r="AU143" t="str">
            <v>0</v>
          </cell>
          <cell r="AV143" t="str">
            <v>0</v>
          </cell>
          <cell r="AW143" t="str">
            <v>0</v>
          </cell>
          <cell r="AX143" t="str">
            <v>0</v>
          </cell>
          <cell r="AY143" t="str">
            <v>82</v>
          </cell>
          <cell r="AZ143" t="str">
            <v>702</v>
          </cell>
          <cell r="BA143" t="str">
            <v>685</v>
          </cell>
          <cell r="BB143" t="str">
            <v>0</v>
          </cell>
          <cell r="BC143" t="str">
            <v>0</v>
          </cell>
          <cell r="BD143" t="str">
            <v>0</v>
          </cell>
          <cell r="BE143" t="str">
            <v>0</v>
          </cell>
          <cell r="BF143" t="str">
            <v>0</v>
          </cell>
          <cell r="BG143" t="str">
            <v>0</v>
          </cell>
          <cell r="BH143" t="str">
            <v>0</v>
          </cell>
          <cell r="BI143" t="str">
            <v>0</v>
          </cell>
          <cell r="BJ143" t="str">
            <v>0</v>
          </cell>
          <cell r="BK143" t="str">
            <v>0</v>
          </cell>
          <cell r="BL143" t="str">
            <v>0</v>
          </cell>
          <cell r="BM143" t="str">
            <v>Flaps 0 - 40° (Up when weighed)</v>
          </cell>
          <cell r="BN143" t="str">
            <v>Fuel, Drain, Unusable (5.6 Gal)</v>
          </cell>
          <cell r="BO143" t="str">
            <v>Lavatory Dry Supplies</v>
          </cell>
          <cell r="BP143" t="str">
            <v>Lavatory Pre-charge Fluid (6.0 Gal)</v>
          </cell>
          <cell r="BQ143" t="str">
            <v>Water, Potable (62.6 Gal)</v>
          </cell>
          <cell r="BR143" t="str">
            <v/>
          </cell>
          <cell r="BS143" t="str">
            <v/>
          </cell>
          <cell r="BT143" t="str">
            <v/>
          </cell>
          <cell r="BU143" t="str">
            <v/>
          </cell>
          <cell r="BV143" t="str">
            <v/>
          </cell>
          <cell r="BW143" t="str">
            <v/>
          </cell>
          <cell r="BX143" t="str">
            <v/>
          </cell>
          <cell r="BY143" t="str">
            <v/>
          </cell>
          <cell r="BZ143" t="str">
            <v/>
          </cell>
          <cell r="CB143" t="str">
            <v>0</v>
          </cell>
          <cell r="CC143" t="str">
            <v>17,3</v>
          </cell>
          <cell r="CD143" t="str">
            <v>2</v>
          </cell>
          <cell r="CE143" t="str">
            <v>22,7</v>
          </cell>
          <cell r="CF143" t="str">
            <v>236</v>
          </cell>
          <cell r="CG143" t="str">
            <v>0</v>
          </cell>
          <cell r="CH143" t="str">
            <v>0</v>
          </cell>
          <cell r="CI143" t="str">
            <v>0</v>
          </cell>
          <cell r="CJ143" t="str">
            <v>0</v>
          </cell>
          <cell r="CK143" t="str">
            <v>0</v>
          </cell>
          <cell r="CL143" t="str">
            <v>0</v>
          </cell>
          <cell r="CM143" t="str">
            <v>0</v>
          </cell>
          <cell r="CN143" t="str">
            <v>0</v>
          </cell>
          <cell r="CO143" t="str">
            <v>0</v>
          </cell>
          <cell r="CP143" t="str">
            <v>0</v>
          </cell>
          <cell r="CQ143" t="str">
            <v>646</v>
          </cell>
          <cell r="CR143" t="str">
            <v>89</v>
          </cell>
          <cell r="CS143" t="str">
            <v>1112</v>
          </cell>
          <cell r="CT143" t="str">
            <v>1115</v>
          </cell>
          <cell r="CU143" t="str">
            <v>0</v>
          </cell>
          <cell r="CV143" t="str">
            <v>0</v>
          </cell>
          <cell r="CW143" t="str">
            <v>0</v>
          </cell>
          <cell r="CX143" t="str">
            <v>0</v>
          </cell>
          <cell r="CY143" t="str">
            <v>0</v>
          </cell>
          <cell r="CZ143" t="str">
            <v>0</v>
          </cell>
          <cell r="DA143" t="str">
            <v>0</v>
          </cell>
          <cell r="DB143" t="str">
            <v>0</v>
          </cell>
          <cell r="DC143" t="str">
            <v/>
          </cell>
          <cell r="DN143" t="str">
            <v>10/10/2024</v>
          </cell>
          <cell r="DQ143" t="str">
            <v>Jeferson</v>
          </cell>
          <cell r="DR143" t="str">
            <v>Fernando Araujo</v>
          </cell>
          <cell r="DS143" t="str">
            <v>2</v>
          </cell>
          <cell r="DT143" t="str">
            <v>0</v>
          </cell>
          <cell r="DU143" t="str">
            <v>GOL</v>
          </cell>
          <cell r="DV143" t="str">
            <v>186 Pax + 10 Flight Crew</v>
          </cell>
          <cell r="DW143" t="str">
            <v>GLP-800-003-GYD R00</v>
          </cell>
        </row>
        <row r="144">
          <cell r="A144" t="str">
            <v>PR-XMU</v>
          </cell>
          <cell r="D144" t="str">
            <v>23/10/2024</v>
          </cell>
          <cell r="E144">
            <v>2</v>
          </cell>
          <cell r="F144">
            <v>0</v>
          </cell>
          <cell r="G144" t="str">
            <v>Lagoa Santa, MG - Brazil</v>
          </cell>
          <cell r="H144" t="str">
            <v>Scheduled</v>
          </cell>
          <cell r="I144" t="str">
            <v>1680</v>
          </cell>
          <cell r="J144" t="str">
            <v>2014</v>
          </cell>
          <cell r="K144" t="str">
            <v>10160</v>
          </cell>
          <cell r="L144" t="str">
            <v>9958</v>
          </cell>
          <cell r="M144" t="str">
            <v>10030</v>
          </cell>
          <cell r="N144" t="str">
            <v>10244</v>
          </cell>
          <cell r="O144" t="str">
            <v>1681</v>
          </cell>
          <cell r="P144" t="str">
            <v>2013</v>
          </cell>
          <cell r="Q144" t="str">
            <v>10142</v>
          </cell>
          <cell r="R144" t="str">
            <v>9976</v>
          </cell>
          <cell r="S144" t="str">
            <v>10054</v>
          </cell>
          <cell r="T144" t="str">
            <v>10224</v>
          </cell>
          <cell r="U144">
            <v>4.4881889763779528</v>
          </cell>
          <cell r="V144">
            <v>4.015748031496063</v>
          </cell>
          <cell r="W144" t="str">
            <v>DOWN LOCK, NOSE GEAR</v>
          </cell>
          <cell r="X144" t="str">
            <v>DOWN LOCK, MAIN GEAR</v>
          </cell>
          <cell r="Y144" t="str">
            <v>PLUMB BOB</v>
          </cell>
          <cell r="Z144" t="str">
            <v/>
          </cell>
          <cell r="AA144" t="str">
            <v/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  <cell r="AF144" t="str">
            <v/>
          </cell>
          <cell r="AG144" t="str">
            <v/>
          </cell>
          <cell r="AH144" t="str">
            <v/>
          </cell>
          <cell r="AI144" t="str">
            <v/>
          </cell>
          <cell r="AJ144" t="str">
            <v/>
          </cell>
          <cell r="AK144" t="str">
            <v>0,3</v>
          </cell>
          <cell r="AL144" t="str">
            <v>0,4</v>
          </cell>
          <cell r="AM144" t="str">
            <v>0,5</v>
          </cell>
          <cell r="AN144" t="str">
            <v>0</v>
          </cell>
          <cell r="AO144" t="str">
            <v>0</v>
          </cell>
          <cell r="AP144" t="str">
            <v>0</v>
          </cell>
          <cell r="AQ144" t="str">
            <v>0</v>
          </cell>
          <cell r="AR144" t="str">
            <v>0</v>
          </cell>
          <cell r="AS144" t="str">
            <v>0</v>
          </cell>
          <cell r="AT144" t="str">
            <v>0</v>
          </cell>
          <cell r="AU144" t="str">
            <v>0</v>
          </cell>
          <cell r="AV144" t="str">
            <v>0</v>
          </cell>
          <cell r="AW144" t="str">
            <v>0</v>
          </cell>
          <cell r="AX144" t="str">
            <v>0</v>
          </cell>
          <cell r="AY144" t="str">
            <v>82</v>
          </cell>
          <cell r="AZ144" t="str">
            <v>702</v>
          </cell>
          <cell r="BA144" t="str">
            <v>685</v>
          </cell>
          <cell r="BB144" t="str">
            <v>0</v>
          </cell>
          <cell r="BC144" t="str">
            <v>0</v>
          </cell>
          <cell r="BD144" t="str">
            <v>0</v>
          </cell>
          <cell r="BE144" t="str">
            <v>0</v>
          </cell>
          <cell r="BF144" t="str">
            <v>0</v>
          </cell>
          <cell r="BG144" t="str">
            <v>0</v>
          </cell>
          <cell r="BH144" t="str">
            <v>0</v>
          </cell>
          <cell r="BI144" t="str">
            <v>0</v>
          </cell>
          <cell r="BJ144" t="str">
            <v>0</v>
          </cell>
          <cell r="BK144" t="str">
            <v>0</v>
          </cell>
          <cell r="BL144" t="str">
            <v>0</v>
          </cell>
          <cell r="BM144" t="str">
            <v>Fuel, Drain, Unusable (5.6 Gal)</v>
          </cell>
          <cell r="BN144" t="str">
            <v>Lavatory Pre-charge Fluid (6.0 Gal)</v>
          </cell>
          <cell r="BO144" t="str">
            <v>Flaps 0 - 40° (Up when weighed)</v>
          </cell>
          <cell r="BP144" t="str">
            <v>Water, Potable (62.6 Gal)</v>
          </cell>
          <cell r="BQ144" t="str">
            <v/>
          </cell>
          <cell r="BR144" t="str">
            <v/>
          </cell>
          <cell r="BS144" t="str">
            <v/>
          </cell>
          <cell r="BT144" t="str">
            <v/>
          </cell>
          <cell r="BU144" t="str">
            <v/>
          </cell>
          <cell r="BV144" t="str">
            <v/>
          </cell>
          <cell r="BW144" t="str">
            <v/>
          </cell>
          <cell r="BX144" t="str">
            <v/>
          </cell>
          <cell r="BY144" t="str">
            <v/>
          </cell>
          <cell r="BZ144" t="str">
            <v/>
          </cell>
          <cell r="CB144" t="str">
            <v>17,3</v>
          </cell>
          <cell r="CC144" t="str">
            <v>22,7</v>
          </cell>
          <cell r="CD144" t="str">
            <v/>
          </cell>
          <cell r="CE144" t="str">
            <v>236,4</v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>646</v>
          </cell>
          <cell r="CQ144" t="str">
            <v>1112</v>
          </cell>
          <cell r="CR144" t="str">
            <v/>
          </cell>
          <cell r="CS144" t="str">
            <v>1150</v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H144" t="str">
            <v/>
          </cell>
          <cell r="DN144" t="str">
            <v>23/10/2024</v>
          </cell>
          <cell r="DQ144" t="str">
            <v>Danton</v>
          </cell>
          <cell r="DS144" t="str">
            <v>1</v>
          </cell>
          <cell r="DT144" t="str">
            <v>0</v>
          </cell>
          <cell r="DU144" t="str">
            <v>GOL</v>
          </cell>
          <cell r="DV144" t="str">
            <v>186 Pax + 10 Flight Crew</v>
          </cell>
          <cell r="DW144" t="str">
            <v>GLP-MAX8-001-XMU R00</v>
          </cell>
        </row>
        <row r="145">
          <cell r="A145" t="str">
            <v>PR-GEJ</v>
          </cell>
          <cell r="E145">
            <v>4</v>
          </cell>
          <cell r="F145">
            <v>1</v>
          </cell>
          <cell r="DN145">
            <v>0</v>
          </cell>
        </row>
        <row r="146">
          <cell r="A146" t="str">
            <v>PR-GEJ</v>
          </cell>
          <cell r="D146" t="str">
            <v>27/10/2024</v>
          </cell>
          <cell r="E146">
            <v>5</v>
          </cell>
          <cell r="F146">
            <v>0</v>
          </cell>
          <cell r="G146" t="str">
            <v>São José dos Campos, SP - Brazil</v>
          </cell>
          <cell r="H146" t="str">
            <v>Scheduled</v>
          </cell>
          <cell r="I146" t="str">
            <v>1885</v>
          </cell>
          <cell r="J146" t="str">
            <v>1792</v>
          </cell>
          <cell r="K146" t="str">
            <v>9822</v>
          </cell>
          <cell r="L146" t="str">
            <v>7465</v>
          </cell>
          <cell r="M146" t="str">
            <v>8739</v>
          </cell>
          <cell r="N146" t="str">
            <v>7840</v>
          </cell>
          <cell r="O146" t="str">
            <v>1903</v>
          </cell>
          <cell r="P146" t="str">
            <v>1789</v>
          </cell>
          <cell r="Q146" t="str">
            <v>9784</v>
          </cell>
          <cell r="R146" t="str">
            <v>7485</v>
          </cell>
          <cell r="S146" t="str">
            <v>8713</v>
          </cell>
          <cell r="T146" t="str">
            <v>7873</v>
          </cell>
          <cell r="U146" t="str">
            <v>5,66929133858268</v>
          </cell>
          <cell r="V146" t="str">
            <v>3,22834645669291</v>
          </cell>
          <cell r="W146" t="str">
            <v xml:space="preserve">Down Lock, Nose Gear </v>
          </cell>
          <cell r="X146" t="str">
            <v xml:space="preserve">Down Lock, Main Gear </v>
          </cell>
          <cell r="Y146" t="str">
            <v>Plumb Bob</v>
          </cell>
          <cell r="Z146" t="str">
            <v/>
          </cell>
          <cell r="AA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  <cell r="AG146" t="str">
            <v/>
          </cell>
          <cell r="AH146" t="str">
            <v/>
          </cell>
          <cell r="AI146" t="str">
            <v/>
          </cell>
          <cell r="AJ146" t="str">
            <v/>
          </cell>
          <cell r="AK146" t="str">
            <v>0,3</v>
          </cell>
          <cell r="AL146" t="str">
            <v>0,4</v>
          </cell>
          <cell r="AM146" t="str">
            <v>0,5</v>
          </cell>
          <cell r="AN146" t="str">
            <v/>
          </cell>
          <cell r="AO146" t="str">
            <v/>
          </cell>
          <cell r="AP146" t="str">
            <v/>
          </cell>
          <cell r="AQ146" t="str">
            <v/>
          </cell>
          <cell r="AR146" t="str">
            <v/>
          </cell>
          <cell r="AS146" t="str">
            <v/>
          </cell>
          <cell r="AT146" t="str">
            <v/>
          </cell>
          <cell r="AU146" t="str">
            <v/>
          </cell>
          <cell r="AV146" t="str">
            <v/>
          </cell>
          <cell r="AW146" t="str">
            <v/>
          </cell>
          <cell r="AX146" t="str">
            <v/>
          </cell>
          <cell r="AY146" t="str">
            <v>206</v>
          </cell>
          <cell r="AZ146" t="str">
            <v>689</v>
          </cell>
          <cell r="BA146" t="str">
            <v>685</v>
          </cell>
          <cell r="BB146" t="str">
            <v/>
          </cell>
          <cell r="BC146" t="str">
            <v/>
          </cell>
          <cell r="BD146" t="str">
            <v/>
          </cell>
          <cell r="BE146" t="str">
            <v/>
          </cell>
          <cell r="BF146" t="str">
            <v/>
          </cell>
          <cell r="BG146" t="str">
            <v/>
          </cell>
          <cell r="BH146" t="str">
            <v/>
          </cell>
          <cell r="BI146" t="str">
            <v/>
          </cell>
          <cell r="BJ146" t="str">
            <v/>
          </cell>
          <cell r="BK146" t="str">
            <v/>
          </cell>
          <cell r="BL146" t="str">
            <v/>
          </cell>
          <cell r="BM146" t="str">
            <v>Flaps 0 - 40° (Up when weighed)</v>
          </cell>
          <cell r="BN146" t="str">
            <v>Fuel, Drain, Unusable (5.6 Gal)</v>
          </cell>
          <cell r="BO146" t="str">
            <v>Lavatory Dry Supplies</v>
          </cell>
          <cell r="BP146" t="str">
            <v>Lavatory Pre-charge Fluid (6.0 Gal)</v>
          </cell>
          <cell r="BQ146" t="str">
            <v xml:space="preserve">Water, Potable (42.2 Gal) </v>
          </cell>
          <cell r="BR146" t="str">
            <v>Slat #5</v>
          </cell>
          <cell r="BS146" t="str">
            <v/>
          </cell>
          <cell r="BT146" t="str">
            <v/>
          </cell>
          <cell r="BU146" t="str">
            <v/>
          </cell>
          <cell r="BV146" t="str">
            <v/>
          </cell>
          <cell r="BW146" t="str">
            <v/>
          </cell>
          <cell r="BX146" t="str">
            <v/>
          </cell>
          <cell r="BY146" t="str">
            <v/>
          </cell>
          <cell r="BZ146" t="str">
            <v/>
          </cell>
          <cell r="CB146" t="str">
            <v/>
          </cell>
          <cell r="CC146" t="str">
            <v>17,3</v>
          </cell>
          <cell r="CD146" t="str">
            <v>2</v>
          </cell>
          <cell r="CE146" t="str">
            <v>22,7</v>
          </cell>
          <cell r="CF146" t="str">
            <v>159,4</v>
          </cell>
          <cell r="CG146" t="str">
            <v>40</v>
          </cell>
          <cell r="CH146" t="str">
            <v/>
          </cell>
          <cell r="CI146" t="str">
            <v/>
          </cell>
          <cell r="CJ146" t="str">
            <v/>
          </cell>
          <cell r="CK146" t="str">
            <v/>
          </cell>
          <cell r="CL146" t="str">
            <v/>
          </cell>
          <cell r="CM146" t="str">
            <v/>
          </cell>
          <cell r="CN146" t="str">
            <v/>
          </cell>
          <cell r="CO146" t="str">
            <v/>
          </cell>
          <cell r="CP146" t="str">
            <v/>
          </cell>
          <cell r="CQ146" t="str">
            <v>646</v>
          </cell>
          <cell r="CR146" t="str">
            <v>1020</v>
          </cell>
          <cell r="CS146" t="str">
            <v>1000</v>
          </cell>
          <cell r="CT146" t="str">
            <v>1038</v>
          </cell>
          <cell r="CU146" t="str">
            <v>639</v>
          </cell>
          <cell r="CV146" t="str">
            <v/>
          </cell>
          <cell r="CW146" t="str">
            <v/>
          </cell>
          <cell r="CX146" t="str">
            <v/>
          </cell>
          <cell r="CY146" t="str">
            <v/>
          </cell>
          <cell r="CZ146" t="str">
            <v/>
          </cell>
          <cell r="DA146" t="str">
            <v/>
          </cell>
          <cell r="DB146" t="str">
            <v/>
          </cell>
          <cell r="DC146" t="str">
            <v/>
          </cell>
          <cell r="DD146" t="str">
            <v/>
          </cell>
          <cell r="DE146" t="str">
            <v/>
          </cell>
          <cell r="DF146" t="str">
            <v/>
          </cell>
          <cell r="DH146" t="str">
            <v/>
          </cell>
          <cell r="DN146" t="str">
            <v>28/10/2024</v>
          </cell>
          <cell r="DQ146" t="str">
            <v>Danton</v>
          </cell>
          <cell r="DR146" t="str">
            <v>Euler</v>
          </cell>
          <cell r="DS146" t="str">
            <v>4</v>
          </cell>
          <cell r="DT146" t="str">
            <v>1</v>
          </cell>
          <cell r="DU146" t="str">
            <v>DIGEX</v>
          </cell>
          <cell r="DV146" t="str">
            <v>138 Pax + 8 Flight Crew</v>
          </cell>
          <cell r="DW146" t="str">
            <v>GLP-700-005-GEJ R01</v>
          </cell>
        </row>
        <row r="147">
          <cell r="A147" t="str">
            <v>PR-RAU</v>
          </cell>
          <cell r="D147" t="str">
            <v>13/05/2024</v>
          </cell>
          <cell r="E147">
            <v>7</v>
          </cell>
          <cell r="F147">
            <v>0</v>
          </cell>
          <cell r="G147" t="str">
            <v>Renton, WA - EUA</v>
          </cell>
          <cell r="H147" t="str">
            <v>IFE Installation</v>
          </cell>
          <cell r="I147" t="str">
            <v>1518</v>
          </cell>
          <cell r="J147" t="str">
            <v>1518</v>
          </cell>
          <cell r="K147" t="str">
            <v>9413,5</v>
          </cell>
          <cell r="L147" t="str">
            <v>9413,5</v>
          </cell>
          <cell r="M147" t="str">
            <v>9558,5</v>
          </cell>
          <cell r="N147" t="str">
            <v>9558,5</v>
          </cell>
          <cell r="O147" t="str">
            <v>1518</v>
          </cell>
          <cell r="P147" t="str">
            <v>1518</v>
          </cell>
          <cell r="Q147" t="str">
            <v>9413,5</v>
          </cell>
          <cell r="R147" t="str">
            <v>9413,5</v>
          </cell>
          <cell r="S147" t="str">
            <v>9558,5</v>
          </cell>
          <cell r="T147" t="str">
            <v>9558,5</v>
          </cell>
          <cell r="U147" t="str">
            <v>5,98389570552156</v>
          </cell>
          <cell r="V147" t="str">
            <v>5,74769938650316</v>
          </cell>
          <cell r="W147" t="str">
            <v>Down Lock Nose Gear (1 ea)</v>
          </cell>
          <cell r="X147" t="str">
            <v>Down Lock Main Gear (2 ea)</v>
          </cell>
          <cell r="Y147" t="str">
            <v>Plumb Bob (1 ea)</v>
          </cell>
          <cell r="Z147" t="str">
            <v/>
          </cell>
          <cell r="AA147" t="str">
            <v/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  <cell r="AF147" t="str">
            <v/>
          </cell>
          <cell r="AG147" t="str">
            <v/>
          </cell>
          <cell r="AH147" t="str">
            <v/>
          </cell>
          <cell r="AI147" t="str">
            <v/>
          </cell>
          <cell r="AJ147" t="str">
            <v/>
          </cell>
          <cell r="AK147" t="str">
            <v>0,3</v>
          </cell>
          <cell r="AL147" t="str">
            <v>0,4</v>
          </cell>
          <cell r="AM147" t="str">
            <v>0,5</v>
          </cell>
          <cell r="AN147" t="str">
            <v>0</v>
          </cell>
          <cell r="AO147" t="str">
            <v>0</v>
          </cell>
          <cell r="AP147" t="str">
            <v>0</v>
          </cell>
          <cell r="AQ147" t="str">
            <v>0</v>
          </cell>
          <cell r="AR147" t="str">
            <v>0</v>
          </cell>
          <cell r="AS147" t="str">
            <v>0</v>
          </cell>
          <cell r="AT147" t="str">
            <v>0</v>
          </cell>
          <cell r="AU147" t="str">
            <v>0</v>
          </cell>
          <cell r="AV147" t="str">
            <v>0</v>
          </cell>
          <cell r="AW147" t="str">
            <v>0</v>
          </cell>
          <cell r="AX147" t="str">
            <v>0</v>
          </cell>
          <cell r="AY147" t="str">
            <v>91</v>
          </cell>
          <cell r="AZ147" t="str">
            <v>702</v>
          </cell>
          <cell r="BA147" t="str">
            <v>685</v>
          </cell>
          <cell r="BB147" t="str">
            <v>0</v>
          </cell>
          <cell r="BC147" t="str">
            <v>0</v>
          </cell>
          <cell r="BD147" t="str">
            <v>0</v>
          </cell>
          <cell r="BE147" t="str">
            <v>0</v>
          </cell>
          <cell r="BF147" t="str">
            <v>0</v>
          </cell>
          <cell r="BG147" t="str">
            <v>0</v>
          </cell>
          <cell r="BH147" t="str">
            <v>0</v>
          </cell>
          <cell r="BI147" t="str">
            <v>0</v>
          </cell>
          <cell r="BJ147" t="str">
            <v>0</v>
          </cell>
          <cell r="BK147" t="str">
            <v>0</v>
          </cell>
          <cell r="BL147" t="str">
            <v>0</v>
          </cell>
          <cell r="BM147" t="str">
            <v>Flaps 0 - 40° (up when weighed)</v>
          </cell>
          <cell r="BN147" t="str">
            <v>Fuel, Drain., Unusable (5.6 Gal)</v>
          </cell>
          <cell r="BO147" t="str">
            <v>Lavatory Pre-Charge Fluid (6.0 Gal)</v>
          </cell>
          <cell r="BP147" t="str">
            <v>Lavatory Dry Supplies</v>
          </cell>
          <cell r="BQ147" t="str">
            <v>Potable Water (62.6 Gal)</v>
          </cell>
          <cell r="BR147" t="str">
            <v/>
          </cell>
          <cell r="BS147" t="str">
            <v/>
          </cell>
          <cell r="BT147" t="str">
            <v/>
          </cell>
          <cell r="BU147" t="str">
            <v/>
          </cell>
          <cell r="BV147" t="str">
            <v/>
          </cell>
          <cell r="BW147" t="str">
            <v/>
          </cell>
          <cell r="BX147" t="str">
            <v/>
          </cell>
          <cell r="BY147" t="str">
            <v/>
          </cell>
          <cell r="BZ147" t="str">
            <v/>
          </cell>
          <cell r="CB147" t="str">
            <v>0</v>
          </cell>
          <cell r="CC147" t="str">
            <v>17,3</v>
          </cell>
          <cell r="CD147" t="str">
            <v>22,7</v>
          </cell>
          <cell r="CE147" t="str">
            <v>4</v>
          </cell>
          <cell r="CF147" t="str">
            <v>236,4</v>
          </cell>
          <cell r="CG147" t="str">
            <v>0</v>
          </cell>
          <cell r="CH147" t="str">
            <v>0</v>
          </cell>
          <cell r="CI147" t="str">
            <v>0</v>
          </cell>
          <cell r="CJ147" t="str">
            <v>0</v>
          </cell>
          <cell r="CK147" t="str">
            <v>0</v>
          </cell>
          <cell r="CL147" t="str">
            <v>0</v>
          </cell>
          <cell r="CM147" t="str">
            <v>0</v>
          </cell>
          <cell r="CN147" t="str">
            <v>0</v>
          </cell>
          <cell r="CO147" t="str">
            <v>0</v>
          </cell>
          <cell r="CP147" t="str">
            <v>0</v>
          </cell>
          <cell r="CQ147" t="str">
            <v>646</v>
          </cell>
          <cell r="CR147" t="str">
            <v>1112</v>
          </cell>
          <cell r="CS147" t="str">
            <v>1145</v>
          </cell>
          <cell r="CT147" t="str">
            <v>1150</v>
          </cell>
          <cell r="CU147" t="str">
            <v>0</v>
          </cell>
          <cell r="CV147" t="str">
            <v>0</v>
          </cell>
          <cell r="CW147" t="str">
            <v>0</v>
          </cell>
          <cell r="CX147" t="str">
            <v>0</v>
          </cell>
          <cell r="CY147" t="str">
            <v>0</v>
          </cell>
          <cell r="CZ147" t="str">
            <v>0</v>
          </cell>
          <cell r="DA147" t="str">
            <v>0</v>
          </cell>
          <cell r="DB147" t="str">
            <v>0</v>
          </cell>
          <cell r="DC147" t="str">
            <v/>
          </cell>
          <cell r="DD147" t="str">
            <v/>
          </cell>
          <cell r="DE147" t="str">
            <v/>
          </cell>
          <cell r="DF147" t="str">
            <v/>
          </cell>
          <cell r="DH147" t="str">
            <v/>
          </cell>
          <cell r="DN147" t="str">
            <v>10/10/2023</v>
          </cell>
          <cell r="DQ147" t="str">
            <v>Raul</v>
          </cell>
          <cell r="DS147" t="str">
            <v>6</v>
          </cell>
          <cell r="DT147" t="str">
            <v>0</v>
          </cell>
          <cell r="DU147" t="str">
            <v>GOL</v>
          </cell>
          <cell r="DV147" t="str">
            <v>186 Pax + 10 Flight Crew</v>
          </cell>
          <cell r="DW147" t="str">
            <v>GLP-800-002-GGX</v>
          </cell>
        </row>
        <row r="148">
          <cell r="A148" t="str">
            <v>PR-RAU</v>
          </cell>
          <cell r="D148">
            <v>45209</v>
          </cell>
          <cell r="E148">
            <v>8</v>
          </cell>
          <cell r="F148">
            <v>0</v>
          </cell>
          <cell r="G148" t="str">
            <v>Renton, WA - EUA</v>
          </cell>
          <cell r="H148" t="str">
            <v>IFE Installation</v>
          </cell>
          <cell r="I148" t="str">
            <v>1518</v>
          </cell>
          <cell r="J148" t="str">
            <v>1518</v>
          </cell>
          <cell r="K148" t="str">
            <v>9413,5</v>
          </cell>
          <cell r="L148" t="str">
            <v>9413,5</v>
          </cell>
          <cell r="M148" t="str">
            <v>9558,5</v>
          </cell>
          <cell r="N148" t="str">
            <v>9558,5</v>
          </cell>
          <cell r="O148" t="str">
            <v>1518</v>
          </cell>
          <cell r="P148" t="str">
            <v>1518</v>
          </cell>
          <cell r="Q148" t="str">
            <v>9413,5</v>
          </cell>
          <cell r="R148" t="str">
            <v>9413,5</v>
          </cell>
          <cell r="S148" t="str">
            <v>9558,5</v>
          </cell>
          <cell r="T148" t="str">
            <v>9558,5</v>
          </cell>
          <cell r="U148" t="str">
            <v>5,98389570552156</v>
          </cell>
          <cell r="V148" t="str">
            <v>5,74769938650316</v>
          </cell>
          <cell r="W148" t="str">
            <v>Down Lock Nose Gear (1 ea)</v>
          </cell>
          <cell r="X148" t="str">
            <v>Down Lock Main Gear (2 ea)</v>
          </cell>
          <cell r="Y148" t="str">
            <v>Plumb Bob (1 ea)</v>
          </cell>
          <cell r="Z148" t="str">
            <v/>
          </cell>
          <cell r="AA148" t="str">
            <v/>
          </cell>
          <cell r="AB148" t="str">
            <v/>
          </cell>
          <cell r="AC148" t="str">
            <v/>
          </cell>
          <cell r="AD148" t="str">
            <v/>
          </cell>
          <cell r="AE148" t="str">
            <v/>
          </cell>
          <cell r="AF148" t="str">
            <v/>
          </cell>
          <cell r="AG148" t="str">
            <v/>
          </cell>
          <cell r="AH148" t="str">
            <v/>
          </cell>
          <cell r="AI148" t="str">
            <v/>
          </cell>
          <cell r="AJ148" t="str">
            <v/>
          </cell>
          <cell r="AK148" t="str">
            <v>0,3</v>
          </cell>
          <cell r="AL148" t="str">
            <v>0,4</v>
          </cell>
          <cell r="AM148" t="str">
            <v>0,5</v>
          </cell>
          <cell r="AN148" t="str">
            <v>0</v>
          </cell>
          <cell r="AO148" t="str">
            <v>0</v>
          </cell>
          <cell r="AP148" t="str">
            <v>0</v>
          </cell>
          <cell r="AQ148" t="str">
            <v>0</v>
          </cell>
          <cell r="AR148" t="str">
            <v>0</v>
          </cell>
          <cell r="AS148" t="str">
            <v>0</v>
          </cell>
          <cell r="AT148" t="str">
            <v>0</v>
          </cell>
          <cell r="AU148" t="str">
            <v>0</v>
          </cell>
          <cell r="AV148" t="str">
            <v>0</v>
          </cell>
          <cell r="AW148" t="str">
            <v>0</v>
          </cell>
          <cell r="AX148" t="str">
            <v>0</v>
          </cell>
          <cell r="AY148" t="str">
            <v>91</v>
          </cell>
          <cell r="AZ148" t="str">
            <v>702</v>
          </cell>
          <cell r="BA148" t="str">
            <v>685</v>
          </cell>
          <cell r="BB148" t="str">
            <v>0</v>
          </cell>
          <cell r="BC148" t="str">
            <v>0</v>
          </cell>
          <cell r="BD148" t="str">
            <v>0</v>
          </cell>
          <cell r="BE148" t="str">
            <v>0</v>
          </cell>
          <cell r="BF148" t="str">
            <v>0</v>
          </cell>
          <cell r="BG148" t="str">
            <v>0</v>
          </cell>
          <cell r="BH148" t="str">
            <v>0</v>
          </cell>
          <cell r="BI148" t="str">
            <v>0</v>
          </cell>
          <cell r="BJ148" t="str">
            <v>0</v>
          </cell>
          <cell r="BK148" t="str">
            <v>0</v>
          </cell>
          <cell r="BL148" t="str">
            <v>0</v>
          </cell>
          <cell r="BM148" t="str">
            <v>Flaps 0 - 40° (up when weighed)</v>
          </cell>
          <cell r="BN148" t="str">
            <v>Fuel, Drain., Unusable (5.6 Gal)</v>
          </cell>
          <cell r="BO148" t="str">
            <v>Lavatory Pre-Charge Fluid (6.0 Gal)</v>
          </cell>
          <cell r="BP148" t="str">
            <v>Lavatory Dry Supplies</v>
          </cell>
          <cell r="BQ148" t="str">
            <v>Potable Water (62.6 Gal)</v>
          </cell>
          <cell r="BR148" t="str">
            <v/>
          </cell>
          <cell r="BS148" t="str">
            <v/>
          </cell>
          <cell r="BT148" t="str">
            <v/>
          </cell>
          <cell r="BU148" t="str">
            <v/>
          </cell>
          <cell r="BV148" t="str">
            <v/>
          </cell>
          <cell r="BW148" t="str">
            <v/>
          </cell>
          <cell r="BX148" t="str">
            <v/>
          </cell>
          <cell r="BY148" t="str">
            <v/>
          </cell>
          <cell r="BZ148" t="str">
            <v/>
          </cell>
          <cell r="CB148" t="str">
            <v>0</v>
          </cell>
          <cell r="CC148" t="str">
            <v>17,3</v>
          </cell>
          <cell r="CD148" t="str">
            <v>22,7</v>
          </cell>
          <cell r="CE148" t="str">
            <v>4</v>
          </cell>
          <cell r="CF148" t="str">
            <v>236,4</v>
          </cell>
          <cell r="CG148" t="str">
            <v>0</v>
          </cell>
          <cell r="CH148" t="str">
            <v>0</v>
          </cell>
          <cell r="CI148" t="str">
            <v>0</v>
          </cell>
          <cell r="CJ148" t="str">
            <v>0</v>
          </cell>
          <cell r="CK148" t="str">
            <v>0</v>
          </cell>
          <cell r="CL148" t="str">
            <v>0</v>
          </cell>
          <cell r="CM148" t="str">
            <v>0</v>
          </cell>
          <cell r="CN148" t="str">
            <v>0</v>
          </cell>
          <cell r="CO148" t="str">
            <v>0</v>
          </cell>
          <cell r="CP148" t="str">
            <v>0</v>
          </cell>
          <cell r="CQ148" t="str">
            <v>646</v>
          </cell>
          <cell r="CR148" t="str">
            <v>1112</v>
          </cell>
          <cell r="CS148" t="str">
            <v>1145</v>
          </cell>
          <cell r="CT148" t="str">
            <v>1150</v>
          </cell>
          <cell r="CU148" t="str">
            <v>0</v>
          </cell>
          <cell r="CV148" t="str">
            <v>0</v>
          </cell>
          <cell r="CW148" t="str">
            <v>0</v>
          </cell>
          <cell r="CX148" t="str">
            <v>0</v>
          </cell>
          <cell r="CY148" t="str">
            <v>0</v>
          </cell>
          <cell r="CZ148" t="str">
            <v>0</v>
          </cell>
          <cell r="DA148" t="str">
            <v>0</v>
          </cell>
          <cell r="DB148" t="str">
            <v>0</v>
          </cell>
          <cell r="DC148" t="str">
            <v/>
          </cell>
          <cell r="DN148" t="str">
            <v>10/10/2021</v>
          </cell>
          <cell r="DQ148" t="str">
            <v>Raul</v>
          </cell>
          <cell r="DS148" t="str">
            <v/>
          </cell>
          <cell r="DT148" t="str">
            <v/>
          </cell>
          <cell r="DU148" t="str">
            <v>GOL</v>
          </cell>
          <cell r="DV148" t="str">
            <v>186 Pax + 10 Flight Crew</v>
          </cell>
          <cell r="DW148" t="str">
            <v>GLP-800-002-GGX</v>
          </cell>
        </row>
        <row r="149">
          <cell r="A149" t="str">
            <v>PR-RAU</v>
          </cell>
          <cell r="D149">
            <v>44479</v>
          </cell>
          <cell r="E149">
            <v>9</v>
          </cell>
          <cell r="F149">
            <v>0</v>
          </cell>
          <cell r="G149" t="str">
            <v>Renton, WA - EUA</v>
          </cell>
          <cell r="H149" t="str">
            <v>IFE Installation</v>
          </cell>
          <cell r="I149" t="str">
            <v>2518</v>
          </cell>
          <cell r="J149" t="str">
            <v>2518</v>
          </cell>
          <cell r="K149" t="str">
            <v>9413,5</v>
          </cell>
          <cell r="L149" t="str">
            <v>9413,5</v>
          </cell>
          <cell r="M149" t="str">
            <v>9558,5</v>
          </cell>
          <cell r="N149" t="str">
            <v>9558,5</v>
          </cell>
          <cell r="O149" t="str">
            <v>1518</v>
          </cell>
          <cell r="P149" t="str">
            <v>1518</v>
          </cell>
          <cell r="Q149" t="str">
            <v>9413,5</v>
          </cell>
          <cell r="R149" t="str">
            <v>9413,5</v>
          </cell>
          <cell r="S149" t="str">
            <v>9558,5</v>
          </cell>
          <cell r="T149" t="str">
            <v>9558,5</v>
          </cell>
          <cell r="U149" t="str">
            <v>6,98389570552156</v>
          </cell>
          <cell r="V149" t="str">
            <v>4,74769938650316</v>
          </cell>
          <cell r="W149" t="str">
            <v>Down Lock Nose Gear (1 ea)</v>
          </cell>
          <cell r="X149" t="str">
            <v>Down Lock Main Gear (2 ea)</v>
          </cell>
          <cell r="Y149" t="str">
            <v>Plumb Bob (1 ea)</v>
          </cell>
          <cell r="Z149" t="str">
            <v>Loto Kit</v>
          </cell>
          <cell r="AA149" t="str">
            <v/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  <cell r="AF149" t="str">
            <v/>
          </cell>
          <cell r="AG149" t="str">
            <v/>
          </cell>
          <cell r="AH149" t="str">
            <v/>
          </cell>
          <cell r="AI149" t="str">
            <v/>
          </cell>
          <cell r="AJ149" t="str">
            <v/>
          </cell>
          <cell r="AK149" t="str">
            <v>0,3</v>
          </cell>
          <cell r="AL149" t="str">
            <v>0,4</v>
          </cell>
          <cell r="AM149" t="str">
            <v>0,5</v>
          </cell>
          <cell r="AN149" t="str">
            <v>3</v>
          </cell>
          <cell r="AO149" t="str">
            <v>0</v>
          </cell>
          <cell r="AP149" t="str">
            <v>0</v>
          </cell>
          <cell r="AQ149" t="str">
            <v>0</v>
          </cell>
          <cell r="AR149" t="str">
            <v>0</v>
          </cell>
          <cell r="AS149" t="str">
            <v>0</v>
          </cell>
          <cell r="AT149" t="str">
            <v>0</v>
          </cell>
          <cell r="AU149" t="str">
            <v>0</v>
          </cell>
          <cell r="AV149" t="str">
            <v>0</v>
          </cell>
          <cell r="AW149" t="str">
            <v>0</v>
          </cell>
          <cell r="AX149" t="str">
            <v>0</v>
          </cell>
          <cell r="AY149" t="str">
            <v>91</v>
          </cell>
          <cell r="AZ149" t="str">
            <v>702</v>
          </cell>
          <cell r="BA149" t="str">
            <v>685</v>
          </cell>
          <cell r="BB149" t="str">
            <v>100</v>
          </cell>
          <cell r="BC149" t="str">
            <v>0</v>
          </cell>
          <cell r="BD149" t="str">
            <v>0</v>
          </cell>
          <cell r="BE149" t="str">
            <v>0</v>
          </cell>
          <cell r="BF149" t="str">
            <v>0</v>
          </cell>
          <cell r="BG149" t="str">
            <v>0</v>
          </cell>
          <cell r="BH149" t="str">
            <v>0</v>
          </cell>
          <cell r="BI149" t="str">
            <v>0</v>
          </cell>
          <cell r="BJ149" t="str">
            <v>0</v>
          </cell>
          <cell r="BK149" t="str">
            <v>0</v>
          </cell>
          <cell r="BL149" t="str">
            <v>0</v>
          </cell>
          <cell r="BM149" t="str">
            <v>Flaps 0 - 40° (up when weighed)</v>
          </cell>
          <cell r="BN149" t="str">
            <v>Fuel, Drain., Unusable (5.6 Gal)</v>
          </cell>
          <cell r="BO149" t="str">
            <v>Lavatory Pre-Charge Fluid (6.0 Gal)</v>
          </cell>
          <cell r="BP149" t="str">
            <v>Lavatory Dry Supplies</v>
          </cell>
          <cell r="BQ149" t="str">
            <v>Potable Water (62.6 Gal)</v>
          </cell>
          <cell r="BR149" t="str">
            <v/>
          </cell>
          <cell r="BS149" t="str">
            <v/>
          </cell>
          <cell r="BT149" t="str">
            <v/>
          </cell>
          <cell r="BU149" t="str">
            <v/>
          </cell>
          <cell r="BV149" t="str">
            <v/>
          </cell>
          <cell r="BW149" t="str">
            <v/>
          </cell>
          <cell r="BX149" t="str">
            <v/>
          </cell>
          <cell r="BY149" t="str">
            <v/>
          </cell>
          <cell r="BZ149" t="str">
            <v/>
          </cell>
          <cell r="CB149" t="str">
            <v>0</v>
          </cell>
          <cell r="CC149" t="str">
            <v>17,3</v>
          </cell>
          <cell r="CD149" t="str">
            <v>22,7</v>
          </cell>
          <cell r="CE149" t="str">
            <v>4</v>
          </cell>
          <cell r="CF149" t="str">
            <v>236,4</v>
          </cell>
          <cell r="CG149" t="str">
            <v>0</v>
          </cell>
          <cell r="CH149" t="str">
            <v>0</v>
          </cell>
          <cell r="CI149" t="str">
            <v>0</v>
          </cell>
          <cell r="CJ149" t="str">
            <v>0</v>
          </cell>
          <cell r="CK149" t="str">
            <v>0</v>
          </cell>
          <cell r="CL149" t="str">
            <v>0</v>
          </cell>
          <cell r="CM149" t="str">
            <v>0</v>
          </cell>
          <cell r="CN149" t="str">
            <v>0</v>
          </cell>
          <cell r="CO149" t="str">
            <v>0</v>
          </cell>
          <cell r="CP149" t="str">
            <v>0</v>
          </cell>
          <cell r="CQ149" t="str">
            <v>646</v>
          </cell>
          <cell r="CR149" t="str">
            <v>1112</v>
          </cell>
          <cell r="CS149" t="str">
            <v>1145</v>
          </cell>
          <cell r="CT149" t="str">
            <v>1150</v>
          </cell>
          <cell r="CU149" t="str">
            <v>0</v>
          </cell>
          <cell r="CV149" t="str">
            <v>0</v>
          </cell>
          <cell r="CW149" t="str">
            <v>0</v>
          </cell>
          <cell r="CX149" t="str">
            <v>0</v>
          </cell>
          <cell r="CY149" t="str">
            <v>0</v>
          </cell>
          <cell r="CZ149" t="str">
            <v>0</v>
          </cell>
          <cell r="DA149" t="str">
            <v>0</v>
          </cell>
          <cell r="DB149" t="str">
            <v>0</v>
          </cell>
          <cell r="DC149" t="str">
            <v/>
          </cell>
          <cell r="DD149" t="str">
            <v>Teste 01</v>
          </cell>
          <cell r="DE149" t="str">
            <v>Teste 02</v>
          </cell>
          <cell r="DF149" t="str">
            <v>Teste 03</v>
          </cell>
          <cell r="DN149" t="str">
            <v>10/10/2030</v>
          </cell>
          <cell r="DQ149" t="str">
            <v>Raul</v>
          </cell>
          <cell r="DR149" t="str">
            <v>Raul</v>
          </cell>
          <cell r="DS149" t="str">
            <v>8</v>
          </cell>
          <cell r="DT149" t="str">
            <v>0</v>
          </cell>
          <cell r="DU149" t="str">
            <v>GOL</v>
          </cell>
          <cell r="DV149" t="str">
            <v>186 Pax + 10 Flight Crew</v>
          </cell>
          <cell r="DW149" t="str">
            <v>GLP-800-002-GGX</v>
          </cell>
        </row>
        <row r="150">
          <cell r="A150" t="str">
            <v>PS-GPJ</v>
          </cell>
          <cell r="E150">
            <v>2</v>
          </cell>
          <cell r="F150">
            <v>0</v>
          </cell>
          <cell r="DN150">
            <v>0</v>
          </cell>
        </row>
        <row r="151">
          <cell r="A151" t="str">
            <v>PR-VBF</v>
          </cell>
          <cell r="D151" t="str">
            <v>18/11/2024</v>
          </cell>
          <cell r="E151">
            <v>6</v>
          </cell>
          <cell r="F151">
            <v>0</v>
          </cell>
          <cell r="G151" t="str">
            <v>São José dos Campos, SP - Brazil</v>
          </cell>
          <cell r="H151" t="str">
            <v>Scheduled</v>
          </cell>
          <cell r="I151" t="str">
            <v>1791</v>
          </cell>
          <cell r="J151" t="str">
            <v>1234</v>
          </cell>
          <cell r="K151" t="str">
            <v>9794</v>
          </cell>
          <cell r="L151" t="str">
            <v>9569</v>
          </cell>
          <cell r="M151" t="str">
            <v>10897</v>
          </cell>
          <cell r="N151" t="str">
            <v>7813</v>
          </cell>
          <cell r="O151" t="str">
            <v>1792</v>
          </cell>
          <cell r="P151" t="str">
            <v>1233</v>
          </cell>
          <cell r="Q151" t="str">
            <v>9685</v>
          </cell>
          <cell r="R151" t="str">
            <v>9673</v>
          </cell>
          <cell r="S151" t="str">
            <v>10946</v>
          </cell>
          <cell r="T151" t="str">
            <v>7771</v>
          </cell>
          <cell r="U151" t="str">
            <v>3,81889763779528</v>
          </cell>
          <cell r="V151" t="str">
            <v>6,88976377952756</v>
          </cell>
          <cell r="W151" t="str">
            <v>Down Lock, Nose Gear</v>
          </cell>
          <cell r="X151" t="str">
            <v>Down Lock, Main Gear</v>
          </cell>
          <cell r="Y151" t="str">
            <v>Plumb Bob</v>
          </cell>
          <cell r="Z151" t="str">
            <v/>
          </cell>
          <cell r="AA151" t="str">
            <v/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  <cell r="AF151" t="str">
            <v/>
          </cell>
          <cell r="AG151" t="str">
            <v/>
          </cell>
          <cell r="AH151" t="str">
            <v/>
          </cell>
          <cell r="AI151" t="str">
            <v/>
          </cell>
          <cell r="AJ151" t="str">
            <v/>
          </cell>
          <cell r="AK151" t="str">
            <v>0,3</v>
          </cell>
          <cell r="AL151" t="str">
            <v>0,4</v>
          </cell>
          <cell r="AM151" t="str">
            <v>0,5</v>
          </cell>
          <cell r="AN151" t="str">
            <v>0</v>
          </cell>
          <cell r="AO151" t="str">
            <v>0</v>
          </cell>
          <cell r="AP151" t="str">
            <v>0</v>
          </cell>
          <cell r="AQ151" t="str">
            <v>0</v>
          </cell>
          <cell r="AR151" t="str">
            <v>0</v>
          </cell>
          <cell r="AS151" t="str">
            <v>0</v>
          </cell>
          <cell r="AT151" t="str">
            <v>0</v>
          </cell>
          <cell r="AU151" t="str">
            <v>0</v>
          </cell>
          <cell r="AV151" t="str">
            <v>0</v>
          </cell>
          <cell r="AW151" t="str">
            <v>0</v>
          </cell>
          <cell r="AX151" t="str">
            <v>0</v>
          </cell>
          <cell r="AY151" t="str">
            <v>91</v>
          </cell>
          <cell r="AZ151" t="str">
            <v>702</v>
          </cell>
          <cell r="BA151" t="str">
            <v>685</v>
          </cell>
          <cell r="BB151" t="str">
            <v>0</v>
          </cell>
          <cell r="BC151" t="str">
            <v>0</v>
          </cell>
          <cell r="BD151" t="str">
            <v>0</v>
          </cell>
          <cell r="BE151" t="str">
            <v>0</v>
          </cell>
          <cell r="BF151" t="str">
            <v>0</v>
          </cell>
          <cell r="BG151" t="str">
            <v>0</v>
          </cell>
          <cell r="BH151" t="str">
            <v>0</v>
          </cell>
          <cell r="BI151" t="str">
            <v>0</v>
          </cell>
          <cell r="BJ151" t="str">
            <v>0</v>
          </cell>
          <cell r="BK151" t="str">
            <v>0</v>
          </cell>
          <cell r="BL151" t="str">
            <v>0</v>
          </cell>
          <cell r="BM151" t="str">
            <v>Flaps 0 - 40° (Up when weighed)</v>
          </cell>
          <cell r="BN151" t="str">
            <v>Fuel, Drain, Unusable (5.6 Gal)</v>
          </cell>
          <cell r="BO151" t="str">
            <v>Lavatory Pre-charge Fluid (6.0 Gal)</v>
          </cell>
          <cell r="BP151" t="str">
            <v>Water, Potable (62.6 Gal)</v>
          </cell>
          <cell r="BQ151" t="str">
            <v>Cargo panel 121JW</v>
          </cell>
          <cell r="BR151" t="str">
            <v>Cargo panel 121KW</v>
          </cell>
          <cell r="BS151" t="str">
            <v/>
          </cell>
          <cell r="BT151" t="str">
            <v/>
          </cell>
          <cell r="BU151" t="str">
            <v/>
          </cell>
          <cell r="BV151" t="str">
            <v/>
          </cell>
          <cell r="BW151" t="str">
            <v/>
          </cell>
          <cell r="BX151" t="str">
            <v/>
          </cell>
          <cell r="BY151" t="str">
            <v/>
          </cell>
          <cell r="BZ151" t="str">
            <v/>
          </cell>
          <cell r="CB151" t="str">
            <v>0</v>
          </cell>
          <cell r="CC151" t="str">
            <v>17,3</v>
          </cell>
          <cell r="CD151" t="str">
            <v>22,7</v>
          </cell>
          <cell r="CE151" t="str">
            <v>236,4</v>
          </cell>
          <cell r="CF151" t="str">
            <v>7,6</v>
          </cell>
          <cell r="CG151" t="str">
            <v>4</v>
          </cell>
          <cell r="CH151" t="str">
            <v/>
          </cell>
          <cell r="CI151" t="str">
            <v>0</v>
          </cell>
          <cell r="CJ151" t="str">
            <v>0</v>
          </cell>
          <cell r="CK151" t="str">
            <v>0</v>
          </cell>
          <cell r="CL151" t="str">
            <v>0</v>
          </cell>
          <cell r="CM151" t="str">
            <v>0</v>
          </cell>
          <cell r="CN151" t="str">
            <v>0</v>
          </cell>
          <cell r="CO151" t="str">
            <v>0</v>
          </cell>
          <cell r="CP151" t="str">
            <v>0</v>
          </cell>
          <cell r="CQ151" t="str">
            <v>646</v>
          </cell>
          <cell r="CR151" t="str">
            <v>1112</v>
          </cell>
          <cell r="CS151" t="str">
            <v>1150</v>
          </cell>
          <cell r="CT151" t="str">
            <v>198</v>
          </cell>
          <cell r="CU151" t="str">
            <v>198</v>
          </cell>
          <cell r="CV151" t="str">
            <v/>
          </cell>
          <cell r="CW151" t="str">
            <v>0</v>
          </cell>
          <cell r="CX151" t="str">
            <v>0</v>
          </cell>
          <cell r="CY151" t="str">
            <v>0</v>
          </cell>
          <cell r="CZ151" t="str">
            <v>0</v>
          </cell>
          <cell r="DA151" t="str">
            <v>0</v>
          </cell>
          <cell r="DB151" t="str">
            <v>0</v>
          </cell>
          <cell r="DC151" t="str">
            <v/>
          </cell>
          <cell r="DD151" t="str">
            <v/>
          </cell>
          <cell r="DE151" t="str">
            <v/>
          </cell>
          <cell r="DF151" t="str">
            <v/>
          </cell>
          <cell r="DH151" t="str">
            <v/>
          </cell>
          <cell r="DN151" t="str">
            <v>21/11/2024</v>
          </cell>
          <cell r="DQ151" t="str">
            <v>Danton</v>
          </cell>
          <cell r="DR151" t="str">
            <v>Jeferson</v>
          </cell>
          <cell r="DS151" t="str">
            <v>5</v>
          </cell>
          <cell r="DT151" t="str">
            <v>0</v>
          </cell>
          <cell r="DU151" t="str">
            <v>DIGEX</v>
          </cell>
          <cell r="DV151" t="str">
            <v>186 Pax + 10 Flight Crew</v>
          </cell>
          <cell r="DW151" t="str">
            <v>GLP-800-004-VBF</v>
          </cell>
        </row>
        <row r="152">
          <cell r="A152" t="str">
            <v>PR-XMH</v>
          </cell>
          <cell r="D152" t="str">
            <v>19/04/2019</v>
          </cell>
          <cell r="E152">
            <v>1</v>
          </cell>
          <cell r="F152">
            <v>1</v>
          </cell>
          <cell r="G152" t="str">
            <v>Seattle, WA - EUA</v>
          </cell>
          <cell r="H152" t="str">
            <v>IFE Installation</v>
          </cell>
          <cell r="I152" t="str">
            <v>1934,39</v>
          </cell>
          <cell r="J152" t="str">
            <v>1934,39</v>
          </cell>
          <cell r="K152" t="str">
            <v>10003,1</v>
          </cell>
          <cell r="L152" t="str">
            <v>10003,1</v>
          </cell>
          <cell r="M152" t="str">
            <v>10104,45</v>
          </cell>
          <cell r="N152" t="str">
            <v>10104,45</v>
          </cell>
          <cell r="O152" t="str">
            <v>1934,39</v>
          </cell>
          <cell r="P152" t="str">
            <v>1934,39</v>
          </cell>
          <cell r="Q152" t="str">
            <v>10003,1</v>
          </cell>
          <cell r="R152" t="str">
            <v>10003,1</v>
          </cell>
          <cell r="S152" t="str">
            <v>10104,45</v>
          </cell>
          <cell r="T152" t="str">
            <v>10104,45</v>
          </cell>
          <cell r="U152">
            <v>12.5</v>
          </cell>
          <cell r="V152">
            <v>12.5</v>
          </cell>
          <cell r="W152" t="str">
            <v xml:space="preserve">Down Lock, Nose Gear </v>
          </cell>
          <cell r="X152" t="str">
            <v xml:space="preserve">Down Lock, Main Gear </v>
          </cell>
          <cell r="Y152" t="str">
            <v>Plumb Bob</v>
          </cell>
          <cell r="Z152" t="str">
            <v>Wiring Diagrams</v>
          </cell>
          <cell r="AA152" t="str">
            <v>Production Flight Emergency Equipment</v>
          </cell>
          <cell r="AB152" t="str">
            <v>Loto Kit</v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  <cell r="AG152" t="str">
            <v/>
          </cell>
          <cell r="AH152" t="str">
            <v/>
          </cell>
          <cell r="AI152" t="str">
            <v/>
          </cell>
          <cell r="AJ152" t="str">
            <v/>
          </cell>
          <cell r="AK152" t="str">
            <v>0,3</v>
          </cell>
          <cell r="AL152" t="str">
            <v>0,4</v>
          </cell>
          <cell r="AM152" t="str">
            <v>0,5</v>
          </cell>
          <cell r="AN152" t="str">
            <v>23,6</v>
          </cell>
          <cell r="AO152" t="str">
            <v>29,5</v>
          </cell>
          <cell r="AP152" t="str">
            <v>12,7</v>
          </cell>
          <cell r="AQ152" t="str">
            <v/>
          </cell>
          <cell r="AR152" t="str">
            <v/>
          </cell>
          <cell r="AS152" t="str">
            <v/>
          </cell>
          <cell r="AT152" t="str">
            <v/>
          </cell>
          <cell r="AU152" t="str">
            <v/>
          </cell>
          <cell r="AV152" t="str">
            <v/>
          </cell>
          <cell r="AW152" t="str">
            <v/>
          </cell>
          <cell r="AX152" t="str">
            <v/>
          </cell>
          <cell r="AY152" t="str">
            <v>82</v>
          </cell>
          <cell r="AZ152" t="str">
            <v>702</v>
          </cell>
          <cell r="BA152" t="str">
            <v>685</v>
          </cell>
          <cell r="BB152" t="str">
            <v>230</v>
          </cell>
          <cell r="BC152" t="str">
            <v>230</v>
          </cell>
          <cell r="BD152" t="str">
            <v>269</v>
          </cell>
          <cell r="BE152" t="str">
            <v/>
          </cell>
          <cell r="BF152" t="str">
            <v/>
          </cell>
          <cell r="BG152" t="str">
            <v/>
          </cell>
          <cell r="BH152" t="str">
            <v/>
          </cell>
          <cell r="BI152" t="str">
            <v/>
          </cell>
          <cell r="BJ152" t="str">
            <v/>
          </cell>
          <cell r="BK152" t="str">
            <v/>
          </cell>
          <cell r="BL152" t="str">
            <v/>
          </cell>
          <cell r="BM152" t="str">
            <v>Flaps 0 - 40° (Up when weighed)</v>
          </cell>
          <cell r="BN152" t="str">
            <v>Fuel, Drain, Unusable (5.6 Gal)</v>
          </cell>
          <cell r="BO152" t="str">
            <v>Lavatory Dry Supplies</v>
          </cell>
          <cell r="BP152" t="str">
            <v>Lavatory Pre-charge Fluid (6.0 Gal)</v>
          </cell>
          <cell r="BQ152" t="str">
            <v>Water, Potable (62.6 Gal)</v>
          </cell>
          <cell r="BR152" t="str">
            <v>Oven Rack</v>
          </cell>
          <cell r="BS152" t="str">
            <v>Oven Tray (8 EA)</v>
          </cell>
          <cell r="BT152" t="str">
            <v>2Ku System Antenna Installation (SB 737-44-1016)</v>
          </cell>
          <cell r="BU152" t="str">
            <v>2Ku System Cabin Equip Installation (SB 737-44-1017)</v>
          </cell>
          <cell r="BV152" t="str">
            <v/>
          </cell>
          <cell r="BW152" t="str">
            <v/>
          </cell>
          <cell r="BX152" t="str">
            <v/>
          </cell>
          <cell r="BY152" t="str">
            <v/>
          </cell>
          <cell r="BZ152" t="str">
            <v/>
          </cell>
          <cell r="CB152" t="str">
            <v/>
          </cell>
          <cell r="CC152" t="str">
            <v>17,3</v>
          </cell>
          <cell r="CD152" t="str">
            <v>4</v>
          </cell>
          <cell r="CE152" t="str">
            <v>22,7</v>
          </cell>
          <cell r="CF152" t="str">
            <v>236,4</v>
          </cell>
          <cell r="CG152" t="str">
            <v>2,3</v>
          </cell>
          <cell r="CH152" t="str">
            <v>1,6</v>
          </cell>
          <cell r="CI152" t="str">
            <v>164,2</v>
          </cell>
          <cell r="CJ152" t="str">
            <v>51,637</v>
          </cell>
          <cell r="CK152" t="str">
            <v/>
          </cell>
          <cell r="CL152" t="str">
            <v/>
          </cell>
          <cell r="CM152" t="str">
            <v/>
          </cell>
          <cell r="CN152" t="str">
            <v/>
          </cell>
          <cell r="CO152" t="str">
            <v/>
          </cell>
          <cell r="CP152" t="str">
            <v/>
          </cell>
          <cell r="CQ152" t="str">
            <v>646</v>
          </cell>
          <cell r="CR152" t="str">
            <v>1138</v>
          </cell>
          <cell r="CS152" t="str">
            <v>1112</v>
          </cell>
          <cell r="CT152" t="str">
            <v>1150</v>
          </cell>
          <cell r="CU152" t="str">
            <v>1214</v>
          </cell>
          <cell r="CV152" t="str">
            <v>1214</v>
          </cell>
          <cell r="CW152" t="str">
            <v>861,9867</v>
          </cell>
          <cell r="CX152" t="str">
            <v>468,2060</v>
          </cell>
          <cell r="CY152" t="str">
            <v/>
          </cell>
          <cell r="CZ152" t="str">
            <v/>
          </cell>
          <cell r="DA152" t="str">
            <v/>
          </cell>
          <cell r="DB152" t="str">
            <v/>
          </cell>
          <cell r="DC152" t="str">
            <v/>
          </cell>
          <cell r="DD152" t="str">
            <v/>
          </cell>
          <cell r="DE152" t="str">
            <v/>
          </cell>
          <cell r="DF152" t="str">
            <v/>
          </cell>
          <cell r="DH152" t="str">
            <v/>
          </cell>
          <cell r="DN152" t="str">
            <v>23/08/2023</v>
          </cell>
          <cell r="DQ152" t="str">
            <v>Danton</v>
          </cell>
          <cell r="DU152" t="str">
            <v>Boeing</v>
          </cell>
          <cell r="DV152" t="str">
            <v>186 Pax + 10 Flight Crew</v>
          </cell>
          <cell r="DW152" t="str">
            <v>GLP-MAX8-002-XMH</v>
          </cell>
        </row>
        <row r="153">
          <cell r="A153" t="str">
            <v>PR-XMH</v>
          </cell>
          <cell r="D153" t="str">
            <v>22/11/2024</v>
          </cell>
          <cell r="E153">
            <v>2</v>
          </cell>
          <cell r="F153">
            <v>0</v>
          </cell>
          <cell r="G153" t="str">
            <v>Lagoa Santa, MG - Brazil</v>
          </cell>
          <cell r="H153" t="str">
            <v>Scheduled</v>
          </cell>
          <cell r="I153" t="str">
            <v>1852</v>
          </cell>
          <cell r="J153" t="str">
            <v>1930</v>
          </cell>
          <cell r="K153" t="str">
            <v>9838</v>
          </cell>
          <cell r="L153" t="str">
            <v>10352</v>
          </cell>
          <cell r="M153" t="str">
            <v>10100</v>
          </cell>
          <cell r="N153" t="str">
            <v>10292</v>
          </cell>
          <cell r="O153" t="str">
            <v>1851</v>
          </cell>
          <cell r="P153" t="str">
            <v>1932</v>
          </cell>
          <cell r="Q153" t="str">
            <v>9808</v>
          </cell>
          <cell r="R153" t="str">
            <v>10382</v>
          </cell>
          <cell r="S153" t="str">
            <v>10134</v>
          </cell>
          <cell r="T153" t="str">
            <v>10262</v>
          </cell>
          <cell r="U153">
            <v>6.4960629921259843</v>
          </cell>
          <cell r="V153">
            <v>6.4960629921259843</v>
          </cell>
          <cell r="W153" t="str">
            <v xml:space="preserve">Down Lock, Nose Gear </v>
          </cell>
          <cell r="X153" t="str">
            <v xml:space="preserve">Down Lock, Main Gear </v>
          </cell>
          <cell r="Y153" t="str">
            <v>Plumb Bob</v>
          </cell>
          <cell r="Z153" t="str">
            <v/>
          </cell>
          <cell r="AA153" t="str">
            <v/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  <cell r="AF153" t="str">
            <v/>
          </cell>
          <cell r="AG153" t="str">
            <v/>
          </cell>
          <cell r="AH153" t="str">
            <v/>
          </cell>
          <cell r="AI153" t="str">
            <v/>
          </cell>
          <cell r="AJ153" t="str">
            <v/>
          </cell>
          <cell r="AK153" t="str">
            <v>0,3</v>
          </cell>
          <cell r="AL153" t="str">
            <v>0,4</v>
          </cell>
          <cell r="AM153" t="str">
            <v>0,5</v>
          </cell>
          <cell r="AN153" t="str">
            <v/>
          </cell>
          <cell r="AO153" t="str">
            <v/>
          </cell>
          <cell r="AP153" t="str">
            <v/>
          </cell>
          <cell r="AQ153" t="str">
            <v/>
          </cell>
          <cell r="AR153" t="str">
            <v/>
          </cell>
          <cell r="AS153" t="str">
            <v/>
          </cell>
          <cell r="AT153" t="str">
            <v/>
          </cell>
          <cell r="AU153" t="str">
            <v/>
          </cell>
          <cell r="AV153" t="str">
            <v/>
          </cell>
          <cell r="AW153" t="str">
            <v/>
          </cell>
          <cell r="AX153" t="str">
            <v/>
          </cell>
          <cell r="AY153" t="str">
            <v>82</v>
          </cell>
          <cell r="AZ153" t="str">
            <v>702</v>
          </cell>
          <cell r="BA153" t="str">
            <v>685</v>
          </cell>
          <cell r="BB153" t="str">
            <v/>
          </cell>
          <cell r="BC153" t="str">
            <v/>
          </cell>
          <cell r="BD153" t="str">
            <v/>
          </cell>
          <cell r="BE153" t="str">
            <v/>
          </cell>
          <cell r="BF153" t="str">
            <v/>
          </cell>
          <cell r="BG153" t="str">
            <v/>
          </cell>
          <cell r="BH153" t="str">
            <v/>
          </cell>
          <cell r="BI153" t="str">
            <v/>
          </cell>
          <cell r="BJ153" t="str">
            <v/>
          </cell>
          <cell r="BK153" t="str">
            <v/>
          </cell>
          <cell r="BL153" t="str">
            <v/>
          </cell>
          <cell r="BM153" t="str">
            <v>Flaps 0 - 40° (Up when weighed)</v>
          </cell>
          <cell r="BN153" t="str">
            <v>Fuel, Drain, Unusable (5.6 Gal)</v>
          </cell>
          <cell r="BO153" t="str">
            <v>Lavatory Pre-charge Fluid (6.0 Gal)</v>
          </cell>
          <cell r="BP153" t="str">
            <v>Water, Potable (62.6 Gal)</v>
          </cell>
          <cell r="BQ153" t="str">
            <v/>
          </cell>
          <cell r="BR153" t="str">
            <v/>
          </cell>
          <cell r="BS153" t="str">
            <v/>
          </cell>
          <cell r="BT153" t="str">
            <v/>
          </cell>
          <cell r="BU153" t="str">
            <v/>
          </cell>
          <cell r="BV153" t="str">
            <v/>
          </cell>
          <cell r="BW153" t="str">
            <v/>
          </cell>
          <cell r="BX153" t="str">
            <v/>
          </cell>
          <cell r="BY153" t="str">
            <v/>
          </cell>
          <cell r="BZ153" t="str">
            <v/>
          </cell>
          <cell r="CB153" t="str">
            <v/>
          </cell>
          <cell r="CC153" t="str">
            <v>17,3</v>
          </cell>
          <cell r="CD153" t="str">
            <v>22,7</v>
          </cell>
          <cell r="CE153" t="str">
            <v>236,4</v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>646</v>
          </cell>
          <cell r="CR153" t="str">
            <v>1112</v>
          </cell>
          <cell r="CS153" t="str">
            <v>1150</v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H153" t="str">
            <v/>
          </cell>
          <cell r="DN153" t="str">
            <v>22/11/2024</v>
          </cell>
          <cell r="DQ153" t="str">
            <v>Danton</v>
          </cell>
          <cell r="DR153" t="str">
            <v>Jeferson</v>
          </cell>
          <cell r="DS153" t="str">
            <v>1</v>
          </cell>
          <cell r="DT153" t="str">
            <v>1</v>
          </cell>
          <cell r="DU153" t="str">
            <v>GOL</v>
          </cell>
          <cell r="DV153" t="str">
            <v>186 Pax + 10 Flight Crew</v>
          </cell>
          <cell r="DW153" t="str">
            <v>GLP-MAX8-002-XMH</v>
          </cell>
        </row>
        <row r="154">
          <cell r="A154" t="str">
            <v>PR-XMV</v>
          </cell>
          <cell r="D154">
            <v>45630</v>
          </cell>
          <cell r="E154">
            <v>2</v>
          </cell>
          <cell r="F154">
            <v>0</v>
          </cell>
          <cell r="G154" t="str">
            <v>Lagoa Santa, MG - Brazil</v>
          </cell>
          <cell r="H154" t="str">
            <v>Scheduled</v>
          </cell>
          <cell r="I154">
            <v>1839</v>
          </cell>
          <cell r="J154">
            <v>1960</v>
          </cell>
          <cell r="K154">
            <v>9460</v>
          </cell>
          <cell r="L154">
            <v>10728</v>
          </cell>
          <cell r="M154">
            <v>10128</v>
          </cell>
          <cell r="N154">
            <v>10298</v>
          </cell>
          <cell r="O154">
            <v>1838</v>
          </cell>
          <cell r="P154">
            <v>1963</v>
          </cell>
          <cell r="Q154">
            <v>9458</v>
          </cell>
          <cell r="R154">
            <v>10728</v>
          </cell>
          <cell r="S154">
            <v>10144</v>
          </cell>
          <cell r="T154">
            <v>10278</v>
          </cell>
          <cell r="U154">
            <v>4.5275590550000002</v>
          </cell>
          <cell r="V154">
            <v>4.6456692909999999</v>
          </cell>
          <cell r="W154" t="str">
            <v>Down Lock, Nose Gear</v>
          </cell>
          <cell r="X154" t="str">
            <v>Down Lock, Main Gear</v>
          </cell>
          <cell r="Y154" t="str">
            <v>Plumb Bob</v>
          </cell>
          <cell r="AK154">
            <v>0.3</v>
          </cell>
          <cell r="AL154">
            <v>0.4</v>
          </cell>
          <cell r="AM154">
            <v>0.5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82</v>
          </cell>
          <cell r="AZ154">
            <v>702</v>
          </cell>
          <cell r="BA154">
            <v>685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 t="str">
            <v>Flaps 0 - 40° (Up when weighed)</v>
          </cell>
          <cell r="BN154" t="str">
            <v>Fuel, Drain, Unusable (5.6 Gal)</v>
          </cell>
          <cell r="BO154" t="str">
            <v>Lavatory Pre-charge Fluid (6.0 Gal)</v>
          </cell>
          <cell r="BP154" t="str">
            <v>Water, Potable (62.6 Gal)</v>
          </cell>
          <cell r="CB154">
            <v>0</v>
          </cell>
          <cell r="CC154">
            <v>17.3</v>
          </cell>
          <cell r="CD154">
            <v>22.7</v>
          </cell>
          <cell r="CE154">
            <v>236.4</v>
          </cell>
          <cell r="CP154">
            <v>0</v>
          </cell>
          <cell r="CQ154">
            <v>646</v>
          </cell>
          <cell r="CR154">
            <v>1112</v>
          </cell>
          <cell r="CS154">
            <v>1150</v>
          </cell>
          <cell r="DN154">
            <v>45630</v>
          </cell>
          <cell r="DQ154" t="str">
            <v>Danton</v>
          </cell>
          <cell r="DR154" t="str">
            <v>Euler</v>
          </cell>
          <cell r="DS154">
            <v>1</v>
          </cell>
          <cell r="DT154">
            <v>0</v>
          </cell>
          <cell r="DU154" t="str">
            <v>GOL</v>
          </cell>
          <cell r="DV154" t="str">
            <v>186 Pax + 10 Flight Crew</v>
          </cell>
          <cell r="DW154" t="str">
            <v>GLP-MAX8-001-XMV R00</v>
          </cell>
          <cell r="FM154" t="str">
            <v>teste</v>
          </cell>
          <cell r="FN154" t="str">
            <v>teste</v>
          </cell>
          <cell r="FO154" t="str">
            <v>teste</v>
          </cell>
          <cell r="FP154" t="str">
            <v>teste</v>
          </cell>
          <cell r="FQ154" t="str">
            <v>teste</v>
          </cell>
          <cell r="FR154" t="str">
            <v>teste</v>
          </cell>
          <cell r="FS154" t="str">
            <v>teste</v>
          </cell>
          <cell r="FT154" t="str">
            <v>teste</v>
          </cell>
          <cell r="FU154" t="str">
            <v>1</v>
          </cell>
          <cell r="FV154" t="str">
            <v>1</v>
          </cell>
          <cell r="FW154" t="str">
            <v>11</v>
          </cell>
          <cell r="FX154" t="str">
            <v>1</v>
          </cell>
          <cell r="FY154" t="str">
            <v>1</v>
          </cell>
          <cell r="FZ154" t="str">
            <v>1</v>
          </cell>
          <cell r="GA154" t="str">
            <v>1</v>
          </cell>
          <cell r="GB154" t="str">
            <v>1</v>
          </cell>
          <cell r="GC154" t="str">
            <v>1</v>
          </cell>
          <cell r="GD154" t="str">
            <v>1</v>
          </cell>
          <cell r="GE154" t="str">
            <v>1</v>
          </cell>
          <cell r="GF154" t="str">
            <v>1</v>
          </cell>
          <cell r="GG154" t="str">
            <v>1</v>
          </cell>
          <cell r="GH154" t="str">
            <v>1</v>
          </cell>
          <cell r="GI154" t="str">
            <v>1</v>
          </cell>
          <cell r="GJ154" t="str">
            <v>1</v>
          </cell>
          <cell r="GK154" t="str">
            <v>1</v>
          </cell>
          <cell r="GL154" t="str">
            <v>1</v>
          </cell>
          <cell r="GM154" t="str">
            <v>1</v>
          </cell>
          <cell r="GN154" t="str">
            <v>1</v>
          </cell>
        </row>
        <row r="155">
          <cell r="A155" t="str">
            <v>PS-GOL</v>
          </cell>
          <cell r="E155">
            <v>0</v>
          </cell>
          <cell r="F155">
            <v>0</v>
          </cell>
          <cell r="DN155">
            <v>0</v>
          </cell>
          <cell r="FM155" t="str">
            <v>teste 17</v>
          </cell>
          <cell r="FN155" t="str">
            <v>teste 18</v>
          </cell>
          <cell r="FO155" t="str">
            <v>teste 19</v>
          </cell>
          <cell r="FP155" t="str">
            <v>teste 20</v>
          </cell>
          <cell r="FQ155" t="str">
            <v>teste 21</v>
          </cell>
          <cell r="FR155" t="str">
            <v>teste 22</v>
          </cell>
          <cell r="FS155" t="str">
            <v>teste 23</v>
          </cell>
          <cell r="FT155" t="str">
            <v>teste 24</v>
          </cell>
          <cell r="FU155" t="str">
            <v>15</v>
          </cell>
          <cell r="FV155" t="str">
            <v>16</v>
          </cell>
          <cell r="FW155" t="str">
            <v>17</v>
          </cell>
          <cell r="FX155" t="str">
            <v>18</v>
          </cell>
          <cell r="FY155" t="str">
            <v>19</v>
          </cell>
          <cell r="FZ155" t="str">
            <v>20</v>
          </cell>
          <cell r="GA155" t="str">
            <v>21</v>
          </cell>
          <cell r="GB155" t="str">
            <v>22</v>
          </cell>
          <cell r="GC155" t="str">
            <v>23</v>
          </cell>
          <cell r="GD155" t="str">
            <v>24</v>
          </cell>
          <cell r="GE155" t="str">
            <v>150</v>
          </cell>
          <cell r="GF155" t="str">
            <v>160</v>
          </cell>
          <cell r="GG155" t="str">
            <v>170</v>
          </cell>
          <cell r="GH155" t="str">
            <v>180</v>
          </cell>
          <cell r="GI155" t="str">
            <v>190</v>
          </cell>
          <cell r="GJ155" t="str">
            <v>200</v>
          </cell>
          <cell r="GK155" t="str">
            <v>210</v>
          </cell>
          <cell r="GL155" t="str">
            <v>220</v>
          </cell>
          <cell r="GM155" t="str">
            <v>230</v>
          </cell>
          <cell r="GN155" t="str">
            <v>240</v>
          </cell>
        </row>
        <row r="156">
          <cell r="A156" t="str">
            <v>PS-GOL</v>
          </cell>
          <cell r="D156">
            <v>45630</v>
          </cell>
          <cell r="E156">
            <v>1</v>
          </cell>
          <cell r="F156">
            <v>0</v>
          </cell>
          <cell r="G156" t="str">
            <v>Seattle, WA - EUA</v>
          </cell>
          <cell r="H156" t="str">
            <v>New Production Aircraft</v>
          </cell>
          <cell r="I156">
            <v>1935.75</v>
          </cell>
          <cell r="J156">
            <v>1935.75</v>
          </cell>
          <cell r="K156">
            <v>9023.4</v>
          </cell>
          <cell r="L156">
            <v>10946.5</v>
          </cell>
          <cell r="M156">
            <v>10020.31</v>
          </cell>
          <cell r="N156">
            <v>10193.58</v>
          </cell>
          <cell r="O156">
            <v>1935.75</v>
          </cell>
          <cell r="P156">
            <v>1935.75</v>
          </cell>
          <cell r="Q156">
            <v>9023.4</v>
          </cell>
          <cell r="R156">
            <v>10946.5</v>
          </cell>
          <cell r="S156">
            <v>10020.31</v>
          </cell>
          <cell r="T156">
            <v>10193.58</v>
          </cell>
          <cell r="U156">
            <v>12.5</v>
          </cell>
          <cell r="V156">
            <v>14.03307087</v>
          </cell>
          <cell r="W156" t="str">
            <v xml:space="preserve">Down Lock, Nose Gear </v>
          </cell>
          <cell r="X156" t="str">
            <v xml:space="preserve">Down Lock, Main Gear </v>
          </cell>
          <cell r="Y156" t="str">
            <v>Plumb Bob</v>
          </cell>
          <cell r="Z156" t="str">
            <v>Wiring Diagrams</v>
          </cell>
          <cell r="AA156" t="str">
            <v>Production Flight Emergency Equipment</v>
          </cell>
          <cell r="AK156">
            <v>0.3</v>
          </cell>
          <cell r="AL156">
            <v>0.4</v>
          </cell>
          <cell r="AM156">
            <v>0.5</v>
          </cell>
          <cell r="AN156">
            <v>23.6</v>
          </cell>
          <cell r="AO156">
            <v>29.5</v>
          </cell>
          <cell r="AY156">
            <v>82</v>
          </cell>
          <cell r="AZ156">
            <v>702</v>
          </cell>
          <cell r="BA156">
            <v>685</v>
          </cell>
          <cell r="BB156">
            <v>230</v>
          </cell>
          <cell r="BC156">
            <v>230</v>
          </cell>
          <cell r="BM156" t="str">
            <v>Fuel, Drain, Unusable (5.6 Gal)</v>
          </cell>
          <cell r="BN156" t="str">
            <v>Lavatory Pre-charge Fluid (6.0 Gal)</v>
          </cell>
          <cell r="BO156" t="str">
            <v>Lavatory Dry Supplies</v>
          </cell>
          <cell r="BP156" t="str">
            <v>Lavatory Dry Supplies</v>
          </cell>
          <cell r="BQ156" t="str">
            <v>Flaps 0 - 40° (Up when weighed)</v>
          </cell>
          <cell r="BR156" t="str">
            <v>Water, Potable (62.6 Gal)</v>
          </cell>
          <cell r="CB156">
            <v>17.3</v>
          </cell>
          <cell r="CC156">
            <v>22.7</v>
          </cell>
          <cell r="CD156">
            <v>2</v>
          </cell>
          <cell r="CE156">
            <v>4</v>
          </cell>
          <cell r="CG156">
            <v>236.4</v>
          </cell>
          <cell r="CP156">
            <v>646</v>
          </cell>
          <cell r="CQ156">
            <v>1112</v>
          </cell>
          <cell r="CR156">
            <v>80</v>
          </cell>
          <cell r="CS156">
            <v>1138</v>
          </cell>
          <cell r="CU156">
            <v>1150</v>
          </cell>
          <cell r="DN156">
            <v>41977</v>
          </cell>
          <cell r="DQ156" t="str">
            <v>Fernando Meirelles</v>
          </cell>
          <cell r="DR156" t="str">
            <v>Danton</v>
          </cell>
          <cell r="DS156">
            <v>0</v>
          </cell>
          <cell r="DT156">
            <v>0</v>
          </cell>
          <cell r="DU156" t="str">
            <v>Boeing</v>
          </cell>
          <cell r="DV156" t="str">
            <v>186 Pax + 10 Flight Crew</v>
          </cell>
          <cell r="DW156" t="str">
            <v>GLP-MAX8-001-GOL</v>
          </cell>
          <cell r="FM156" t="str">
            <v>teste 17</v>
          </cell>
          <cell r="FN156" t="str">
            <v>teste 18</v>
          </cell>
          <cell r="FO156" t="str">
            <v>teste 19</v>
          </cell>
          <cell r="FP156" t="str">
            <v>teste 20</v>
          </cell>
          <cell r="FQ156" t="str">
            <v>teste 21</v>
          </cell>
          <cell r="FR156" t="str">
            <v>teste 22</v>
          </cell>
          <cell r="FS156" t="str">
            <v>teste 23</v>
          </cell>
          <cell r="FT156" t="str">
            <v>teste 24</v>
          </cell>
          <cell r="FU156" t="str">
            <v>15</v>
          </cell>
          <cell r="FV156" t="str">
            <v>16</v>
          </cell>
          <cell r="FW156" t="str">
            <v>17</v>
          </cell>
          <cell r="FX156" t="str">
            <v>18</v>
          </cell>
          <cell r="FY156" t="str">
            <v>19</v>
          </cell>
          <cell r="FZ156" t="str">
            <v>20</v>
          </cell>
          <cell r="GA156" t="str">
            <v>21</v>
          </cell>
          <cell r="GB156" t="str">
            <v>22</v>
          </cell>
          <cell r="GC156" t="str">
            <v>23</v>
          </cell>
          <cell r="GD156" t="str">
            <v>24</v>
          </cell>
          <cell r="GE156" t="str">
            <v>150</v>
          </cell>
          <cell r="GF156" t="str">
            <v>160</v>
          </cell>
          <cell r="GG156" t="str">
            <v>170</v>
          </cell>
          <cell r="GH156" t="str">
            <v>180</v>
          </cell>
          <cell r="GI156" t="str">
            <v>190</v>
          </cell>
          <cell r="GJ156" t="str">
            <v>200</v>
          </cell>
          <cell r="GK156" t="str">
            <v>210</v>
          </cell>
          <cell r="GL156" t="str">
            <v>220</v>
          </cell>
          <cell r="GM156" t="str">
            <v>230</v>
          </cell>
          <cell r="GN156" t="str">
            <v>240</v>
          </cell>
        </row>
        <row r="157">
          <cell r="A157" t="str">
            <v>PS-GRH</v>
          </cell>
          <cell r="E157">
            <v>0</v>
          </cell>
          <cell r="F157">
            <v>0</v>
          </cell>
          <cell r="DN157">
            <v>0</v>
          </cell>
          <cell r="FM157" t="str">
            <v>teste 17</v>
          </cell>
          <cell r="FN157" t="str">
            <v>teste 18</v>
          </cell>
          <cell r="FO157" t="str">
            <v>teste 19</v>
          </cell>
          <cell r="FP157" t="str">
            <v>teste 20</v>
          </cell>
          <cell r="FQ157" t="str">
            <v>teste 21</v>
          </cell>
          <cell r="FR157" t="str">
            <v>teste 22</v>
          </cell>
          <cell r="FS157" t="str">
            <v>teste 23</v>
          </cell>
          <cell r="FT157" t="str">
            <v>teste 24</v>
          </cell>
          <cell r="FU157" t="str">
            <v>15</v>
          </cell>
          <cell r="FV157" t="str">
            <v>16</v>
          </cell>
          <cell r="FW157" t="str">
            <v>17</v>
          </cell>
          <cell r="FX157" t="str">
            <v>18</v>
          </cell>
          <cell r="FY157" t="str">
            <v>19</v>
          </cell>
          <cell r="FZ157" t="str">
            <v>20</v>
          </cell>
          <cell r="GA157" t="str">
            <v>21</v>
          </cell>
          <cell r="GB157" t="str">
            <v>22</v>
          </cell>
          <cell r="GC157" t="str">
            <v>23</v>
          </cell>
          <cell r="GD157" t="str">
            <v>24</v>
          </cell>
          <cell r="GE157" t="str">
            <v>150</v>
          </cell>
          <cell r="GF157" t="str">
            <v>160</v>
          </cell>
          <cell r="GG157" t="str">
            <v>170</v>
          </cell>
          <cell r="GH157" t="str">
            <v>180</v>
          </cell>
          <cell r="GI157" t="str">
            <v>190</v>
          </cell>
          <cell r="GJ157" t="str">
            <v>200</v>
          </cell>
          <cell r="GK157" t="str">
            <v>210</v>
          </cell>
          <cell r="GL157" t="str">
            <v>220</v>
          </cell>
          <cell r="GM157" t="str">
            <v>230</v>
          </cell>
          <cell r="GN157" t="str">
            <v>240</v>
          </cell>
        </row>
        <row r="158">
          <cell r="A158" t="str">
            <v>PS-GRH</v>
          </cell>
          <cell r="D158">
            <v>45394</v>
          </cell>
          <cell r="E158">
            <v>1</v>
          </cell>
          <cell r="F158">
            <v>0</v>
          </cell>
          <cell r="G158" t="str">
            <v>Victorville, CA</v>
          </cell>
          <cell r="H158" t="str">
            <v>New Production Aircraft</v>
          </cell>
          <cell r="I158">
            <v>1838.96</v>
          </cell>
          <cell r="J158">
            <v>1838.96</v>
          </cell>
          <cell r="K158">
            <v>9098.33</v>
          </cell>
          <cell r="L158">
            <v>10882.96</v>
          </cell>
          <cell r="M158">
            <v>10273.299999999999</v>
          </cell>
          <cell r="N158">
            <v>10101.700000000001</v>
          </cell>
          <cell r="O158">
            <v>1838.96</v>
          </cell>
          <cell r="P158">
            <v>1838.96</v>
          </cell>
          <cell r="Q158">
            <v>9098.33</v>
          </cell>
          <cell r="R158">
            <v>10882.96</v>
          </cell>
          <cell r="S158">
            <v>10273.299999999999</v>
          </cell>
          <cell r="T158">
            <v>10101.799999999999</v>
          </cell>
          <cell r="U158">
            <v>3.297637795</v>
          </cell>
          <cell r="V158">
            <v>3.297637795</v>
          </cell>
          <cell r="W158" t="str">
            <v xml:space="preserve">Down Lock, Nose Gear </v>
          </cell>
          <cell r="X158" t="str">
            <v xml:space="preserve">Down Lock, Main Gear </v>
          </cell>
          <cell r="Y158" t="str">
            <v>Plumb Bob</v>
          </cell>
          <cell r="Z158" t="str">
            <v>Operations Manuals</v>
          </cell>
          <cell r="AA158" t="str">
            <v>Wiring Diagrams</v>
          </cell>
          <cell r="AB158" t="str">
            <v>Production Flight Emergency Equipment</v>
          </cell>
          <cell r="AC158" t="str">
            <v>Defibrillator</v>
          </cell>
          <cell r="AK158">
            <v>0.3</v>
          </cell>
          <cell r="AL158">
            <v>0.4</v>
          </cell>
          <cell r="AM158">
            <v>0.5</v>
          </cell>
          <cell r="AN158">
            <v>2.2999999999999998</v>
          </cell>
          <cell r="AO158">
            <v>23.6</v>
          </cell>
          <cell r="AP158">
            <v>29.5</v>
          </cell>
          <cell r="AQ158">
            <v>5.4</v>
          </cell>
          <cell r="AY158">
            <v>82</v>
          </cell>
          <cell r="AZ158">
            <v>702</v>
          </cell>
          <cell r="BA158">
            <v>685</v>
          </cell>
          <cell r="BB158">
            <v>67</v>
          </cell>
          <cell r="BC158">
            <v>230</v>
          </cell>
          <cell r="BD158">
            <v>230</v>
          </cell>
          <cell r="BE158">
            <v>230</v>
          </cell>
          <cell r="BM158" t="str">
            <v>Fuel, Drain, Unusable (5.6 Gal)</v>
          </cell>
          <cell r="BN158" t="str">
            <v>Lavatory Pre-charge Fluid (6.0 Gal)</v>
          </cell>
          <cell r="BO158" t="str">
            <v>Lavatory Dry Supplies</v>
          </cell>
          <cell r="BP158" t="str">
            <v>Flaps 0 - 40° (Up when weighed)</v>
          </cell>
          <cell r="BQ158" t="str">
            <v>Water, Potable (62.6 Gal)</v>
          </cell>
          <cell r="CB158">
            <v>17.3</v>
          </cell>
          <cell r="CC158">
            <v>22.7</v>
          </cell>
          <cell r="CD158">
            <v>4</v>
          </cell>
          <cell r="CF158">
            <v>236.4</v>
          </cell>
          <cell r="CP158">
            <v>646</v>
          </cell>
          <cell r="CQ158">
            <v>1112</v>
          </cell>
          <cell r="CR158">
            <v>1138</v>
          </cell>
          <cell r="CT158">
            <v>1150</v>
          </cell>
          <cell r="DN158">
            <v>45394</v>
          </cell>
          <cell r="DQ158" t="str">
            <v>Fernando Meirelles</v>
          </cell>
          <cell r="DR158" t="str">
            <v>Danton</v>
          </cell>
          <cell r="DS158">
            <v>0</v>
          </cell>
          <cell r="DT158">
            <v>0</v>
          </cell>
          <cell r="DU158" t="str">
            <v>Boeing</v>
          </cell>
          <cell r="DV158" t="str">
            <v>186 Pax + 10 Flight Crew</v>
          </cell>
          <cell r="DW158" t="str">
            <v>GLP-MAX8-001-GRH</v>
          </cell>
          <cell r="FM158" t="str">
            <v>teste 17</v>
          </cell>
          <cell r="FN158" t="str">
            <v>teste 18</v>
          </cell>
          <cell r="FO158" t="str">
            <v>teste 19</v>
          </cell>
          <cell r="FP158" t="str">
            <v>teste 20</v>
          </cell>
          <cell r="FQ158" t="str">
            <v>teste 21</v>
          </cell>
          <cell r="FR158" t="str">
            <v>teste 22</v>
          </cell>
          <cell r="FS158" t="str">
            <v xml:space="preserve">teste 23 </v>
          </cell>
          <cell r="FT158" t="str">
            <v>teste 24</v>
          </cell>
          <cell r="FU158" t="str">
            <v>15</v>
          </cell>
          <cell r="FV158" t="str">
            <v>16</v>
          </cell>
          <cell r="FW158" t="str">
            <v>17</v>
          </cell>
          <cell r="FX158" t="str">
            <v>18</v>
          </cell>
          <cell r="FY158" t="str">
            <v>19</v>
          </cell>
          <cell r="FZ158" t="str">
            <v>20</v>
          </cell>
          <cell r="GA158" t="str">
            <v>21</v>
          </cell>
          <cell r="GB158" t="str">
            <v>22</v>
          </cell>
          <cell r="GC158" t="str">
            <v>23</v>
          </cell>
          <cell r="GD158" t="str">
            <v>24</v>
          </cell>
          <cell r="GE158" t="str">
            <v>150</v>
          </cell>
          <cell r="GF158" t="str">
            <v>160</v>
          </cell>
          <cell r="GG158" t="str">
            <v>170</v>
          </cell>
          <cell r="GH158" t="str">
            <v>180</v>
          </cell>
          <cell r="GI158" t="str">
            <v>190</v>
          </cell>
          <cell r="GJ158" t="str">
            <v>200</v>
          </cell>
          <cell r="GK158" t="str">
            <v>210</v>
          </cell>
          <cell r="GL158" t="str">
            <v>220</v>
          </cell>
          <cell r="GM158" t="str">
            <v>230</v>
          </cell>
          <cell r="GN158" t="str">
            <v>240</v>
          </cell>
        </row>
        <row r="159">
          <cell r="A159" t="str">
            <v>PS-GRD</v>
          </cell>
          <cell r="E159">
            <v>0</v>
          </cell>
          <cell r="F159">
            <v>0</v>
          </cell>
          <cell r="DN159">
            <v>0</v>
          </cell>
          <cell r="FM159" t="str">
            <v>teste 17</v>
          </cell>
          <cell r="FN159" t="str">
            <v>teste 18</v>
          </cell>
          <cell r="FO159" t="str">
            <v>teste 19</v>
          </cell>
          <cell r="FP159" t="str">
            <v>teste 20</v>
          </cell>
          <cell r="FQ159" t="str">
            <v>teste 21</v>
          </cell>
          <cell r="FR159" t="str">
            <v>teste 22</v>
          </cell>
          <cell r="FS159" t="str">
            <v xml:space="preserve">teste 23 </v>
          </cell>
          <cell r="FT159" t="str">
            <v>teste 24</v>
          </cell>
          <cell r="FU159" t="str">
            <v>15</v>
          </cell>
          <cell r="FV159" t="str">
            <v>16</v>
          </cell>
          <cell r="FW159" t="str">
            <v>17</v>
          </cell>
          <cell r="FX159" t="str">
            <v>18</v>
          </cell>
          <cell r="FY159" t="str">
            <v>19</v>
          </cell>
          <cell r="FZ159" t="str">
            <v>20</v>
          </cell>
          <cell r="GA159" t="str">
            <v>21</v>
          </cell>
          <cell r="GB159" t="str">
            <v>22</v>
          </cell>
          <cell r="GC159" t="str">
            <v>23</v>
          </cell>
          <cell r="GD159" t="str">
            <v>24</v>
          </cell>
          <cell r="GE159" t="str">
            <v>150</v>
          </cell>
          <cell r="GF159" t="str">
            <v>160</v>
          </cell>
          <cell r="GG159" t="str">
            <v>170</v>
          </cell>
          <cell r="GH159" t="str">
            <v>180</v>
          </cell>
          <cell r="GI159" t="str">
            <v>190</v>
          </cell>
          <cell r="GJ159" t="str">
            <v>200</v>
          </cell>
          <cell r="GK159" t="str">
            <v>210</v>
          </cell>
          <cell r="GL159" t="str">
            <v>220</v>
          </cell>
          <cell r="GM159" t="str">
            <v>230</v>
          </cell>
          <cell r="GN159" t="str">
            <v>240</v>
          </cell>
        </row>
        <row r="160">
          <cell r="A160" t="str">
            <v>PS-GRD</v>
          </cell>
          <cell r="D160">
            <v>45631</v>
          </cell>
          <cell r="E160">
            <v>1</v>
          </cell>
          <cell r="F160">
            <v>0</v>
          </cell>
          <cell r="G160" t="str">
            <v>Victorville, CA</v>
          </cell>
          <cell r="H160" t="str">
            <v>New Production Aircraft</v>
          </cell>
          <cell r="I160">
            <v>1845.13</v>
          </cell>
          <cell r="J160">
            <v>1845.13</v>
          </cell>
          <cell r="K160">
            <v>10164.61</v>
          </cell>
          <cell r="L160">
            <v>9898.7999999999993</v>
          </cell>
          <cell r="M160">
            <v>9338.7999999999993</v>
          </cell>
          <cell r="N160">
            <v>10924.78</v>
          </cell>
          <cell r="O160">
            <v>1845.13</v>
          </cell>
          <cell r="P160">
            <v>1845.13</v>
          </cell>
          <cell r="Q160">
            <v>10164.61</v>
          </cell>
          <cell r="R160">
            <v>9898.7999999999993</v>
          </cell>
          <cell r="S160">
            <v>9338.7999999999993</v>
          </cell>
          <cell r="T160">
            <v>10924.78</v>
          </cell>
          <cell r="U160">
            <v>4.8310000000000004</v>
          </cell>
          <cell r="V160">
            <v>3.298</v>
          </cell>
          <cell r="W160" t="str">
            <v xml:space="preserve">Down Lock, Nose Gear </v>
          </cell>
          <cell r="X160" t="str">
            <v xml:space="preserve">Down Lock, Main Gear </v>
          </cell>
          <cell r="Y160" t="str">
            <v>Plumb Bob</v>
          </cell>
          <cell r="Z160" t="str">
            <v>Operations Manuals</v>
          </cell>
          <cell r="AA160" t="str">
            <v>Wiring Diagrams</v>
          </cell>
          <cell r="AB160" t="str">
            <v>Production Flight Emergency Equipment</v>
          </cell>
          <cell r="AC160" t="str">
            <v>Defibrillator</v>
          </cell>
          <cell r="AK160">
            <v>0.3</v>
          </cell>
          <cell r="AL160">
            <v>0.4</v>
          </cell>
          <cell r="AM160">
            <v>0.5</v>
          </cell>
          <cell r="AN160">
            <v>2.2999999999999998</v>
          </cell>
          <cell r="AO160">
            <v>23.6</v>
          </cell>
          <cell r="AP160">
            <v>29.5</v>
          </cell>
          <cell r="AQ160">
            <v>5.4</v>
          </cell>
          <cell r="AY160">
            <v>82</v>
          </cell>
          <cell r="AZ160">
            <v>702</v>
          </cell>
          <cell r="BA160">
            <v>685</v>
          </cell>
          <cell r="BB160">
            <v>67</v>
          </cell>
          <cell r="BC160">
            <v>230</v>
          </cell>
          <cell r="BD160">
            <v>230</v>
          </cell>
          <cell r="BE160">
            <v>230</v>
          </cell>
          <cell r="BM160" t="str">
            <v>Fuel, Drain, Unusable (5.6 Gal)</v>
          </cell>
          <cell r="BN160" t="str">
            <v>Lavatory Pre-charge Fluid (6.0 Gal)</v>
          </cell>
          <cell r="BO160" t="str">
            <v>Lavatory Dry Supplies</v>
          </cell>
          <cell r="BP160" t="str">
            <v>Flaps 0 - 40° (Up when weighed)</v>
          </cell>
          <cell r="BQ160" t="str">
            <v>Water, Potable (62.6 Gal)</v>
          </cell>
          <cell r="CB160">
            <v>17.3</v>
          </cell>
          <cell r="CC160">
            <v>22.7</v>
          </cell>
          <cell r="CD160">
            <v>4</v>
          </cell>
          <cell r="CF160">
            <v>236.4</v>
          </cell>
          <cell r="CP160">
            <v>646</v>
          </cell>
          <cell r="CQ160">
            <v>1112</v>
          </cell>
          <cell r="CR160">
            <v>1138</v>
          </cell>
          <cell r="CT160">
            <v>1150</v>
          </cell>
          <cell r="DN160">
            <v>45631</v>
          </cell>
          <cell r="DQ160" t="str">
            <v>Danton</v>
          </cell>
          <cell r="DR160" t="str">
            <v>Fernando Meirelles</v>
          </cell>
          <cell r="DS160">
            <v>0</v>
          </cell>
          <cell r="DT160">
            <v>0</v>
          </cell>
          <cell r="DU160" t="str">
            <v>Boeing</v>
          </cell>
          <cell r="DV160" t="str">
            <v>186 Pax + 10 Flight Crew</v>
          </cell>
          <cell r="DW160" t="str">
            <v>GLP-MAX8-001-GRD</v>
          </cell>
          <cell r="FM160" t="str">
            <v>teste 17</v>
          </cell>
          <cell r="FN160" t="str">
            <v>teste 18</v>
          </cell>
          <cell r="FO160" t="str">
            <v>teste 19</v>
          </cell>
          <cell r="FP160" t="str">
            <v>teste 20</v>
          </cell>
          <cell r="FQ160" t="str">
            <v>teste 21</v>
          </cell>
          <cell r="FR160" t="str">
            <v>teste 22</v>
          </cell>
          <cell r="FS160" t="str">
            <v xml:space="preserve">teste 23 </v>
          </cell>
          <cell r="FT160" t="str">
            <v>teste 24</v>
          </cell>
          <cell r="FU160" t="str">
            <v>15</v>
          </cell>
          <cell r="FV160" t="str">
            <v>16</v>
          </cell>
          <cell r="FW160" t="str">
            <v>17</v>
          </cell>
          <cell r="FX160" t="str">
            <v>18</v>
          </cell>
          <cell r="FY160" t="str">
            <v>19</v>
          </cell>
          <cell r="FZ160" t="str">
            <v>20</v>
          </cell>
          <cell r="GA160" t="str">
            <v>21</v>
          </cell>
          <cell r="GB160" t="str">
            <v>22</v>
          </cell>
          <cell r="GC160" t="str">
            <v>23</v>
          </cell>
          <cell r="GD160" t="str">
            <v>24</v>
          </cell>
          <cell r="GE160" t="str">
            <v>150</v>
          </cell>
          <cell r="GF160" t="str">
            <v>160</v>
          </cell>
          <cell r="GG160" t="str">
            <v>170</v>
          </cell>
          <cell r="GH160" t="str">
            <v>180</v>
          </cell>
          <cell r="GI160" t="str">
            <v>190</v>
          </cell>
          <cell r="GJ160" t="str">
            <v>200</v>
          </cell>
          <cell r="GK160" t="str">
            <v>210</v>
          </cell>
          <cell r="GL160" t="str">
            <v>220</v>
          </cell>
          <cell r="GM160" t="str">
            <v>230</v>
          </cell>
          <cell r="GN160" t="str">
            <v>240</v>
          </cell>
        </row>
        <row r="161">
          <cell r="A161" t="str">
            <v>PS-GFG</v>
          </cell>
          <cell r="E161">
            <v>0</v>
          </cell>
          <cell r="F161">
            <v>0</v>
          </cell>
          <cell r="DN161">
            <v>0</v>
          </cell>
          <cell r="FM161" t="str">
            <v>teste 17</v>
          </cell>
          <cell r="FN161" t="str">
            <v>teste 18</v>
          </cell>
          <cell r="FO161" t="str">
            <v>teste 19</v>
          </cell>
          <cell r="FP161" t="str">
            <v>teste 20</v>
          </cell>
          <cell r="FQ161" t="str">
            <v>teste 21</v>
          </cell>
          <cell r="FR161" t="str">
            <v>teste 22</v>
          </cell>
          <cell r="FS161" t="str">
            <v xml:space="preserve">teste 23 </v>
          </cell>
          <cell r="FT161" t="str">
            <v xml:space="preserve">teste 24 - versao 2 </v>
          </cell>
          <cell r="FU161" t="str">
            <v>15</v>
          </cell>
          <cell r="FV161" t="str">
            <v>16</v>
          </cell>
          <cell r="FW161" t="str">
            <v>17</v>
          </cell>
          <cell r="FX161" t="str">
            <v>18</v>
          </cell>
          <cell r="FY161" t="str">
            <v>19</v>
          </cell>
          <cell r="FZ161" t="str">
            <v>20</v>
          </cell>
          <cell r="GA161" t="str">
            <v>21</v>
          </cell>
          <cell r="GB161" t="str">
            <v>22</v>
          </cell>
          <cell r="GC161" t="str">
            <v>23</v>
          </cell>
          <cell r="GD161" t="str">
            <v>24</v>
          </cell>
          <cell r="GE161" t="str">
            <v>150</v>
          </cell>
          <cell r="GF161" t="str">
            <v>160</v>
          </cell>
          <cell r="GG161" t="str">
            <v>170</v>
          </cell>
          <cell r="GH161" t="str">
            <v>180</v>
          </cell>
          <cell r="GI161" t="str">
            <v>190</v>
          </cell>
          <cell r="GJ161" t="str">
            <v>200</v>
          </cell>
          <cell r="GK161" t="str">
            <v>210</v>
          </cell>
          <cell r="GL161" t="str">
            <v>220</v>
          </cell>
          <cell r="GM161" t="str">
            <v>230</v>
          </cell>
          <cell r="GN161" t="str">
            <v>240</v>
          </cell>
        </row>
        <row r="162">
          <cell r="A162" t="str">
            <v>PS-GFG</v>
          </cell>
          <cell r="D162">
            <v>45582</v>
          </cell>
          <cell r="E162">
            <v>1</v>
          </cell>
          <cell r="F162">
            <v>0</v>
          </cell>
          <cell r="G162" t="str">
            <v>Kelowna, Canada</v>
          </cell>
          <cell r="H162" t="str">
            <v>New Aircraft in the Fleet</v>
          </cell>
          <cell r="I162">
            <v>1992.63</v>
          </cell>
          <cell r="J162">
            <v>2389.52</v>
          </cell>
          <cell r="K162">
            <v>9053.7000000000007</v>
          </cell>
          <cell r="L162">
            <v>8644.56</v>
          </cell>
          <cell r="M162">
            <v>8401.8799999999992</v>
          </cell>
          <cell r="N162">
            <v>8985.66</v>
          </cell>
          <cell r="O162">
            <v>2385.89</v>
          </cell>
          <cell r="P162">
            <v>1992.18</v>
          </cell>
          <cell r="Q162">
            <v>9207.92</v>
          </cell>
          <cell r="R162">
            <v>8497.14</v>
          </cell>
          <cell r="S162">
            <v>8282.14</v>
          </cell>
          <cell r="T162">
            <v>9104.9500000000007</v>
          </cell>
          <cell r="U162">
            <v>4</v>
          </cell>
          <cell r="V162">
            <v>4</v>
          </cell>
          <cell r="W162" t="str">
            <v xml:space="preserve">Down Lock, Nose Gear </v>
          </cell>
          <cell r="X162" t="str">
            <v xml:space="preserve">Down Lock, Main Gear </v>
          </cell>
          <cell r="Y162" t="str">
            <v>Plumb Bob</v>
          </cell>
          <cell r="AK162">
            <v>0.3</v>
          </cell>
          <cell r="AL162">
            <v>0.4</v>
          </cell>
          <cell r="AM162">
            <v>0.5</v>
          </cell>
          <cell r="AY162">
            <v>91</v>
          </cell>
          <cell r="AZ162">
            <v>702</v>
          </cell>
          <cell r="BA162">
            <v>685</v>
          </cell>
          <cell r="BM162" t="str">
            <v>Flaps 0 - 40° (Up when weighed)</v>
          </cell>
          <cell r="BN162" t="str">
            <v>Fuel, Drain, Unusable (5.6 Gal)</v>
          </cell>
          <cell r="BO162" t="str">
            <v>Water, Potable (62.6 Gal)</v>
          </cell>
          <cell r="CB162">
            <v>0</v>
          </cell>
          <cell r="CC162">
            <v>17.3</v>
          </cell>
          <cell r="CD162">
            <v>236.4</v>
          </cell>
          <cell r="CP162">
            <v>0</v>
          </cell>
          <cell r="CQ162">
            <v>646</v>
          </cell>
          <cell r="CR162">
            <v>1150</v>
          </cell>
          <cell r="DN162">
            <v>45632</v>
          </cell>
          <cell r="DQ162" t="str">
            <v>Euler</v>
          </cell>
          <cell r="DR162" t="str">
            <v>Danton</v>
          </cell>
          <cell r="DS162">
            <v>0</v>
          </cell>
          <cell r="DT162">
            <v>0</v>
          </cell>
          <cell r="DU162" t="str">
            <v>KF Aerospace</v>
          </cell>
          <cell r="DV162" t="str">
            <v>11) 88”x125” ULDs Plus (1) 60.4”x61.5”</v>
          </cell>
          <cell r="DW162" t="str">
            <v>GLP-BCF-001-GFG</v>
          </cell>
        </row>
        <row r="163">
          <cell r="A163" t="str">
            <v>PR-XMI</v>
          </cell>
          <cell r="E163">
            <v>1</v>
          </cell>
          <cell r="F163">
            <v>1</v>
          </cell>
          <cell r="DN163">
            <v>0</v>
          </cell>
        </row>
        <row r="164">
          <cell r="A164" t="str">
            <v>PR-XMI</v>
          </cell>
          <cell r="D164">
            <v>45637</v>
          </cell>
          <cell r="E164">
            <v>2</v>
          </cell>
          <cell r="F164">
            <v>0</v>
          </cell>
          <cell r="G164" t="str">
            <v>Lagoa Santa, MG - Brazil</v>
          </cell>
          <cell r="H164" t="str">
            <v>5 Years Check</v>
          </cell>
          <cell r="I164">
            <v>2066</v>
          </cell>
          <cell r="J164">
            <v>1624</v>
          </cell>
          <cell r="K164">
            <v>9576</v>
          </cell>
          <cell r="L164">
            <v>10662</v>
          </cell>
          <cell r="M164">
            <v>10376</v>
          </cell>
          <cell r="N164">
            <v>10166</v>
          </cell>
          <cell r="O164">
            <v>2064</v>
          </cell>
          <cell r="P164">
            <v>1626</v>
          </cell>
          <cell r="Q164">
            <v>9540</v>
          </cell>
          <cell r="R164">
            <v>10696</v>
          </cell>
          <cell r="S164">
            <v>10398</v>
          </cell>
          <cell r="T164">
            <v>10146</v>
          </cell>
          <cell r="U164">
            <v>4.9212598429999996</v>
          </cell>
          <cell r="V164">
            <v>4.7244094490000004</v>
          </cell>
          <cell r="W164" t="str">
            <v xml:space="preserve">Down Lock, Nose Gear </v>
          </cell>
          <cell r="X164" t="str">
            <v xml:space="preserve">Down Lock, Main Gear </v>
          </cell>
          <cell r="Y164" t="str">
            <v>Plumb Bob</v>
          </cell>
          <cell r="AK164">
            <v>0.3</v>
          </cell>
          <cell r="AL164">
            <v>0.4</v>
          </cell>
          <cell r="AM164">
            <v>0.5</v>
          </cell>
          <cell r="AY164">
            <v>82</v>
          </cell>
          <cell r="AZ164">
            <v>702</v>
          </cell>
          <cell r="BA164">
            <v>685</v>
          </cell>
          <cell r="BM164" t="str">
            <v>Flaps 0 - 40° (Up when weighed)</v>
          </cell>
          <cell r="BN164" t="str">
            <v>Fuel, Drain, Unusable (5.6 Gal)</v>
          </cell>
          <cell r="BO164" t="str">
            <v>Lavatory Pre-charge Fluid (6.0 Gal)</v>
          </cell>
          <cell r="BP164" t="str">
            <v>Lavatory Dry Supplies</v>
          </cell>
          <cell r="BQ164" t="str">
            <v>Water, Potable (62.6 Gal)</v>
          </cell>
          <cell r="CC164">
            <v>17.3</v>
          </cell>
          <cell r="CD164">
            <v>22.7</v>
          </cell>
          <cell r="CE164">
            <v>4</v>
          </cell>
          <cell r="CF164">
            <v>236.4</v>
          </cell>
          <cell r="CQ164">
            <v>646</v>
          </cell>
          <cell r="CR164">
            <v>1112</v>
          </cell>
          <cell r="CS164">
            <v>1138</v>
          </cell>
          <cell r="CT164">
            <v>1150</v>
          </cell>
          <cell r="DN164">
            <v>45637</v>
          </cell>
          <cell r="DQ164" t="str">
            <v>Fernando Araujo</v>
          </cell>
          <cell r="DR164" t="str">
            <v>Fernando Meirelles</v>
          </cell>
          <cell r="DS164">
            <v>1</v>
          </cell>
          <cell r="DT164">
            <v>1</v>
          </cell>
          <cell r="DU164" t="str">
            <v>GOL</v>
          </cell>
          <cell r="DV164" t="str">
            <v>186 Pax + 10 Flight Crew</v>
          </cell>
          <cell r="DW164" t="str">
            <v>GLP-MAX8-001-XMI R0</v>
          </cell>
        </row>
        <row r="165">
          <cell r="A165" t="str">
            <v>PR-GEK</v>
          </cell>
          <cell r="E165">
            <v>3</v>
          </cell>
          <cell r="F165">
            <v>3</v>
          </cell>
          <cell r="DN165">
            <v>0</v>
          </cell>
          <cell r="DQ165" t="str">
            <v>Euler</v>
          </cell>
        </row>
        <row r="166">
          <cell r="A166" t="str">
            <v>PR-GEK</v>
          </cell>
          <cell r="D166">
            <v>45639</v>
          </cell>
          <cell r="E166">
            <v>4</v>
          </cell>
          <cell r="F166">
            <v>0</v>
          </cell>
          <cell r="G166" t="str">
            <v>São José dos Campos, SP - Brazil</v>
          </cell>
          <cell r="H166" t="str">
            <v>Scheduled</v>
          </cell>
          <cell r="I166">
            <v>1893</v>
          </cell>
          <cell r="J166">
            <v>1829</v>
          </cell>
          <cell r="K166">
            <v>9749</v>
          </cell>
          <cell r="L166">
            <v>7441</v>
          </cell>
          <cell r="M166">
            <v>8465</v>
          </cell>
          <cell r="N166">
            <v>8180</v>
          </cell>
          <cell r="O166">
            <v>1934</v>
          </cell>
          <cell r="P166">
            <v>1770</v>
          </cell>
          <cell r="Q166">
            <v>9939</v>
          </cell>
          <cell r="R166">
            <v>7249</v>
          </cell>
          <cell r="S166">
            <v>8107</v>
          </cell>
          <cell r="T166">
            <v>8563</v>
          </cell>
          <cell r="U166">
            <v>5.2759999999999998</v>
          </cell>
          <cell r="V166">
            <v>1.875</v>
          </cell>
          <cell r="W166" t="str">
            <v>Plumb Bob</v>
          </cell>
          <cell r="X166" t="str">
            <v xml:space="preserve">Down Lock, Nose Gear </v>
          </cell>
          <cell r="Y166" t="str">
            <v xml:space="preserve">Down Lock, Main Gear </v>
          </cell>
          <cell r="AK166">
            <v>0.5</v>
          </cell>
          <cell r="AL166">
            <v>0.3</v>
          </cell>
          <cell r="AM166">
            <v>0.4</v>
          </cell>
          <cell r="AY166">
            <v>685</v>
          </cell>
          <cell r="AZ166">
            <v>200</v>
          </cell>
          <cell r="BA166">
            <v>702</v>
          </cell>
          <cell r="BM166" t="str">
            <v>Flaps 0 - 40° (Up when weighed)</v>
          </cell>
          <cell r="BN166" t="str">
            <v>Fuel, Drain, Unusable (5.6 Gal)</v>
          </cell>
          <cell r="BO166" t="str">
            <v>Lavatory Dry Supplies</v>
          </cell>
          <cell r="BP166" t="str">
            <v>Lavatory Pre-charge Fluid (6.0 Gal)</v>
          </cell>
          <cell r="BQ166" t="str">
            <v xml:space="preserve">Water, Potable (42.2 Gal) </v>
          </cell>
          <cell r="BR166" t="str">
            <v>RH Elevator</v>
          </cell>
          <cell r="BS166" t="str">
            <v>RH Tab</v>
          </cell>
          <cell r="BT166" t="str">
            <v>Painel 343AB</v>
          </cell>
          <cell r="BU166" t="str">
            <v>Painel 343BB</v>
          </cell>
          <cell r="BV166" t="str">
            <v>Painel 343CB</v>
          </cell>
          <cell r="BW166" t="str">
            <v>Painel 343DB</v>
          </cell>
          <cell r="BX166" t="str">
            <v>Painel 343EB</v>
          </cell>
          <cell r="BY166" t="str">
            <v>Painel 343FB</v>
          </cell>
          <cell r="CC166">
            <v>17.3</v>
          </cell>
          <cell r="CD166">
            <v>2</v>
          </cell>
          <cell r="CE166">
            <v>22.7</v>
          </cell>
          <cell r="CF166">
            <v>159.4</v>
          </cell>
          <cell r="CG166">
            <v>91</v>
          </cell>
          <cell r="CH166">
            <v>4</v>
          </cell>
          <cell r="CI166">
            <v>1.4</v>
          </cell>
          <cell r="CJ166">
            <v>3.8</v>
          </cell>
          <cell r="CK166">
            <v>4.3</v>
          </cell>
          <cell r="CL166">
            <v>4.08</v>
          </cell>
          <cell r="CM166">
            <v>1.7</v>
          </cell>
          <cell r="CN166">
            <v>2.2999999999999998</v>
          </cell>
          <cell r="CQ166">
            <v>646</v>
          </cell>
          <cell r="CR166">
            <v>1033</v>
          </cell>
          <cell r="CS166">
            <v>1000</v>
          </cell>
          <cell r="CT166">
            <v>1038</v>
          </cell>
          <cell r="CU166">
            <v>1308</v>
          </cell>
          <cell r="CV166">
            <v>1313</v>
          </cell>
          <cell r="CW166">
            <v>1251</v>
          </cell>
          <cell r="CX166">
            <v>1256</v>
          </cell>
          <cell r="CY166">
            <v>1258</v>
          </cell>
          <cell r="CZ166">
            <v>1261</v>
          </cell>
          <cell r="DA166">
            <v>1261</v>
          </cell>
          <cell r="DB166">
            <v>1262</v>
          </cell>
          <cell r="DN166">
            <v>45639</v>
          </cell>
          <cell r="DQ166" t="str">
            <v>Fernando Araujo</v>
          </cell>
          <cell r="DR166" t="str">
            <v>Danton</v>
          </cell>
          <cell r="DS166">
            <v>3</v>
          </cell>
          <cell r="DT166">
            <v>3</v>
          </cell>
          <cell r="DU166" t="str">
            <v>DIGEX</v>
          </cell>
          <cell r="DV166" t="str">
            <v>138 Pax + 8 Flight Crew</v>
          </cell>
          <cell r="DW166" t="str">
            <v>GLP-700-005-GEK REV1</v>
          </cell>
        </row>
        <row r="167">
          <cell r="A167" t="str">
            <v>PS-GPQ</v>
          </cell>
          <cell r="E167">
            <v>0</v>
          </cell>
          <cell r="F167">
            <v>0</v>
          </cell>
          <cell r="DN167">
            <v>0</v>
          </cell>
        </row>
        <row r="168">
          <cell r="A168" t="str">
            <v>PS-GPQ</v>
          </cell>
          <cell r="D168" t="str">
            <v>15/07/2024</v>
          </cell>
          <cell r="E168">
            <v>1</v>
          </cell>
          <cell r="F168">
            <v>0</v>
          </cell>
          <cell r="G168" t="str">
            <v>Seattle, WA - EUA</v>
          </cell>
          <cell r="H168" t="str">
            <v>New Production Aircraft</v>
          </cell>
          <cell r="I168" t="str">
            <v>1923,05</v>
          </cell>
          <cell r="J168" t="str">
            <v>1923,05</v>
          </cell>
          <cell r="K168">
            <v>10663.91</v>
          </cell>
          <cell r="L168" t="str">
            <v>9081,92</v>
          </cell>
          <cell r="M168" t="str">
            <v>9693,99</v>
          </cell>
          <cell r="N168" t="str">
            <v>10195,63</v>
          </cell>
          <cell r="O168" t="str">
            <v>1923,05</v>
          </cell>
          <cell r="P168" t="str">
            <v>1923,05</v>
          </cell>
          <cell r="Q168" t="str">
            <v>10663,91</v>
          </cell>
          <cell r="R168" t="str">
            <v>9081,92</v>
          </cell>
          <cell r="S168" t="str">
            <v>9693,99</v>
          </cell>
          <cell r="T168" t="str">
            <v>10195,63</v>
          </cell>
          <cell r="U168" t="str">
            <v>11,7331</v>
          </cell>
          <cell r="V168" t="str">
            <v>10,9663</v>
          </cell>
          <cell r="W168" t="str">
            <v xml:space="preserve">Down Lock, Nose Gear </v>
          </cell>
          <cell r="X168" t="str">
            <v xml:space="preserve">Down Lock, Main Gear </v>
          </cell>
          <cell r="Y168" t="str">
            <v>Plumb Bob</v>
          </cell>
          <cell r="Z168" t="str">
            <v>Operations Manuals</v>
          </cell>
          <cell r="AA168" t="str">
            <v>Wiring Diagrams</v>
          </cell>
          <cell r="AB168" t="str">
            <v>Loto Kit</v>
          </cell>
          <cell r="AC168" t="str">
            <v/>
          </cell>
          <cell r="AD168" t="str">
            <v/>
          </cell>
          <cell r="AE168" t="str">
            <v/>
          </cell>
          <cell r="AF168" t="str">
            <v/>
          </cell>
          <cell r="AG168" t="str">
            <v/>
          </cell>
          <cell r="AH168" t="str">
            <v/>
          </cell>
          <cell r="AI168" t="str">
            <v/>
          </cell>
          <cell r="AJ168" t="str">
            <v/>
          </cell>
          <cell r="AK168" t="str">
            <v>0,3</v>
          </cell>
          <cell r="AL168" t="str">
            <v>0,4</v>
          </cell>
          <cell r="AM168" t="str">
            <v>0,5</v>
          </cell>
          <cell r="AN168" t="str">
            <v>2,3</v>
          </cell>
          <cell r="AO168" t="str">
            <v>23,6</v>
          </cell>
          <cell r="AP168" t="str">
            <v>12,7</v>
          </cell>
          <cell r="AQ168" t="str">
            <v/>
          </cell>
          <cell r="AR168" t="str">
            <v/>
          </cell>
          <cell r="AS168" t="str">
            <v/>
          </cell>
          <cell r="AT168" t="str">
            <v/>
          </cell>
          <cell r="AU168" t="str">
            <v/>
          </cell>
          <cell r="AV168" t="str">
            <v/>
          </cell>
          <cell r="AW168" t="str">
            <v/>
          </cell>
          <cell r="AX168" t="str">
            <v/>
          </cell>
          <cell r="AY168" t="str">
            <v>82</v>
          </cell>
          <cell r="AZ168" t="str">
            <v>702</v>
          </cell>
          <cell r="BA168" t="str">
            <v>685</v>
          </cell>
          <cell r="BB168" t="str">
            <v>67</v>
          </cell>
          <cell r="BC168" t="str">
            <v>230</v>
          </cell>
          <cell r="BD168" t="str">
            <v>269</v>
          </cell>
          <cell r="BE168" t="str">
            <v/>
          </cell>
          <cell r="BF168" t="str">
            <v/>
          </cell>
          <cell r="BG168" t="str">
            <v/>
          </cell>
          <cell r="BH168" t="str">
            <v/>
          </cell>
          <cell r="BI168" t="str">
            <v/>
          </cell>
          <cell r="BJ168" t="str">
            <v/>
          </cell>
          <cell r="BK168" t="str">
            <v/>
          </cell>
          <cell r="BL168" t="str">
            <v/>
          </cell>
          <cell r="BM168" t="str">
            <v>Fuel, Drain, Unusable (5.6 Gal)</v>
          </cell>
          <cell r="BN168" t="str">
            <v>Lavatory Pre-charge Fluid (6.0 Gal)</v>
          </cell>
          <cell r="BO168" t="str">
            <v>Flaps 0 - 40° (Up when weighed)</v>
          </cell>
          <cell r="BP168" t="str">
            <v xml:space="preserve">Water, Potable (42.6 Gal) </v>
          </cell>
          <cell r="BQ168" t="str">
            <v/>
          </cell>
          <cell r="BR168" t="str">
            <v/>
          </cell>
          <cell r="BS168" t="str">
            <v/>
          </cell>
          <cell r="BT168" t="str">
            <v/>
          </cell>
          <cell r="BU168" t="str">
            <v/>
          </cell>
          <cell r="BV168" t="str">
            <v/>
          </cell>
          <cell r="BW168" t="str">
            <v/>
          </cell>
          <cell r="BX168" t="str">
            <v/>
          </cell>
          <cell r="BY168" t="str">
            <v/>
          </cell>
          <cell r="BZ168" t="str">
            <v/>
          </cell>
          <cell r="CA168" t="str">
            <v/>
          </cell>
          <cell r="CB168" t="str">
            <v>17,3</v>
          </cell>
          <cell r="CC168" t="str">
            <v>22,7</v>
          </cell>
          <cell r="CD168" t="str">
            <v/>
          </cell>
          <cell r="CE168" t="str">
            <v>161</v>
          </cell>
          <cell r="CF168" t="str">
            <v/>
          </cell>
          <cell r="CG168" t="str">
            <v/>
          </cell>
          <cell r="CH168" t="str">
            <v/>
          </cell>
          <cell r="CI168" t="str">
            <v/>
          </cell>
          <cell r="CJ168" t="str">
            <v/>
          </cell>
          <cell r="CK168" t="str">
            <v/>
          </cell>
          <cell r="CL168" t="str">
            <v/>
          </cell>
          <cell r="CM168" t="str">
            <v/>
          </cell>
          <cell r="CN168" t="str">
            <v/>
          </cell>
          <cell r="CO168" t="str">
            <v/>
          </cell>
          <cell r="CP168" t="str">
            <v>646</v>
          </cell>
          <cell r="CQ168" t="str">
            <v>1112</v>
          </cell>
          <cell r="CR168" t="str">
            <v/>
          </cell>
          <cell r="CS168" t="str">
            <v>1141</v>
          </cell>
          <cell r="CT168" t="str">
            <v/>
          </cell>
          <cell r="CU168" t="str">
            <v/>
          </cell>
          <cell r="CV168" t="str">
            <v/>
          </cell>
          <cell r="CW168" t="str">
            <v/>
          </cell>
          <cell r="CX168" t="str">
            <v/>
          </cell>
          <cell r="CY168" t="str">
            <v/>
          </cell>
          <cell r="CZ168" t="str">
            <v/>
          </cell>
          <cell r="DA168" t="str">
            <v/>
          </cell>
          <cell r="DB168" t="str">
            <v/>
          </cell>
          <cell r="DC168" t="str">
            <v/>
          </cell>
          <cell r="DD168" t="str">
            <v/>
          </cell>
          <cell r="DE168" t="str">
            <v/>
          </cell>
          <cell r="DF168" t="str">
            <v/>
          </cell>
          <cell r="DH168" t="str">
            <v/>
          </cell>
          <cell r="DN168" t="str">
            <v>10/01/2025</v>
          </cell>
          <cell r="DQ168" t="str">
            <v>Danton</v>
          </cell>
          <cell r="DR168" t="str">
            <v>Fernando Araujo</v>
          </cell>
          <cell r="DS168" t="str">
            <v>0</v>
          </cell>
          <cell r="DT168" t="str">
            <v>0</v>
          </cell>
          <cell r="DU168" t="str">
            <v>Boeing</v>
          </cell>
          <cell r="DV168" t="str">
            <v>175 Pax + 10 Flight Crew</v>
          </cell>
          <cell r="DW168" t="str">
            <v>GLP-MAX8-001-GPQ</v>
          </cell>
          <cell r="FL168" t="str">
            <v/>
          </cell>
          <cell r="FM168" t="str">
            <v/>
          </cell>
          <cell r="FN168" t="str">
            <v/>
          </cell>
          <cell r="FO168" t="str">
            <v/>
          </cell>
          <cell r="FP168" t="str">
            <v/>
          </cell>
          <cell r="FQ168" t="str">
            <v/>
          </cell>
          <cell r="FR168" t="str">
            <v/>
          </cell>
          <cell r="FS168" t="str">
            <v/>
          </cell>
          <cell r="FT168" t="str">
            <v/>
          </cell>
          <cell r="FU168" t="str">
            <v/>
          </cell>
          <cell r="FV168" t="str">
            <v/>
          </cell>
          <cell r="FW168" t="str">
            <v/>
          </cell>
          <cell r="FX168" t="str">
            <v/>
          </cell>
          <cell r="FY168" t="str">
            <v/>
          </cell>
          <cell r="FZ168" t="str">
            <v/>
          </cell>
          <cell r="GA168" t="str">
            <v/>
          </cell>
          <cell r="GB168" t="str">
            <v/>
          </cell>
          <cell r="GC168" t="str">
            <v/>
          </cell>
          <cell r="GD168" t="str">
            <v/>
          </cell>
          <cell r="GE168" t="str">
            <v/>
          </cell>
          <cell r="GF168" t="str">
            <v/>
          </cell>
          <cell r="GG168" t="str">
            <v/>
          </cell>
          <cell r="GH168" t="str">
            <v/>
          </cell>
          <cell r="GI168" t="str">
            <v/>
          </cell>
          <cell r="GJ168" t="str">
            <v/>
          </cell>
          <cell r="GK168" t="str">
            <v/>
          </cell>
          <cell r="GL168" t="str">
            <v/>
          </cell>
          <cell r="GM168" t="str">
            <v/>
          </cell>
          <cell r="GN168" t="str">
            <v/>
          </cell>
        </row>
        <row r="169">
          <cell r="A169" t="str">
            <v>PS-GPB</v>
          </cell>
          <cell r="E169">
            <v>2</v>
          </cell>
          <cell r="F169">
            <v>2</v>
          </cell>
          <cell r="DN169">
            <v>0</v>
          </cell>
        </row>
        <row r="170">
          <cell r="A170" t="str">
            <v>PS-GPB</v>
          </cell>
          <cell r="D170" t="str">
            <v>10/01/2025</v>
          </cell>
          <cell r="E170">
            <v>3</v>
          </cell>
          <cell r="F170">
            <v>0</v>
          </cell>
          <cell r="G170" t="str">
            <v>Lagoa Santa, MG - Brazil</v>
          </cell>
          <cell r="H170" t="str">
            <v>Scheduled</v>
          </cell>
          <cell r="I170" t="str">
            <v>1782</v>
          </cell>
          <cell r="J170" t="str">
            <v>1954</v>
          </cell>
          <cell r="K170" t="str">
            <v>9204</v>
          </cell>
          <cell r="L170" t="str">
            <v>10654</v>
          </cell>
          <cell r="M170" t="str">
            <v>10234</v>
          </cell>
          <cell r="N170" t="str">
            <v>9854</v>
          </cell>
          <cell r="O170" t="str">
            <v>1782</v>
          </cell>
          <cell r="P170" t="str">
            <v>1954</v>
          </cell>
          <cell r="Q170" t="str">
            <v>9156</v>
          </cell>
          <cell r="R170" t="str">
            <v>10702</v>
          </cell>
          <cell r="S170" t="str">
            <v>10284</v>
          </cell>
          <cell r="T170" t="str">
            <v>9800</v>
          </cell>
          <cell r="U170">
            <v>3.2677165354330708</v>
          </cell>
          <cell r="V170">
            <v>3.3070866141732287</v>
          </cell>
          <cell r="W170" t="str">
            <v xml:space="preserve">Down Lock, Nose Gear </v>
          </cell>
          <cell r="X170" t="str">
            <v xml:space="preserve">Down Lock, Main Gear </v>
          </cell>
          <cell r="Y170" t="str">
            <v>Plumb Bob</v>
          </cell>
          <cell r="Z170" t="str">
            <v/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>0,3</v>
          </cell>
          <cell r="AL170" t="str">
            <v>0,4</v>
          </cell>
          <cell r="AM170" t="str">
            <v>0,5</v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>82</v>
          </cell>
          <cell r="AZ170" t="str">
            <v>702</v>
          </cell>
          <cell r="BA170" t="str">
            <v>685</v>
          </cell>
          <cell r="BB170" t="str">
            <v/>
          </cell>
          <cell r="BC170" t="str">
            <v/>
          </cell>
          <cell r="BD170" t="str">
            <v/>
          </cell>
          <cell r="BE170" t="str">
            <v/>
          </cell>
          <cell r="BF170" t="str">
            <v/>
          </cell>
          <cell r="BG170" t="str">
            <v/>
          </cell>
          <cell r="BH170" t="str">
            <v/>
          </cell>
          <cell r="BI170" t="str">
            <v/>
          </cell>
          <cell r="BJ170" t="str">
            <v/>
          </cell>
          <cell r="BK170" t="str">
            <v/>
          </cell>
          <cell r="BL170" t="str">
            <v/>
          </cell>
          <cell r="BM170" t="str">
            <v>Flaps 0 - 40° (Up when weighed)</v>
          </cell>
          <cell r="BN170" t="str">
            <v>Fuel, Drain, Unusable (5.6 Gal)</v>
          </cell>
          <cell r="BO170" t="str">
            <v>Lavatory Pre-charge Fluid (6.0 Gal)</v>
          </cell>
          <cell r="BP170" t="str">
            <v>Water, Potable (62.6 Gal)</v>
          </cell>
          <cell r="BQ170" t="str">
            <v>1EA Oven in galley 2</v>
          </cell>
          <cell r="BR170" t="str">
            <v>1EA Oven in galley 4</v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>17,3</v>
          </cell>
          <cell r="CD170" t="str">
            <v>22,7</v>
          </cell>
          <cell r="CE170" t="str">
            <v>236,4</v>
          </cell>
          <cell r="CF170" t="str">
            <v>17</v>
          </cell>
          <cell r="CG170" t="str">
            <v>15,4</v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>646</v>
          </cell>
          <cell r="CR170" t="str">
            <v>1112</v>
          </cell>
          <cell r="CS170" t="str">
            <v>1150</v>
          </cell>
          <cell r="CT170" t="str">
            <v>162</v>
          </cell>
          <cell r="CU170" t="str">
            <v>1214</v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H170" t="str">
            <v/>
          </cell>
          <cell r="DN170" t="str">
            <v>13/01/2024</v>
          </cell>
          <cell r="DQ170" t="str">
            <v>Danton</v>
          </cell>
          <cell r="DR170" t="str">
            <v>Jeferson</v>
          </cell>
          <cell r="DS170" t="str">
            <v>2</v>
          </cell>
          <cell r="DT170" t="str">
            <v>2</v>
          </cell>
          <cell r="DU170" t="str">
            <v>GOL</v>
          </cell>
          <cell r="DV170" t="str">
            <v>186 Pax + 10 Flight Crew</v>
          </cell>
          <cell r="DW170" t="str">
            <v>GLP-MAX8-002-GPB</v>
          </cell>
          <cell r="FL170" t="str">
            <v/>
          </cell>
          <cell r="FM170" t="str">
            <v/>
          </cell>
          <cell r="FN170" t="str">
            <v/>
          </cell>
          <cell r="FO170" t="str">
            <v/>
          </cell>
          <cell r="FP170" t="str">
            <v/>
          </cell>
          <cell r="FQ170" t="str">
            <v/>
          </cell>
          <cell r="FR170" t="str">
            <v/>
          </cell>
          <cell r="FS170" t="str">
            <v/>
          </cell>
          <cell r="FT170" t="str">
            <v/>
          </cell>
          <cell r="FU170" t="str">
            <v/>
          </cell>
          <cell r="FV170" t="str">
            <v/>
          </cell>
          <cell r="FW170" t="str">
            <v/>
          </cell>
          <cell r="FX170" t="str">
            <v/>
          </cell>
          <cell r="FY170" t="str">
            <v/>
          </cell>
          <cell r="FZ170" t="str">
            <v/>
          </cell>
          <cell r="GA170" t="str">
            <v/>
          </cell>
          <cell r="GB170" t="str">
            <v/>
          </cell>
          <cell r="GC170" t="str">
            <v/>
          </cell>
          <cell r="GD170" t="str">
            <v/>
          </cell>
          <cell r="GE170" t="str">
            <v/>
          </cell>
          <cell r="GF170" t="str">
            <v/>
          </cell>
          <cell r="GG170" t="str">
            <v/>
          </cell>
          <cell r="GH170" t="str">
            <v/>
          </cell>
          <cell r="GI170" t="str">
            <v/>
          </cell>
          <cell r="GJ170" t="str">
            <v/>
          </cell>
          <cell r="GK170" t="str">
            <v/>
          </cell>
          <cell r="GL170" t="str">
            <v/>
          </cell>
          <cell r="GM170" t="str">
            <v/>
          </cell>
          <cell r="GN170" t="str">
            <v/>
          </cell>
        </row>
        <row r="171">
          <cell r="A171" t="str">
            <v>PS-GFA</v>
          </cell>
          <cell r="D171" t="str">
            <v>15/01/2025</v>
          </cell>
          <cell r="E171">
            <v>2</v>
          </cell>
          <cell r="F171">
            <v>0</v>
          </cell>
          <cell r="G171" t="str">
            <v>Lagoa Santa, MG - Brazil</v>
          </cell>
          <cell r="H171" t="str">
            <v>Scheduled</v>
          </cell>
          <cell r="I171" t="str">
            <v>2156</v>
          </cell>
          <cell r="J171" t="str">
            <v>2146</v>
          </cell>
          <cell r="K171" t="str">
            <v>8672</v>
          </cell>
          <cell r="L171" t="str">
            <v>8920</v>
          </cell>
          <cell r="M171" t="str">
            <v>8864</v>
          </cell>
          <cell r="N171" t="str">
            <v>8462</v>
          </cell>
          <cell r="O171" t="str">
            <v>2160</v>
          </cell>
          <cell r="P171" t="str">
            <v>2136</v>
          </cell>
          <cell r="Q171" t="str">
            <v>8610</v>
          </cell>
          <cell r="R171" t="str">
            <v>8984</v>
          </cell>
          <cell r="S171" t="str">
            <v>8948</v>
          </cell>
          <cell r="T171" t="str">
            <v>8380</v>
          </cell>
          <cell r="U171">
            <v>3.6220472440944884</v>
          </cell>
          <cell r="V171">
            <v>3.5433070866141736</v>
          </cell>
          <cell r="W171" t="str">
            <v>Down Lock, Nose Gear</v>
          </cell>
          <cell r="X171" t="str">
            <v>Down Lock, Main Gear</v>
          </cell>
          <cell r="Y171" t="str">
            <v>Plumb Bob</v>
          </cell>
          <cell r="Z171" t="str">
            <v/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>0,3</v>
          </cell>
          <cell r="AL171" t="str">
            <v>0,4</v>
          </cell>
          <cell r="AM171" t="str">
            <v>0,5</v>
          </cell>
          <cell r="AN171" t="str">
            <v>0</v>
          </cell>
          <cell r="AO171" t="str">
            <v>0</v>
          </cell>
          <cell r="AP171" t="str">
            <v>0</v>
          </cell>
          <cell r="AQ171" t="str">
            <v>0</v>
          </cell>
          <cell r="AR171" t="str">
            <v>0</v>
          </cell>
          <cell r="AS171" t="str">
            <v>0</v>
          </cell>
          <cell r="AT171" t="str">
            <v>0</v>
          </cell>
          <cell r="AU171" t="str">
            <v>0</v>
          </cell>
          <cell r="AV171" t="str">
            <v>0</v>
          </cell>
          <cell r="AW171" t="str">
            <v>0</v>
          </cell>
          <cell r="AX171" t="str">
            <v>0</v>
          </cell>
          <cell r="AY171" t="str">
            <v>82</v>
          </cell>
          <cell r="AZ171" t="str">
            <v>702</v>
          </cell>
          <cell r="BA171" t="str">
            <v>685</v>
          </cell>
          <cell r="BB171" t="str">
            <v>0</v>
          </cell>
          <cell r="BC171" t="str">
            <v>0</v>
          </cell>
          <cell r="BD171" t="str">
            <v>0</v>
          </cell>
          <cell r="BE171" t="str">
            <v>0</v>
          </cell>
          <cell r="BF171" t="str">
            <v>0</v>
          </cell>
          <cell r="BG171" t="str">
            <v>0</v>
          </cell>
          <cell r="BH171" t="str">
            <v>0</v>
          </cell>
          <cell r="BI171" t="str">
            <v>0</v>
          </cell>
          <cell r="BJ171" t="str">
            <v>0</v>
          </cell>
          <cell r="BK171" t="str">
            <v>0</v>
          </cell>
          <cell r="BL171" t="str">
            <v>0</v>
          </cell>
          <cell r="BM171" t="str">
            <v>Flaps 0 - 40° (Up when weighed)</v>
          </cell>
          <cell r="BN171" t="str">
            <v>Lavatory Pre-charge Fluid (6.0 Gal)</v>
          </cell>
          <cell r="BO171" t="str">
            <v>Lavatory Dry Supplies</v>
          </cell>
          <cell r="BP171" t="str">
            <v>Fuel, Drain, Unusable (5.6 Gal)</v>
          </cell>
          <cell r="BQ171" t="str">
            <v>Water, Potable (62.6 Gal)</v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>22,7</v>
          </cell>
          <cell r="CD171" t="str">
            <v>2</v>
          </cell>
          <cell r="CE171" t="str">
            <v>17,3</v>
          </cell>
          <cell r="CF171" t="str">
            <v>236</v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>1112</v>
          </cell>
          <cell r="CR171" t="str">
            <v>89</v>
          </cell>
          <cell r="CS171" t="str">
            <v>646</v>
          </cell>
          <cell r="CT171" t="str">
            <v>1150</v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N171" t="str">
            <v>16/01/2025</v>
          </cell>
          <cell r="DQ171" t="str">
            <v>Danton</v>
          </cell>
          <cell r="DR171" t="str">
            <v>Fernando Araujo</v>
          </cell>
          <cell r="DS171" t="str">
            <v>1</v>
          </cell>
          <cell r="DT171" t="str">
            <v>1</v>
          </cell>
          <cell r="DU171" t="str">
            <v>GOL</v>
          </cell>
          <cell r="DV171" t="str">
            <v>(11) 88”x125” ULDs Plus                                            (1) 60.4”x61.5” ULD</v>
          </cell>
          <cell r="DW171" t="str">
            <v>GLP-BCF-001-GFA</v>
          </cell>
          <cell r="FL171" t="str">
            <v/>
          </cell>
          <cell r="FM171" t="str">
            <v/>
          </cell>
          <cell r="FN171" t="str">
            <v/>
          </cell>
          <cell r="FO171" t="str">
            <v/>
          </cell>
          <cell r="FP171" t="str">
            <v/>
          </cell>
          <cell r="FQ171" t="str">
            <v/>
          </cell>
          <cell r="FR171" t="str">
            <v/>
          </cell>
          <cell r="FS171" t="str">
            <v/>
          </cell>
          <cell r="FT171" t="str">
            <v/>
          </cell>
          <cell r="FU171" t="str">
            <v/>
          </cell>
          <cell r="FV171" t="str">
            <v/>
          </cell>
          <cell r="FW171" t="str">
            <v/>
          </cell>
          <cell r="FX171" t="str">
            <v/>
          </cell>
          <cell r="FY171" t="str">
            <v/>
          </cell>
          <cell r="FZ171" t="str">
            <v/>
          </cell>
          <cell r="GA171" t="str">
            <v/>
          </cell>
          <cell r="GB171" t="str">
            <v/>
          </cell>
          <cell r="GC171" t="str">
            <v/>
          </cell>
          <cell r="GD171" t="str">
            <v/>
          </cell>
          <cell r="GE171" t="str">
            <v/>
          </cell>
          <cell r="GF171" t="str">
            <v/>
          </cell>
          <cell r="GG171" t="str">
            <v/>
          </cell>
          <cell r="GH171" t="str">
            <v/>
          </cell>
          <cell r="GI171" t="str">
            <v/>
          </cell>
          <cell r="GJ171" t="str">
            <v/>
          </cell>
          <cell r="GK171" t="str">
            <v/>
          </cell>
          <cell r="GL171" t="str">
            <v/>
          </cell>
          <cell r="GM171" t="str">
            <v/>
          </cell>
          <cell r="GN171" t="str">
            <v/>
          </cell>
        </row>
        <row r="172">
          <cell r="A172" t="str">
            <v>PR-RAU</v>
          </cell>
          <cell r="D172">
            <v>45636</v>
          </cell>
          <cell r="E172">
            <v>10</v>
          </cell>
          <cell r="F172">
            <v>0</v>
          </cell>
          <cell r="G172" t="str">
            <v>Renton, WA - EUA</v>
          </cell>
          <cell r="H172" t="str">
            <v>IFE Installation</v>
          </cell>
          <cell r="I172" t="str">
            <v>2518</v>
          </cell>
          <cell r="J172" t="str">
            <v>2518</v>
          </cell>
          <cell r="K172" t="str">
            <v>9413,5</v>
          </cell>
          <cell r="L172" t="str">
            <v>9413,5</v>
          </cell>
          <cell r="M172" t="str">
            <v>9558,5</v>
          </cell>
          <cell r="N172" t="str">
            <v>9558,5</v>
          </cell>
          <cell r="O172" t="str">
            <v>1518</v>
          </cell>
          <cell r="P172" t="str">
            <v>1518</v>
          </cell>
          <cell r="Q172" t="str">
            <v>9413,5</v>
          </cell>
          <cell r="R172" t="str">
            <v>9413,5</v>
          </cell>
          <cell r="S172" t="str">
            <v>9558,5</v>
          </cell>
          <cell r="T172" t="str">
            <v>9558,5</v>
          </cell>
          <cell r="U172" t="str">
            <v>6,98389570552156</v>
          </cell>
          <cell r="V172" t="str">
            <v>4,74769938650316</v>
          </cell>
          <cell r="W172" t="str">
            <v>Down Lock Nose Gear (1 ea)</v>
          </cell>
          <cell r="X172" t="str">
            <v>Down Lock Main Gear (2 ea)</v>
          </cell>
          <cell r="Y172" t="str">
            <v>Plumb Bob (1 ea)</v>
          </cell>
          <cell r="Z172" t="str">
            <v>Loto Kit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>0,3</v>
          </cell>
          <cell r="AL172" t="str">
            <v>0,4</v>
          </cell>
          <cell r="AM172" t="str">
            <v>0,5</v>
          </cell>
          <cell r="AN172" t="str">
            <v>3</v>
          </cell>
          <cell r="AO172" t="str">
            <v>0</v>
          </cell>
          <cell r="AP172" t="str">
            <v>0</v>
          </cell>
          <cell r="AQ172" t="str">
            <v>0</v>
          </cell>
          <cell r="AR172" t="str">
            <v>0</v>
          </cell>
          <cell r="AS172" t="str">
            <v>0</v>
          </cell>
          <cell r="AT172" t="str">
            <v>0</v>
          </cell>
          <cell r="AU172" t="str">
            <v>0</v>
          </cell>
          <cell r="AV172" t="str">
            <v>0</v>
          </cell>
          <cell r="AW172" t="str">
            <v>0</v>
          </cell>
          <cell r="AX172" t="str">
            <v>0</v>
          </cell>
          <cell r="AY172" t="str">
            <v>91</v>
          </cell>
          <cell r="AZ172" t="str">
            <v>702</v>
          </cell>
          <cell r="BA172" t="str">
            <v>685</v>
          </cell>
          <cell r="BB172" t="str">
            <v>100</v>
          </cell>
          <cell r="BC172" t="str">
            <v>0</v>
          </cell>
          <cell r="BD172" t="str">
            <v>0</v>
          </cell>
          <cell r="BE172" t="str">
            <v>0</v>
          </cell>
          <cell r="BF172" t="str">
            <v>0</v>
          </cell>
          <cell r="BG172" t="str">
            <v>0</v>
          </cell>
          <cell r="BH172" t="str">
            <v>0</v>
          </cell>
          <cell r="BI172" t="str">
            <v>0</v>
          </cell>
          <cell r="BJ172" t="str">
            <v>0</v>
          </cell>
          <cell r="BK172" t="str">
            <v>0</v>
          </cell>
          <cell r="BL172" t="str">
            <v>0</v>
          </cell>
          <cell r="BM172" t="str">
            <v>Flaps 0 - 40° (up when weighed)</v>
          </cell>
          <cell r="BN172" t="str">
            <v>Fuel, Drain., Unusable (5.6 Gal)</v>
          </cell>
          <cell r="BO172" t="str">
            <v>Lavatory Pre-Charge Fluid (6.0 Gal)</v>
          </cell>
          <cell r="BP172" t="str">
            <v>Lavatory Dry Supplies</v>
          </cell>
          <cell r="BQ172" t="str">
            <v>Potable Water (62.6 Gal)</v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>0</v>
          </cell>
          <cell r="CC172" t="str">
            <v>17,3</v>
          </cell>
          <cell r="CD172" t="str">
            <v>22,7</v>
          </cell>
          <cell r="CE172" t="str">
            <v>4</v>
          </cell>
          <cell r="CF172" t="str">
            <v>236,4</v>
          </cell>
          <cell r="CG172" t="str">
            <v>0</v>
          </cell>
          <cell r="CH172" t="str">
            <v>0</v>
          </cell>
          <cell r="CI172" t="str">
            <v>0</v>
          </cell>
          <cell r="CJ172" t="str">
            <v>0</v>
          </cell>
          <cell r="CK172" t="str">
            <v>0</v>
          </cell>
          <cell r="CL172" t="str">
            <v>0</v>
          </cell>
          <cell r="CM172" t="str">
            <v>0</v>
          </cell>
          <cell r="CN172" t="str">
            <v>0</v>
          </cell>
          <cell r="CO172" t="str">
            <v>0</v>
          </cell>
          <cell r="CP172" t="str">
            <v>0</v>
          </cell>
          <cell r="CQ172" t="str">
            <v>646</v>
          </cell>
          <cell r="CR172" t="str">
            <v>1112</v>
          </cell>
          <cell r="CS172" t="str">
            <v>1145</v>
          </cell>
          <cell r="CT172" t="str">
            <v>1150</v>
          </cell>
          <cell r="CU172" t="str">
            <v>0</v>
          </cell>
          <cell r="CV172" t="str">
            <v>0</v>
          </cell>
          <cell r="CW172" t="str">
            <v>0</v>
          </cell>
          <cell r="CX172" t="str">
            <v>0</v>
          </cell>
          <cell r="CY172" t="str">
            <v>0</v>
          </cell>
          <cell r="CZ172" t="str">
            <v>0</v>
          </cell>
          <cell r="DA172" t="str">
            <v>0</v>
          </cell>
          <cell r="DB172" t="str">
            <v>0</v>
          </cell>
          <cell r="DC172" t="str">
            <v/>
          </cell>
          <cell r="DN172" t="str">
            <v>10/10/2024</v>
          </cell>
          <cell r="DQ172" t="str">
            <v>Raul</v>
          </cell>
          <cell r="DS172" t="str">
            <v/>
          </cell>
          <cell r="DT172" t="str">
            <v/>
          </cell>
          <cell r="DU172" t="str">
            <v>GOL</v>
          </cell>
          <cell r="DV172" t="str">
            <v>186 Pax + 10 Flight Crew</v>
          </cell>
          <cell r="DW172" t="str">
            <v>GLP-800-002-GGX</v>
          </cell>
          <cell r="FL172" t="str">
            <v/>
          </cell>
          <cell r="FM172" t="str">
            <v/>
          </cell>
          <cell r="FN172" t="str">
            <v/>
          </cell>
          <cell r="FO172" t="str">
            <v/>
          </cell>
          <cell r="FP172" t="str">
            <v/>
          </cell>
          <cell r="FQ172" t="str">
            <v/>
          </cell>
          <cell r="FR172" t="str">
            <v/>
          </cell>
          <cell r="FS172" t="str">
            <v/>
          </cell>
          <cell r="FT172" t="str">
            <v/>
          </cell>
          <cell r="FU172" t="str">
            <v/>
          </cell>
          <cell r="FV172" t="str">
            <v/>
          </cell>
          <cell r="FW172" t="str">
            <v/>
          </cell>
          <cell r="FX172" t="str">
            <v/>
          </cell>
          <cell r="FY172" t="str">
            <v/>
          </cell>
          <cell r="FZ172" t="str">
            <v/>
          </cell>
          <cell r="GA172" t="str">
            <v/>
          </cell>
          <cell r="GB172" t="str">
            <v/>
          </cell>
          <cell r="GC172" t="str">
            <v/>
          </cell>
          <cell r="GD172" t="str">
            <v/>
          </cell>
          <cell r="GE172" t="str">
            <v/>
          </cell>
          <cell r="GF172" t="str">
            <v/>
          </cell>
          <cell r="GG172" t="str">
            <v/>
          </cell>
          <cell r="GH172" t="str">
            <v/>
          </cell>
          <cell r="GI172" t="str">
            <v/>
          </cell>
          <cell r="GJ172" t="str">
            <v/>
          </cell>
          <cell r="GK172" t="str">
            <v/>
          </cell>
          <cell r="GL172" t="str">
            <v/>
          </cell>
          <cell r="GM172" t="str">
            <v/>
          </cell>
          <cell r="GN172" t="str">
            <v/>
          </cell>
        </row>
        <row r="173">
          <cell r="A173" t="str">
            <v>PR-GUH</v>
          </cell>
          <cell r="E173">
            <v>3</v>
          </cell>
          <cell r="F173">
            <v>0</v>
          </cell>
          <cell r="DN173">
            <v>0</v>
          </cell>
        </row>
        <row r="174">
          <cell r="A174" t="str">
            <v>PR-GUH</v>
          </cell>
          <cell r="D174">
            <v>0</v>
          </cell>
          <cell r="E174">
            <v>4</v>
          </cell>
          <cell r="F174">
            <v>0</v>
          </cell>
          <cell r="G174" t="str">
            <v>Lagoa Santa, MG - Brazil</v>
          </cell>
          <cell r="H174" t="str">
            <v>New Painting</v>
          </cell>
          <cell r="I174" t="str">
            <v>1690</v>
          </cell>
          <cell r="J174" t="str">
            <v>1258</v>
          </cell>
          <cell r="K174" t="str">
            <v>9433</v>
          </cell>
          <cell r="L174" t="str">
            <v>9990</v>
          </cell>
          <cell r="M174" t="str">
            <v>10061</v>
          </cell>
          <cell r="N174" t="str">
            <v>9428</v>
          </cell>
          <cell r="O174" t="str">
            <v>1693</v>
          </cell>
          <cell r="P174" t="str">
            <v>1261</v>
          </cell>
          <cell r="Q174" t="str">
            <v>9433</v>
          </cell>
          <cell r="R174" t="str">
            <v>9995</v>
          </cell>
          <cell r="S174" t="str">
            <v>10067</v>
          </cell>
          <cell r="T174" t="str">
            <v>9407</v>
          </cell>
          <cell r="U174">
            <v>4.2519685039370083</v>
          </cell>
          <cell r="V174">
            <v>4.1338582677165361</v>
          </cell>
          <cell r="W174" t="str">
            <v>Plumb Bob</v>
          </cell>
          <cell r="X174" t="str">
            <v xml:space="preserve">Down Lock, Nose Gear </v>
          </cell>
          <cell r="Y174" t="str">
            <v xml:space="preserve">Down Lock, Main Gear </v>
          </cell>
          <cell r="Z174" t="str">
            <v/>
          </cell>
          <cell r="AA174" t="str">
            <v/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  <cell r="AF174" t="str">
            <v/>
          </cell>
          <cell r="AG174" t="str">
            <v/>
          </cell>
          <cell r="AH174" t="str">
            <v/>
          </cell>
          <cell r="AI174" t="str">
            <v/>
          </cell>
          <cell r="AJ174" t="str">
            <v/>
          </cell>
          <cell r="AK174" t="str">
            <v>0,5</v>
          </cell>
          <cell r="AL174" t="str">
            <v>0,3</v>
          </cell>
          <cell r="AM174" t="str">
            <v>0,4</v>
          </cell>
          <cell r="AN174" t="str">
            <v/>
          </cell>
          <cell r="AO174" t="str">
            <v/>
          </cell>
          <cell r="AP174" t="str">
            <v/>
          </cell>
          <cell r="AQ174" t="str">
            <v/>
          </cell>
          <cell r="AR174" t="str">
            <v/>
          </cell>
          <cell r="AS174" t="str">
            <v/>
          </cell>
          <cell r="AT174" t="str">
            <v/>
          </cell>
          <cell r="AU174" t="str">
            <v/>
          </cell>
          <cell r="AV174" t="str">
            <v/>
          </cell>
          <cell r="AW174" t="str">
            <v/>
          </cell>
          <cell r="AX174" t="str">
            <v/>
          </cell>
          <cell r="AY174" t="str">
            <v>685</v>
          </cell>
          <cell r="AZ174" t="str">
            <v>200</v>
          </cell>
          <cell r="BA174" t="str">
            <v>702</v>
          </cell>
          <cell r="BB174" t="str">
            <v/>
          </cell>
          <cell r="BC174" t="str">
            <v/>
          </cell>
          <cell r="BD174" t="str">
            <v/>
          </cell>
          <cell r="BE174" t="str">
            <v/>
          </cell>
          <cell r="BF174" t="str">
            <v/>
          </cell>
          <cell r="BG174" t="str">
            <v/>
          </cell>
          <cell r="BH174" t="str">
            <v/>
          </cell>
          <cell r="BI174" t="str">
            <v/>
          </cell>
          <cell r="BJ174" t="str">
            <v/>
          </cell>
          <cell r="BK174" t="str">
            <v/>
          </cell>
          <cell r="BL174" t="str">
            <v/>
          </cell>
          <cell r="BM174" t="str">
            <v>Flaps 0 - 40° (Up when weighed)</v>
          </cell>
          <cell r="BN174" t="str">
            <v>Fuel, Drain, Unusable (5.6 Gal)</v>
          </cell>
          <cell r="BO174" t="str">
            <v>Lavatory Dry Supplies</v>
          </cell>
          <cell r="BP174" t="str">
            <v>Lavatory Pre-charge Fluid (6.0 Gal)</v>
          </cell>
          <cell r="BQ174" t="str">
            <v>Water, Potable (62.6 Gal)</v>
          </cell>
          <cell r="BR174" t="str">
            <v/>
          </cell>
          <cell r="BS174" t="str">
            <v/>
          </cell>
          <cell r="BT174" t="str">
            <v/>
          </cell>
          <cell r="BU174" t="str">
            <v/>
          </cell>
          <cell r="BV174" t="str">
            <v/>
          </cell>
          <cell r="BW174" t="str">
            <v/>
          </cell>
          <cell r="BX174" t="str">
            <v/>
          </cell>
          <cell r="BY174" t="str">
            <v/>
          </cell>
          <cell r="BZ174" t="str">
            <v/>
          </cell>
          <cell r="CA174" t="str">
            <v/>
          </cell>
          <cell r="CB174" t="str">
            <v/>
          </cell>
          <cell r="CC174" t="str">
            <v>17,3</v>
          </cell>
          <cell r="CD174" t="str">
            <v>2</v>
          </cell>
          <cell r="CE174" t="str">
            <v>22,7</v>
          </cell>
          <cell r="CF174" t="str">
            <v>236,5</v>
          </cell>
          <cell r="CG174" t="str">
            <v/>
          </cell>
          <cell r="CH174" t="str">
            <v/>
          </cell>
          <cell r="CI174" t="str">
            <v/>
          </cell>
          <cell r="CJ174" t="str">
            <v/>
          </cell>
          <cell r="CK174" t="str">
            <v/>
          </cell>
          <cell r="CL174" t="str">
            <v/>
          </cell>
          <cell r="CM174" t="str">
            <v/>
          </cell>
          <cell r="CN174" t="str">
            <v/>
          </cell>
          <cell r="CO174" t="str">
            <v/>
          </cell>
          <cell r="CP174" t="str">
            <v/>
          </cell>
          <cell r="CQ174" t="str">
            <v>646</v>
          </cell>
          <cell r="CR174" t="str">
            <v>1033</v>
          </cell>
          <cell r="CS174" t="str">
            <v>1000</v>
          </cell>
          <cell r="CT174" t="str">
            <v>1150</v>
          </cell>
          <cell r="CU174" t="str">
            <v/>
          </cell>
          <cell r="CV174" t="str">
            <v/>
          </cell>
          <cell r="CW174" t="str">
            <v/>
          </cell>
          <cell r="CX174" t="str">
            <v/>
          </cell>
          <cell r="CY174" t="str">
            <v/>
          </cell>
          <cell r="CZ174" t="str">
            <v/>
          </cell>
          <cell r="DA174" t="str">
            <v/>
          </cell>
          <cell r="DB174" t="str">
            <v/>
          </cell>
          <cell r="DC174" t="str">
            <v/>
          </cell>
          <cell r="DN174" t="str">
            <v>09/05/2024</v>
          </cell>
          <cell r="DQ174" t="str">
            <v>Danton</v>
          </cell>
          <cell r="DS174" t="str">
            <v>3</v>
          </cell>
          <cell r="DT174" t="str">
            <v>0</v>
          </cell>
          <cell r="DU174" t="str">
            <v>GOL</v>
          </cell>
          <cell r="DV174" t="str">
            <v>186 Pax + 10 Flight Crew</v>
          </cell>
          <cell r="DW174" t="str">
            <v>GLP-800-004-GUH</v>
          </cell>
          <cell r="FL174" t="str">
            <v/>
          </cell>
          <cell r="FM174" t="str">
            <v/>
          </cell>
          <cell r="FN174" t="str">
            <v/>
          </cell>
          <cell r="FO174" t="str">
            <v/>
          </cell>
          <cell r="FP174" t="str">
            <v/>
          </cell>
          <cell r="FQ174" t="str">
            <v/>
          </cell>
          <cell r="FR174" t="str">
            <v/>
          </cell>
          <cell r="FS174" t="str">
            <v/>
          </cell>
          <cell r="FT174" t="str">
            <v/>
          </cell>
          <cell r="FU174" t="str">
            <v/>
          </cell>
          <cell r="FV174" t="str">
            <v/>
          </cell>
          <cell r="FW174" t="str">
            <v/>
          </cell>
          <cell r="FX174" t="str">
            <v/>
          </cell>
          <cell r="FY174" t="str">
            <v/>
          </cell>
          <cell r="FZ174" t="str">
            <v/>
          </cell>
          <cell r="GA174" t="str">
            <v/>
          </cell>
          <cell r="GB174" t="str">
            <v/>
          </cell>
          <cell r="GC174" t="str">
            <v/>
          </cell>
          <cell r="GD174" t="str">
            <v/>
          </cell>
          <cell r="GE174" t="str">
            <v/>
          </cell>
          <cell r="GF174" t="str">
            <v/>
          </cell>
          <cell r="GG174" t="str">
            <v/>
          </cell>
          <cell r="GH174" t="str">
            <v/>
          </cell>
          <cell r="GI174" t="str">
            <v/>
          </cell>
          <cell r="GJ174" t="str">
            <v/>
          </cell>
          <cell r="GK174" t="str">
            <v/>
          </cell>
          <cell r="GL174" t="str">
            <v/>
          </cell>
          <cell r="GM174" t="str">
            <v/>
          </cell>
          <cell r="GN174" t="str">
            <v/>
          </cell>
        </row>
        <row r="175">
          <cell r="A175" t="str">
            <v>PR-GUH</v>
          </cell>
          <cell r="D175" t="str">
            <v>05/09/2024</v>
          </cell>
          <cell r="E175">
            <v>4</v>
          </cell>
          <cell r="F175">
            <v>1</v>
          </cell>
          <cell r="G175" t="str">
            <v>Lagoa Santa, MG - Brazil</v>
          </cell>
          <cell r="H175" t="str">
            <v>New Painting</v>
          </cell>
          <cell r="I175" t="str">
            <v>1690</v>
          </cell>
          <cell r="J175" t="str">
            <v>1258</v>
          </cell>
          <cell r="K175" t="str">
            <v>9433</v>
          </cell>
          <cell r="L175" t="str">
            <v>9990</v>
          </cell>
          <cell r="M175" t="str">
            <v>10061</v>
          </cell>
          <cell r="N175" t="str">
            <v>9428</v>
          </cell>
          <cell r="O175" t="str">
            <v>1693</v>
          </cell>
          <cell r="P175" t="str">
            <v>1261</v>
          </cell>
          <cell r="Q175" t="str">
            <v>9433</v>
          </cell>
          <cell r="R175" t="str">
            <v>9995</v>
          </cell>
          <cell r="S175" t="str">
            <v>10067</v>
          </cell>
          <cell r="T175" t="str">
            <v>9407</v>
          </cell>
          <cell r="U175" t="str">
            <v>4,25196850393701</v>
          </cell>
          <cell r="V175" t="str">
            <v>4,13385826771654</v>
          </cell>
          <cell r="W175" t="str">
            <v>Plumb Bob</v>
          </cell>
          <cell r="X175" t="str">
            <v xml:space="preserve">Down Lock, Nose Gear </v>
          </cell>
          <cell r="Y175" t="str">
            <v xml:space="preserve">Down Lock, Main Gear </v>
          </cell>
          <cell r="Z175" t="str">
            <v>Engine 1 &amp; 2</v>
          </cell>
          <cell r="AA175" t="str">
            <v>Reverser lh</v>
          </cell>
          <cell r="AB175" t="str">
            <v>Reverser rh</v>
          </cell>
          <cell r="AC175" t="str">
            <v>Fan Cowl lh</v>
          </cell>
          <cell r="AD175" t="str">
            <v>Fan Cowl RH</v>
          </cell>
          <cell r="AE175" t="str">
            <v/>
          </cell>
          <cell r="AF175" t="str">
            <v/>
          </cell>
          <cell r="AG175" t="str">
            <v/>
          </cell>
          <cell r="AH175" t="str">
            <v/>
          </cell>
          <cell r="AI175" t="str">
            <v/>
          </cell>
          <cell r="AJ175" t="str">
            <v/>
          </cell>
          <cell r="AK175" t="str">
            <v>0,5</v>
          </cell>
          <cell r="AL175" t="str">
            <v>0,3</v>
          </cell>
          <cell r="AM175" t="str">
            <v>0,4</v>
          </cell>
          <cell r="AN175" t="str">
            <v>5584</v>
          </cell>
          <cell r="AO175" t="str">
            <v>528</v>
          </cell>
          <cell r="AP175" t="str">
            <v>518</v>
          </cell>
          <cell r="AQ175" t="str">
            <v>76</v>
          </cell>
          <cell r="AR175" t="str">
            <v>90</v>
          </cell>
          <cell r="AS175" t="str">
            <v/>
          </cell>
          <cell r="AT175" t="str">
            <v/>
          </cell>
          <cell r="AU175" t="str">
            <v/>
          </cell>
          <cell r="AV175" t="str">
            <v/>
          </cell>
          <cell r="AW175" t="str">
            <v/>
          </cell>
          <cell r="AX175" t="str">
            <v/>
          </cell>
          <cell r="AY175" t="str">
            <v>685</v>
          </cell>
          <cell r="AZ175" t="str">
            <v>200</v>
          </cell>
          <cell r="BA175" t="str">
            <v>702</v>
          </cell>
          <cell r="BB175" t="str">
            <v>545</v>
          </cell>
          <cell r="BC175" t="str">
            <v>567</v>
          </cell>
          <cell r="BD175" t="str">
            <v>567</v>
          </cell>
          <cell r="BE175" t="str">
            <v>518</v>
          </cell>
          <cell r="BF175" t="str">
            <v>518</v>
          </cell>
          <cell r="BG175" t="str">
            <v/>
          </cell>
          <cell r="BH175" t="str">
            <v/>
          </cell>
          <cell r="BI175" t="str">
            <v/>
          </cell>
          <cell r="BJ175" t="str">
            <v/>
          </cell>
          <cell r="BK175" t="str">
            <v/>
          </cell>
          <cell r="BL175" t="str">
            <v/>
          </cell>
          <cell r="BM175" t="str">
            <v>Flaps 0 - 40° (Up when weighed)</v>
          </cell>
          <cell r="BN175" t="str">
            <v>Fuel, Drain, Unusable (5.6 Gal)</v>
          </cell>
          <cell r="BO175" t="str">
            <v>Lavatory Dry Supplies</v>
          </cell>
          <cell r="BP175" t="str">
            <v>Lavatory Pre-charge Fluid (6.0 Gal)</v>
          </cell>
          <cell r="BQ175" t="str">
            <v>Water, Potable (62.6 Gal)</v>
          </cell>
          <cell r="BR175" t="str">
            <v>Fuel COMBINED</v>
          </cell>
          <cell r="BS175" t="str">
            <v>lastro</v>
          </cell>
          <cell r="BT175" t="str">
            <v/>
          </cell>
          <cell r="BU175" t="str">
            <v/>
          </cell>
          <cell r="BV175" t="str">
            <v/>
          </cell>
          <cell r="BW175" t="str">
            <v/>
          </cell>
          <cell r="BX175" t="str">
            <v/>
          </cell>
          <cell r="BY175" t="str">
            <v/>
          </cell>
          <cell r="BZ175" t="str">
            <v/>
          </cell>
          <cell r="CA175" t="str">
            <v/>
          </cell>
          <cell r="CB175" t="str">
            <v/>
          </cell>
          <cell r="CC175" t="str">
            <v>17,3</v>
          </cell>
          <cell r="CD175" t="str">
            <v>2</v>
          </cell>
          <cell r="CE175" t="str">
            <v>22,7</v>
          </cell>
          <cell r="CF175" t="str">
            <v>236,5</v>
          </cell>
          <cell r="CG175" t="str">
            <v>3200</v>
          </cell>
          <cell r="CH175" t="str">
            <v>1000</v>
          </cell>
          <cell r="CI175" t="str">
            <v/>
          </cell>
          <cell r="CJ175" t="str">
            <v/>
          </cell>
          <cell r="CK175" t="str">
            <v/>
          </cell>
          <cell r="CL175" t="str">
            <v/>
          </cell>
          <cell r="CM175" t="str">
            <v/>
          </cell>
          <cell r="CN175" t="str">
            <v/>
          </cell>
          <cell r="CO175" t="str">
            <v/>
          </cell>
          <cell r="CP175" t="str">
            <v/>
          </cell>
          <cell r="CQ175" t="str">
            <v>646</v>
          </cell>
          <cell r="CR175" t="str">
            <v>1033</v>
          </cell>
          <cell r="CS175" t="str">
            <v>1000</v>
          </cell>
          <cell r="CT175" t="str">
            <v>1150</v>
          </cell>
          <cell r="CU175" t="str">
            <v>661,4</v>
          </cell>
          <cell r="CV175" t="str">
            <v>250</v>
          </cell>
          <cell r="CW175" t="str">
            <v/>
          </cell>
          <cell r="CX175" t="str">
            <v/>
          </cell>
          <cell r="CY175" t="str">
            <v/>
          </cell>
          <cell r="CZ175" t="str">
            <v/>
          </cell>
          <cell r="DA175" t="str">
            <v/>
          </cell>
          <cell r="DB175" t="str">
            <v/>
          </cell>
          <cell r="DC175" t="str">
            <v/>
          </cell>
          <cell r="DD175" t="str">
            <v/>
          </cell>
          <cell r="DE175" t="str">
            <v/>
          </cell>
          <cell r="DF175" t="str">
            <v/>
          </cell>
          <cell r="DH175" t="str">
            <v/>
          </cell>
          <cell r="DN175" t="str">
            <v>09/05/2024</v>
          </cell>
          <cell r="DQ175" t="str">
            <v>Danton</v>
          </cell>
          <cell r="DS175" t="str">
            <v>4</v>
          </cell>
          <cell r="DT175" t="str">
            <v>0</v>
          </cell>
          <cell r="DU175" t="str">
            <v>GOL</v>
          </cell>
          <cell r="DV175" t="str">
            <v>186 Pax + 10 Flight Crew</v>
          </cell>
          <cell r="DW175" t="str">
            <v>GLP-800-004-GUH</v>
          </cell>
          <cell r="FL175" t="str">
            <v/>
          </cell>
          <cell r="FM175" t="str">
            <v/>
          </cell>
          <cell r="FN175" t="str">
            <v/>
          </cell>
          <cell r="FO175" t="str">
            <v/>
          </cell>
          <cell r="FP175" t="str">
            <v/>
          </cell>
          <cell r="FQ175" t="str">
            <v/>
          </cell>
          <cell r="FR175" t="str">
            <v/>
          </cell>
          <cell r="FS175" t="str">
            <v/>
          </cell>
          <cell r="FT175" t="str">
            <v/>
          </cell>
          <cell r="FU175" t="str">
            <v/>
          </cell>
          <cell r="FV175" t="str">
            <v/>
          </cell>
          <cell r="FW175" t="str">
            <v/>
          </cell>
          <cell r="FX175" t="str">
            <v/>
          </cell>
          <cell r="FY175" t="str">
            <v/>
          </cell>
          <cell r="FZ175" t="str">
            <v/>
          </cell>
          <cell r="GA175" t="str">
            <v/>
          </cell>
          <cell r="GB175" t="str">
            <v/>
          </cell>
          <cell r="GC175" t="str">
            <v/>
          </cell>
          <cell r="GD175" t="str">
            <v/>
          </cell>
          <cell r="GE175" t="str">
            <v/>
          </cell>
          <cell r="GF175" t="str">
            <v/>
          </cell>
          <cell r="GG175" t="str">
            <v/>
          </cell>
          <cell r="GH175" t="str">
            <v/>
          </cell>
          <cell r="GI175" t="str">
            <v/>
          </cell>
          <cell r="GJ175" t="str">
            <v/>
          </cell>
          <cell r="GK175" t="str">
            <v/>
          </cell>
          <cell r="GL175" t="str">
            <v/>
          </cell>
          <cell r="GM175" t="str">
            <v/>
          </cell>
          <cell r="GN175" t="str">
            <v/>
          </cell>
        </row>
        <row r="176">
          <cell r="A176" t="str">
            <v>PS-GPQ</v>
          </cell>
          <cell r="D176" t="str">
            <v>29/01/2025</v>
          </cell>
          <cell r="E176">
            <v>2</v>
          </cell>
          <cell r="F176">
            <v>0</v>
          </cell>
          <cell r="G176" t="str">
            <v>Lagoa Santa, MG - Brazil</v>
          </cell>
          <cell r="H176" t="str">
            <v>New Painting</v>
          </cell>
          <cell r="I176" t="str">
            <v>1848</v>
          </cell>
          <cell r="J176" t="str">
            <v>1956</v>
          </cell>
          <cell r="K176" t="str">
            <v>9614</v>
          </cell>
          <cell r="L176" t="str">
            <v>10232</v>
          </cell>
          <cell r="M176" t="str">
            <v>10296</v>
          </cell>
          <cell r="N176" t="str">
            <v>9608</v>
          </cell>
          <cell r="O176" t="str">
            <v>1852</v>
          </cell>
          <cell r="P176" t="str">
            <v>1950</v>
          </cell>
          <cell r="Q176" t="str">
            <v>9544</v>
          </cell>
          <cell r="R176" t="str">
            <v>10304</v>
          </cell>
          <cell r="S176" t="str">
            <v>10368</v>
          </cell>
          <cell r="T176" t="str">
            <v>9528</v>
          </cell>
          <cell r="U176">
            <v>6.771653543307087</v>
          </cell>
          <cell r="V176">
            <v>6.4566929133858268</v>
          </cell>
          <cell r="W176" t="str">
            <v xml:space="preserve">Down Lock, Nose Gear </v>
          </cell>
          <cell r="X176" t="str">
            <v xml:space="preserve">Down Lock, Main Gear </v>
          </cell>
          <cell r="Y176" t="str">
            <v>Plumb Bob</v>
          </cell>
          <cell r="Z176" t="str">
            <v/>
          </cell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/>
          </cell>
          <cell r="AK176" t="str">
            <v>0,3</v>
          </cell>
          <cell r="AL176" t="str">
            <v>0,4</v>
          </cell>
          <cell r="AM176" t="str">
            <v>0,5</v>
          </cell>
          <cell r="AN176" t="str">
            <v/>
          </cell>
          <cell r="AO176" t="str">
            <v/>
          </cell>
          <cell r="AP176" t="str">
            <v/>
          </cell>
          <cell r="AQ176" t="str">
            <v/>
          </cell>
          <cell r="AR176" t="str">
            <v/>
          </cell>
          <cell r="AS176" t="str">
            <v/>
          </cell>
          <cell r="AT176" t="str">
            <v/>
          </cell>
          <cell r="AU176" t="str">
            <v/>
          </cell>
          <cell r="AV176" t="str">
            <v/>
          </cell>
          <cell r="AW176" t="str">
            <v/>
          </cell>
          <cell r="AX176" t="str">
            <v/>
          </cell>
          <cell r="AY176" t="str">
            <v>82</v>
          </cell>
          <cell r="AZ176" t="str">
            <v>702</v>
          </cell>
          <cell r="BA176" t="str">
            <v>685</v>
          </cell>
          <cell r="BB176" t="str">
            <v/>
          </cell>
          <cell r="BC176" t="str">
            <v/>
          </cell>
          <cell r="BD176" t="str">
            <v/>
          </cell>
          <cell r="BE176" t="str">
            <v/>
          </cell>
          <cell r="BF176" t="str">
            <v/>
          </cell>
          <cell r="BG176" t="str">
            <v/>
          </cell>
          <cell r="BH176" t="str">
            <v/>
          </cell>
          <cell r="BI176" t="str">
            <v/>
          </cell>
          <cell r="BJ176" t="str">
            <v/>
          </cell>
          <cell r="BK176" t="str">
            <v/>
          </cell>
          <cell r="BL176" t="str">
            <v/>
          </cell>
          <cell r="BM176" t="str">
            <v>Fuel, Drain, Unusable (5.6 Gal)</v>
          </cell>
          <cell r="BN176" t="str">
            <v>Lavatory Pre-charge Fluid (6.0 Gal)</v>
          </cell>
          <cell r="BO176" t="str">
            <v>Flaps 0 - 40° (Up when weighed)</v>
          </cell>
          <cell r="BP176" t="str">
            <v xml:space="preserve">Water, Potable (42.2 Gal) </v>
          </cell>
          <cell r="BQ176" t="str">
            <v/>
          </cell>
          <cell r="BR176" t="str">
            <v/>
          </cell>
          <cell r="BS176" t="str">
            <v/>
          </cell>
          <cell r="BT176" t="str">
            <v/>
          </cell>
          <cell r="BU176" t="str">
            <v/>
          </cell>
          <cell r="BV176" t="str">
            <v/>
          </cell>
          <cell r="BW176" t="str">
            <v/>
          </cell>
          <cell r="BX176" t="str">
            <v/>
          </cell>
          <cell r="BY176" t="str">
            <v/>
          </cell>
          <cell r="BZ176" t="str">
            <v/>
          </cell>
          <cell r="CA176" t="str">
            <v/>
          </cell>
          <cell r="CB176" t="str">
            <v>17,3</v>
          </cell>
          <cell r="CC176" t="str">
            <v>22,7</v>
          </cell>
          <cell r="CD176" t="str">
            <v/>
          </cell>
          <cell r="CE176" t="str">
            <v>161</v>
          </cell>
          <cell r="CF176" t="str">
            <v/>
          </cell>
          <cell r="CG176" t="str">
            <v/>
          </cell>
          <cell r="CH176" t="str">
            <v/>
          </cell>
          <cell r="CI176" t="str">
            <v/>
          </cell>
          <cell r="CJ176" t="str">
            <v/>
          </cell>
          <cell r="CK176" t="str">
            <v/>
          </cell>
          <cell r="CL176" t="str">
            <v/>
          </cell>
          <cell r="CM176" t="str">
            <v/>
          </cell>
          <cell r="CN176" t="str">
            <v/>
          </cell>
          <cell r="CO176" t="str">
            <v/>
          </cell>
          <cell r="CP176" t="str">
            <v>646</v>
          </cell>
          <cell r="CQ176" t="str">
            <v>1112</v>
          </cell>
          <cell r="CR176" t="str">
            <v/>
          </cell>
          <cell r="CS176" t="str">
            <v>1141</v>
          </cell>
          <cell r="CT176" t="str">
            <v/>
          </cell>
          <cell r="CU176" t="str">
            <v/>
          </cell>
          <cell r="CV176" t="str">
            <v/>
          </cell>
          <cell r="CW176" t="str">
            <v/>
          </cell>
          <cell r="CX176" t="str">
            <v/>
          </cell>
          <cell r="CY176" t="str">
            <v/>
          </cell>
          <cell r="CZ176" t="str">
            <v/>
          </cell>
          <cell r="DA176" t="str">
            <v/>
          </cell>
          <cell r="DB176" t="str">
            <v/>
          </cell>
          <cell r="DC176" t="str">
            <v/>
          </cell>
          <cell r="DD176" t="str">
            <v/>
          </cell>
          <cell r="DE176" t="str">
            <v/>
          </cell>
          <cell r="DF176" t="str">
            <v/>
          </cell>
          <cell r="DH176" t="str">
            <v/>
          </cell>
          <cell r="DN176" t="str">
            <v>29/01/2025</v>
          </cell>
          <cell r="DQ176" t="str">
            <v>Fernando Araujo</v>
          </cell>
          <cell r="DR176" t="str">
            <v>Danton</v>
          </cell>
          <cell r="DS176" t="str">
            <v>1</v>
          </cell>
          <cell r="DT176" t="str">
            <v>0</v>
          </cell>
          <cell r="DU176" t="str">
            <v>GOL</v>
          </cell>
          <cell r="DV176" t="str">
            <v>175 Pax + 10 Flight Crew</v>
          </cell>
          <cell r="DW176" t="str">
            <v>GLP-MAX8-001-GPQ</v>
          </cell>
          <cell r="FL176" t="str">
            <v/>
          </cell>
          <cell r="FM176" t="str">
            <v/>
          </cell>
          <cell r="FN176" t="str">
            <v/>
          </cell>
          <cell r="FO176" t="str">
            <v/>
          </cell>
          <cell r="FP176" t="str">
            <v/>
          </cell>
          <cell r="FQ176" t="str">
            <v/>
          </cell>
          <cell r="FR176" t="str">
            <v/>
          </cell>
          <cell r="FS176" t="str">
            <v/>
          </cell>
          <cell r="FT176" t="str">
            <v/>
          </cell>
          <cell r="FU176" t="str">
            <v/>
          </cell>
          <cell r="FV176" t="str">
            <v/>
          </cell>
          <cell r="FW176" t="str">
            <v/>
          </cell>
          <cell r="FX176" t="str">
            <v/>
          </cell>
          <cell r="FY176" t="str">
            <v/>
          </cell>
          <cell r="FZ176" t="str">
            <v/>
          </cell>
          <cell r="GA176" t="str">
            <v/>
          </cell>
          <cell r="GB176" t="str">
            <v/>
          </cell>
          <cell r="GC176" t="str">
            <v/>
          </cell>
          <cell r="GD176" t="str">
            <v/>
          </cell>
          <cell r="GE176" t="str">
            <v/>
          </cell>
          <cell r="GF176" t="str">
            <v/>
          </cell>
          <cell r="GG176" t="str">
            <v/>
          </cell>
          <cell r="GH176" t="str">
            <v/>
          </cell>
          <cell r="GI176" t="str">
            <v/>
          </cell>
          <cell r="GJ176" t="str">
            <v/>
          </cell>
          <cell r="GK176" t="str">
            <v/>
          </cell>
          <cell r="GL176" t="str">
            <v/>
          </cell>
          <cell r="GM176" t="str">
            <v/>
          </cell>
          <cell r="GN176" t="str">
            <v/>
          </cell>
        </row>
        <row r="177">
          <cell r="A177" t="str">
            <v>PR-RAU</v>
          </cell>
          <cell r="D177" t="str">
            <v>10/10/2024</v>
          </cell>
          <cell r="E177">
            <v>10</v>
          </cell>
          <cell r="F177">
            <v>1</v>
          </cell>
          <cell r="G177" t="str">
            <v>Renton, WA - EUA</v>
          </cell>
          <cell r="H177" t="str">
            <v>IFE Installation</v>
          </cell>
          <cell r="I177" t="str">
            <v>2518</v>
          </cell>
          <cell r="J177" t="str">
            <v>2518</v>
          </cell>
          <cell r="K177" t="str">
            <v>9413,5</v>
          </cell>
          <cell r="L177" t="str">
            <v>9413,5</v>
          </cell>
          <cell r="M177" t="str">
            <v>9558,5</v>
          </cell>
          <cell r="N177" t="str">
            <v>9558,5</v>
          </cell>
          <cell r="O177" t="str">
            <v>1518</v>
          </cell>
          <cell r="P177" t="str">
            <v>1518</v>
          </cell>
          <cell r="Q177" t="str">
            <v>9413,5</v>
          </cell>
          <cell r="R177" t="str">
            <v>9413,5</v>
          </cell>
          <cell r="S177" t="str">
            <v>9558,5</v>
          </cell>
          <cell r="T177" t="str">
            <v>9558,5</v>
          </cell>
          <cell r="U177" t="str">
            <v>6,98389570552156</v>
          </cell>
          <cell r="V177" t="str">
            <v>4,74769938650316</v>
          </cell>
          <cell r="W177" t="str">
            <v>Down Lock Nose Gear (1 ea)</v>
          </cell>
          <cell r="X177" t="str">
            <v>Down Lock Main Gear (2 ea)</v>
          </cell>
          <cell r="Y177" t="str">
            <v>Plumb Bob (1 ea)</v>
          </cell>
          <cell r="Z177" t="str">
            <v>Loto Kit</v>
          </cell>
          <cell r="AA177" t="str">
            <v/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  <cell r="AF177" t="str">
            <v/>
          </cell>
          <cell r="AG177" t="str">
            <v/>
          </cell>
          <cell r="AH177" t="str">
            <v/>
          </cell>
          <cell r="AI177" t="str">
            <v/>
          </cell>
          <cell r="AJ177" t="str">
            <v/>
          </cell>
          <cell r="AK177" t="str">
            <v>0,3</v>
          </cell>
          <cell r="AL177" t="str">
            <v>0,4</v>
          </cell>
          <cell r="AM177" t="str">
            <v>0,5</v>
          </cell>
          <cell r="AN177" t="str">
            <v>3</v>
          </cell>
          <cell r="AO177" t="str">
            <v>0</v>
          </cell>
          <cell r="AP177" t="str">
            <v>0</v>
          </cell>
          <cell r="AQ177" t="str">
            <v>0</v>
          </cell>
          <cell r="AR177" t="str">
            <v>0</v>
          </cell>
          <cell r="AS177" t="str">
            <v>0</v>
          </cell>
          <cell r="AT177" t="str">
            <v>0</v>
          </cell>
          <cell r="AU177" t="str">
            <v>0</v>
          </cell>
          <cell r="AV177" t="str">
            <v>0</v>
          </cell>
          <cell r="AW177" t="str">
            <v>0</v>
          </cell>
          <cell r="AX177" t="str">
            <v>0</v>
          </cell>
          <cell r="AY177" t="str">
            <v>91</v>
          </cell>
          <cell r="AZ177" t="str">
            <v>702</v>
          </cell>
          <cell r="BA177" t="str">
            <v>685</v>
          </cell>
          <cell r="BB177" t="str">
            <v>100</v>
          </cell>
          <cell r="BC177" t="str">
            <v>0</v>
          </cell>
          <cell r="BD177" t="str">
            <v>0</v>
          </cell>
          <cell r="BE177" t="str">
            <v>0</v>
          </cell>
          <cell r="BF177" t="str">
            <v>0</v>
          </cell>
          <cell r="BG177" t="str">
            <v>0</v>
          </cell>
          <cell r="BH177" t="str">
            <v>0</v>
          </cell>
          <cell r="BI177" t="str">
            <v>0</v>
          </cell>
          <cell r="BJ177" t="str">
            <v>0</v>
          </cell>
          <cell r="BK177" t="str">
            <v>0</v>
          </cell>
          <cell r="BL177" t="str">
            <v>0</v>
          </cell>
          <cell r="BM177" t="str">
            <v>Flaps 0 - 40° (up when weighed)</v>
          </cell>
          <cell r="BN177" t="str">
            <v>Fuel, Drain., Unusable (5.6 Gal)</v>
          </cell>
          <cell r="BO177" t="str">
            <v>Lavatory Pre-Charge Fluid (6.0 Gal)</v>
          </cell>
          <cell r="BP177" t="str">
            <v>Lavatory Dry Supplies</v>
          </cell>
          <cell r="BQ177" t="str">
            <v>Potable Water (62.6 Gal)</v>
          </cell>
          <cell r="BR177" t="str">
            <v/>
          </cell>
          <cell r="BS177" t="str">
            <v/>
          </cell>
          <cell r="BT177" t="str">
            <v/>
          </cell>
          <cell r="BU177" t="str">
            <v/>
          </cell>
          <cell r="BV177" t="str">
            <v/>
          </cell>
          <cell r="BW177" t="str">
            <v/>
          </cell>
          <cell r="BX177" t="str">
            <v/>
          </cell>
          <cell r="BY177" t="str">
            <v/>
          </cell>
          <cell r="BZ177" t="str">
            <v/>
          </cell>
          <cell r="CA177" t="str">
            <v/>
          </cell>
          <cell r="CB177" t="str">
            <v>0</v>
          </cell>
          <cell r="CC177" t="str">
            <v>17,3</v>
          </cell>
          <cell r="CD177" t="str">
            <v>22,7</v>
          </cell>
          <cell r="CE177" t="str">
            <v>4</v>
          </cell>
          <cell r="CF177" t="str">
            <v>236,4</v>
          </cell>
          <cell r="CG177" t="str">
            <v>0</v>
          </cell>
          <cell r="CH177" t="str">
            <v>0</v>
          </cell>
          <cell r="CI177" t="str">
            <v>0</v>
          </cell>
          <cell r="CJ177" t="str">
            <v>0</v>
          </cell>
          <cell r="CK177" t="str">
            <v>0</v>
          </cell>
          <cell r="CL177" t="str">
            <v>0</v>
          </cell>
          <cell r="CM177" t="str">
            <v>0</v>
          </cell>
          <cell r="CN177" t="str">
            <v>0</v>
          </cell>
          <cell r="CO177" t="str">
            <v>0</v>
          </cell>
          <cell r="CP177" t="str">
            <v>0</v>
          </cell>
          <cell r="CQ177" t="str">
            <v>646</v>
          </cell>
          <cell r="CR177" t="str">
            <v>1112</v>
          </cell>
          <cell r="CS177" t="str">
            <v>1145</v>
          </cell>
          <cell r="CT177" t="str">
            <v>1150</v>
          </cell>
          <cell r="CU177" t="str">
            <v>0</v>
          </cell>
          <cell r="CV177" t="str">
            <v>0</v>
          </cell>
          <cell r="CW177" t="str">
            <v>0</v>
          </cell>
          <cell r="CX177" t="str">
            <v>0</v>
          </cell>
          <cell r="CY177" t="str">
            <v>0</v>
          </cell>
          <cell r="CZ177" t="str">
            <v>0</v>
          </cell>
          <cell r="DA177" t="str">
            <v>0</v>
          </cell>
          <cell r="DB177" t="str">
            <v>0</v>
          </cell>
          <cell r="DC177" t="str">
            <v/>
          </cell>
          <cell r="DD177" t="str">
            <v/>
          </cell>
          <cell r="DE177" t="str">
            <v/>
          </cell>
          <cell r="DF177" t="str">
            <v/>
          </cell>
          <cell r="DH177" t="str">
            <v/>
          </cell>
          <cell r="DN177" t="str">
            <v>10/10/2024</v>
          </cell>
          <cell r="DQ177" t="str">
            <v>Raul</v>
          </cell>
          <cell r="DS177" t="str">
            <v/>
          </cell>
          <cell r="DT177" t="str">
            <v/>
          </cell>
          <cell r="DU177" t="str">
            <v>GOL</v>
          </cell>
          <cell r="DV177" t="str">
            <v>186 Pax + 10 Flight Crew</v>
          </cell>
          <cell r="DW177" t="str">
            <v>GLP-800-002-GGX</v>
          </cell>
          <cell r="FL177" t="str">
            <v/>
          </cell>
          <cell r="FM177" t="str">
            <v/>
          </cell>
          <cell r="FN177" t="str">
            <v/>
          </cell>
          <cell r="FO177" t="str">
            <v/>
          </cell>
          <cell r="FP177" t="str">
            <v/>
          </cell>
          <cell r="FQ177" t="str">
            <v/>
          </cell>
          <cell r="FR177" t="str">
            <v/>
          </cell>
          <cell r="FS177" t="str">
            <v/>
          </cell>
          <cell r="FT177" t="str">
            <v/>
          </cell>
          <cell r="FU177" t="str">
            <v/>
          </cell>
          <cell r="FV177" t="str">
            <v/>
          </cell>
          <cell r="FW177" t="str">
            <v/>
          </cell>
          <cell r="FX177" t="str">
            <v/>
          </cell>
          <cell r="FY177" t="str">
            <v/>
          </cell>
          <cell r="FZ177" t="str">
            <v/>
          </cell>
          <cell r="GA177" t="str">
            <v/>
          </cell>
          <cell r="GB177" t="str">
            <v/>
          </cell>
          <cell r="GC177" t="str">
            <v/>
          </cell>
          <cell r="GD177" t="str">
            <v/>
          </cell>
          <cell r="GE177" t="str">
            <v/>
          </cell>
          <cell r="GF177" t="str">
            <v/>
          </cell>
          <cell r="GG177" t="str">
            <v/>
          </cell>
          <cell r="GH177" t="str">
            <v/>
          </cell>
          <cell r="GI177" t="str">
            <v/>
          </cell>
          <cell r="GJ177" t="str">
            <v/>
          </cell>
          <cell r="GK177" t="str">
            <v/>
          </cell>
          <cell r="GL177" t="str">
            <v/>
          </cell>
          <cell r="GM177" t="str">
            <v/>
          </cell>
          <cell r="GN177" t="str">
            <v/>
          </cell>
        </row>
        <row r="178">
          <cell r="A178" t="str">
            <v>PR-RAU</v>
          </cell>
          <cell r="D178" t="str">
            <v>10/10/2024</v>
          </cell>
          <cell r="E178">
            <v>10</v>
          </cell>
          <cell r="F178">
            <v>2</v>
          </cell>
          <cell r="G178" t="str">
            <v>Renton, WA - EUA</v>
          </cell>
          <cell r="H178" t="str">
            <v>IFE Installation</v>
          </cell>
          <cell r="I178" t="str">
            <v>2518</v>
          </cell>
          <cell r="J178" t="str">
            <v>2518</v>
          </cell>
          <cell r="K178" t="str">
            <v>9413,5</v>
          </cell>
          <cell r="L178" t="str">
            <v>9413,5</v>
          </cell>
          <cell r="M178" t="str">
            <v>9558,5</v>
          </cell>
          <cell r="N178" t="str">
            <v>9558,5</v>
          </cell>
          <cell r="O178" t="str">
            <v>1518</v>
          </cell>
          <cell r="P178" t="str">
            <v>1518</v>
          </cell>
          <cell r="Q178" t="str">
            <v>9413,5</v>
          </cell>
          <cell r="R178" t="str">
            <v>9413,5</v>
          </cell>
          <cell r="S178" t="str">
            <v>9558,5</v>
          </cell>
          <cell r="T178" t="str">
            <v>9558,5</v>
          </cell>
          <cell r="U178" t="str">
            <v>6,98389570552156</v>
          </cell>
          <cell r="V178" t="str">
            <v>4,74769938650316</v>
          </cell>
          <cell r="W178" t="str">
            <v>Down Lock Nose Gear (1 ea)</v>
          </cell>
          <cell r="X178" t="str">
            <v>Down Lock Main Gear (2 ea)</v>
          </cell>
          <cell r="Y178" t="str">
            <v>Plumb Bob (1 ea)</v>
          </cell>
          <cell r="Z178" t="str">
            <v>Loto Kit</v>
          </cell>
          <cell r="AA178" t="str">
            <v/>
          </cell>
          <cell r="AB178" t="str">
            <v/>
          </cell>
          <cell r="AC178" t="str">
            <v/>
          </cell>
          <cell r="AD178" t="str">
            <v/>
          </cell>
          <cell r="AE178" t="str">
            <v/>
          </cell>
          <cell r="AF178" t="str">
            <v/>
          </cell>
          <cell r="AG178" t="str">
            <v/>
          </cell>
          <cell r="AH178" t="str">
            <v/>
          </cell>
          <cell r="AI178" t="str">
            <v/>
          </cell>
          <cell r="AJ178" t="str">
            <v/>
          </cell>
          <cell r="AK178" t="str">
            <v>0,3</v>
          </cell>
          <cell r="AL178" t="str">
            <v>0,4</v>
          </cell>
          <cell r="AM178" t="str">
            <v>0,5</v>
          </cell>
          <cell r="AN178" t="str">
            <v>4</v>
          </cell>
          <cell r="AO178" t="str">
            <v>0</v>
          </cell>
          <cell r="AP178" t="str">
            <v>0</v>
          </cell>
          <cell r="AQ178" t="str">
            <v>0</v>
          </cell>
          <cell r="AR178" t="str">
            <v>0</v>
          </cell>
          <cell r="AS178" t="str">
            <v>0</v>
          </cell>
          <cell r="AT178" t="str">
            <v>0</v>
          </cell>
          <cell r="AU178" t="str">
            <v>0</v>
          </cell>
          <cell r="AV178" t="str">
            <v>0</v>
          </cell>
          <cell r="AW178" t="str">
            <v>0</v>
          </cell>
          <cell r="AX178" t="str">
            <v>0</v>
          </cell>
          <cell r="AY178" t="str">
            <v>91</v>
          </cell>
          <cell r="AZ178" t="str">
            <v>702</v>
          </cell>
          <cell r="BA178" t="str">
            <v>685</v>
          </cell>
          <cell r="BB178" t="str">
            <v>120</v>
          </cell>
          <cell r="BC178" t="str">
            <v>0</v>
          </cell>
          <cell r="BD178" t="str">
            <v>0</v>
          </cell>
          <cell r="BE178" t="str">
            <v>0</v>
          </cell>
          <cell r="BF178" t="str">
            <v>0</v>
          </cell>
          <cell r="BG178" t="str">
            <v>0</v>
          </cell>
          <cell r="BH178" t="str">
            <v>0</v>
          </cell>
          <cell r="BI178" t="str">
            <v>0</v>
          </cell>
          <cell r="BJ178" t="str">
            <v>0</v>
          </cell>
          <cell r="BK178" t="str">
            <v>0</v>
          </cell>
          <cell r="BL178" t="str">
            <v>0</v>
          </cell>
          <cell r="BM178" t="str">
            <v>Flaps 0 - 40° (up when weighed)</v>
          </cell>
          <cell r="BN178" t="str">
            <v>Fuel, Drain., Unusable (5.6 Gal)</v>
          </cell>
          <cell r="BO178" t="str">
            <v>Lavatory Pre-Charge Fluid (6.0 Gal)</v>
          </cell>
          <cell r="BP178" t="str">
            <v>Lavatory Dry Supplies</v>
          </cell>
          <cell r="BQ178" t="str">
            <v>Potable Water (62.6 Gal)</v>
          </cell>
          <cell r="BR178" t="str">
            <v/>
          </cell>
          <cell r="BS178" t="str">
            <v/>
          </cell>
          <cell r="BT178" t="str">
            <v/>
          </cell>
          <cell r="BU178" t="str">
            <v/>
          </cell>
          <cell r="BV178" t="str">
            <v/>
          </cell>
          <cell r="BW178" t="str">
            <v/>
          </cell>
          <cell r="BX178" t="str">
            <v/>
          </cell>
          <cell r="BY178" t="str">
            <v/>
          </cell>
          <cell r="BZ178" t="str">
            <v/>
          </cell>
          <cell r="CA178" t="str">
            <v/>
          </cell>
          <cell r="CB178" t="str">
            <v>0</v>
          </cell>
          <cell r="CC178" t="str">
            <v>17,3</v>
          </cell>
          <cell r="CD178" t="str">
            <v>22,7</v>
          </cell>
          <cell r="CE178" t="str">
            <v>4</v>
          </cell>
          <cell r="CF178" t="str">
            <v>236,4</v>
          </cell>
          <cell r="CG178" t="str">
            <v>0</v>
          </cell>
          <cell r="CH178" t="str">
            <v>0</v>
          </cell>
          <cell r="CI178" t="str">
            <v>0</v>
          </cell>
          <cell r="CJ178" t="str">
            <v>0</v>
          </cell>
          <cell r="CK178" t="str">
            <v>0</v>
          </cell>
          <cell r="CL178" t="str">
            <v>0</v>
          </cell>
          <cell r="CM178" t="str">
            <v>0</v>
          </cell>
          <cell r="CN178" t="str">
            <v>0</v>
          </cell>
          <cell r="CO178" t="str">
            <v>0</v>
          </cell>
          <cell r="CP178" t="str">
            <v>0</v>
          </cell>
          <cell r="CQ178" t="str">
            <v>646</v>
          </cell>
          <cell r="CR178" t="str">
            <v>1112</v>
          </cell>
          <cell r="CS178" t="str">
            <v>1145</v>
          </cell>
          <cell r="CT178" t="str">
            <v>1150</v>
          </cell>
          <cell r="CU178" t="str">
            <v>0</v>
          </cell>
          <cell r="CV178" t="str">
            <v>0</v>
          </cell>
          <cell r="CW178" t="str">
            <v>0</v>
          </cell>
          <cell r="CX178" t="str">
            <v>0</v>
          </cell>
          <cell r="CY178" t="str">
            <v>0</v>
          </cell>
          <cell r="CZ178" t="str">
            <v>0</v>
          </cell>
          <cell r="DA178" t="str">
            <v>0</v>
          </cell>
          <cell r="DB178" t="str">
            <v>0</v>
          </cell>
          <cell r="DC178" t="str">
            <v/>
          </cell>
          <cell r="DD178" t="str">
            <v/>
          </cell>
          <cell r="DE178" t="str">
            <v/>
          </cell>
          <cell r="DF178" t="str">
            <v/>
          </cell>
          <cell r="DH178" t="str">
            <v/>
          </cell>
          <cell r="DN178" t="str">
            <v>10/10/2024</v>
          </cell>
          <cell r="DQ178" t="str">
            <v>Raul</v>
          </cell>
          <cell r="DS178" t="str">
            <v>10</v>
          </cell>
          <cell r="DT178" t="str">
            <v>1</v>
          </cell>
          <cell r="DU178" t="str">
            <v>GOL</v>
          </cell>
          <cell r="DV178" t="str">
            <v>186 Pax + 10 Flight Crew</v>
          </cell>
          <cell r="DW178" t="str">
            <v>GLP-800-002-GGX</v>
          </cell>
          <cell r="FL178" t="str">
            <v/>
          </cell>
          <cell r="FM178" t="str">
            <v/>
          </cell>
          <cell r="FN178" t="str">
            <v/>
          </cell>
          <cell r="FO178" t="str">
            <v/>
          </cell>
          <cell r="FP178" t="str">
            <v/>
          </cell>
          <cell r="FQ178" t="str">
            <v/>
          </cell>
          <cell r="FR178" t="str">
            <v/>
          </cell>
          <cell r="FS178" t="str">
            <v/>
          </cell>
          <cell r="FT178" t="str">
            <v/>
          </cell>
          <cell r="FU178" t="str">
            <v/>
          </cell>
          <cell r="FV178" t="str">
            <v/>
          </cell>
          <cell r="FW178" t="str">
            <v/>
          </cell>
          <cell r="FX178" t="str">
            <v/>
          </cell>
          <cell r="FY178" t="str">
            <v/>
          </cell>
          <cell r="FZ178" t="str">
            <v/>
          </cell>
          <cell r="GA178" t="str">
            <v/>
          </cell>
          <cell r="GB178" t="str">
            <v/>
          </cell>
          <cell r="GC178" t="str">
            <v/>
          </cell>
          <cell r="GD178" t="str">
            <v/>
          </cell>
          <cell r="GE178" t="str">
            <v/>
          </cell>
          <cell r="GF178" t="str">
            <v/>
          </cell>
          <cell r="GG178" t="str">
            <v/>
          </cell>
          <cell r="GH178" t="str">
            <v/>
          </cell>
          <cell r="GI178" t="str">
            <v/>
          </cell>
          <cell r="GJ178" t="str">
            <v/>
          </cell>
          <cell r="GK178" t="str">
            <v/>
          </cell>
          <cell r="GL178" t="str">
            <v/>
          </cell>
          <cell r="GM178" t="str">
            <v/>
          </cell>
          <cell r="GN178" t="str">
            <v/>
          </cell>
        </row>
        <row r="179">
          <cell r="A179" t="str">
            <v>PR-RAU</v>
          </cell>
          <cell r="D179">
            <v>45575</v>
          </cell>
          <cell r="E179">
            <v>10</v>
          </cell>
          <cell r="F179">
            <v>3</v>
          </cell>
          <cell r="G179" t="str">
            <v>Renton, WA - EUA</v>
          </cell>
          <cell r="H179" t="str">
            <v>IFE Installation</v>
          </cell>
          <cell r="I179" t="str">
            <v>2518</v>
          </cell>
          <cell r="J179" t="str">
            <v>2518</v>
          </cell>
          <cell r="K179" t="str">
            <v>9413,5</v>
          </cell>
          <cell r="L179" t="str">
            <v>9413,5</v>
          </cell>
          <cell r="M179" t="str">
            <v>9558,5</v>
          </cell>
          <cell r="N179" t="str">
            <v>9558,5</v>
          </cell>
          <cell r="O179" t="str">
            <v>1518</v>
          </cell>
          <cell r="P179" t="str">
            <v>1518</v>
          </cell>
          <cell r="Q179" t="str">
            <v>9413,5</v>
          </cell>
          <cell r="R179" t="str">
            <v>9413,5</v>
          </cell>
          <cell r="S179" t="str">
            <v>9558,5</v>
          </cell>
          <cell r="T179" t="str">
            <v>9558,5</v>
          </cell>
          <cell r="U179" t="str">
            <v>6,98389570552156</v>
          </cell>
          <cell r="V179" t="str">
            <v>4,74769938650316</v>
          </cell>
          <cell r="W179" t="str">
            <v>Down Lock Nose Gear (1 ea)</v>
          </cell>
          <cell r="X179" t="str">
            <v>Down Lock Main Gear (2 ea)</v>
          </cell>
          <cell r="Y179" t="str">
            <v>Plumb Bob (1 ea)</v>
          </cell>
          <cell r="Z179" t="str">
            <v>Loto Kit</v>
          </cell>
          <cell r="AA179" t="str">
            <v/>
          </cell>
          <cell r="AB179" t="str">
            <v/>
          </cell>
          <cell r="AC179" t="str">
            <v/>
          </cell>
          <cell r="AD179" t="str">
            <v/>
          </cell>
          <cell r="AE179" t="str">
            <v/>
          </cell>
          <cell r="AF179" t="str">
            <v/>
          </cell>
          <cell r="AG179" t="str">
            <v/>
          </cell>
          <cell r="AH179" t="str">
            <v/>
          </cell>
          <cell r="AI179" t="str">
            <v/>
          </cell>
          <cell r="AJ179" t="str">
            <v/>
          </cell>
          <cell r="AK179" t="str">
            <v>0,3</v>
          </cell>
          <cell r="AL179" t="str">
            <v>0,4</v>
          </cell>
          <cell r="AM179" t="str">
            <v>0,5</v>
          </cell>
          <cell r="AN179" t="str">
            <v>4</v>
          </cell>
          <cell r="AO179" t="str">
            <v>0</v>
          </cell>
          <cell r="AP179" t="str">
            <v>0</v>
          </cell>
          <cell r="AQ179" t="str">
            <v>0</v>
          </cell>
          <cell r="AR179" t="str">
            <v>0</v>
          </cell>
          <cell r="AS179" t="str">
            <v>0</v>
          </cell>
          <cell r="AT179" t="str">
            <v>0</v>
          </cell>
          <cell r="AU179" t="str">
            <v>0</v>
          </cell>
          <cell r="AV179" t="str">
            <v>0</v>
          </cell>
          <cell r="AW179" t="str">
            <v>0</v>
          </cell>
          <cell r="AX179" t="str">
            <v>0</v>
          </cell>
          <cell r="AY179" t="str">
            <v>91</v>
          </cell>
          <cell r="AZ179" t="str">
            <v>702</v>
          </cell>
          <cell r="BA179" t="str">
            <v>685</v>
          </cell>
          <cell r="BB179" t="str">
            <v>120</v>
          </cell>
          <cell r="BC179" t="str">
            <v>0</v>
          </cell>
          <cell r="BD179" t="str">
            <v>0</v>
          </cell>
          <cell r="BE179" t="str">
            <v>0</v>
          </cell>
          <cell r="BF179" t="str">
            <v>0</v>
          </cell>
          <cell r="BG179" t="str">
            <v>0</v>
          </cell>
          <cell r="BH179" t="str">
            <v>0</v>
          </cell>
          <cell r="BI179" t="str">
            <v>0</v>
          </cell>
          <cell r="BJ179" t="str">
            <v>0</v>
          </cell>
          <cell r="BK179" t="str">
            <v>0</v>
          </cell>
          <cell r="BL179" t="str">
            <v>0</v>
          </cell>
          <cell r="BM179" t="str">
            <v>Flaps 0 - 40° (up when weighed)</v>
          </cell>
          <cell r="BN179" t="str">
            <v>Fuel, Drain., Unusable (5.6 Gal)</v>
          </cell>
          <cell r="BO179" t="str">
            <v>Lavatory Pre-Charge Fluid (6.0 Gal)</v>
          </cell>
          <cell r="BP179" t="str">
            <v>Lavatory Dry Supplies</v>
          </cell>
          <cell r="BQ179" t="str">
            <v>Potable Water (62.6 Gal)</v>
          </cell>
          <cell r="BR179" t="str">
            <v/>
          </cell>
          <cell r="BS179" t="str">
            <v/>
          </cell>
          <cell r="BT179" t="str">
            <v/>
          </cell>
          <cell r="BU179" t="str">
            <v/>
          </cell>
          <cell r="BV179" t="str">
            <v/>
          </cell>
          <cell r="BW179" t="str">
            <v/>
          </cell>
          <cell r="BX179" t="str">
            <v/>
          </cell>
          <cell r="BY179" t="str">
            <v/>
          </cell>
          <cell r="BZ179" t="str">
            <v/>
          </cell>
          <cell r="CA179" t="str">
            <v/>
          </cell>
          <cell r="CB179" t="str">
            <v>0</v>
          </cell>
          <cell r="CC179" t="str">
            <v>17,3</v>
          </cell>
          <cell r="CD179" t="str">
            <v>22,7</v>
          </cell>
          <cell r="CE179" t="str">
            <v>4</v>
          </cell>
          <cell r="CF179" t="str">
            <v>236,4</v>
          </cell>
          <cell r="CG179" t="str">
            <v>0</v>
          </cell>
          <cell r="CH179" t="str">
            <v>0</v>
          </cell>
          <cell r="CI179" t="str">
            <v>0</v>
          </cell>
          <cell r="CJ179" t="str">
            <v>0</v>
          </cell>
          <cell r="CK179" t="str">
            <v>0</v>
          </cell>
          <cell r="CL179" t="str">
            <v>0</v>
          </cell>
          <cell r="CM179" t="str">
            <v>0</v>
          </cell>
          <cell r="CN179" t="str">
            <v>0</v>
          </cell>
          <cell r="CO179" t="str">
            <v>0</v>
          </cell>
          <cell r="CP179" t="str">
            <v>0</v>
          </cell>
          <cell r="CQ179" t="str">
            <v>646</v>
          </cell>
          <cell r="CR179" t="str">
            <v>1112</v>
          </cell>
          <cell r="CS179" t="str">
            <v>1145</v>
          </cell>
          <cell r="CT179" t="str">
            <v>1150</v>
          </cell>
          <cell r="CU179" t="str">
            <v>0</v>
          </cell>
          <cell r="CV179" t="str">
            <v>0</v>
          </cell>
          <cell r="CW179" t="str">
            <v>0</v>
          </cell>
          <cell r="CX179" t="str">
            <v>0</v>
          </cell>
          <cell r="CY179" t="str">
            <v>0</v>
          </cell>
          <cell r="CZ179" t="str">
            <v>0</v>
          </cell>
          <cell r="DA179" t="str">
            <v>0</v>
          </cell>
          <cell r="DB179" t="str">
            <v>0</v>
          </cell>
          <cell r="DC179" t="str">
            <v/>
          </cell>
          <cell r="DN179" t="str">
            <v>10/10/2024</v>
          </cell>
          <cell r="DQ179" t="str">
            <v>Raul</v>
          </cell>
          <cell r="DR179" t="str">
            <v>Raul</v>
          </cell>
          <cell r="DS179" t="str">
            <v/>
          </cell>
          <cell r="DT179" t="str">
            <v/>
          </cell>
          <cell r="DU179" t="str">
            <v>GOL</v>
          </cell>
          <cell r="DV179" t="str">
            <v>186 Pax + 10 Flight Crew</v>
          </cell>
          <cell r="DW179" t="str">
            <v>GLP-800-002-GGX</v>
          </cell>
          <cell r="FL179" t="str">
            <v/>
          </cell>
          <cell r="FM179" t="str">
            <v/>
          </cell>
          <cell r="FN179" t="str">
            <v/>
          </cell>
          <cell r="FO179" t="str">
            <v/>
          </cell>
          <cell r="FP179" t="str">
            <v/>
          </cell>
          <cell r="FQ179" t="str">
            <v/>
          </cell>
          <cell r="FR179" t="str">
            <v/>
          </cell>
          <cell r="FS179" t="str">
            <v/>
          </cell>
          <cell r="FT179" t="str">
            <v/>
          </cell>
          <cell r="FU179" t="str">
            <v/>
          </cell>
          <cell r="FV179" t="str">
            <v/>
          </cell>
          <cell r="FW179" t="str">
            <v/>
          </cell>
          <cell r="FX179" t="str">
            <v/>
          </cell>
          <cell r="FY179" t="str">
            <v/>
          </cell>
          <cell r="FZ179" t="str">
            <v/>
          </cell>
          <cell r="GA179" t="str">
            <v/>
          </cell>
          <cell r="GB179" t="str">
            <v/>
          </cell>
          <cell r="GC179" t="str">
            <v/>
          </cell>
          <cell r="GD179" t="str">
            <v/>
          </cell>
          <cell r="GE179" t="str">
            <v/>
          </cell>
          <cell r="GF179" t="str">
            <v/>
          </cell>
          <cell r="GG179" t="str">
            <v/>
          </cell>
          <cell r="GH179" t="str">
            <v/>
          </cell>
          <cell r="GI179" t="str">
            <v/>
          </cell>
          <cell r="GJ179" t="str">
            <v/>
          </cell>
          <cell r="GK179" t="str">
            <v/>
          </cell>
          <cell r="GL179" t="str">
            <v/>
          </cell>
          <cell r="GM179" t="str">
            <v/>
          </cell>
          <cell r="GN179" t="str">
            <v/>
          </cell>
        </row>
        <row r="180">
          <cell r="A180" t="str">
            <v>PR-RAU</v>
          </cell>
          <cell r="D180" t="str">
            <v>10/10/2024</v>
          </cell>
          <cell r="E180">
            <v>10</v>
          </cell>
          <cell r="F180">
            <v>4</v>
          </cell>
          <cell r="G180" t="str">
            <v>São José dos Campos, SP - Brazil</v>
          </cell>
          <cell r="H180" t="str">
            <v>New Production Aircraft</v>
          </cell>
          <cell r="I180" t="str">
            <v>2518</v>
          </cell>
          <cell r="J180" t="str">
            <v>2518</v>
          </cell>
          <cell r="K180" t="str">
            <v>9413,5</v>
          </cell>
          <cell r="L180" t="str">
            <v>9413,5</v>
          </cell>
          <cell r="M180" t="str">
            <v>9558,5</v>
          </cell>
          <cell r="N180" t="str">
            <v>9558,5</v>
          </cell>
          <cell r="O180" t="str">
            <v>1518</v>
          </cell>
          <cell r="P180" t="str">
            <v>1518</v>
          </cell>
          <cell r="Q180" t="str">
            <v>9413,5</v>
          </cell>
          <cell r="R180" t="str">
            <v>9413,5</v>
          </cell>
          <cell r="S180" t="str">
            <v>9558,5</v>
          </cell>
          <cell r="T180" t="str">
            <v>9558,5</v>
          </cell>
          <cell r="U180">
            <v>0.27495652383943148</v>
          </cell>
          <cell r="V180">
            <v>0.18691729868122678</v>
          </cell>
          <cell r="W180" t="str">
            <v>Down Lock Nose Gear (1 ea)</v>
          </cell>
          <cell r="X180" t="str">
            <v>Down Lock Main Gear (2 ea)</v>
          </cell>
          <cell r="Y180" t="str">
            <v>Plumb Bob (1 ea)</v>
          </cell>
          <cell r="Z180" t="str">
            <v>Loto Kit</v>
          </cell>
          <cell r="AA180" t="str">
            <v/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  <cell r="AF180" t="str">
            <v/>
          </cell>
          <cell r="AG180" t="str">
            <v/>
          </cell>
          <cell r="AH180" t="str">
            <v/>
          </cell>
          <cell r="AI180" t="str">
            <v/>
          </cell>
          <cell r="AJ180" t="str">
            <v/>
          </cell>
          <cell r="AK180" t="str">
            <v>0,3</v>
          </cell>
          <cell r="AL180" t="str">
            <v>0,4</v>
          </cell>
          <cell r="AM180" t="str">
            <v>0,5</v>
          </cell>
          <cell r="AN180" t="str">
            <v>4</v>
          </cell>
          <cell r="AO180" t="str">
            <v>0</v>
          </cell>
          <cell r="AP180" t="str">
            <v>0</v>
          </cell>
          <cell r="AQ180" t="str">
            <v>0</v>
          </cell>
          <cell r="AR180" t="str">
            <v>0</v>
          </cell>
          <cell r="AS180" t="str">
            <v>0</v>
          </cell>
          <cell r="AT180" t="str">
            <v>0</v>
          </cell>
          <cell r="AU180" t="str">
            <v>0</v>
          </cell>
          <cell r="AV180" t="str">
            <v>0</v>
          </cell>
          <cell r="AW180" t="str">
            <v>0</v>
          </cell>
          <cell r="AX180" t="str">
            <v>0</v>
          </cell>
          <cell r="AY180" t="str">
            <v>91</v>
          </cell>
          <cell r="AZ180" t="str">
            <v>702</v>
          </cell>
          <cell r="BA180" t="str">
            <v>685</v>
          </cell>
          <cell r="BB180" t="str">
            <v>120</v>
          </cell>
          <cell r="BC180" t="str">
            <v>0</v>
          </cell>
          <cell r="BD180" t="str">
            <v>0</v>
          </cell>
          <cell r="BE180" t="str">
            <v>0</v>
          </cell>
          <cell r="BF180" t="str">
            <v>0</v>
          </cell>
          <cell r="BG180" t="str">
            <v>0</v>
          </cell>
          <cell r="BH180" t="str">
            <v>0</v>
          </cell>
          <cell r="BI180" t="str">
            <v>0</v>
          </cell>
          <cell r="BJ180" t="str">
            <v>0</v>
          </cell>
          <cell r="BK180" t="str">
            <v>0</v>
          </cell>
          <cell r="BL180" t="str">
            <v>0</v>
          </cell>
          <cell r="BM180" t="str">
            <v>Flaps 0 - 40° (up when weighed)</v>
          </cell>
          <cell r="BN180" t="str">
            <v>Fuel, Drain., Unusable (5.6 Gal)</v>
          </cell>
          <cell r="BO180" t="str">
            <v>Lavatory Pre-Charge Fluid (6.0 Gal)</v>
          </cell>
          <cell r="BP180" t="str">
            <v>Lavatory Dry Supplies</v>
          </cell>
          <cell r="BQ180" t="str">
            <v>Potable Water (62.6 Gal)</v>
          </cell>
          <cell r="BR180" t="str">
            <v/>
          </cell>
          <cell r="BS180" t="str">
            <v/>
          </cell>
          <cell r="BT180" t="str">
            <v/>
          </cell>
          <cell r="BU180" t="str">
            <v/>
          </cell>
          <cell r="BV180" t="str">
            <v/>
          </cell>
          <cell r="BW180" t="str">
            <v/>
          </cell>
          <cell r="BX180" t="str">
            <v/>
          </cell>
          <cell r="BY180" t="str">
            <v/>
          </cell>
          <cell r="BZ180" t="str">
            <v/>
          </cell>
          <cell r="CA180" t="str">
            <v/>
          </cell>
          <cell r="CB180" t="str">
            <v>0</v>
          </cell>
          <cell r="CC180" t="str">
            <v>17,3</v>
          </cell>
          <cell r="CD180" t="str">
            <v>22,7</v>
          </cell>
          <cell r="CE180" t="str">
            <v>4</v>
          </cell>
          <cell r="CF180" t="str">
            <v>236,4</v>
          </cell>
          <cell r="CG180" t="str">
            <v>0</v>
          </cell>
          <cell r="CH180" t="str">
            <v>0</v>
          </cell>
          <cell r="CI180" t="str">
            <v>0</v>
          </cell>
          <cell r="CJ180" t="str">
            <v>0</v>
          </cell>
          <cell r="CK180" t="str">
            <v>0</v>
          </cell>
          <cell r="CL180" t="str">
            <v>0</v>
          </cell>
          <cell r="CM180" t="str">
            <v>0</v>
          </cell>
          <cell r="CN180" t="str">
            <v>0</v>
          </cell>
          <cell r="CO180" t="str">
            <v>0</v>
          </cell>
          <cell r="CP180" t="str">
            <v>0</v>
          </cell>
          <cell r="CQ180" t="str">
            <v>646</v>
          </cell>
          <cell r="CR180" t="str">
            <v>1112</v>
          </cell>
          <cell r="CS180" t="str">
            <v>1145</v>
          </cell>
          <cell r="CT180" t="str">
            <v>1150</v>
          </cell>
          <cell r="CU180" t="str">
            <v>0</v>
          </cell>
          <cell r="CV180" t="str">
            <v>0</v>
          </cell>
          <cell r="CW180" t="str">
            <v>0</v>
          </cell>
          <cell r="CX180" t="str">
            <v>0</v>
          </cell>
          <cell r="CY180" t="str">
            <v>0</v>
          </cell>
          <cell r="CZ180" t="str">
            <v>0</v>
          </cell>
          <cell r="DA180" t="str">
            <v>0</v>
          </cell>
          <cell r="DB180" t="str">
            <v>0</v>
          </cell>
          <cell r="DC180" t="str">
            <v/>
          </cell>
          <cell r="DD180" t="str">
            <v>teste 01</v>
          </cell>
          <cell r="DE180" t="str">
            <v>teste 02</v>
          </cell>
          <cell r="DF180" t="str">
            <v/>
          </cell>
          <cell r="DH180" t="str">
            <v/>
          </cell>
          <cell r="DN180" t="str">
            <v>10/10/2024</v>
          </cell>
          <cell r="DQ180" t="str">
            <v>Raul</v>
          </cell>
          <cell r="DR180" t="str">
            <v>Raul</v>
          </cell>
          <cell r="DS180" t="str">
            <v/>
          </cell>
          <cell r="DT180" t="str">
            <v/>
          </cell>
          <cell r="DU180" t="str">
            <v>GOL</v>
          </cell>
          <cell r="DV180" t="str">
            <v>138 Pax + 9 Flight Crew</v>
          </cell>
          <cell r="DW180" t="str">
            <v xml:space="preserve">GLP-800-001-GTH </v>
          </cell>
          <cell r="FL180" t="str">
            <v/>
          </cell>
          <cell r="FM180" t="str">
            <v/>
          </cell>
          <cell r="FN180" t="str">
            <v/>
          </cell>
          <cell r="FO180" t="str">
            <v/>
          </cell>
          <cell r="FP180" t="str">
            <v/>
          </cell>
          <cell r="FQ180" t="str">
            <v/>
          </cell>
          <cell r="FR180" t="str">
            <v/>
          </cell>
          <cell r="FS180" t="str">
            <v/>
          </cell>
          <cell r="FT180" t="str">
            <v/>
          </cell>
          <cell r="FU180" t="str">
            <v/>
          </cell>
          <cell r="FV180" t="str">
            <v/>
          </cell>
          <cell r="FW180" t="str">
            <v/>
          </cell>
          <cell r="FX180" t="str">
            <v/>
          </cell>
          <cell r="FY180" t="str">
            <v/>
          </cell>
          <cell r="FZ180" t="str">
            <v/>
          </cell>
          <cell r="GA180" t="str">
            <v/>
          </cell>
          <cell r="GB180" t="str">
            <v/>
          </cell>
          <cell r="GC180" t="str">
            <v/>
          </cell>
          <cell r="GD180" t="str">
            <v/>
          </cell>
          <cell r="GE180" t="str">
            <v/>
          </cell>
          <cell r="GF180" t="str">
            <v/>
          </cell>
          <cell r="GG180" t="str">
            <v/>
          </cell>
          <cell r="GH180" t="str">
            <v/>
          </cell>
          <cell r="GI180" t="str">
            <v/>
          </cell>
          <cell r="GJ180" t="str">
            <v/>
          </cell>
          <cell r="GK180" t="str">
            <v/>
          </cell>
          <cell r="GL180" t="str">
            <v/>
          </cell>
          <cell r="GM180" t="str">
            <v/>
          </cell>
          <cell r="GN180" t="str">
            <v/>
          </cell>
        </row>
        <row r="181">
          <cell r="A181" t="str">
            <v>PR-GUH</v>
          </cell>
          <cell r="D181">
            <v>45540</v>
          </cell>
          <cell r="E181">
            <v>4</v>
          </cell>
          <cell r="F181">
            <v>2</v>
          </cell>
          <cell r="G181" t="str">
            <v>Lagoa Santa, MG - Brazil</v>
          </cell>
          <cell r="H181" t="str">
            <v>New Painting</v>
          </cell>
          <cell r="I181" t="str">
            <v>1690</v>
          </cell>
          <cell r="J181" t="str">
            <v>1258</v>
          </cell>
          <cell r="K181" t="str">
            <v>9433</v>
          </cell>
          <cell r="L181" t="str">
            <v>9990</v>
          </cell>
          <cell r="M181" t="str">
            <v>10061,5</v>
          </cell>
          <cell r="N181" t="str">
            <v>9428,3</v>
          </cell>
          <cell r="O181" t="str">
            <v>1693</v>
          </cell>
          <cell r="P181" t="str">
            <v>1261</v>
          </cell>
          <cell r="Q181" t="str">
            <v>9433</v>
          </cell>
          <cell r="R181" t="str">
            <v>9995</v>
          </cell>
          <cell r="S181" t="str">
            <v>10067,2</v>
          </cell>
          <cell r="T181" t="str">
            <v>9407,1</v>
          </cell>
          <cell r="U181" t="str">
            <v>4,25196850393701</v>
          </cell>
          <cell r="V181" t="str">
            <v>4,243385826771654</v>
          </cell>
          <cell r="W181" t="str">
            <v>Plumb Bob</v>
          </cell>
          <cell r="X181" t="str">
            <v xml:space="preserve">Down Lock, Nose Gear </v>
          </cell>
          <cell r="Y181" t="str">
            <v xml:space="preserve">Down Lock, Main Gear </v>
          </cell>
          <cell r="Z181" t="str">
            <v>Engine 1 &amp; 2</v>
          </cell>
          <cell r="AA181" t="str">
            <v>Reverser lh</v>
          </cell>
          <cell r="AB181" t="str">
            <v>Reverser rh</v>
          </cell>
          <cell r="AC181" t="str">
            <v>Fan Cowl lh</v>
          </cell>
          <cell r="AD181" t="str">
            <v>Fan Cowl RH</v>
          </cell>
          <cell r="AE181" t="str">
            <v>Gemison</v>
          </cell>
          <cell r="AF181" t="str">
            <v/>
          </cell>
          <cell r="AG181" t="str">
            <v/>
          </cell>
          <cell r="AH181" t="str">
            <v/>
          </cell>
          <cell r="AI181" t="str">
            <v/>
          </cell>
          <cell r="AJ181" t="str">
            <v/>
          </cell>
          <cell r="AK181" t="str">
            <v>0,5</v>
          </cell>
          <cell r="AL181" t="str">
            <v>0,3</v>
          </cell>
          <cell r="AM181" t="str">
            <v>0,4</v>
          </cell>
          <cell r="AN181" t="str">
            <v>5584</v>
          </cell>
          <cell r="AO181" t="str">
            <v>528</v>
          </cell>
          <cell r="AP181" t="str">
            <v>518</v>
          </cell>
          <cell r="AQ181" t="str">
            <v>76</v>
          </cell>
          <cell r="AR181" t="str">
            <v>90</v>
          </cell>
          <cell r="AS181" t="str">
            <v>100,4</v>
          </cell>
          <cell r="AT181" t="str">
            <v/>
          </cell>
          <cell r="AU181" t="str">
            <v/>
          </cell>
          <cell r="AV181" t="str">
            <v/>
          </cell>
          <cell r="AW181" t="str">
            <v/>
          </cell>
          <cell r="AX181" t="str">
            <v/>
          </cell>
          <cell r="AY181" t="str">
            <v>685</v>
          </cell>
          <cell r="AZ181" t="str">
            <v>200</v>
          </cell>
          <cell r="BA181" t="str">
            <v>702</v>
          </cell>
          <cell r="BB181" t="str">
            <v>545</v>
          </cell>
          <cell r="BC181" t="str">
            <v>567</v>
          </cell>
          <cell r="BD181" t="str">
            <v>567</v>
          </cell>
          <cell r="BE181" t="str">
            <v>518</v>
          </cell>
          <cell r="BF181" t="str">
            <v>518</v>
          </cell>
          <cell r="BG181" t="str">
            <v>3</v>
          </cell>
          <cell r="BH181" t="str">
            <v/>
          </cell>
          <cell r="BI181" t="str">
            <v/>
          </cell>
          <cell r="BJ181" t="str">
            <v/>
          </cell>
          <cell r="BK181" t="str">
            <v/>
          </cell>
          <cell r="BL181" t="str">
            <v/>
          </cell>
          <cell r="BM181" t="str">
            <v>Flaps 0 - 40° (Up when weighed)</v>
          </cell>
          <cell r="BN181" t="str">
            <v>Fuel, Drain, Unusable (5.6 Gal)</v>
          </cell>
          <cell r="BO181" t="str">
            <v>Lavatory Dry Supplies</v>
          </cell>
          <cell r="BP181" t="str">
            <v>Lavatory Pre-charge Fluid (6.0 Gal)</v>
          </cell>
          <cell r="BQ181" t="str">
            <v>Water, Potable (62.6 Gal)</v>
          </cell>
          <cell r="BR181" t="str">
            <v>Fuel COMBINED</v>
          </cell>
          <cell r="BS181" t="str">
            <v>lastro</v>
          </cell>
          <cell r="BT181" t="str">
            <v/>
          </cell>
          <cell r="BU181" t="str">
            <v/>
          </cell>
          <cell r="BV181" t="str">
            <v/>
          </cell>
          <cell r="BW181" t="str">
            <v/>
          </cell>
          <cell r="BX181" t="str">
            <v/>
          </cell>
          <cell r="BY181" t="str">
            <v/>
          </cell>
          <cell r="BZ181" t="str">
            <v/>
          </cell>
          <cell r="CA181" t="str">
            <v/>
          </cell>
          <cell r="CB181" t="str">
            <v>0</v>
          </cell>
          <cell r="CC181" t="str">
            <v>17,3</v>
          </cell>
          <cell r="CD181" t="str">
            <v>2</v>
          </cell>
          <cell r="CE181" t="str">
            <v>22,7</v>
          </cell>
          <cell r="CF181" t="str">
            <v>236,5</v>
          </cell>
          <cell r="CG181" t="str">
            <v>3200</v>
          </cell>
          <cell r="CH181" t="str">
            <v>1000</v>
          </cell>
          <cell r="CI181" t="str">
            <v/>
          </cell>
          <cell r="CJ181" t="str">
            <v/>
          </cell>
          <cell r="CK181" t="str">
            <v/>
          </cell>
          <cell r="CL181" t="str">
            <v/>
          </cell>
          <cell r="CM181" t="str">
            <v/>
          </cell>
          <cell r="CN181" t="str">
            <v/>
          </cell>
          <cell r="CO181" t="str">
            <v/>
          </cell>
          <cell r="CP181" t="str">
            <v>0</v>
          </cell>
          <cell r="CQ181" t="str">
            <v>646</v>
          </cell>
          <cell r="CR181" t="str">
            <v>1033</v>
          </cell>
          <cell r="CS181" t="str">
            <v>1000</v>
          </cell>
          <cell r="CT181" t="str">
            <v>1150</v>
          </cell>
          <cell r="CU181" t="str">
            <v>661,4</v>
          </cell>
          <cell r="CV181" t="str">
            <v>250</v>
          </cell>
          <cell r="CW181" t="str">
            <v/>
          </cell>
          <cell r="CX181" t="str">
            <v/>
          </cell>
          <cell r="CY181" t="str">
            <v/>
          </cell>
          <cell r="CZ181" t="str">
            <v/>
          </cell>
          <cell r="DA181" t="str">
            <v/>
          </cell>
          <cell r="DB181" t="str">
            <v/>
          </cell>
          <cell r="DC181" t="str">
            <v/>
          </cell>
          <cell r="DN181" t="str">
            <v>09/05/2024</v>
          </cell>
          <cell r="DQ181" t="str">
            <v>Raul</v>
          </cell>
          <cell r="DS181" t="str">
            <v>4</v>
          </cell>
          <cell r="DT181" t="str">
            <v>1</v>
          </cell>
          <cell r="DU181" t="str">
            <v>GOL</v>
          </cell>
          <cell r="DV181" t="str">
            <v>186 Pax + 10 Flight Crew</v>
          </cell>
          <cell r="DW181" t="str">
            <v>GLP-800-004-GUH</v>
          </cell>
          <cell r="FL181" t="str">
            <v/>
          </cell>
          <cell r="FM181" t="str">
            <v/>
          </cell>
          <cell r="FN181" t="str">
            <v/>
          </cell>
          <cell r="FO181" t="str">
            <v/>
          </cell>
          <cell r="FP181" t="str">
            <v/>
          </cell>
          <cell r="FQ181" t="str">
            <v/>
          </cell>
          <cell r="FR181" t="str">
            <v/>
          </cell>
          <cell r="FS181" t="str">
            <v/>
          </cell>
          <cell r="FT181" t="str">
            <v/>
          </cell>
          <cell r="FU181" t="str">
            <v/>
          </cell>
          <cell r="FV181" t="str">
            <v/>
          </cell>
          <cell r="FW181" t="str">
            <v/>
          </cell>
          <cell r="FX181" t="str">
            <v/>
          </cell>
          <cell r="FY181" t="str">
            <v/>
          </cell>
          <cell r="FZ181" t="str">
            <v/>
          </cell>
          <cell r="GA181" t="str">
            <v/>
          </cell>
          <cell r="GB181" t="str">
            <v/>
          </cell>
          <cell r="GC181" t="str">
            <v/>
          </cell>
          <cell r="GD181" t="str">
            <v/>
          </cell>
          <cell r="GE181" t="str">
            <v/>
          </cell>
          <cell r="GF181" t="str">
            <v/>
          </cell>
          <cell r="GG181" t="str">
            <v/>
          </cell>
          <cell r="GH181" t="str">
            <v/>
          </cell>
          <cell r="GI181" t="str">
            <v/>
          </cell>
          <cell r="GJ181" t="str">
            <v/>
          </cell>
          <cell r="GK181" t="str">
            <v/>
          </cell>
          <cell r="GL181" t="str">
            <v/>
          </cell>
          <cell r="GM181" t="str">
            <v/>
          </cell>
          <cell r="GN181" t="str">
            <v/>
          </cell>
        </row>
        <row r="182">
          <cell r="A182" t="str">
            <v>PR-GXB</v>
          </cell>
          <cell r="E182">
            <v>3</v>
          </cell>
          <cell r="F182">
            <v>0</v>
          </cell>
          <cell r="DN182">
            <v>0</v>
          </cell>
        </row>
        <row r="183">
          <cell r="A183" t="str">
            <v>PR-GXB</v>
          </cell>
          <cell r="D183" t="str">
            <v>04/02/2025</v>
          </cell>
          <cell r="E183">
            <v>4</v>
          </cell>
          <cell r="F183">
            <v>0</v>
          </cell>
          <cell r="G183" t="str">
            <v>Lagoa Santa, MG - Brazil</v>
          </cell>
          <cell r="H183" t="str">
            <v>New Painting</v>
          </cell>
          <cell r="I183" t="str">
            <v>1666</v>
          </cell>
          <cell r="J183" t="str">
            <v>1320</v>
          </cell>
          <cell r="K183" t="str">
            <v>9386</v>
          </cell>
          <cell r="L183" t="str">
            <v>9892</v>
          </cell>
          <cell r="M183" t="str">
            <v>10446</v>
          </cell>
          <cell r="N183" t="str">
            <v>8758</v>
          </cell>
          <cell r="O183" t="str">
            <v>1668</v>
          </cell>
          <cell r="P183" t="str">
            <v>1318</v>
          </cell>
          <cell r="Q183" t="str">
            <v>9376</v>
          </cell>
          <cell r="R183" t="str">
            <v>9902</v>
          </cell>
          <cell r="S183" t="str">
            <v>10458</v>
          </cell>
          <cell r="T183" t="str">
            <v>8742</v>
          </cell>
          <cell r="U183" t="str">
            <v>5</v>
          </cell>
          <cell r="V183" t="str">
            <v>5</v>
          </cell>
          <cell r="W183" t="str">
            <v xml:space="preserve">Down Lock, Nose Gear </v>
          </cell>
          <cell r="X183" t="str">
            <v xml:space="preserve">Down Lock, Main Gear </v>
          </cell>
          <cell r="Y183" t="str">
            <v>Plumb Bob</v>
          </cell>
          <cell r="Z183" t="str">
            <v/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>0,3</v>
          </cell>
          <cell r="AL183" t="str">
            <v>0,4</v>
          </cell>
          <cell r="AM183" t="str">
            <v>0,5</v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>82</v>
          </cell>
          <cell r="AZ183" t="str">
            <v>702</v>
          </cell>
          <cell r="BA183" t="str">
            <v>685</v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 t="str">
            <v/>
          </cell>
          <cell r="BI183" t="str">
            <v/>
          </cell>
          <cell r="BJ183" t="str">
            <v/>
          </cell>
          <cell r="BK183" t="str">
            <v/>
          </cell>
          <cell r="BL183" t="str">
            <v/>
          </cell>
          <cell r="BM183" t="str">
            <v>Fuel, Drain, Unusable (5.6 Gal)</v>
          </cell>
          <cell r="BN183" t="str">
            <v>Lavatory Pre-charge Fluid (6.0 Gal)</v>
          </cell>
          <cell r="BO183" t="str">
            <v>Flaps 0 - 40° (Up when weighed)</v>
          </cell>
          <cell r="BP183" t="str">
            <v>Lavatory Dry Supplies</v>
          </cell>
          <cell r="BQ183" t="str">
            <v>Water, Potable (62.6 Gal)</v>
          </cell>
          <cell r="BR183" t="str">
            <v/>
          </cell>
          <cell r="BS183" t="str">
            <v/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>17,3</v>
          </cell>
          <cell r="CC183" t="str">
            <v>22,7</v>
          </cell>
          <cell r="CD183" t="str">
            <v/>
          </cell>
          <cell r="CE183" t="str">
            <v>4</v>
          </cell>
          <cell r="CF183" t="str">
            <v>236,4</v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>646</v>
          </cell>
          <cell r="CQ183" t="str">
            <v>1112</v>
          </cell>
          <cell r="CR183" t="str">
            <v/>
          </cell>
          <cell r="CS183" t="str">
            <v>1145</v>
          </cell>
          <cell r="CT183" t="str">
            <v>1150</v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H183" t="str">
            <v/>
          </cell>
          <cell r="DN183" t="str">
            <v>04/02/2025</v>
          </cell>
          <cell r="DQ183" t="str">
            <v>Fernando Araujo</v>
          </cell>
          <cell r="DR183" t="str">
            <v>Danton</v>
          </cell>
          <cell r="DS183" t="str">
            <v>3</v>
          </cell>
          <cell r="DT183" t="str">
            <v>0</v>
          </cell>
          <cell r="DU183" t="str">
            <v>GOL</v>
          </cell>
          <cell r="DV183" t="str">
            <v>186 Pax + 10 Flight Crew</v>
          </cell>
          <cell r="DW183" t="str">
            <v xml:space="preserve">GLP-800-003-GXB </v>
          </cell>
          <cell r="FL183" t="str">
            <v/>
          </cell>
          <cell r="FM183" t="str">
            <v/>
          </cell>
          <cell r="FN183" t="str">
            <v/>
          </cell>
          <cell r="FO183" t="str">
            <v/>
          </cell>
          <cell r="FP183" t="str">
            <v/>
          </cell>
          <cell r="FQ183" t="str">
            <v/>
          </cell>
          <cell r="FR183" t="str">
            <v/>
          </cell>
          <cell r="FS183" t="str">
            <v/>
          </cell>
          <cell r="FT183" t="str">
            <v/>
          </cell>
          <cell r="FU183" t="str">
            <v/>
          </cell>
          <cell r="FV183" t="str">
            <v/>
          </cell>
          <cell r="FW183" t="str">
            <v/>
          </cell>
          <cell r="FX183" t="str">
            <v/>
          </cell>
          <cell r="FY183" t="str">
            <v/>
          </cell>
          <cell r="FZ183" t="str">
            <v/>
          </cell>
          <cell r="GA183" t="str">
            <v/>
          </cell>
          <cell r="GB183" t="str">
            <v/>
          </cell>
          <cell r="GC183" t="str">
            <v/>
          </cell>
          <cell r="GD183" t="str">
            <v/>
          </cell>
          <cell r="GE183" t="str">
            <v/>
          </cell>
          <cell r="GF183" t="str">
            <v/>
          </cell>
          <cell r="GG183" t="str">
            <v/>
          </cell>
          <cell r="GH183" t="str">
            <v/>
          </cell>
          <cell r="GI183" t="str">
            <v/>
          </cell>
          <cell r="GJ183" t="str">
            <v/>
          </cell>
          <cell r="GK183" t="str">
            <v/>
          </cell>
          <cell r="GL183" t="str">
            <v/>
          </cell>
          <cell r="GM183" t="str">
            <v/>
          </cell>
          <cell r="GN183" t="str">
            <v/>
          </cell>
        </row>
        <row r="184">
          <cell r="A184" t="str">
            <v>PS-GPC</v>
          </cell>
          <cell r="D184" t="str">
            <v>05/11/2021</v>
          </cell>
          <cell r="E184">
            <v>2</v>
          </cell>
          <cell r="F184">
            <v>2</v>
          </cell>
          <cell r="G184" t="str">
            <v>Lagoa Santa, MG - Brazil</v>
          </cell>
          <cell r="H184" t="str">
            <v>New Painting</v>
          </cell>
          <cell r="I184" t="str">
            <v>1855,5</v>
          </cell>
          <cell r="J184" t="str">
            <v>1855,5</v>
          </cell>
          <cell r="K184" t="str">
            <v>9912,5</v>
          </cell>
          <cell r="L184" t="str">
            <v>9912,5</v>
          </cell>
          <cell r="M184" t="str">
            <v>9983,5</v>
          </cell>
          <cell r="N184" t="str">
            <v>9983,5</v>
          </cell>
          <cell r="O184" t="str">
            <v>1855,50</v>
          </cell>
          <cell r="P184" t="str">
            <v>1855,50</v>
          </cell>
          <cell r="Q184" t="str">
            <v>9912,5</v>
          </cell>
          <cell r="R184" t="str">
            <v>9912,5</v>
          </cell>
          <cell r="S184" t="str">
            <v>9983,5</v>
          </cell>
          <cell r="T184" t="str">
            <v>9983,5</v>
          </cell>
          <cell r="U184" t="str">
            <v>5,1970</v>
          </cell>
          <cell r="V184" t="str">
            <v>4,8427</v>
          </cell>
          <cell r="W184" t="str">
            <v>Down Lock, Nose Gear</v>
          </cell>
          <cell r="X184" t="str">
            <v>Down Lock, Main Gear</v>
          </cell>
          <cell r="Y184" t="str">
            <v>Plumb Bob</v>
          </cell>
          <cell r="Z184" t="str">
            <v>Wiring Diagrams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>0,3</v>
          </cell>
          <cell r="AL184" t="str">
            <v>0,4</v>
          </cell>
          <cell r="AM184" t="str">
            <v>0,5</v>
          </cell>
          <cell r="AN184" t="str">
            <v>23,6</v>
          </cell>
          <cell r="AO184" t="str">
            <v>0</v>
          </cell>
          <cell r="AP184" t="str">
            <v>0</v>
          </cell>
          <cell r="AQ184" t="str">
            <v>0</v>
          </cell>
          <cell r="AR184" t="str">
            <v>0</v>
          </cell>
          <cell r="AS184" t="str">
            <v>0</v>
          </cell>
          <cell r="AT184" t="str">
            <v>0</v>
          </cell>
          <cell r="AU184" t="str">
            <v>0</v>
          </cell>
          <cell r="AV184" t="str">
            <v>0</v>
          </cell>
          <cell r="AW184" t="str">
            <v>0</v>
          </cell>
          <cell r="AX184" t="str">
            <v>0</v>
          </cell>
          <cell r="AY184" t="str">
            <v>82</v>
          </cell>
          <cell r="AZ184" t="str">
            <v>702</v>
          </cell>
          <cell r="BA184" t="str">
            <v>685</v>
          </cell>
          <cell r="BB184" t="str">
            <v>230</v>
          </cell>
          <cell r="BC184" t="str">
            <v>0</v>
          </cell>
          <cell r="BD184" t="str">
            <v>0</v>
          </cell>
          <cell r="BE184" t="str">
            <v>0</v>
          </cell>
          <cell r="BF184" t="str">
            <v>0</v>
          </cell>
          <cell r="BG184" t="str">
            <v>0</v>
          </cell>
          <cell r="BH184" t="str">
            <v>0</v>
          </cell>
          <cell r="BI184" t="str">
            <v>0</v>
          </cell>
          <cell r="BJ184" t="str">
            <v>0</v>
          </cell>
          <cell r="BK184" t="str">
            <v>0</v>
          </cell>
          <cell r="BL184" t="str">
            <v>0</v>
          </cell>
          <cell r="BM184" t="str">
            <v>Flaps 0 - 40° (Up when weighed)</v>
          </cell>
          <cell r="BN184" t="str">
            <v>Fuel, Drain, Unusable (5.6 Gal)</v>
          </cell>
          <cell r="BO184" t="str">
            <v>Lavatory Dry Supplies</v>
          </cell>
          <cell r="BP184" t="str">
            <v>Lavatory Pre-charge Fluid (6.0 Gal)</v>
          </cell>
          <cell r="BQ184" t="str">
            <v>Water, Potable (62.6 Gal)</v>
          </cell>
          <cell r="BR184" t="str">
            <v>Production Flight Emergency Equipment</v>
          </cell>
          <cell r="BS184" t="str">
            <v>Level Correction (added to C.G)</v>
          </cell>
          <cell r="BT184" t="str">
            <v/>
          </cell>
          <cell r="BU184" t="str">
            <v/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>0</v>
          </cell>
          <cell r="CC184" t="str">
            <v>17,3</v>
          </cell>
          <cell r="CD184" t="str">
            <v>4</v>
          </cell>
          <cell r="CE184" t="str">
            <v>22,7</v>
          </cell>
          <cell r="CF184" t="str">
            <v>236,7</v>
          </cell>
          <cell r="CG184" t="str">
            <v>29,5</v>
          </cell>
          <cell r="CH184" t="str">
            <v>0</v>
          </cell>
          <cell r="CI184" t="str">
            <v>0</v>
          </cell>
          <cell r="CJ184" t="str">
            <v>0</v>
          </cell>
          <cell r="CK184" t="str">
            <v>0</v>
          </cell>
          <cell r="CL184" t="str">
            <v>0</v>
          </cell>
          <cell r="CM184" t="str">
            <v>0</v>
          </cell>
          <cell r="CN184" t="str">
            <v>0</v>
          </cell>
          <cell r="CO184" t="str">
            <v>0</v>
          </cell>
          <cell r="CP184" t="str">
            <v>0</v>
          </cell>
          <cell r="CQ184" t="str">
            <v>646</v>
          </cell>
          <cell r="CR184" t="str">
            <v>1138</v>
          </cell>
          <cell r="CS184" t="str">
            <v>1112</v>
          </cell>
          <cell r="CT184" t="str">
            <v>1150</v>
          </cell>
          <cell r="CU184" t="str">
            <v>230</v>
          </cell>
          <cell r="CV184" t="str">
            <v>0,2</v>
          </cell>
          <cell r="CW184" t="str">
            <v>0</v>
          </cell>
          <cell r="CX184" t="str">
            <v>0</v>
          </cell>
          <cell r="CY184" t="str">
            <v>0</v>
          </cell>
          <cell r="CZ184" t="str">
            <v>0</v>
          </cell>
          <cell r="DA184" t="str">
            <v>0</v>
          </cell>
          <cell r="DB184" t="str">
            <v>0</v>
          </cell>
          <cell r="DC184" t="str">
            <v>0</v>
          </cell>
          <cell r="DD184" t="str">
            <v>Revision 2 was due to the Change of MTOW</v>
          </cell>
          <cell r="DE184" t="str">
            <v/>
          </cell>
          <cell r="DF184" t="str">
            <v/>
          </cell>
          <cell r="DH184" t="str">
            <v/>
          </cell>
          <cell r="DN184" t="str">
            <v>18/10/2024</v>
          </cell>
          <cell r="DQ184" t="str">
            <v>Fernando Meirelles</v>
          </cell>
          <cell r="DS184" t="str">
            <v>2</v>
          </cell>
          <cell r="DT184" t="str">
            <v>1</v>
          </cell>
          <cell r="DU184" t="str">
            <v>GOL</v>
          </cell>
          <cell r="DV184" t="str">
            <v>186 Pax + 10 Flight Crew</v>
          </cell>
          <cell r="DW184" t="str">
            <v>GLP-MAX8-002-GPC</v>
          </cell>
          <cell r="FL184" t="str">
            <v/>
          </cell>
          <cell r="FM184" t="str">
            <v/>
          </cell>
          <cell r="FN184" t="str">
            <v/>
          </cell>
          <cell r="FO184" t="str">
            <v/>
          </cell>
          <cell r="FP184" t="str">
            <v/>
          </cell>
          <cell r="FQ184" t="str">
            <v/>
          </cell>
          <cell r="FR184" t="str">
            <v/>
          </cell>
          <cell r="FS184" t="str">
            <v/>
          </cell>
          <cell r="FT184" t="str">
            <v/>
          </cell>
          <cell r="FU184" t="str">
            <v/>
          </cell>
          <cell r="FV184" t="str">
            <v/>
          </cell>
          <cell r="FW184" t="str">
            <v/>
          </cell>
          <cell r="FX184" t="str">
            <v/>
          </cell>
          <cell r="FY184" t="str">
            <v/>
          </cell>
          <cell r="FZ184" t="str">
            <v/>
          </cell>
          <cell r="GA184" t="str">
            <v/>
          </cell>
          <cell r="GB184" t="str">
            <v/>
          </cell>
          <cell r="GC184" t="str">
            <v/>
          </cell>
          <cell r="GD184" t="str">
            <v/>
          </cell>
          <cell r="GE184" t="str">
            <v/>
          </cell>
          <cell r="GF184" t="str">
            <v/>
          </cell>
          <cell r="GG184" t="str">
            <v/>
          </cell>
          <cell r="GH184" t="str">
            <v/>
          </cell>
          <cell r="GI184" t="str">
            <v/>
          </cell>
          <cell r="GJ184" t="str">
            <v/>
          </cell>
          <cell r="GK184" t="str">
            <v/>
          </cell>
          <cell r="GL184" t="str">
            <v/>
          </cell>
          <cell r="GM184" t="str">
            <v/>
          </cell>
          <cell r="GN184" t="str">
            <v/>
          </cell>
        </row>
        <row r="185">
          <cell r="A185" t="str">
            <v>PS-GPC</v>
          </cell>
          <cell r="D185" t="str">
            <v>16/02/2025</v>
          </cell>
          <cell r="E185">
            <v>3</v>
          </cell>
          <cell r="F185">
            <v>0</v>
          </cell>
          <cell r="G185" t="str">
            <v>Lagoa Santa, MG - Brazil</v>
          </cell>
          <cell r="H185" t="str">
            <v>New Painting</v>
          </cell>
          <cell r="I185" t="str">
            <v>2140</v>
          </cell>
          <cell r="J185" t="str">
            <v>1666</v>
          </cell>
          <cell r="K185" t="str">
            <v>9156</v>
          </cell>
          <cell r="L185" t="str">
            <v>10620</v>
          </cell>
          <cell r="M185" t="str">
            <v>10284</v>
          </cell>
          <cell r="N185" t="str">
            <v>9828</v>
          </cell>
          <cell r="O185" t="str">
            <v>2136</v>
          </cell>
          <cell r="P185" t="str">
            <v>1668</v>
          </cell>
          <cell r="Q185" t="str">
            <v>9104</v>
          </cell>
          <cell r="R185" t="str">
            <v>10678</v>
          </cell>
          <cell r="S185" t="str">
            <v>10336</v>
          </cell>
          <cell r="T185" t="str">
            <v>9770</v>
          </cell>
          <cell r="U185" t="str">
            <v>4,3307</v>
          </cell>
          <cell r="V185" t="str">
            <v>4,7244</v>
          </cell>
          <cell r="W185" t="str">
            <v>Down Lock, Nose Gear</v>
          </cell>
          <cell r="X185" t="str">
            <v>Down Lock, Main Gear</v>
          </cell>
          <cell r="Y185" t="str">
            <v>Plumb Bob</v>
          </cell>
          <cell r="Z185" t="str">
            <v/>
          </cell>
          <cell r="AA185" t="str">
            <v/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  <cell r="AF185" t="str">
            <v/>
          </cell>
          <cell r="AG185" t="str">
            <v/>
          </cell>
          <cell r="AH185" t="str">
            <v/>
          </cell>
          <cell r="AI185" t="str">
            <v/>
          </cell>
          <cell r="AJ185" t="str">
            <v/>
          </cell>
          <cell r="AK185" t="str">
            <v>0,3</v>
          </cell>
          <cell r="AL185" t="str">
            <v>0,4</v>
          </cell>
          <cell r="AM185" t="str">
            <v>0,5</v>
          </cell>
          <cell r="AN185" t="str">
            <v>0</v>
          </cell>
          <cell r="AO185" t="str">
            <v>0</v>
          </cell>
          <cell r="AP185" t="str">
            <v>0</v>
          </cell>
          <cell r="AQ185" t="str">
            <v>0</v>
          </cell>
          <cell r="AR185" t="str">
            <v>0</v>
          </cell>
          <cell r="AS185" t="str">
            <v>0</v>
          </cell>
          <cell r="AT185" t="str">
            <v>0</v>
          </cell>
          <cell r="AU185" t="str">
            <v>0</v>
          </cell>
          <cell r="AV185" t="str">
            <v>0</v>
          </cell>
          <cell r="AW185" t="str">
            <v>0</v>
          </cell>
          <cell r="AX185" t="str">
            <v>0</v>
          </cell>
          <cell r="AY185" t="str">
            <v>82</v>
          </cell>
          <cell r="AZ185" t="str">
            <v>702</v>
          </cell>
          <cell r="BA185" t="str">
            <v>685</v>
          </cell>
          <cell r="BB185" t="str">
            <v>0</v>
          </cell>
          <cell r="BC185" t="str">
            <v>0</v>
          </cell>
          <cell r="BD185" t="str">
            <v>0</v>
          </cell>
          <cell r="BE185" t="str">
            <v>0</v>
          </cell>
          <cell r="BF185" t="str">
            <v>0</v>
          </cell>
          <cell r="BG185" t="str">
            <v>0</v>
          </cell>
          <cell r="BH185" t="str">
            <v>0</v>
          </cell>
          <cell r="BI185" t="str">
            <v>0</v>
          </cell>
          <cell r="BJ185" t="str">
            <v>0</v>
          </cell>
          <cell r="BK185" t="str">
            <v>0</v>
          </cell>
          <cell r="BL185" t="str">
            <v>0</v>
          </cell>
          <cell r="BM185" t="str">
            <v>Flaps 0 - 40° (Up when weighed)</v>
          </cell>
          <cell r="BN185" t="str">
            <v>Fuel, Drain, Unusable (5.6 Gal)</v>
          </cell>
          <cell r="BO185" t="str">
            <v>Lavatory Dry Supplies</v>
          </cell>
          <cell r="BP185" t="str">
            <v>Lavatory Pre-charge Fluid (6.0 Gal)</v>
          </cell>
          <cell r="BQ185" t="str">
            <v>Water, Potable (62.6 Gal)</v>
          </cell>
          <cell r="BR185" t="str">
            <v/>
          </cell>
          <cell r="BS185" t="str">
            <v/>
          </cell>
          <cell r="BT185" t="str">
            <v/>
          </cell>
          <cell r="BU185" t="str">
            <v/>
          </cell>
          <cell r="BV185" t="str">
            <v/>
          </cell>
          <cell r="BW185" t="str">
            <v/>
          </cell>
          <cell r="BX185" t="str">
            <v/>
          </cell>
          <cell r="BY185" t="str">
            <v/>
          </cell>
          <cell r="BZ185" t="str">
            <v/>
          </cell>
          <cell r="CA185" t="str">
            <v/>
          </cell>
          <cell r="CB185" t="str">
            <v>0</v>
          </cell>
          <cell r="CC185" t="str">
            <v>17,3</v>
          </cell>
          <cell r="CD185" t="str">
            <v>4</v>
          </cell>
          <cell r="CE185" t="str">
            <v>22,7</v>
          </cell>
          <cell r="CF185" t="str">
            <v>236,7</v>
          </cell>
          <cell r="CG185" t="str">
            <v>0</v>
          </cell>
          <cell r="CH185" t="str">
            <v>0</v>
          </cell>
          <cell r="CI185" t="str">
            <v>0</v>
          </cell>
          <cell r="CJ185" t="str">
            <v>0</v>
          </cell>
          <cell r="CK185" t="str">
            <v>0</v>
          </cell>
          <cell r="CL185" t="str">
            <v>0</v>
          </cell>
          <cell r="CM185" t="str">
            <v>0</v>
          </cell>
          <cell r="CN185" t="str">
            <v>0</v>
          </cell>
          <cell r="CO185" t="str">
            <v>0</v>
          </cell>
          <cell r="CP185" t="str">
            <v>0</v>
          </cell>
          <cell r="CQ185" t="str">
            <v>646</v>
          </cell>
          <cell r="CR185" t="str">
            <v>1138</v>
          </cell>
          <cell r="CS185" t="str">
            <v>1112</v>
          </cell>
          <cell r="CT185" t="str">
            <v>1150</v>
          </cell>
          <cell r="CU185" t="str">
            <v>0</v>
          </cell>
          <cell r="CV185" t="str">
            <v>0</v>
          </cell>
          <cell r="CW185" t="str">
            <v>0</v>
          </cell>
          <cell r="CX185" t="str">
            <v>0</v>
          </cell>
          <cell r="CY185" t="str">
            <v>0</v>
          </cell>
          <cell r="CZ185" t="str">
            <v>0</v>
          </cell>
          <cell r="DA185" t="str">
            <v>0</v>
          </cell>
          <cell r="DB185" t="str">
            <v>0</v>
          </cell>
          <cell r="DC185" t="str">
            <v>0</v>
          </cell>
          <cell r="DD185" t="str">
            <v/>
          </cell>
          <cell r="DE185" t="str">
            <v/>
          </cell>
          <cell r="DF185" t="str">
            <v/>
          </cell>
          <cell r="DH185" t="str">
            <v/>
          </cell>
          <cell r="DN185" t="str">
            <v>17/02/2025</v>
          </cell>
          <cell r="DQ185" t="str">
            <v>Fernando Meirelles</v>
          </cell>
          <cell r="DR185" t="str">
            <v>Euler</v>
          </cell>
          <cell r="DS185" t="str">
            <v>2</v>
          </cell>
          <cell r="DT185" t="str">
            <v>2</v>
          </cell>
          <cell r="DU185" t="str">
            <v>GOL</v>
          </cell>
          <cell r="DV185" t="str">
            <v>186 Pax + 10 Flight Crew</v>
          </cell>
          <cell r="DW185" t="str">
            <v>GLP-MAX8-002-GPC</v>
          </cell>
          <cell r="FL185" t="str">
            <v/>
          </cell>
          <cell r="FM185" t="str">
            <v/>
          </cell>
          <cell r="FN185" t="str">
            <v/>
          </cell>
          <cell r="FO185" t="str">
            <v/>
          </cell>
          <cell r="FP185" t="str">
            <v/>
          </cell>
          <cell r="FQ185" t="str">
            <v/>
          </cell>
          <cell r="FR185" t="str">
            <v/>
          </cell>
          <cell r="FS185" t="str">
            <v/>
          </cell>
          <cell r="FT185" t="str">
            <v/>
          </cell>
          <cell r="FU185" t="str">
            <v/>
          </cell>
          <cell r="FV185" t="str">
            <v/>
          </cell>
          <cell r="FW185" t="str">
            <v/>
          </cell>
          <cell r="FX185" t="str">
            <v/>
          </cell>
          <cell r="FY185" t="str">
            <v/>
          </cell>
          <cell r="FZ185" t="str">
            <v/>
          </cell>
          <cell r="GA185" t="str">
            <v/>
          </cell>
          <cell r="GB185" t="str">
            <v/>
          </cell>
          <cell r="GC185" t="str">
            <v/>
          </cell>
          <cell r="GD185" t="str">
            <v/>
          </cell>
          <cell r="GE185" t="str">
            <v/>
          </cell>
          <cell r="GF185" t="str">
            <v/>
          </cell>
          <cell r="GG185" t="str">
            <v/>
          </cell>
          <cell r="GH185" t="str">
            <v/>
          </cell>
          <cell r="GI185" t="str">
            <v/>
          </cell>
          <cell r="GJ185" t="str">
            <v/>
          </cell>
          <cell r="GK185" t="str">
            <v/>
          </cell>
          <cell r="GL185" t="str">
            <v/>
          </cell>
          <cell r="GM185" t="str">
            <v/>
          </cell>
          <cell r="GN185" t="str">
            <v/>
          </cell>
        </row>
        <row r="186">
          <cell r="A186" t="str">
            <v>PR-GUK</v>
          </cell>
          <cell r="D186" t="str">
            <v>18/02/2025</v>
          </cell>
          <cell r="E186">
            <v>7</v>
          </cell>
          <cell r="F186">
            <v>0</v>
          </cell>
          <cell r="G186" t="str">
            <v>Lagoa Santa, MG - Brasil</v>
          </cell>
          <cell r="H186" t="str">
            <v>New Painting</v>
          </cell>
          <cell r="I186" t="str">
            <v>1654</v>
          </cell>
          <cell r="J186" t="str">
            <v>1376</v>
          </cell>
          <cell r="K186" t="str">
            <v>10082</v>
          </cell>
          <cell r="L186" t="str">
            <v>9378</v>
          </cell>
          <cell r="M186" t="str">
            <v>9788</v>
          </cell>
          <cell r="N186" t="str">
            <v>9686</v>
          </cell>
          <cell r="O186" t="str">
            <v>1646</v>
          </cell>
          <cell r="P186" t="str">
            <v>1382</v>
          </cell>
          <cell r="Q186" t="str">
            <v>10090</v>
          </cell>
          <cell r="R186" t="str">
            <v>9374</v>
          </cell>
          <cell r="S186" t="str">
            <v>9788</v>
          </cell>
          <cell r="T186" t="str">
            <v>9684</v>
          </cell>
          <cell r="U186" t="str">
            <v>6</v>
          </cell>
          <cell r="V186" t="str">
            <v>5,3</v>
          </cell>
          <cell r="W186" t="str">
            <v>Down Lock Nose Gear (1 ea)</v>
          </cell>
          <cell r="X186" t="str">
            <v>Down Lock Main Gear (2 ea)</v>
          </cell>
          <cell r="Y186" t="str">
            <v>Plumb Bob</v>
          </cell>
          <cell r="Z186" t="str">
            <v/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>0,3</v>
          </cell>
          <cell r="AL186" t="str">
            <v>0,4</v>
          </cell>
          <cell r="AM186" t="str">
            <v>0,5</v>
          </cell>
          <cell r="AN186" t="str">
            <v>0</v>
          </cell>
          <cell r="AO186" t="str">
            <v>0</v>
          </cell>
          <cell r="AP186" t="str">
            <v>0</v>
          </cell>
          <cell r="AQ186" t="str">
            <v>0</v>
          </cell>
          <cell r="AR186" t="str">
            <v>0</v>
          </cell>
          <cell r="AS186" t="str">
            <v>0</v>
          </cell>
          <cell r="AT186" t="str">
            <v>0</v>
          </cell>
          <cell r="AU186" t="str">
            <v>0</v>
          </cell>
          <cell r="AV186" t="str">
            <v>0</v>
          </cell>
          <cell r="AW186" t="str">
            <v>0</v>
          </cell>
          <cell r="AX186" t="str">
            <v>0</v>
          </cell>
          <cell r="AY186" t="str">
            <v>82</v>
          </cell>
          <cell r="AZ186" t="str">
            <v>702</v>
          </cell>
          <cell r="BA186" t="str">
            <v>685</v>
          </cell>
          <cell r="BB186" t="str">
            <v>0</v>
          </cell>
          <cell r="BC186" t="str">
            <v>0</v>
          </cell>
          <cell r="BD186" t="str">
            <v>0</v>
          </cell>
          <cell r="BE186" t="str">
            <v>0</v>
          </cell>
          <cell r="BF186" t="str">
            <v>0</v>
          </cell>
          <cell r="BG186" t="str">
            <v>0</v>
          </cell>
          <cell r="BH186" t="str">
            <v>0</v>
          </cell>
          <cell r="BI186" t="str">
            <v>0</v>
          </cell>
          <cell r="BJ186" t="str">
            <v>0</v>
          </cell>
          <cell r="BK186" t="str">
            <v>0</v>
          </cell>
          <cell r="BL186" t="str">
            <v>0</v>
          </cell>
          <cell r="BM186" t="str">
            <v>Flaps 0 - 40° (up when weighed)</v>
          </cell>
          <cell r="BN186" t="str">
            <v>Drainable Fuel Unusable (5.6 Gal)</v>
          </cell>
          <cell r="BO186" t="str">
            <v>Lavatory Pre-Charge Fluid (6.0 Gal)</v>
          </cell>
          <cell r="BP186" t="str">
            <v>Water, Potable (62.6 Gal)</v>
          </cell>
          <cell r="BQ186" t="str">
            <v>Lavatory Dry Supplies</v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>0</v>
          </cell>
          <cell r="CC186" t="str">
            <v>17,3</v>
          </cell>
          <cell r="CD186" t="str">
            <v>22,7</v>
          </cell>
          <cell r="CE186" t="str">
            <v>236,4</v>
          </cell>
          <cell r="CF186" t="str">
            <v>4</v>
          </cell>
          <cell r="CG186" t="str">
            <v>0</v>
          </cell>
          <cell r="CH186" t="str">
            <v>0</v>
          </cell>
          <cell r="CI186" t="str">
            <v>0</v>
          </cell>
          <cell r="CJ186" t="str">
            <v>0</v>
          </cell>
          <cell r="CK186" t="str">
            <v>0</v>
          </cell>
          <cell r="CL186" t="str">
            <v>0</v>
          </cell>
          <cell r="CM186" t="str">
            <v>0</v>
          </cell>
          <cell r="CN186" t="str">
            <v>0</v>
          </cell>
          <cell r="CO186" t="str">
            <v>0</v>
          </cell>
          <cell r="CP186" t="str">
            <v>0</v>
          </cell>
          <cell r="CQ186" t="str">
            <v>646</v>
          </cell>
          <cell r="CR186" t="str">
            <v>1112</v>
          </cell>
          <cell r="CS186" t="str">
            <v>1150</v>
          </cell>
          <cell r="CT186" t="str">
            <v>1145</v>
          </cell>
          <cell r="CU186" t="str">
            <v>0</v>
          </cell>
          <cell r="CV186" t="str">
            <v>0</v>
          </cell>
          <cell r="CW186" t="str">
            <v>0</v>
          </cell>
          <cell r="CX186" t="str">
            <v>0</v>
          </cell>
          <cell r="CY186" t="str">
            <v>0</v>
          </cell>
          <cell r="CZ186" t="str">
            <v>0</v>
          </cell>
          <cell r="DA186" t="str">
            <v>0</v>
          </cell>
          <cell r="DB186" t="str">
            <v>0</v>
          </cell>
          <cell r="DC186" t="str">
            <v>0</v>
          </cell>
          <cell r="DD186" t="str">
            <v/>
          </cell>
          <cell r="DE186" t="str">
            <v/>
          </cell>
          <cell r="DF186" t="str">
            <v/>
          </cell>
          <cell r="DH186" t="str">
            <v/>
          </cell>
          <cell r="DN186" t="str">
            <v>18/02/2025</v>
          </cell>
          <cell r="DQ186" t="str">
            <v>Fernando Meirelles</v>
          </cell>
          <cell r="DS186" t="str">
            <v>6</v>
          </cell>
          <cell r="DT186" t="str">
            <v>0</v>
          </cell>
          <cell r="DU186" t="str">
            <v>GOL</v>
          </cell>
          <cell r="DV186" t="str">
            <v>186 Pax + 10 Flight Crew</v>
          </cell>
          <cell r="DW186" t="str">
            <v>GLP-800-004-GUK</v>
          </cell>
          <cell r="FL186" t="str">
            <v/>
          </cell>
          <cell r="FM186" t="str">
            <v/>
          </cell>
          <cell r="FN186" t="str">
            <v/>
          </cell>
          <cell r="FO186" t="str">
            <v/>
          </cell>
          <cell r="FP186" t="str">
            <v/>
          </cell>
          <cell r="FQ186" t="str">
            <v/>
          </cell>
          <cell r="FR186" t="str">
            <v/>
          </cell>
          <cell r="FS186" t="str">
            <v/>
          </cell>
          <cell r="FT186" t="str">
            <v/>
          </cell>
          <cell r="FU186" t="str">
            <v/>
          </cell>
          <cell r="FV186" t="str">
            <v/>
          </cell>
          <cell r="FW186" t="str">
            <v/>
          </cell>
          <cell r="FX186" t="str">
            <v/>
          </cell>
          <cell r="FY186" t="str">
            <v/>
          </cell>
          <cell r="FZ186" t="str">
            <v/>
          </cell>
          <cell r="GA186" t="str">
            <v/>
          </cell>
          <cell r="GB186" t="str">
            <v/>
          </cell>
          <cell r="GC186" t="str">
            <v/>
          </cell>
          <cell r="GD186" t="str">
            <v/>
          </cell>
          <cell r="GE186" t="str">
            <v/>
          </cell>
          <cell r="GF186" t="str">
            <v/>
          </cell>
          <cell r="GG186" t="str">
            <v/>
          </cell>
          <cell r="GH186" t="str">
            <v/>
          </cell>
          <cell r="GI186" t="str">
            <v/>
          </cell>
          <cell r="GJ186" t="str">
            <v/>
          </cell>
          <cell r="GK186" t="str">
            <v/>
          </cell>
          <cell r="GL186" t="str">
            <v/>
          </cell>
          <cell r="GM186" t="str">
            <v/>
          </cell>
          <cell r="GN186" t="str">
            <v/>
          </cell>
        </row>
        <row r="187">
          <cell r="A187" t="str">
            <v>PR-XML</v>
          </cell>
          <cell r="D187" t="str">
            <v>20/02/2025</v>
          </cell>
          <cell r="E187">
            <v>2</v>
          </cell>
          <cell r="F187">
            <v>0</v>
          </cell>
          <cell r="G187" t="str">
            <v>São José dos Campos, SP - Brazil</v>
          </cell>
          <cell r="H187" t="str">
            <v>Scheduled</v>
          </cell>
          <cell r="I187" t="str">
            <v>2061</v>
          </cell>
          <cell r="J187" t="str">
            <v>1617</v>
          </cell>
          <cell r="K187" t="str">
            <v>10644</v>
          </cell>
          <cell r="L187" t="str">
            <v>9892</v>
          </cell>
          <cell r="M187" t="str">
            <v>11777</v>
          </cell>
          <cell r="N187" t="str">
            <v>7954</v>
          </cell>
          <cell r="O187" t="str">
            <v>2066</v>
          </cell>
          <cell r="P187" t="str">
            <v>1612</v>
          </cell>
          <cell r="Q187" t="str">
            <v>10624</v>
          </cell>
          <cell r="R187" t="str">
            <v>9910</v>
          </cell>
          <cell r="S187" t="str">
            <v>11769</v>
          </cell>
          <cell r="T187" t="str">
            <v>7963</v>
          </cell>
          <cell r="U187" t="str">
            <v>4,9213</v>
          </cell>
          <cell r="V187" t="str">
            <v>1,9685</v>
          </cell>
          <cell r="W187" t="str">
            <v>Down Lock, Nose Gear</v>
          </cell>
          <cell r="X187" t="str">
            <v>Down Lock, Main Gear</v>
          </cell>
          <cell r="Y187" t="str">
            <v>Plumb Bob</v>
          </cell>
          <cell r="Z187" t="str">
            <v/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>0,3</v>
          </cell>
          <cell r="AL187" t="str">
            <v>0,4</v>
          </cell>
          <cell r="AM187" t="str">
            <v>0,5</v>
          </cell>
          <cell r="AN187" t="str">
            <v>0</v>
          </cell>
          <cell r="AO187" t="str">
            <v>0</v>
          </cell>
          <cell r="AP187" t="str">
            <v>0</v>
          </cell>
          <cell r="AQ187" t="str">
            <v>0</v>
          </cell>
          <cell r="AR187" t="str">
            <v>0</v>
          </cell>
          <cell r="AS187" t="str">
            <v>0</v>
          </cell>
          <cell r="AT187" t="str">
            <v>0</v>
          </cell>
          <cell r="AU187" t="str">
            <v>0</v>
          </cell>
          <cell r="AV187" t="str">
            <v>0</v>
          </cell>
          <cell r="AW187" t="str">
            <v>0</v>
          </cell>
          <cell r="AX187" t="str">
            <v>0</v>
          </cell>
          <cell r="AY187" t="str">
            <v>82</v>
          </cell>
          <cell r="AZ187" t="str">
            <v>702</v>
          </cell>
          <cell r="BA187" t="str">
            <v>685</v>
          </cell>
          <cell r="BB187" t="str">
            <v>0</v>
          </cell>
          <cell r="BC187" t="str">
            <v>0</v>
          </cell>
          <cell r="BD187" t="str">
            <v>0</v>
          </cell>
          <cell r="BE187" t="str">
            <v>0</v>
          </cell>
          <cell r="BF187" t="str">
            <v>0</v>
          </cell>
          <cell r="BG187" t="str">
            <v>0</v>
          </cell>
          <cell r="BH187" t="str">
            <v>0</v>
          </cell>
          <cell r="BI187" t="str">
            <v>0</v>
          </cell>
          <cell r="BJ187" t="str">
            <v>0</v>
          </cell>
          <cell r="BK187" t="str">
            <v>0</v>
          </cell>
          <cell r="BL187" t="str">
            <v>0</v>
          </cell>
          <cell r="BM187" t="str">
            <v>Flaps 0 - 40° (Up when weighed)</v>
          </cell>
          <cell r="BN187" t="str">
            <v>Fuel, Drain, Unusable (5.6 Gal)</v>
          </cell>
          <cell r="BO187" t="str">
            <v>Lavatory Dry Supplies</v>
          </cell>
          <cell r="BP187" t="str">
            <v>Lavatory Pre-charge Fluid (6.0 Gal)</v>
          </cell>
          <cell r="BQ187" t="str">
            <v>Water, Potable (62.6 Gal)</v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>0</v>
          </cell>
          <cell r="CC187" t="str">
            <v>17,3</v>
          </cell>
          <cell r="CD187" t="str">
            <v>4</v>
          </cell>
          <cell r="CE187" t="str">
            <v>22,7</v>
          </cell>
          <cell r="CF187" t="str">
            <v>236,4</v>
          </cell>
          <cell r="CG187" t="str">
            <v>0</v>
          </cell>
          <cell r="CH187" t="str">
            <v>0</v>
          </cell>
          <cell r="CI187" t="str">
            <v>0</v>
          </cell>
          <cell r="CJ187" t="str">
            <v>0</v>
          </cell>
          <cell r="CK187" t="str">
            <v>0</v>
          </cell>
          <cell r="CL187" t="str">
            <v>0</v>
          </cell>
          <cell r="CM187" t="str">
            <v>0</v>
          </cell>
          <cell r="CN187" t="str">
            <v>0</v>
          </cell>
          <cell r="CO187" t="str">
            <v>0</v>
          </cell>
          <cell r="CP187" t="str">
            <v>0</v>
          </cell>
          <cell r="CQ187" t="str">
            <v>646</v>
          </cell>
          <cell r="CR187" t="str">
            <v>1138</v>
          </cell>
          <cell r="CS187" t="str">
            <v>1112</v>
          </cell>
          <cell r="CT187" t="str">
            <v>1150</v>
          </cell>
          <cell r="CU187" t="str">
            <v>0</v>
          </cell>
          <cell r="CV187" t="str">
            <v>0</v>
          </cell>
          <cell r="CW187" t="str">
            <v>0</v>
          </cell>
          <cell r="CX187" t="str">
            <v>0</v>
          </cell>
          <cell r="CY187" t="str">
            <v>0</v>
          </cell>
          <cell r="CZ187" t="str">
            <v>0</v>
          </cell>
          <cell r="DA187" t="str">
            <v>0</v>
          </cell>
          <cell r="DB187" t="str">
            <v>0</v>
          </cell>
          <cell r="DC187" t="str">
            <v>0</v>
          </cell>
          <cell r="DN187" t="str">
            <v>21/02/2025</v>
          </cell>
          <cell r="DQ187" t="str">
            <v>Fernando Meirelles</v>
          </cell>
          <cell r="DR187" t="str">
            <v>Danton</v>
          </cell>
          <cell r="DS187" t="str">
            <v>1</v>
          </cell>
          <cell r="DT187" t="str">
            <v>0</v>
          </cell>
          <cell r="DU187" t="str">
            <v>DIGEX</v>
          </cell>
          <cell r="DV187" t="str">
            <v>186 Pax + 10 Flight Crew</v>
          </cell>
          <cell r="DW187" t="str">
            <v xml:space="preserve">GLP-MAX8-001-XML </v>
          </cell>
          <cell r="FL187" t="str">
            <v/>
          </cell>
          <cell r="FM187" t="str">
            <v/>
          </cell>
          <cell r="FN187" t="str">
            <v/>
          </cell>
          <cell r="FO187" t="str">
            <v/>
          </cell>
          <cell r="FP187" t="str">
            <v/>
          </cell>
          <cell r="FQ187" t="str">
            <v/>
          </cell>
          <cell r="FR187" t="str">
            <v/>
          </cell>
          <cell r="FS187" t="str">
            <v/>
          </cell>
          <cell r="FT187" t="str">
            <v/>
          </cell>
          <cell r="FU187" t="str">
            <v/>
          </cell>
          <cell r="FV187" t="str">
            <v/>
          </cell>
          <cell r="FW187" t="str">
            <v/>
          </cell>
          <cell r="FX187" t="str">
            <v/>
          </cell>
          <cell r="FY187" t="str">
            <v/>
          </cell>
          <cell r="FZ187" t="str">
            <v/>
          </cell>
          <cell r="GA187" t="str">
            <v/>
          </cell>
          <cell r="GB187" t="str">
            <v/>
          </cell>
          <cell r="GC187" t="str">
            <v/>
          </cell>
          <cell r="GD187" t="str">
            <v/>
          </cell>
          <cell r="GE187" t="str">
            <v/>
          </cell>
          <cell r="GF187" t="str">
            <v/>
          </cell>
          <cell r="GG187" t="str">
            <v/>
          </cell>
          <cell r="GH187" t="str">
            <v/>
          </cell>
          <cell r="GI187" t="str">
            <v/>
          </cell>
          <cell r="GJ187" t="str">
            <v/>
          </cell>
          <cell r="GK187" t="str">
            <v/>
          </cell>
          <cell r="GL187" t="str">
            <v/>
          </cell>
          <cell r="GM187" t="str">
            <v/>
          </cell>
          <cell r="GN187" t="str">
            <v/>
          </cell>
        </row>
        <row r="188">
          <cell r="A188" t="str">
            <v>PS-GPN</v>
          </cell>
          <cell r="D188">
            <v>44568</v>
          </cell>
          <cell r="E188">
            <v>1</v>
          </cell>
          <cell r="F188">
            <v>3</v>
          </cell>
          <cell r="G188" t="str">
            <v>Seattle, WA - EUA</v>
          </cell>
          <cell r="H188" t="str">
            <v>New Production Aircraft</v>
          </cell>
          <cell r="I188" t="str">
            <v>1993,5385</v>
          </cell>
          <cell r="J188" t="str">
            <v>1993,5385</v>
          </cell>
          <cell r="K188" t="str">
            <v>10030,9685</v>
          </cell>
          <cell r="L188" t="str">
            <v>10030,9685</v>
          </cell>
          <cell r="M188" t="str">
            <v>10006,7015</v>
          </cell>
          <cell r="N188" t="str">
            <v>10006,7015</v>
          </cell>
          <cell r="O188" t="str">
            <v>1993,5385</v>
          </cell>
          <cell r="P188" t="str">
            <v>1993,5385</v>
          </cell>
          <cell r="Q188" t="str">
            <v>10030,9685</v>
          </cell>
          <cell r="R188" t="str">
            <v>10030,9685</v>
          </cell>
          <cell r="S188" t="str">
            <v>10006,7015</v>
          </cell>
          <cell r="T188" t="str">
            <v>10006,7015</v>
          </cell>
          <cell r="U188">
            <v>0.49212598425196852</v>
          </cell>
          <cell r="V188">
            <v>0.49212598425196852</v>
          </cell>
          <cell r="W188" t="str">
            <v>Down Lock, Nose Gear</v>
          </cell>
          <cell r="X188" t="str">
            <v>Down Lock, Main Gear</v>
          </cell>
          <cell r="Y188" t="str">
            <v>Plumb Bob</v>
          </cell>
          <cell r="Z188" t="str">
            <v>Wiring Diagrams</v>
          </cell>
          <cell r="AA188" t="str">
            <v>Operations Manual</v>
          </cell>
          <cell r="AB188" t="str">
            <v>Interior Protective Coverings</v>
          </cell>
          <cell r="AC188" t="str">
            <v>Hud Combiner</v>
          </cell>
          <cell r="AD188" t="str">
            <v>Computer, HGS</v>
          </cell>
          <cell r="AE188" t="str">
            <v>Projetor, OHU</v>
          </cell>
          <cell r="AF188" t="str">
            <v>Life Raft (56 person)</v>
          </cell>
          <cell r="AG188" t="str">
            <v>Life Raft (56 person)</v>
          </cell>
          <cell r="AH188" t="str">
            <v>Life Raft (56 person)</v>
          </cell>
          <cell r="AI188" t="str">
            <v>Life Raft (56 person)</v>
          </cell>
          <cell r="AJ188" t="str">
            <v>Seats Removal (176 Pax)</v>
          </cell>
          <cell r="AK188" t="str">
            <v>0,3</v>
          </cell>
          <cell r="AL188" t="str">
            <v>0,2</v>
          </cell>
          <cell r="AM188" t="str">
            <v>0,5</v>
          </cell>
          <cell r="AN188" t="str">
            <v>23,6</v>
          </cell>
          <cell r="AO188" t="str">
            <v>2,3</v>
          </cell>
          <cell r="AP188" t="str">
            <v>5</v>
          </cell>
          <cell r="AQ188" t="str">
            <v>3,1</v>
          </cell>
          <cell r="AR188" t="str">
            <v>4,4</v>
          </cell>
          <cell r="AS188" t="str">
            <v>11,6</v>
          </cell>
          <cell r="AT188" t="str">
            <v>42</v>
          </cell>
          <cell r="AU188" t="str">
            <v>42</v>
          </cell>
          <cell r="AV188" t="str">
            <v>42</v>
          </cell>
          <cell r="AW188" t="str">
            <v>42</v>
          </cell>
          <cell r="AX188" t="str">
            <v>2176,8</v>
          </cell>
          <cell r="AY188" t="str">
            <v>82</v>
          </cell>
          <cell r="AZ188" t="str">
            <v>702</v>
          </cell>
          <cell r="BA188" t="str">
            <v>685</v>
          </cell>
          <cell r="BB188" t="str">
            <v>269</v>
          </cell>
          <cell r="BC188" t="str">
            <v>67</v>
          </cell>
          <cell r="BD188" t="str">
            <v>560</v>
          </cell>
          <cell r="BE188" t="str">
            <v>21</v>
          </cell>
          <cell r="BF188" t="str">
            <v>178</v>
          </cell>
          <cell r="BG188" t="str">
            <v>42</v>
          </cell>
          <cell r="BH188" t="str">
            <v>235</v>
          </cell>
          <cell r="BI188" t="str">
            <v>294</v>
          </cell>
          <cell r="BJ188" t="str">
            <v>728</v>
          </cell>
          <cell r="BK188" t="str">
            <v>787</v>
          </cell>
          <cell r="BL188" t="str">
            <v>640,12</v>
          </cell>
          <cell r="BM188" t="str">
            <v>Flaps 0 - 40° (Up when weighed)</v>
          </cell>
          <cell r="BN188" t="str">
            <v>Fuel, Drain, Unusable (5.6 Gal)</v>
          </cell>
          <cell r="BO188" t="str">
            <v>Fuel, Trapped, Unusable (14.2 Gal)</v>
          </cell>
          <cell r="BP188" t="str">
            <v>Fuel, Trapped, Usable (5.5 Gal)</v>
          </cell>
          <cell r="BQ188" t="str">
            <v>Lavatory Dry Supplies</v>
          </cell>
          <cell r="BR188" t="str">
            <v>Lavatory Pre-charge Fluid (6.0 Gal)</v>
          </cell>
          <cell r="BS188" t="str">
            <v>Oil Auxiliary Power Unit (2.3 Gal)</v>
          </cell>
          <cell r="BT188" t="str">
            <v>Oil Drain, Unsable Engine (6.6 Gal )</v>
          </cell>
          <cell r="BU188" t="str">
            <v>Oil Drain, Usable Engine (10.2 Gal )</v>
          </cell>
          <cell r="BV188" t="str">
            <v>Oil Trapped, Unusable Engine (1 Gal)</v>
          </cell>
          <cell r="BW188" t="str">
            <v>Water, Potable (62.6 Gal)</v>
          </cell>
          <cell r="BX188" t="str">
            <v>Oxygen access panel</v>
          </cell>
          <cell r="BY188" t="str">
            <v>Oxygen Cilinder Assy</v>
          </cell>
          <cell r="BZ188" t="str">
            <v>Oxygen Cilinder Charge ( 18ea )</v>
          </cell>
          <cell r="CA188" t="str">
            <v>Operations Manuals</v>
          </cell>
          <cell r="CB188" t="str">
            <v>0</v>
          </cell>
          <cell r="CC188" t="str">
            <v>17,3</v>
          </cell>
          <cell r="CD188" t="str">
            <v>43,8</v>
          </cell>
          <cell r="CE188" t="str">
            <v>17</v>
          </cell>
          <cell r="CF188" t="str">
            <v>4</v>
          </cell>
          <cell r="CG188" t="str">
            <v>22,7</v>
          </cell>
          <cell r="CH188" t="str">
            <v>8,6</v>
          </cell>
          <cell r="CI188" t="str">
            <v>24,8</v>
          </cell>
          <cell r="CJ188" t="str">
            <v>38,4</v>
          </cell>
          <cell r="CK188" t="str">
            <v>3,8</v>
          </cell>
          <cell r="CL188" t="str">
            <v>236,4</v>
          </cell>
          <cell r="CM188" t="str">
            <v>5,2</v>
          </cell>
          <cell r="CN188" t="str">
            <v>5,6</v>
          </cell>
          <cell r="CO188" t="str">
            <v>5,4</v>
          </cell>
          <cell r="CP188" t="str">
            <v>0</v>
          </cell>
          <cell r="CQ188" t="str">
            <v>646</v>
          </cell>
          <cell r="CR188" t="str">
            <v>638</v>
          </cell>
          <cell r="CS188" t="str">
            <v>632</v>
          </cell>
          <cell r="CT188" t="str">
            <v>1138</v>
          </cell>
          <cell r="CU188" t="str">
            <v>1112</v>
          </cell>
          <cell r="CV188" t="str">
            <v>1333</v>
          </cell>
          <cell r="CW188" t="str">
            <v>508</v>
          </cell>
          <cell r="CX188" t="str">
            <v>508</v>
          </cell>
          <cell r="CY188" t="str">
            <v>535</v>
          </cell>
          <cell r="CZ188" t="str">
            <v>1150</v>
          </cell>
          <cell r="DA188" t="str">
            <v>204</v>
          </cell>
          <cell r="DB188" t="str">
            <v>183</v>
          </cell>
          <cell r="DC188" t="str">
            <v>183</v>
          </cell>
          <cell r="DN188" t="str">
            <v>18/10/2022</v>
          </cell>
          <cell r="DQ188" t="str">
            <v>Danton</v>
          </cell>
          <cell r="DS188" t="str">
            <v>1</v>
          </cell>
          <cell r="DT188" t="str">
            <v>2</v>
          </cell>
          <cell r="DU188" t="str">
            <v>GOL</v>
          </cell>
          <cell r="DV188" t="str">
            <v>186 Pax + 10 Flight Crew</v>
          </cell>
          <cell r="DW188" t="str">
            <v>GLP-MAX8-002-GPN</v>
          </cell>
          <cell r="FL188" t="str">
            <v/>
          </cell>
          <cell r="FM188" t="str">
            <v/>
          </cell>
          <cell r="FN188" t="str">
            <v/>
          </cell>
          <cell r="FO188" t="str">
            <v/>
          </cell>
          <cell r="FP188" t="str">
            <v/>
          </cell>
          <cell r="FQ188" t="str">
            <v/>
          </cell>
          <cell r="FR188" t="str">
            <v/>
          </cell>
          <cell r="FS188" t="str">
            <v/>
          </cell>
          <cell r="FT188" t="str">
            <v/>
          </cell>
          <cell r="FU188" t="str">
            <v/>
          </cell>
          <cell r="FV188" t="str">
            <v/>
          </cell>
          <cell r="FW188" t="str">
            <v/>
          </cell>
          <cell r="FX188" t="str">
            <v/>
          </cell>
          <cell r="FY188" t="str">
            <v/>
          </cell>
          <cell r="FZ188" t="str">
            <v/>
          </cell>
          <cell r="GA188" t="str">
            <v/>
          </cell>
          <cell r="GB188" t="str">
            <v/>
          </cell>
          <cell r="GC188" t="str">
            <v/>
          </cell>
          <cell r="GD188" t="str">
            <v/>
          </cell>
          <cell r="GE188" t="str">
            <v/>
          </cell>
          <cell r="GF188" t="str">
            <v/>
          </cell>
          <cell r="GG188" t="str">
            <v/>
          </cell>
          <cell r="GH188" t="str">
            <v/>
          </cell>
          <cell r="GI188" t="str">
            <v/>
          </cell>
          <cell r="GJ188" t="str">
            <v/>
          </cell>
          <cell r="GK188" t="str">
            <v/>
          </cell>
          <cell r="GL188" t="str">
            <v/>
          </cell>
          <cell r="GM188" t="str">
            <v/>
          </cell>
          <cell r="GN188" t="str">
            <v/>
          </cell>
        </row>
        <row r="189">
          <cell r="A189" t="str">
            <v>PS-GPN</v>
          </cell>
          <cell r="D189" t="str">
            <v>14/03/2025</v>
          </cell>
          <cell r="E189">
            <v>2</v>
          </cell>
          <cell r="F189">
            <v>0</v>
          </cell>
          <cell r="G189" t="str">
            <v>Lagoa Santa, MG - Brazil</v>
          </cell>
          <cell r="H189" t="str">
            <v>Scheduled</v>
          </cell>
          <cell r="I189" t="str">
            <v>1914</v>
          </cell>
          <cell r="J189" t="str">
            <v>1918</v>
          </cell>
          <cell r="K189" t="str">
            <v>9120</v>
          </cell>
          <cell r="L189" t="str">
            <v>10658</v>
          </cell>
          <cell r="M189" t="str">
            <v>9998</v>
          </cell>
          <cell r="N189" t="str">
            <v>10132</v>
          </cell>
          <cell r="O189" t="str">
            <v>1914</v>
          </cell>
          <cell r="P189" t="str">
            <v>1918</v>
          </cell>
          <cell r="Q189" t="str">
            <v>9108</v>
          </cell>
          <cell r="R189" t="str">
            <v>10678</v>
          </cell>
          <cell r="S189" t="str">
            <v>10010</v>
          </cell>
          <cell r="T189" t="str">
            <v>10122</v>
          </cell>
          <cell r="U189">
            <v>5.1181102362204731</v>
          </cell>
          <cell r="V189">
            <v>5.1181102362204731</v>
          </cell>
          <cell r="W189" t="str">
            <v>Down Lock, Nose Gear</v>
          </cell>
          <cell r="X189" t="str">
            <v>Down Lock, Main Gear</v>
          </cell>
          <cell r="Y189" t="str">
            <v>Plumb Bob</v>
          </cell>
          <cell r="Z189" t="str">
            <v/>
          </cell>
          <cell r="AA189" t="str">
            <v/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>0,3</v>
          </cell>
          <cell r="AL189" t="str">
            <v>0,4</v>
          </cell>
          <cell r="AM189" t="str">
            <v>0,5</v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>82</v>
          </cell>
          <cell r="AZ189" t="str">
            <v>702</v>
          </cell>
          <cell r="BA189" t="str">
            <v>685</v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 t="str">
            <v/>
          </cell>
          <cell r="BI189" t="str">
            <v/>
          </cell>
          <cell r="BJ189" t="str">
            <v/>
          </cell>
          <cell r="BK189" t="str">
            <v/>
          </cell>
          <cell r="BL189" t="str">
            <v/>
          </cell>
          <cell r="BM189" t="str">
            <v>Flaps 0 - 40° (Up when weighed)</v>
          </cell>
          <cell r="BN189" t="str">
            <v>Fuel, Drain, Unusable (5.6 Gal)</v>
          </cell>
          <cell r="BO189" t="str">
            <v>Lavatory Dry Supplies</v>
          </cell>
          <cell r="BP189" t="str">
            <v>Lavatory Pre-charge Fluid (6.0 Gal)</v>
          </cell>
          <cell r="BQ189" t="str">
            <v>Water, Potable (62.6 Gal)</v>
          </cell>
          <cell r="BR189" t="str">
            <v/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>17,3</v>
          </cell>
          <cell r="CD189" t="str">
            <v>4</v>
          </cell>
          <cell r="CE189" t="str">
            <v>22,7</v>
          </cell>
          <cell r="CF189" t="str">
            <v>236,4</v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>646</v>
          </cell>
          <cell r="CR189" t="str">
            <v>1138</v>
          </cell>
          <cell r="CS189" t="str">
            <v>1112</v>
          </cell>
          <cell r="CT189" t="str">
            <v>1150</v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H189" t="str">
            <v/>
          </cell>
          <cell r="DN189" t="str">
            <v>14/03/2025</v>
          </cell>
          <cell r="DQ189" t="str">
            <v>Danton</v>
          </cell>
          <cell r="DR189" t="str">
            <v>Fernando Meirelles</v>
          </cell>
          <cell r="DS189" t="str">
            <v>1</v>
          </cell>
          <cell r="DT189" t="str">
            <v>3</v>
          </cell>
          <cell r="DU189" t="str">
            <v>GOL</v>
          </cell>
          <cell r="DV189" t="str">
            <v>186 Pax + 10 Flight Crew</v>
          </cell>
          <cell r="DW189" t="str">
            <v>GLP-MAX8-002-GPN</v>
          </cell>
          <cell r="FL189" t="str">
            <v/>
          </cell>
          <cell r="FM189" t="str">
            <v/>
          </cell>
          <cell r="FN189" t="str">
            <v/>
          </cell>
          <cell r="FO189" t="str">
            <v/>
          </cell>
          <cell r="FP189" t="str">
            <v/>
          </cell>
          <cell r="FQ189" t="str">
            <v/>
          </cell>
          <cell r="FR189" t="str">
            <v/>
          </cell>
          <cell r="FS189" t="str">
            <v/>
          </cell>
          <cell r="FT189" t="str">
            <v/>
          </cell>
          <cell r="FU189" t="str">
            <v/>
          </cell>
          <cell r="FV189" t="str">
            <v/>
          </cell>
          <cell r="FW189" t="str">
            <v/>
          </cell>
          <cell r="FX189" t="str">
            <v/>
          </cell>
          <cell r="FY189" t="str">
            <v/>
          </cell>
          <cell r="FZ189" t="str">
            <v/>
          </cell>
          <cell r="GA189" t="str">
            <v/>
          </cell>
          <cell r="GB189" t="str">
            <v/>
          </cell>
          <cell r="GC189" t="str">
            <v/>
          </cell>
          <cell r="GD189" t="str">
            <v/>
          </cell>
          <cell r="GE189" t="str">
            <v/>
          </cell>
          <cell r="GF189" t="str">
            <v/>
          </cell>
          <cell r="GG189" t="str">
            <v/>
          </cell>
          <cell r="GH189" t="str">
            <v/>
          </cell>
          <cell r="GI189" t="str">
            <v/>
          </cell>
          <cell r="GJ189" t="str">
            <v/>
          </cell>
          <cell r="GK189" t="str">
            <v/>
          </cell>
          <cell r="GL189" t="str">
            <v/>
          </cell>
          <cell r="GM189" t="str">
            <v/>
          </cell>
          <cell r="GN189" t="str">
            <v/>
          </cell>
        </row>
        <row r="190">
          <cell r="A190" t="str">
            <v>PR-GEH</v>
          </cell>
          <cell r="E190">
            <v>2</v>
          </cell>
          <cell r="F190">
            <v>2</v>
          </cell>
          <cell r="DN190" t="str">
            <v/>
          </cell>
          <cell r="DS190" t="str">
            <v>3</v>
          </cell>
          <cell r="DT190" t="str">
            <v>0</v>
          </cell>
        </row>
        <row r="191">
          <cell r="A191" t="str">
            <v>PR-GEH</v>
          </cell>
          <cell r="D191" t="str">
            <v>18/03/2025</v>
          </cell>
          <cell r="E191">
            <v>3</v>
          </cell>
          <cell r="F191">
            <v>0</v>
          </cell>
          <cell r="G191" t="str">
            <v>São José dos Campos, SP - Brazil</v>
          </cell>
          <cell r="H191" t="str">
            <v>Scheduled</v>
          </cell>
          <cell r="I191" t="str">
            <v>1778</v>
          </cell>
          <cell r="J191" t="str">
            <v>1724</v>
          </cell>
          <cell r="K191" t="str">
            <v>10585</v>
          </cell>
          <cell r="L191" t="str">
            <v>7048</v>
          </cell>
          <cell r="M191" t="str">
            <v>8239</v>
          </cell>
          <cell r="N191" t="str">
            <v>8711</v>
          </cell>
          <cell r="O191" t="str">
            <v>1761</v>
          </cell>
          <cell r="P191" t="str">
            <v>1735</v>
          </cell>
          <cell r="Q191" t="str">
            <v>10597</v>
          </cell>
          <cell r="R191" t="str">
            <v>7037</v>
          </cell>
          <cell r="S191" t="str">
            <v>8225</v>
          </cell>
          <cell r="T191" t="str">
            <v>8726</v>
          </cell>
          <cell r="U191">
            <v>1.3385826771653544</v>
          </cell>
          <cell r="V191">
            <v>0</v>
          </cell>
          <cell r="W191" t="str">
            <v xml:space="preserve">Down Lock, Nose Gear </v>
          </cell>
          <cell r="X191" t="str">
            <v xml:space="preserve">Down Lock, Main Gear </v>
          </cell>
          <cell r="Y191" t="str">
            <v>Plumb Bob</v>
          </cell>
          <cell r="Z191" t="str">
            <v/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>0,3</v>
          </cell>
          <cell r="AL191" t="str">
            <v>0,4</v>
          </cell>
          <cell r="AM191" t="str">
            <v>0,5</v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>206</v>
          </cell>
          <cell r="AZ191" t="str">
            <v>689</v>
          </cell>
          <cell r="BA191" t="str">
            <v>685</v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 xml:space="preserve">Water, Potable (42.2 Gal) </v>
          </cell>
          <cell r="BN191" t="str">
            <v>Fuel, Drain, Unusable (5.6 Gal)</v>
          </cell>
          <cell r="BO191" t="str">
            <v>Lavatory Pre-charge Fluid (6.0 Gal)</v>
          </cell>
          <cell r="BP191" t="str">
            <v>Lavatory Dry Supplies</v>
          </cell>
          <cell r="BQ191" t="str">
            <v>Flaps 0 - 40° (Up when weighed)</v>
          </cell>
          <cell r="BR191" t="str">
            <v/>
          </cell>
          <cell r="BS191" t="str">
            <v/>
          </cell>
          <cell r="BT191" t="str">
            <v/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>159,4</v>
          </cell>
          <cell r="CC191" t="str">
            <v>17,3</v>
          </cell>
          <cell r="CD191" t="str">
            <v>22,7</v>
          </cell>
          <cell r="CE191" t="str">
            <v>2</v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>1038</v>
          </cell>
          <cell r="CQ191" t="str">
            <v>646</v>
          </cell>
          <cell r="CR191" t="str">
            <v>1000</v>
          </cell>
          <cell r="CS191" t="str">
            <v>1020</v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H191" t="str">
            <v/>
          </cell>
          <cell r="DN191" t="str">
            <v>18/03/2025</v>
          </cell>
          <cell r="DQ191" t="str">
            <v>Danton</v>
          </cell>
          <cell r="DR191" t="str">
            <v>Euler</v>
          </cell>
          <cell r="DS191" t="str">
            <v>2</v>
          </cell>
          <cell r="DT191" t="str">
            <v>2</v>
          </cell>
          <cell r="DU191" t="str">
            <v>DIGEX</v>
          </cell>
          <cell r="DV191" t="str">
            <v>138 Pax + 8 Flight Crew</v>
          </cell>
          <cell r="DW191" t="str">
            <v>GLP-700-011-GEH</v>
          </cell>
          <cell r="FL191" t="str">
            <v/>
          </cell>
          <cell r="FM191" t="str">
            <v/>
          </cell>
          <cell r="FN191" t="str">
            <v/>
          </cell>
          <cell r="FO191" t="str">
            <v/>
          </cell>
          <cell r="FP191" t="str">
            <v/>
          </cell>
          <cell r="FQ191" t="str">
            <v/>
          </cell>
          <cell r="FR191" t="str">
            <v/>
          </cell>
          <cell r="FS191" t="str">
            <v/>
          </cell>
          <cell r="FT191" t="str">
            <v/>
          </cell>
          <cell r="FU191" t="str">
            <v/>
          </cell>
          <cell r="FV191" t="str">
            <v/>
          </cell>
          <cell r="FW191" t="str">
            <v/>
          </cell>
          <cell r="FX191" t="str">
            <v/>
          </cell>
          <cell r="FY191" t="str">
            <v/>
          </cell>
          <cell r="FZ191" t="str">
            <v/>
          </cell>
          <cell r="GA191" t="str">
            <v/>
          </cell>
          <cell r="GB191" t="str">
            <v/>
          </cell>
          <cell r="GC191" t="str">
            <v/>
          </cell>
          <cell r="GD191" t="str">
            <v/>
          </cell>
          <cell r="GE191" t="str">
            <v/>
          </cell>
          <cell r="GF191" t="str">
            <v/>
          </cell>
          <cell r="GG191" t="str">
            <v/>
          </cell>
          <cell r="GH191" t="str">
            <v/>
          </cell>
          <cell r="GI191" t="str">
            <v/>
          </cell>
          <cell r="GJ191" t="str">
            <v/>
          </cell>
          <cell r="GK191" t="str">
            <v/>
          </cell>
          <cell r="GL191" t="str">
            <v/>
          </cell>
          <cell r="GM191" t="str">
            <v/>
          </cell>
          <cell r="GN191" t="str">
            <v/>
          </cell>
        </row>
        <row r="192">
          <cell r="A192" t="str">
            <v>PS-GRI</v>
          </cell>
          <cell r="E192">
            <v>0</v>
          </cell>
          <cell r="F192">
            <v>0</v>
          </cell>
          <cell r="DN192">
            <v>0</v>
          </cell>
        </row>
        <row r="193">
          <cell r="A193" t="str">
            <v>PS-GRI</v>
          </cell>
          <cell r="D193" t="str">
            <v>21/02/2025</v>
          </cell>
          <cell r="E193">
            <v>1</v>
          </cell>
          <cell r="F193">
            <v>0</v>
          </cell>
          <cell r="G193" t="str">
            <v>Seattle, WA - EUA</v>
          </cell>
          <cell r="H193" t="str">
            <v>New Production Aircraft</v>
          </cell>
          <cell r="I193" t="str">
            <v>1884,97</v>
          </cell>
          <cell r="J193" t="str">
            <v>1884,97</v>
          </cell>
          <cell r="K193" t="str">
            <v>10043,31</v>
          </cell>
          <cell r="L193" t="str">
            <v>10040,13</v>
          </cell>
          <cell r="M193" t="str">
            <v>10150,85</v>
          </cell>
          <cell r="N193" t="str">
            <v>10068,71</v>
          </cell>
          <cell r="O193" t="str">
            <v>1884,97</v>
          </cell>
          <cell r="P193" t="str">
            <v>1884,97</v>
          </cell>
          <cell r="Q193" t="str">
            <v>10043,31</v>
          </cell>
          <cell r="R193" t="str">
            <v>10040,13</v>
          </cell>
          <cell r="S193" t="str">
            <v>10150,85</v>
          </cell>
          <cell r="T193" t="str">
            <v>10068,71</v>
          </cell>
          <cell r="U193" t="str">
            <v>7,1319018405</v>
          </cell>
          <cell r="V193" t="str">
            <v>7,1319018405</v>
          </cell>
          <cell r="W193" t="str">
            <v xml:space="preserve">Down Lock, Nose Gear </v>
          </cell>
          <cell r="X193" t="str">
            <v xml:space="preserve">Down Lock, Main Gear </v>
          </cell>
          <cell r="Y193" t="str">
            <v>Plumb Bob</v>
          </cell>
          <cell r="Z193" t="str">
            <v>Operations Manuals</v>
          </cell>
          <cell r="AA193" t="str">
            <v>Wiring Diagrams</v>
          </cell>
          <cell r="AB193" t="str">
            <v>Production Flight Emergency Equipment</v>
          </cell>
          <cell r="AC193" t="str">
            <v>Defiblillator</v>
          </cell>
          <cell r="AD193" t="str">
            <v/>
          </cell>
          <cell r="AE193" t="str">
            <v/>
          </cell>
          <cell r="AF193" t="str">
            <v/>
          </cell>
          <cell r="AG193" t="str">
            <v/>
          </cell>
          <cell r="AH193" t="str">
            <v/>
          </cell>
          <cell r="AI193" t="str">
            <v/>
          </cell>
          <cell r="AJ193" t="str">
            <v/>
          </cell>
          <cell r="AK193" t="str">
            <v>0,2</v>
          </cell>
          <cell r="AL193" t="str">
            <v>0,4</v>
          </cell>
          <cell r="AM193" t="str">
            <v>0,5</v>
          </cell>
          <cell r="AN193" t="str">
            <v>4,6</v>
          </cell>
          <cell r="AO193" t="str">
            <v>23,6</v>
          </cell>
          <cell r="AP193" t="str">
            <v>29,5</v>
          </cell>
          <cell r="AQ193" t="str">
            <v>5,4</v>
          </cell>
          <cell r="AR193" t="str">
            <v/>
          </cell>
          <cell r="AS193" t="str">
            <v/>
          </cell>
          <cell r="AT193" t="str">
            <v/>
          </cell>
          <cell r="AU193" t="str">
            <v/>
          </cell>
          <cell r="AV193" t="str">
            <v/>
          </cell>
          <cell r="AW193" t="str">
            <v/>
          </cell>
          <cell r="AX193" t="str">
            <v/>
          </cell>
          <cell r="AY193" t="str">
            <v>82</v>
          </cell>
          <cell r="AZ193" t="str">
            <v>702</v>
          </cell>
          <cell r="BA193" t="str">
            <v>685</v>
          </cell>
          <cell r="BB193" t="str">
            <v>67</v>
          </cell>
          <cell r="BC193" t="str">
            <v>230</v>
          </cell>
          <cell r="BD193" t="str">
            <v>230</v>
          </cell>
          <cell r="BE193" t="str">
            <v>230</v>
          </cell>
          <cell r="BF193" t="str">
            <v/>
          </cell>
          <cell r="BG193" t="str">
            <v/>
          </cell>
          <cell r="BH193" t="str">
            <v/>
          </cell>
          <cell r="BI193" t="str">
            <v/>
          </cell>
          <cell r="BJ193" t="str">
            <v/>
          </cell>
          <cell r="BK193" t="str">
            <v/>
          </cell>
          <cell r="BL193" t="str">
            <v/>
          </cell>
          <cell r="BM193" t="str">
            <v>Fuel, Drain, Unusable (5.6 Gal)</v>
          </cell>
          <cell r="BN193" t="str">
            <v>Lavatory Pre-charge Fluid (6.0 Gal)</v>
          </cell>
          <cell r="BO193" t="str">
            <v>Lavatory Dry Supplies</v>
          </cell>
          <cell r="BP193" t="str">
            <v>Flaps 0 - 40° (Up when weighed)</v>
          </cell>
          <cell r="BQ193" t="str">
            <v>Water, Potable (62.6 Gal)</v>
          </cell>
          <cell r="BR193" t="str">
            <v/>
          </cell>
          <cell r="BS193" t="str">
            <v/>
          </cell>
          <cell r="BT193" t="str">
            <v/>
          </cell>
          <cell r="BU193" t="str">
            <v/>
          </cell>
          <cell r="BV193" t="str">
            <v/>
          </cell>
          <cell r="BW193" t="str">
            <v/>
          </cell>
          <cell r="BX193" t="str">
            <v/>
          </cell>
          <cell r="BY193" t="str">
            <v/>
          </cell>
          <cell r="BZ193" t="str">
            <v/>
          </cell>
          <cell r="CA193" t="str">
            <v/>
          </cell>
          <cell r="CB193" t="str">
            <v>17,3</v>
          </cell>
          <cell r="CC193" t="str">
            <v>22,7</v>
          </cell>
          <cell r="CD193" t="str">
            <v>4</v>
          </cell>
          <cell r="CE193" t="str">
            <v/>
          </cell>
          <cell r="CF193" t="str">
            <v>236,4</v>
          </cell>
          <cell r="CG193" t="str">
            <v/>
          </cell>
          <cell r="CH193" t="str">
            <v/>
          </cell>
          <cell r="CI193" t="str">
            <v/>
          </cell>
          <cell r="CJ193" t="str">
            <v/>
          </cell>
          <cell r="CK193" t="str">
            <v/>
          </cell>
          <cell r="CL193" t="str">
            <v/>
          </cell>
          <cell r="CM193" t="str">
            <v/>
          </cell>
          <cell r="CN193" t="str">
            <v/>
          </cell>
          <cell r="CO193" t="str">
            <v/>
          </cell>
          <cell r="CP193" t="str">
            <v>646</v>
          </cell>
          <cell r="CQ193" t="str">
            <v>1112</v>
          </cell>
          <cell r="CR193" t="str">
            <v>1138</v>
          </cell>
          <cell r="CS193" t="str">
            <v/>
          </cell>
          <cell r="CT193" t="str">
            <v>1150</v>
          </cell>
          <cell r="CU193" t="str">
            <v/>
          </cell>
          <cell r="CV193" t="str">
            <v/>
          </cell>
          <cell r="CW193" t="str">
            <v/>
          </cell>
          <cell r="CX193" t="str">
            <v/>
          </cell>
          <cell r="CY193" t="str">
            <v/>
          </cell>
          <cell r="CZ193" t="str">
            <v/>
          </cell>
          <cell r="DA193" t="str">
            <v/>
          </cell>
          <cell r="DB193" t="str">
            <v/>
          </cell>
          <cell r="DC193" t="str">
            <v/>
          </cell>
          <cell r="DD193" t="str">
            <v/>
          </cell>
          <cell r="DE193" t="str">
            <v/>
          </cell>
          <cell r="DF193" t="str">
            <v/>
          </cell>
          <cell r="DH193" t="str">
            <v/>
          </cell>
          <cell r="DN193" t="str">
            <v>26/03/2025</v>
          </cell>
          <cell r="DQ193" t="str">
            <v>Fernando Araujo</v>
          </cell>
          <cell r="DR193" t="str">
            <v>Raul</v>
          </cell>
          <cell r="DS193" t="str">
            <v>0</v>
          </cell>
          <cell r="DT193" t="str">
            <v>0</v>
          </cell>
          <cell r="DU193" t="str">
            <v>Boeing</v>
          </cell>
          <cell r="DV193" t="str">
            <v>186 Pax + 10 Flight Crew</v>
          </cell>
          <cell r="DW193" t="str">
            <v>GLP-MAX8-001-GRI</v>
          </cell>
          <cell r="FL193" t="str">
            <v/>
          </cell>
          <cell r="FM193" t="str">
            <v/>
          </cell>
          <cell r="FN193" t="str">
            <v/>
          </cell>
          <cell r="FO193" t="str">
            <v/>
          </cell>
          <cell r="FP193" t="str">
            <v/>
          </cell>
          <cell r="FQ193" t="str">
            <v/>
          </cell>
          <cell r="FR193" t="str">
            <v/>
          </cell>
          <cell r="FS193" t="str">
            <v/>
          </cell>
          <cell r="FT193" t="str">
            <v/>
          </cell>
          <cell r="FU193" t="str">
            <v/>
          </cell>
          <cell r="FV193" t="str">
            <v/>
          </cell>
          <cell r="FW193" t="str">
            <v/>
          </cell>
          <cell r="FX193" t="str">
            <v/>
          </cell>
          <cell r="FY193" t="str">
            <v/>
          </cell>
          <cell r="FZ193" t="str">
            <v/>
          </cell>
          <cell r="GA193" t="str">
            <v/>
          </cell>
          <cell r="GB193" t="str">
            <v/>
          </cell>
          <cell r="GC193" t="str">
            <v/>
          </cell>
          <cell r="GD193" t="str">
            <v/>
          </cell>
          <cell r="GE193" t="str">
            <v/>
          </cell>
          <cell r="GF193" t="str">
            <v/>
          </cell>
          <cell r="GG193" t="str">
            <v/>
          </cell>
          <cell r="GH193" t="str">
            <v/>
          </cell>
          <cell r="GI193" t="str">
            <v/>
          </cell>
          <cell r="GJ193" t="str">
            <v/>
          </cell>
          <cell r="GK193" t="str">
            <v/>
          </cell>
          <cell r="GL193" t="str">
            <v/>
          </cell>
          <cell r="GM193" t="str">
            <v/>
          </cell>
          <cell r="GN193" t="str">
            <v/>
          </cell>
        </row>
        <row r="194">
          <cell r="A194" t="str">
            <v>PS-GPM</v>
          </cell>
          <cell r="E194">
            <v>1</v>
          </cell>
          <cell r="F194">
            <v>3</v>
          </cell>
          <cell r="DN194">
            <v>0</v>
          </cell>
        </row>
        <row r="195">
          <cell r="A195" t="str">
            <v>PS-GPM</v>
          </cell>
          <cell r="D195" t="str">
            <v>09/04/2025</v>
          </cell>
          <cell r="E195">
            <v>2</v>
          </cell>
          <cell r="F195">
            <v>0</v>
          </cell>
          <cell r="G195" t="str">
            <v>Lagoa Santa, MG - Brazil</v>
          </cell>
          <cell r="H195" t="str">
            <v>Scheduled</v>
          </cell>
          <cell r="I195" t="str">
            <v>1820</v>
          </cell>
          <cell r="J195" t="str">
            <v>1976</v>
          </cell>
          <cell r="K195" t="str">
            <v>9426</v>
          </cell>
          <cell r="L195" t="str">
            <v>10408</v>
          </cell>
          <cell r="M195" t="str">
            <v>10134</v>
          </cell>
          <cell r="N195" t="str">
            <v>9988</v>
          </cell>
          <cell r="O195" t="str">
            <v>1822</v>
          </cell>
          <cell r="P195" t="str">
            <v>1976</v>
          </cell>
          <cell r="Q195" t="str">
            <v>9384</v>
          </cell>
          <cell r="R195" t="str">
            <v>10448</v>
          </cell>
          <cell r="S195" t="str">
            <v>10178</v>
          </cell>
          <cell r="T195" t="str">
            <v>9942</v>
          </cell>
          <cell r="U195">
            <v>3.8582677165354333</v>
          </cell>
          <cell r="V195">
            <v>3.7401574803149606</v>
          </cell>
          <cell r="W195" t="str">
            <v>Plumb Bob</v>
          </cell>
          <cell r="X195" t="str">
            <v xml:space="preserve">Down Lock, Nose Gear </v>
          </cell>
          <cell r="Y195" t="str">
            <v xml:space="preserve">Down Lock, Main Gear </v>
          </cell>
          <cell r="Z195" t="str">
            <v/>
          </cell>
          <cell r="AA195" t="str">
            <v/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  <cell r="AF195" t="str">
            <v/>
          </cell>
          <cell r="AG195" t="str">
            <v/>
          </cell>
          <cell r="AH195" t="str">
            <v/>
          </cell>
          <cell r="AI195" t="str">
            <v/>
          </cell>
          <cell r="AJ195" t="str">
            <v/>
          </cell>
          <cell r="AK195" t="str">
            <v>0,5</v>
          </cell>
          <cell r="AL195" t="str">
            <v>0,3</v>
          </cell>
          <cell r="AM195" t="str">
            <v>0,4</v>
          </cell>
          <cell r="AN195" t="str">
            <v/>
          </cell>
          <cell r="AO195" t="str">
            <v/>
          </cell>
          <cell r="AP195" t="str">
            <v/>
          </cell>
          <cell r="AQ195" t="str">
            <v/>
          </cell>
          <cell r="AR195" t="str">
            <v/>
          </cell>
          <cell r="AS195" t="str">
            <v/>
          </cell>
          <cell r="AT195" t="str">
            <v/>
          </cell>
          <cell r="AU195" t="str">
            <v/>
          </cell>
          <cell r="AV195" t="str">
            <v/>
          </cell>
          <cell r="AW195" t="str">
            <v/>
          </cell>
          <cell r="AX195" t="str">
            <v/>
          </cell>
          <cell r="AY195" t="str">
            <v>685</v>
          </cell>
          <cell r="AZ195" t="str">
            <v>82</v>
          </cell>
          <cell r="BA195" t="str">
            <v>702</v>
          </cell>
          <cell r="BB195" t="str">
            <v/>
          </cell>
          <cell r="BC195" t="str">
            <v/>
          </cell>
          <cell r="BD195" t="str">
            <v/>
          </cell>
          <cell r="BE195" t="str">
            <v/>
          </cell>
          <cell r="BF195" t="str">
            <v/>
          </cell>
          <cell r="BG195" t="str">
            <v/>
          </cell>
          <cell r="BH195" t="str">
            <v/>
          </cell>
          <cell r="BI195" t="str">
            <v/>
          </cell>
          <cell r="BJ195" t="str">
            <v/>
          </cell>
          <cell r="BK195" t="str">
            <v/>
          </cell>
          <cell r="BL195" t="str">
            <v/>
          </cell>
          <cell r="BM195" t="str">
            <v>Flaps 0 - 40° (Up when weighed)</v>
          </cell>
          <cell r="BN195" t="str">
            <v>Fuel, Drain, Unusable (5.6 Gal)</v>
          </cell>
          <cell r="BO195" t="str">
            <v>Lavatory Pre-charge Fluid (6.0 Gal)</v>
          </cell>
          <cell r="BP195" t="str">
            <v>Water, Potable (62.6 Gal)</v>
          </cell>
          <cell r="BQ195" t="str">
            <v>Lavatory Dry Supplies</v>
          </cell>
          <cell r="BR195" t="str">
            <v>Beverage Maker at Galley #1</v>
          </cell>
          <cell r="BS195" t="str">
            <v>Beverage Maker at Galley #4</v>
          </cell>
          <cell r="BT195" t="str">
            <v>Oven at Galley #2</v>
          </cell>
          <cell r="BU195" t="str">
            <v>Oven at Galley #4</v>
          </cell>
          <cell r="BV195" t="str">
            <v/>
          </cell>
          <cell r="BW195" t="str">
            <v/>
          </cell>
          <cell r="BX195" t="str">
            <v/>
          </cell>
          <cell r="BY195" t="str">
            <v/>
          </cell>
          <cell r="BZ195" t="str">
            <v/>
          </cell>
          <cell r="CA195" t="str">
            <v/>
          </cell>
          <cell r="CB195" t="str">
            <v/>
          </cell>
          <cell r="CC195" t="str">
            <v>17,3</v>
          </cell>
          <cell r="CD195" t="str">
            <v>22,7</v>
          </cell>
          <cell r="CE195" t="str">
            <v>236,4</v>
          </cell>
          <cell r="CF195" t="str">
            <v>4</v>
          </cell>
          <cell r="CG195" t="str">
            <v>7,4</v>
          </cell>
          <cell r="CH195" t="str">
            <v>5,4</v>
          </cell>
          <cell r="CI195" t="str">
            <v>15,8</v>
          </cell>
          <cell r="CJ195" t="str">
            <v>15,8</v>
          </cell>
          <cell r="CK195" t="str">
            <v/>
          </cell>
          <cell r="CL195" t="str">
            <v/>
          </cell>
          <cell r="CM195" t="str">
            <v/>
          </cell>
          <cell r="CN195" t="str">
            <v/>
          </cell>
          <cell r="CO195" t="str">
            <v/>
          </cell>
          <cell r="CP195" t="str">
            <v/>
          </cell>
          <cell r="CQ195" t="str">
            <v>646</v>
          </cell>
          <cell r="CR195" t="str">
            <v>1112</v>
          </cell>
          <cell r="CS195" t="str">
            <v>1150</v>
          </cell>
          <cell r="CT195" t="str">
            <v>1138</v>
          </cell>
          <cell r="CU195" t="str">
            <v>84</v>
          </cell>
          <cell r="CV195" t="str">
            <v>1214</v>
          </cell>
          <cell r="CW195" t="str">
            <v>146</v>
          </cell>
          <cell r="CX195" t="str">
            <v>1214</v>
          </cell>
          <cell r="CY195" t="str">
            <v/>
          </cell>
          <cell r="CZ195" t="str">
            <v/>
          </cell>
          <cell r="DA195" t="str">
            <v/>
          </cell>
          <cell r="DB195" t="str">
            <v/>
          </cell>
          <cell r="DC195" t="str">
            <v/>
          </cell>
          <cell r="DD195" t="str">
            <v/>
          </cell>
          <cell r="DE195" t="str">
            <v/>
          </cell>
          <cell r="DF195" t="str">
            <v/>
          </cell>
          <cell r="DH195" t="str">
            <v/>
          </cell>
          <cell r="DN195" t="str">
            <v>09/04/2025</v>
          </cell>
          <cell r="DQ195" t="str">
            <v>Danton</v>
          </cell>
          <cell r="DR195" t="str">
            <v>Jeferson</v>
          </cell>
          <cell r="DS195" t="str">
            <v>1</v>
          </cell>
          <cell r="DT195" t="str">
            <v>3</v>
          </cell>
          <cell r="DU195" t="str">
            <v>GOL</v>
          </cell>
          <cell r="DV195" t="str">
            <v>186 Pax + 10 Flight Crew</v>
          </cell>
          <cell r="DW195" t="str">
            <v>GLP-MAX8-002-GPM</v>
          </cell>
          <cell r="FL195" t="str">
            <v/>
          </cell>
          <cell r="FM195" t="str">
            <v/>
          </cell>
          <cell r="FN195" t="str">
            <v/>
          </cell>
          <cell r="FO195" t="str">
            <v/>
          </cell>
          <cell r="FP195" t="str">
            <v/>
          </cell>
          <cell r="FQ195" t="str">
            <v/>
          </cell>
          <cell r="FR195" t="str">
            <v/>
          </cell>
          <cell r="FS195" t="str">
            <v/>
          </cell>
          <cell r="FT195" t="str">
            <v/>
          </cell>
          <cell r="FU195" t="str">
            <v/>
          </cell>
          <cell r="FV195" t="str">
            <v/>
          </cell>
          <cell r="FW195" t="str">
            <v/>
          </cell>
          <cell r="FX195" t="str">
            <v/>
          </cell>
          <cell r="FY195" t="str">
            <v/>
          </cell>
          <cell r="FZ195" t="str">
            <v/>
          </cell>
          <cell r="GA195" t="str">
            <v/>
          </cell>
          <cell r="GB195" t="str">
            <v/>
          </cell>
          <cell r="GC195" t="str">
            <v/>
          </cell>
          <cell r="GD195" t="str">
            <v/>
          </cell>
          <cell r="GE195" t="str">
            <v/>
          </cell>
          <cell r="GF195" t="str">
            <v/>
          </cell>
          <cell r="GG195" t="str">
            <v/>
          </cell>
          <cell r="GH195" t="str">
            <v/>
          </cell>
          <cell r="GI195" t="str">
            <v/>
          </cell>
          <cell r="GJ195" t="str">
            <v/>
          </cell>
          <cell r="GK195" t="str">
            <v/>
          </cell>
          <cell r="GL195" t="str">
            <v/>
          </cell>
          <cell r="GM195" t="str">
            <v/>
          </cell>
          <cell r="GN195" t="str">
            <v/>
          </cell>
        </row>
        <row r="196">
          <cell r="A196" t="str">
            <v>PS-GFB</v>
          </cell>
          <cell r="D196" t="str">
            <v>19/04/2025</v>
          </cell>
          <cell r="E196">
            <v>2</v>
          </cell>
          <cell r="F196">
            <v>0</v>
          </cell>
          <cell r="G196" t="str">
            <v>Lagoa Santa, MG - Brazil</v>
          </cell>
          <cell r="H196" t="str">
            <v>Scheduled</v>
          </cell>
          <cell r="I196" t="str">
            <v>2102</v>
          </cell>
          <cell r="J196" t="str">
            <v>2169</v>
          </cell>
          <cell r="K196" t="str">
            <v>9218</v>
          </cell>
          <cell r="L196" t="str">
            <v>8492</v>
          </cell>
          <cell r="M196" t="str">
            <v>9312</v>
          </cell>
          <cell r="N196" t="str">
            <v>7880</v>
          </cell>
          <cell r="O196" t="str">
            <v>2102</v>
          </cell>
          <cell r="P196" t="str">
            <v>2164</v>
          </cell>
          <cell r="Q196" t="str">
            <v>9172</v>
          </cell>
          <cell r="R196" t="str">
            <v>8542</v>
          </cell>
          <cell r="S196" t="str">
            <v>9332</v>
          </cell>
          <cell r="T196" t="str">
            <v>7860</v>
          </cell>
          <cell r="U196" t="str">
            <v>4,92125984251969</v>
          </cell>
          <cell r="V196" t="str">
            <v>4,52755905511811</v>
          </cell>
          <cell r="W196" t="str">
            <v>Down Lock, Nose Gear</v>
          </cell>
          <cell r="X196" t="str">
            <v>Down Lock, Main Gear</v>
          </cell>
          <cell r="Y196" t="str">
            <v>Plumb Bob</v>
          </cell>
          <cell r="Z196" t="str">
            <v/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>0,3</v>
          </cell>
          <cell r="AL196" t="str">
            <v>0,4</v>
          </cell>
          <cell r="AM196" t="str">
            <v>0,5</v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>91</v>
          </cell>
          <cell r="AZ196" t="str">
            <v>702</v>
          </cell>
          <cell r="BA196" t="str">
            <v>685</v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I196" t="str">
            <v/>
          </cell>
          <cell r="BJ196" t="str">
            <v/>
          </cell>
          <cell r="BK196" t="str">
            <v/>
          </cell>
          <cell r="BL196" t="str">
            <v/>
          </cell>
          <cell r="BM196" t="str">
            <v>Flaps 0 - 40° (Up when weighed)</v>
          </cell>
          <cell r="BN196" t="str">
            <v>Fuel, Drain, Unusable (5.6 Gal)</v>
          </cell>
          <cell r="BO196" t="str">
            <v>Lavatory Dry Supplies</v>
          </cell>
          <cell r="BP196" t="str">
            <v>Lavatory Pre-charge Fluid (6.0 Gal)</v>
          </cell>
          <cell r="BQ196" t="str">
            <v>Water, Potable (62.6 Gal)</v>
          </cell>
          <cell r="BR196" t="str">
            <v/>
          </cell>
          <cell r="BS196" t="str">
            <v/>
          </cell>
          <cell r="BT196" t="str">
            <v/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>17,3</v>
          </cell>
          <cell r="CD196" t="str">
            <v>2</v>
          </cell>
          <cell r="CE196" t="str">
            <v>22,7</v>
          </cell>
          <cell r="CF196" t="str">
            <v>236</v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>646</v>
          </cell>
          <cell r="CR196" t="str">
            <v>89</v>
          </cell>
          <cell r="CS196" t="str">
            <v>1112</v>
          </cell>
          <cell r="CT196" t="str">
            <v>1150</v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H196" t="str">
            <v/>
          </cell>
          <cell r="DN196" t="str">
            <v>19/04/2025</v>
          </cell>
          <cell r="DQ196" t="str">
            <v>Fernando Meirelles</v>
          </cell>
          <cell r="DR196" t="str">
            <v>Danton</v>
          </cell>
          <cell r="DS196" t="str">
            <v>1</v>
          </cell>
          <cell r="DT196" t="str">
            <v>0</v>
          </cell>
          <cell r="DU196" t="str">
            <v>GOL</v>
          </cell>
          <cell r="DV196" t="str">
            <v>(11) 88”x125” ULDs Plus</v>
          </cell>
          <cell r="DW196" t="str">
            <v>GLP-BCF-001-GFB</v>
          </cell>
          <cell r="FL196" t="str">
            <v/>
          </cell>
          <cell r="FM196" t="str">
            <v/>
          </cell>
          <cell r="FN196" t="str">
            <v/>
          </cell>
          <cell r="FO196" t="str">
            <v/>
          </cell>
          <cell r="FP196" t="str">
            <v/>
          </cell>
          <cell r="FQ196" t="str">
            <v/>
          </cell>
          <cell r="FR196" t="str">
            <v/>
          </cell>
          <cell r="FS196" t="str">
            <v/>
          </cell>
          <cell r="FT196" t="str">
            <v/>
          </cell>
          <cell r="FU196" t="str">
            <v/>
          </cell>
          <cell r="FV196" t="str">
            <v/>
          </cell>
          <cell r="FW196" t="str">
            <v/>
          </cell>
          <cell r="FX196" t="str">
            <v/>
          </cell>
          <cell r="FY196" t="str">
            <v/>
          </cell>
          <cell r="FZ196" t="str">
            <v/>
          </cell>
          <cell r="GA196" t="str">
            <v/>
          </cell>
          <cell r="GB196" t="str">
            <v/>
          </cell>
          <cell r="GC196" t="str">
            <v/>
          </cell>
          <cell r="GD196" t="str">
            <v/>
          </cell>
          <cell r="GE196" t="str">
            <v/>
          </cell>
          <cell r="GF196" t="str">
            <v/>
          </cell>
          <cell r="GG196" t="str">
            <v/>
          </cell>
          <cell r="GH196" t="str">
            <v/>
          </cell>
          <cell r="GI196" t="str">
            <v/>
          </cell>
          <cell r="GJ196" t="str">
            <v/>
          </cell>
          <cell r="GK196" t="str">
            <v/>
          </cell>
          <cell r="GL196" t="str">
            <v/>
          </cell>
          <cell r="GM196" t="str">
            <v/>
          </cell>
          <cell r="GN196" t="str">
            <v/>
          </cell>
        </row>
        <row r="197">
          <cell r="A197" t="str">
            <v>PR-GUC</v>
          </cell>
          <cell r="D197" t="str">
            <v>28/04/2025</v>
          </cell>
          <cell r="E197">
            <v>5</v>
          </cell>
          <cell r="F197">
            <v>0</v>
          </cell>
          <cell r="G197" t="str">
            <v>São José dos Campos, SP - Brazil</v>
          </cell>
          <cell r="H197" t="str">
            <v>Scheduled</v>
          </cell>
          <cell r="I197" t="str">
            <v>1747</v>
          </cell>
          <cell r="J197" t="str">
            <v>1189</v>
          </cell>
          <cell r="K197" t="str">
            <v>10128</v>
          </cell>
          <cell r="L197" t="str">
            <v>9503</v>
          </cell>
          <cell r="M197" t="str">
            <v>11488</v>
          </cell>
          <cell r="N197" t="str">
            <v>7193</v>
          </cell>
          <cell r="O197" t="str">
            <v>1707</v>
          </cell>
          <cell r="P197" t="str">
            <v>1238</v>
          </cell>
          <cell r="Q197" t="str">
            <v>9942</v>
          </cell>
          <cell r="R197" t="str">
            <v>9670</v>
          </cell>
          <cell r="S197" t="str">
            <v>11620</v>
          </cell>
          <cell r="T197" t="str">
            <v>7068</v>
          </cell>
          <cell r="U197">
            <v>5.1968503937007879</v>
          </cell>
          <cell r="V197">
            <v>3.3858267716535435</v>
          </cell>
          <cell r="W197" t="str">
            <v>Down Lock Nose Gear (1 ea)</v>
          </cell>
          <cell r="X197" t="str">
            <v>Down Lock Main Gear (2 ea)</v>
          </cell>
          <cell r="Y197" t="str">
            <v>Plumb Bob</v>
          </cell>
          <cell r="Z197" t="str">
            <v/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>0,3</v>
          </cell>
          <cell r="AL197" t="str">
            <v>0,4</v>
          </cell>
          <cell r="AM197" t="str">
            <v>0,5</v>
          </cell>
          <cell r="AN197" t="str">
            <v>0</v>
          </cell>
          <cell r="AO197" t="str">
            <v>0</v>
          </cell>
          <cell r="AP197" t="str">
            <v>0</v>
          </cell>
          <cell r="AQ197" t="str">
            <v>0</v>
          </cell>
          <cell r="AR197" t="str">
            <v>0</v>
          </cell>
          <cell r="AS197" t="str">
            <v>0</v>
          </cell>
          <cell r="AT197" t="str">
            <v>0</v>
          </cell>
          <cell r="AU197" t="str">
            <v>0</v>
          </cell>
          <cell r="AV197" t="str">
            <v>0</v>
          </cell>
          <cell r="AW197" t="str">
            <v>0</v>
          </cell>
          <cell r="AX197" t="str">
            <v>0</v>
          </cell>
          <cell r="AY197" t="str">
            <v>91</v>
          </cell>
          <cell r="AZ197" t="str">
            <v>702</v>
          </cell>
          <cell r="BA197" t="str">
            <v>685</v>
          </cell>
          <cell r="BB197" t="str">
            <v>0</v>
          </cell>
          <cell r="BC197" t="str">
            <v>0</v>
          </cell>
          <cell r="BD197" t="str">
            <v>0</v>
          </cell>
          <cell r="BE197" t="str">
            <v>0</v>
          </cell>
          <cell r="BF197" t="str">
            <v>0</v>
          </cell>
          <cell r="BG197" t="str">
            <v>0</v>
          </cell>
          <cell r="BH197" t="str">
            <v>0</v>
          </cell>
          <cell r="BI197" t="str">
            <v>0</v>
          </cell>
          <cell r="BJ197" t="str">
            <v>0</v>
          </cell>
          <cell r="BK197" t="str">
            <v>0</v>
          </cell>
          <cell r="BL197" t="str">
            <v>0</v>
          </cell>
          <cell r="BM197" t="str">
            <v>Flaps 0 - 40° (up when weighed)</v>
          </cell>
          <cell r="BN197" t="str">
            <v>Fuel, Drain., Unusable (5.6 Gal)</v>
          </cell>
          <cell r="BO197" t="str">
            <v>Lavatory Pre-Charge Fluid (6.0 Gal)</v>
          </cell>
          <cell r="BP197" t="str">
            <v>Lavatory Dry Supplies (2 ea)</v>
          </cell>
          <cell r="BQ197" t="str">
            <v>Water, Potable (62.6 Gal)</v>
          </cell>
          <cell r="BR197" t="str">
            <v/>
          </cell>
          <cell r="BS197" t="str">
            <v/>
          </cell>
          <cell r="BT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>0</v>
          </cell>
          <cell r="CC197" t="str">
            <v>17,3</v>
          </cell>
          <cell r="CD197" t="str">
            <v>22,7</v>
          </cell>
          <cell r="CE197" t="str">
            <v>4</v>
          </cell>
          <cell r="CF197" t="str">
            <v>236,4</v>
          </cell>
          <cell r="CG197" t="str">
            <v>0</v>
          </cell>
          <cell r="CH197" t="str">
            <v>0</v>
          </cell>
          <cell r="CI197" t="str">
            <v>0</v>
          </cell>
          <cell r="CJ197" t="str">
            <v>0</v>
          </cell>
          <cell r="CK197" t="str">
            <v>0</v>
          </cell>
          <cell r="CL197" t="str">
            <v>0</v>
          </cell>
          <cell r="CM197" t="str">
            <v>0</v>
          </cell>
          <cell r="CN197" t="str">
            <v>0</v>
          </cell>
          <cell r="CO197" t="str">
            <v>0</v>
          </cell>
          <cell r="CP197" t="str">
            <v>0</v>
          </cell>
          <cell r="CQ197" t="str">
            <v>646</v>
          </cell>
          <cell r="CR197" t="str">
            <v>1112</v>
          </cell>
          <cell r="CS197" t="str">
            <v>1145</v>
          </cell>
          <cell r="CT197" t="str">
            <v>1150</v>
          </cell>
          <cell r="CU197" t="str">
            <v>0</v>
          </cell>
          <cell r="CV197" t="str">
            <v>0</v>
          </cell>
          <cell r="CW197" t="str">
            <v>0</v>
          </cell>
          <cell r="CX197" t="str">
            <v>0</v>
          </cell>
          <cell r="CY197" t="str">
            <v>0</v>
          </cell>
          <cell r="CZ197" t="str">
            <v>0</v>
          </cell>
          <cell r="DA197" t="str">
            <v>0</v>
          </cell>
          <cell r="DB197" t="str">
            <v>0</v>
          </cell>
          <cell r="DC197" t="str">
            <v>0</v>
          </cell>
          <cell r="DD197" t="str">
            <v/>
          </cell>
          <cell r="DE197" t="str">
            <v/>
          </cell>
          <cell r="DF197" t="str">
            <v/>
          </cell>
          <cell r="DH197" t="str">
            <v/>
          </cell>
          <cell r="DN197" t="str">
            <v>28/04/2025</v>
          </cell>
          <cell r="DQ197" t="str">
            <v>Euler</v>
          </cell>
          <cell r="DR197" t="str">
            <v>Danton</v>
          </cell>
          <cell r="DS197" t="str">
            <v>4</v>
          </cell>
          <cell r="DT197" t="str">
            <v>0</v>
          </cell>
          <cell r="DU197" t="str">
            <v>DIGEX</v>
          </cell>
          <cell r="DV197" t="str">
            <v>186 Pax + 10 Flight Crew</v>
          </cell>
          <cell r="DW197" t="str">
            <v>GLP-800-004-GUC</v>
          </cell>
          <cell r="FL197" t="str">
            <v/>
          </cell>
          <cell r="FM197" t="str">
            <v/>
          </cell>
          <cell r="FN197" t="str">
            <v/>
          </cell>
          <cell r="FO197" t="str">
            <v/>
          </cell>
          <cell r="FP197" t="str">
            <v/>
          </cell>
          <cell r="FQ197" t="str">
            <v/>
          </cell>
          <cell r="FR197" t="str">
            <v/>
          </cell>
          <cell r="FS197" t="str">
            <v/>
          </cell>
          <cell r="FT197" t="str">
            <v/>
          </cell>
          <cell r="FU197" t="str">
            <v/>
          </cell>
          <cell r="FV197" t="str">
            <v/>
          </cell>
          <cell r="FW197" t="str">
            <v/>
          </cell>
          <cell r="FX197" t="str">
            <v/>
          </cell>
          <cell r="FY197" t="str">
            <v/>
          </cell>
          <cell r="FZ197" t="str">
            <v/>
          </cell>
          <cell r="GA197" t="str">
            <v/>
          </cell>
          <cell r="GB197" t="str">
            <v/>
          </cell>
          <cell r="GC197" t="str">
            <v/>
          </cell>
          <cell r="GD197" t="str">
            <v/>
          </cell>
          <cell r="GE197" t="str">
            <v/>
          </cell>
          <cell r="GF197" t="str">
            <v/>
          </cell>
          <cell r="GG197" t="str">
            <v/>
          </cell>
          <cell r="GH197" t="str">
            <v/>
          </cell>
          <cell r="GI197" t="str">
            <v/>
          </cell>
          <cell r="GJ197" t="str">
            <v/>
          </cell>
          <cell r="GK197" t="str">
            <v/>
          </cell>
          <cell r="GL197" t="str">
            <v/>
          </cell>
          <cell r="GM197" t="str">
            <v/>
          </cell>
          <cell r="GN197" t="str">
            <v/>
          </cell>
        </row>
        <row r="198">
          <cell r="A198" t="str">
            <v>PS-GRJ</v>
          </cell>
          <cell r="D198" t="str">
            <v>17/04/2025</v>
          </cell>
          <cell r="E198">
            <v>1</v>
          </cell>
          <cell r="F198">
            <v>0</v>
          </cell>
          <cell r="G198" t="str">
            <v>Seattle, WA - EUA</v>
          </cell>
          <cell r="H198" t="str">
            <v>New Production Aircraft</v>
          </cell>
          <cell r="I198" t="str">
            <v>1940,51352</v>
          </cell>
          <cell r="J198" t="str">
            <v>1940,051352</v>
          </cell>
          <cell r="K198" t="str">
            <v>10129,171</v>
          </cell>
          <cell r="L198" t="str">
            <v>9894,709318</v>
          </cell>
          <cell r="M198" t="str">
            <v>9003,445671</v>
          </cell>
          <cell r="N198" t="str">
            <v>11123,80856</v>
          </cell>
          <cell r="O198" t="str">
            <v>1940,51352</v>
          </cell>
          <cell r="P198" t="str">
            <v>1940,51352</v>
          </cell>
          <cell r="Q198" t="str">
            <v>10129,171</v>
          </cell>
          <cell r="R198" t="str">
            <v>9894,709318</v>
          </cell>
          <cell r="S198" t="str">
            <v>9003,445671</v>
          </cell>
          <cell r="T198" t="str">
            <v>11123,80856</v>
          </cell>
          <cell r="U198" t="str">
            <v>14,80</v>
          </cell>
          <cell r="V198" t="str">
            <v>13,27</v>
          </cell>
          <cell r="W198" t="str">
            <v xml:space="preserve">Down Lock, Nose Gear </v>
          </cell>
          <cell r="X198" t="str">
            <v xml:space="preserve">Down Lock, Main Gear </v>
          </cell>
          <cell r="Y198" t="str">
            <v>Plumb Bob</v>
          </cell>
          <cell r="Z198" t="str">
            <v>Operation Manuals</v>
          </cell>
          <cell r="AA198" t="str">
            <v>Wiring Diagrams</v>
          </cell>
          <cell r="AB198" t="str">
            <v>Loto Kit</v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  <cell r="AG198" t="str">
            <v/>
          </cell>
          <cell r="AH198" t="str">
            <v/>
          </cell>
          <cell r="AI198" t="str">
            <v/>
          </cell>
          <cell r="AJ198" t="str">
            <v/>
          </cell>
          <cell r="AK198" t="str">
            <v>0,2</v>
          </cell>
          <cell r="AL198" t="str">
            <v>0,4</v>
          </cell>
          <cell r="AM198" t="str">
            <v>0,5</v>
          </cell>
          <cell r="AN198" t="str">
            <v>2,3</v>
          </cell>
          <cell r="AO198" t="str">
            <v>23,6</v>
          </cell>
          <cell r="AP198" t="str">
            <v>12,7</v>
          </cell>
          <cell r="AQ198" t="str">
            <v/>
          </cell>
          <cell r="AR198" t="str">
            <v/>
          </cell>
          <cell r="AS198" t="str">
            <v/>
          </cell>
          <cell r="AT198" t="str">
            <v/>
          </cell>
          <cell r="AU198" t="str">
            <v/>
          </cell>
          <cell r="AV198" t="str">
            <v/>
          </cell>
          <cell r="AW198" t="str">
            <v/>
          </cell>
          <cell r="AX198" t="str">
            <v/>
          </cell>
          <cell r="AY198" t="str">
            <v>82</v>
          </cell>
          <cell r="AZ198" t="str">
            <v>702</v>
          </cell>
          <cell r="BA198" t="str">
            <v>685</v>
          </cell>
          <cell r="BB198" t="str">
            <v>67</v>
          </cell>
          <cell r="BC198" t="str">
            <v>230</v>
          </cell>
          <cell r="BD198" t="str">
            <v>269</v>
          </cell>
          <cell r="BE198" t="str">
            <v/>
          </cell>
          <cell r="BF198" t="str">
            <v/>
          </cell>
          <cell r="BG198" t="str">
            <v/>
          </cell>
          <cell r="BH198" t="str">
            <v/>
          </cell>
          <cell r="BI198" t="str">
            <v/>
          </cell>
          <cell r="BJ198" t="str">
            <v/>
          </cell>
          <cell r="BK198" t="str">
            <v/>
          </cell>
          <cell r="BL198" t="str">
            <v/>
          </cell>
          <cell r="BM198" t="str">
            <v>Fuel, Drain, Unusable (5.6 Gal)</v>
          </cell>
          <cell r="BN198" t="str">
            <v>Lavatory Pre-charge Fluid (6.0 Gal)</v>
          </cell>
          <cell r="BO198" t="str">
            <v>Lavatory Dry Supplies</v>
          </cell>
          <cell r="BP198" t="str">
            <v>Flaps 0 - 40° (Up when weighed)</v>
          </cell>
          <cell r="BQ198" t="str">
            <v>Water, Potable (62.6 Gal)</v>
          </cell>
          <cell r="BR198" t="str">
            <v/>
          </cell>
          <cell r="BS198" t="str">
            <v/>
          </cell>
          <cell r="BT198" t="str">
            <v/>
          </cell>
          <cell r="BU198" t="str">
            <v/>
          </cell>
          <cell r="BV198" t="str">
            <v/>
          </cell>
          <cell r="BW198" t="str">
            <v/>
          </cell>
          <cell r="BX198" t="str">
            <v/>
          </cell>
          <cell r="BY198" t="str">
            <v/>
          </cell>
          <cell r="BZ198" t="str">
            <v/>
          </cell>
          <cell r="CA198" t="str">
            <v/>
          </cell>
          <cell r="CB198" t="str">
            <v>17,3</v>
          </cell>
          <cell r="CC198" t="str">
            <v>22,7</v>
          </cell>
          <cell r="CD198" t="str">
            <v>4</v>
          </cell>
          <cell r="CE198" t="str">
            <v/>
          </cell>
          <cell r="CF198" t="str">
            <v>236,4</v>
          </cell>
          <cell r="CG198" t="str">
            <v/>
          </cell>
          <cell r="CH198" t="str">
            <v/>
          </cell>
          <cell r="CI198" t="str">
            <v/>
          </cell>
          <cell r="CJ198" t="str">
            <v/>
          </cell>
          <cell r="CK198" t="str">
            <v/>
          </cell>
          <cell r="CL198" t="str">
            <v/>
          </cell>
          <cell r="CM198" t="str">
            <v/>
          </cell>
          <cell r="CN198" t="str">
            <v/>
          </cell>
          <cell r="CO198" t="str">
            <v/>
          </cell>
          <cell r="CP198" t="str">
            <v>646</v>
          </cell>
          <cell r="CQ198" t="str">
            <v>1112</v>
          </cell>
          <cell r="CR198" t="str">
            <v>1138</v>
          </cell>
          <cell r="CS198" t="str">
            <v/>
          </cell>
          <cell r="CT198" t="str">
            <v>1150</v>
          </cell>
          <cell r="CU198" t="str">
            <v/>
          </cell>
          <cell r="CV198" t="str">
            <v/>
          </cell>
          <cell r="CW198" t="str">
            <v/>
          </cell>
          <cell r="CX198" t="str">
            <v/>
          </cell>
          <cell r="CY198" t="str">
            <v/>
          </cell>
          <cell r="CZ198" t="str">
            <v/>
          </cell>
          <cell r="DA198" t="str">
            <v/>
          </cell>
          <cell r="DB198" t="str">
            <v/>
          </cell>
          <cell r="DC198" t="str">
            <v/>
          </cell>
          <cell r="DD198" t="str">
            <v/>
          </cell>
          <cell r="DE198" t="str">
            <v/>
          </cell>
          <cell r="DF198" t="str">
            <v/>
          </cell>
          <cell r="DH198" t="str">
            <v/>
          </cell>
          <cell r="DN198" t="str">
            <v>06/05/2025</v>
          </cell>
          <cell r="DQ198" t="str">
            <v>Fernando Araujo</v>
          </cell>
          <cell r="DR198" t="str">
            <v>Danton</v>
          </cell>
          <cell r="DU198" t="str">
            <v>Boeing</v>
          </cell>
          <cell r="DV198" t="str">
            <v>186 Pax + 10 Flight Crew</v>
          </cell>
          <cell r="DW198" t="str">
            <v>GLP-MAX8-001-GRJ</v>
          </cell>
          <cell r="FL198" t="str">
            <v/>
          </cell>
          <cell r="FM198" t="str">
            <v/>
          </cell>
          <cell r="FN198" t="str">
            <v/>
          </cell>
          <cell r="FO198" t="str">
            <v/>
          </cell>
          <cell r="FP198" t="str">
            <v/>
          </cell>
          <cell r="FQ198" t="str">
            <v/>
          </cell>
          <cell r="FR198" t="str">
            <v/>
          </cell>
          <cell r="FS198" t="str">
            <v/>
          </cell>
          <cell r="FT198" t="str">
            <v/>
          </cell>
          <cell r="FU198" t="str">
            <v/>
          </cell>
          <cell r="FV198" t="str">
            <v/>
          </cell>
          <cell r="FW198" t="str">
            <v/>
          </cell>
          <cell r="FX198" t="str">
            <v/>
          </cell>
          <cell r="FY198" t="str">
            <v/>
          </cell>
          <cell r="FZ198" t="str">
            <v/>
          </cell>
          <cell r="GA198" t="str">
            <v/>
          </cell>
          <cell r="GB198" t="str">
            <v/>
          </cell>
          <cell r="GC198" t="str">
            <v/>
          </cell>
          <cell r="GD198" t="str">
            <v/>
          </cell>
          <cell r="GE198" t="str">
            <v/>
          </cell>
          <cell r="GF198" t="str">
            <v/>
          </cell>
          <cell r="GG198" t="str">
            <v/>
          </cell>
          <cell r="GH198" t="str">
            <v/>
          </cell>
          <cell r="GI198" t="str">
            <v/>
          </cell>
          <cell r="GJ198" t="str">
            <v/>
          </cell>
          <cell r="GK198" t="str">
            <v/>
          </cell>
          <cell r="GL198" t="str">
            <v/>
          </cell>
          <cell r="GM198" t="str">
            <v/>
          </cell>
          <cell r="GN198" t="str">
            <v/>
          </cell>
        </row>
        <row r="199">
          <cell r="A199" t="str">
            <v>PS-GRJ</v>
          </cell>
          <cell r="E199">
            <v>0</v>
          </cell>
          <cell r="F199">
            <v>0</v>
          </cell>
          <cell r="DN199">
            <v>0</v>
          </cell>
        </row>
        <row r="200">
          <cell r="A200" t="str">
            <v>PR-XMK</v>
          </cell>
          <cell r="D200" t="str">
            <v>07/05/2025</v>
          </cell>
          <cell r="E200">
            <v>2</v>
          </cell>
          <cell r="F200">
            <v>0</v>
          </cell>
          <cell r="G200" t="str">
            <v>Lagoa Santa, MG - Brazil</v>
          </cell>
          <cell r="H200" t="str">
            <v>Scheduled</v>
          </cell>
          <cell r="I200" t="str">
            <v>1838</v>
          </cell>
          <cell r="J200" t="str">
            <v>1772</v>
          </cell>
          <cell r="K200" t="str">
            <v>10104</v>
          </cell>
          <cell r="L200" t="str">
            <v>10270</v>
          </cell>
          <cell r="M200" t="str">
            <v>10440</v>
          </cell>
          <cell r="N200" t="str">
            <v>10110</v>
          </cell>
          <cell r="O200" t="str">
            <v>1838</v>
          </cell>
          <cell r="P200" t="str">
            <v>1772</v>
          </cell>
          <cell r="Q200" t="str">
            <v>10124</v>
          </cell>
          <cell r="R200" t="str">
            <v>10254</v>
          </cell>
          <cell r="S200" t="str">
            <v>10422</v>
          </cell>
          <cell r="T200" t="str">
            <v>10130</v>
          </cell>
          <cell r="U200" t="str">
            <v>5,1181</v>
          </cell>
          <cell r="V200" t="str">
            <v>4,9213</v>
          </cell>
          <cell r="W200" t="str">
            <v>Down Lock, Nose Gear</v>
          </cell>
          <cell r="X200" t="str">
            <v>Down Lock, Main Gear</v>
          </cell>
          <cell r="Y200" t="str">
            <v>Plumb Bob</v>
          </cell>
          <cell r="Z200" t="str">
            <v/>
          </cell>
          <cell r="AA200" t="str">
            <v/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  <cell r="AF200" t="str">
            <v/>
          </cell>
          <cell r="AG200" t="str">
            <v/>
          </cell>
          <cell r="AH200" t="str">
            <v/>
          </cell>
          <cell r="AI200" t="str">
            <v/>
          </cell>
          <cell r="AJ200" t="str">
            <v/>
          </cell>
          <cell r="AK200" t="str">
            <v>0,3</v>
          </cell>
          <cell r="AL200" t="str">
            <v>0,4</v>
          </cell>
          <cell r="AM200" t="str">
            <v>0,5</v>
          </cell>
          <cell r="AN200" t="str">
            <v>0</v>
          </cell>
          <cell r="AO200" t="str">
            <v>0</v>
          </cell>
          <cell r="AP200" t="str">
            <v>0</v>
          </cell>
          <cell r="AQ200" t="str">
            <v>0</v>
          </cell>
          <cell r="AR200" t="str">
            <v>0</v>
          </cell>
          <cell r="AS200" t="str">
            <v>0</v>
          </cell>
          <cell r="AT200" t="str">
            <v>0</v>
          </cell>
          <cell r="AU200" t="str">
            <v>0</v>
          </cell>
          <cell r="AV200" t="str">
            <v>0</v>
          </cell>
          <cell r="AW200" t="str">
            <v>0</v>
          </cell>
          <cell r="AX200" t="str">
            <v>0</v>
          </cell>
          <cell r="AY200" t="str">
            <v>82</v>
          </cell>
          <cell r="AZ200" t="str">
            <v>702</v>
          </cell>
          <cell r="BA200" t="str">
            <v>685</v>
          </cell>
          <cell r="BB200" t="str">
            <v>0</v>
          </cell>
          <cell r="BC200" t="str">
            <v>0</v>
          </cell>
          <cell r="BD200" t="str">
            <v>0</v>
          </cell>
          <cell r="BE200" t="str">
            <v>0</v>
          </cell>
          <cell r="BF200" t="str">
            <v>0</v>
          </cell>
          <cell r="BG200" t="str">
            <v>0</v>
          </cell>
          <cell r="BH200" t="str">
            <v>0</v>
          </cell>
          <cell r="BI200" t="str">
            <v>0</v>
          </cell>
          <cell r="BJ200" t="str">
            <v>0</v>
          </cell>
          <cell r="BK200" t="str">
            <v>0</v>
          </cell>
          <cell r="BL200" t="str">
            <v>0</v>
          </cell>
          <cell r="BM200" t="str">
            <v>Flaps 0 - 40° (Up when weighed)</v>
          </cell>
          <cell r="BN200" t="str">
            <v>Fuel, Drain, Unusable (5.6 Gal)</v>
          </cell>
          <cell r="BO200" t="str">
            <v>Lavatory Dry Supplies</v>
          </cell>
          <cell r="BP200" t="str">
            <v>Lavatory Pre-charge Fluid (6.0 Gal)</v>
          </cell>
          <cell r="BQ200" t="str">
            <v>Water, Potable (62.6 Gal)</v>
          </cell>
          <cell r="BR200" t="str">
            <v/>
          </cell>
          <cell r="BS200" t="str">
            <v/>
          </cell>
          <cell r="BT200" t="str">
            <v/>
          </cell>
          <cell r="BU200" t="str">
            <v/>
          </cell>
          <cell r="BV200" t="str">
            <v/>
          </cell>
          <cell r="BW200" t="str">
            <v/>
          </cell>
          <cell r="BX200" t="str">
            <v/>
          </cell>
          <cell r="BY200" t="str">
            <v/>
          </cell>
          <cell r="BZ200" t="str">
            <v/>
          </cell>
          <cell r="CA200" t="str">
            <v/>
          </cell>
          <cell r="CB200" t="str">
            <v>0</v>
          </cell>
          <cell r="CC200" t="str">
            <v>17,3</v>
          </cell>
          <cell r="CD200" t="str">
            <v>4</v>
          </cell>
          <cell r="CE200" t="str">
            <v>22,7</v>
          </cell>
          <cell r="CF200" t="str">
            <v>236,4</v>
          </cell>
          <cell r="CG200" t="str">
            <v>0</v>
          </cell>
          <cell r="CH200" t="str">
            <v>0</v>
          </cell>
          <cell r="CI200" t="str">
            <v>0</v>
          </cell>
          <cell r="CJ200" t="str">
            <v>0</v>
          </cell>
          <cell r="CK200" t="str">
            <v>0</v>
          </cell>
          <cell r="CL200" t="str">
            <v>0</v>
          </cell>
          <cell r="CM200" t="str">
            <v>0</v>
          </cell>
          <cell r="CN200" t="str">
            <v>0</v>
          </cell>
          <cell r="CO200" t="str">
            <v>0</v>
          </cell>
          <cell r="CP200" t="str">
            <v>0</v>
          </cell>
          <cell r="CQ200" t="str">
            <v>646</v>
          </cell>
          <cell r="CR200" t="str">
            <v>1138</v>
          </cell>
          <cell r="CS200" t="str">
            <v>1112</v>
          </cell>
          <cell r="CT200" t="str">
            <v>1150</v>
          </cell>
          <cell r="CU200" t="str">
            <v>0</v>
          </cell>
          <cell r="CV200" t="str">
            <v>0</v>
          </cell>
          <cell r="CW200" t="str">
            <v>0</v>
          </cell>
          <cell r="CX200" t="str">
            <v>0</v>
          </cell>
          <cell r="CY200" t="str">
            <v>0</v>
          </cell>
          <cell r="CZ200" t="str">
            <v>0</v>
          </cell>
          <cell r="DA200" t="str">
            <v>0</v>
          </cell>
          <cell r="DB200" t="str">
            <v>0</v>
          </cell>
          <cell r="DC200" t="str">
            <v>0</v>
          </cell>
          <cell r="DD200" t="str">
            <v/>
          </cell>
          <cell r="DE200" t="str">
            <v/>
          </cell>
          <cell r="DF200" t="str">
            <v/>
          </cell>
          <cell r="DH200" t="str">
            <v/>
          </cell>
          <cell r="DN200" t="str">
            <v>07/05/2025</v>
          </cell>
          <cell r="DQ200" t="str">
            <v>Fernando Meirelles</v>
          </cell>
          <cell r="DR200" t="str">
            <v>Euler</v>
          </cell>
          <cell r="DS200" t="str">
            <v>1</v>
          </cell>
          <cell r="DT200" t="str">
            <v>1</v>
          </cell>
          <cell r="DU200" t="str">
            <v>GOL</v>
          </cell>
          <cell r="DV200" t="str">
            <v>186 Pax + 10 Flight Crew</v>
          </cell>
          <cell r="DW200" t="str">
            <v xml:space="preserve">GLP-MAX8-001-XMK </v>
          </cell>
          <cell r="FL200" t="str">
            <v/>
          </cell>
          <cell r="FM200" t="str">
            <v/>
          </cell>
          <cell r="FN200" t="str">
            <v/>
          </cell>
          <cell r="FO200" t="str">
            <v/>
          </cell>
          <cell r="FP200" t="str">
            <v/>
          </cell>
          <cell r="FQ200" t="str">
            <v/>
          </cell>
          <cell r="FR200" t="str">
            <v/>
          </cell>
          <cell r="FS200" t="str">
            <v/>
          </cell>
          <cell r="FT200" t="str">
            <v/>
          </cell>
          <cell r="FU200" t="str">
            <v/>
          </cell>
          <cell r="FV200" t="str">
            <v/>
          </cell>
          <cell r="FW200" t="str">
            <v/>
          </cell>
          <cell r="FX200" t="str">
            <v/>
          </cell>
          <cell r="FY200" t="str">
            <v/>
          </cell>
          <cell r="FZ200" t="str">
            <v/>
          </cell>
          <cell r="GA200" t="str">
            <v/>
          </cell>
          <cell r="GB200" t="str">
            <v/>
          </cell>
          <cell r="GC200" t="str">
            <v/>
          </cell>
          <cell r="GD200" t="str">
            <v/>
          </cell>
          <cell r="GE200" t="str">
            <v/>
          </cell>
          <cell r="GF200" t="str">
            <v/>
          </cell>
          <cell r="GG200" t="str">
            <v/>
          </cell>
          <cell r="GH200" t="str">
            <v/>
          </cell>
          <cell r="GI200" t="str">
            <v/>
          </cell>
          <cell r="GJ200" t="str">
            <v/>
          </cell>
          <cell r="GK200" t="str">
            <v/>
          </cell>
          <cell r="GL200" t="str">
            <v/>
          </cell>
          <cell r="GM200" t="str">
            <v/>
          </cell>
          <cell r="GN200" t="str">
            <v/>
          </cell>
        </row>
        <row r="201">
          <cell r="A201" t="str">
            <v>PR-GOR</v>
          </cell>
          <cell r="E201">
            <v>6</v>
          </cell>
          <cell r="F201">
            <v>2</v>
          </cell>
          <cell r="DN201">
            <v>0</v>
          </cell>
        </row>
        <row r="202">
          <cell r="A202" t="str">
            <v>PR-GOR</v>
          </cell>
          <cell r="E202">
            <v>6</v>
          </cell>
          <cell r="F202">
            <v>2</v>
          </cell>
          <cell r="DN202">
            <v>0</v>
          </cell>
        </row>
        <row r="203">
          <cell r="A203" t="str">
            <v>PR-GOR</v>
          </cell>
          <cell r="D203" t="str">
            <v>21/05/2025</v>
          </cell>
          <cell r="E203">
            <v>7</v>
          </cell>
          <cell r="F203">
            <v>0</v>
          </cell>
          <cell r="G203" t="str">
            <v>Lagoa Santa, MG - Brazil</v>
          </cell>
          <cell r="H203" t="str">
            <v>5 Years Check</v>
          </cell>
          <cell r="I203" t="str">
            <v>1870</v>
          </cell>
          <cell r="J203" t="str">
            <v>1830</v>
          </cell>
          <cell r="K203" t="str">
            <v>8740</v>
          </cell>
          <cell r="L203" t="str">
            <v>8472</v>
          </cell>
          <cell r="M203" t="str">
            <v>8340</v>
          </cell>
          <cell r="N203" t="str">
            <v>8996</v>
          </cell>
          <cell r="O203" t="str">
            <v>1870</v>
          </cell>
          <cell r="P203" t="str">
            <v>1824</v>
          </cell>
          <cell r="Q203" t="str">
            <v>8794</v>
          </cell>
          <cell r="R203" t="str">
            <v>8428</v>
          </cell>
          <cell r="S203" t="str">
            <v>8298</v>
          </cell>
          <cell r="T203" t="str">
            <v>9046</v>
          </cell>
          <cell r="U203">
            <v>4.6062992125984259</v>
          </cell>
          <cell r="V203">
            <v>4.2519685039370083</v>
          </cell>
          <cell r="W203" t="str">
            <v xml:space="preserve">Down Lock, Nose Gear </v>
          </cell>
          <cell r="X203" t="str">
            <v xml:space="preserve">Down Lock, Main Gear </v>
          </cell>
          <cell r="Y203" t="str">
            <v>Plumb Bob</v>
          </cell>
          <cell r="Z203" t="str">
            <v/>
          </cell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  <cell r="AG203" t="str">
            <v/>
          </cell>
          <cell r="AH203" t="str">
            <v/>
          </cell>
          <cell r="AI203" t="str">
            <v/>
          </cell>
          <cell r="AJ203" t="str">
            <v/>
          </cell>
          <cell r="AK203" t="str">
            <v>0,300</v>
          </cell>
          <cell r="AL203" t="str">
            <v>0,400</v>
          </cell>
          <cell r="AM203" t="str">
            <v>0,5</v>
          </cell>
          <cell r="AN203" t="str">
            <v/>
          </cell>
          <cell r="AO203" t="str">
            <v/>
          </cell>
          <cell r="AP203" t="str">
            <v/>
          </cell>
          <cell r="AQ203" t="str">
            <v/>
          </cell>
          <cell r="AR203" t="str">
            <v/>
          </cell>
          <cell r="AS203" t="str">
            <v/>
          </cell>
          <cell r="AT203" t="str">
            <v/>
          </cell>
          <cell r="AU203" t="str">
            <v/>
          </cell>
          <cell r="AV203" t="str">
            <v/>
          </cell>
          <cell r="AW203" t="str">
            <v/>
          </cell>
          <cell r="AX203" t="str">
            <v/>
          </cell>
          <cell r="AY203" t="str">
            <v>209</v>
          </cell>
          <cell r="AZ203" t="str">
            <v>702</v>
          </cell>
          <cell r="BA203" t="str">
            <v>685</v>
          </cell>
          <cell r="BB203" t="str">
            <v/>
          </cell>
          <cell r="BC203" t="str">
            <v/>
          </cell>
          <cell r="BD203" t="str">
            <v/>
          </cell>
          <cell r="BE203" t="str">
            <v/>
          </cell>
          <cell r="BF203" t="str">
            <v/>
          </cell>
          <cell r="BG203" t="str">
            <v/>
          </cell>
          <cell r="BH203" t="str">
            <v/>
          </cell>
          <cell r="BI203" t="str">
            <v/>
          </cell>
          <cell r="BJ203" t="str">
            <v/>
          </cell>
          <cell r="BK203" t="str">
            <v/>
          </cell>
          <cell r="BL203" t="str">
            <v/>
          </cell>
          <cell r="BM203" t="str">
            <v>Flaps 0 - 40° (Up when weighed)</v>
          </cell>
          <cell r="BN203" t="str">
            <v>Fuel, Drain, Unusable (5.6 Gal)</v>
          </cell>
          <cell r="BO203" t="str">
            <v>Lavatory Dry Supplies</v>
          </cell>
          <cell r="BP203" t="str">
            <v xml:space="preserve">Water, Potable (42.2 Gal) </v>
          </cell>
          <cell r="BQ203" t="str">
            <v>Lavatory Pre-charge Fluid (6.0 Gal)</v>
          </cell>
          <cell r="BR203" t="str">
            <v/>
          </cell>
          <cell r="BS203" t="str">
            <v/>
          </cell>
          <cell r="BT203" t="str">
            <v/>
          </cell>
          <cell r="BU203" t="str">
            <v/>
          </cell>
          <cell r="BV203" t="str">
            <v/>
          </cell>
          <cell r="BW203" t="str">
            <v/>
          </cell>
          <cell r="BX203" t="str">
            <v/>
          </cell>
          <cell r="BY203" t="str">
            <v/>
          </cell>
          <cell r="BZ203" t="str">
            <v/>
          </cell>
          <cell r="CA203" t="str">
            <v/>
          </cell>
          <cell r="CB203" t="str">
            <v/>
          </cell>
          <cell r="CC203" t="str">
            <v>17,300</v>
          </cell>
          <cell r="CD203" t="str">
            <v>4</v>
          </cell>
          <cell r="CE203" t="str">
            <v>159,5</v>
          </cell>
          <cell r="CF203" t="str">
            <v>22,700</v>
          </cell>
          <cell r="CG203" t="str">
            <v/>
          </cell>
          <cell r="CH203" t="str">
            <v/>
          </cell>
          <cell r="CI203" t="str">
            <v/>
          </cell>
          <cell r="CJ203" t="str">
            <v/>
          </cell>
          <cell r="CK203" t="str">
            <v/>
          </cell>
          <cell r="CL203" t="str">
            <v/>
          </cell>
          <cell r="CM203" t="str">
            <v/>
          </cell>
          <cell r="CN203" t="str">
            <v/>
          </cell>
          <cell r="CO203" t="str">
            <v/>
          </cell>
          <cell r="CP203" t="str">
            <v/>
          </cell>
          <cell r="CQ203" t="str">
            <v>646</v>
          </cell>
          <cell r="CR203" t="str">
            <v>1033</v>
          </cell>
          <cell r="CS203" t="str">
            <v>1038</v>
          </cell>
          <cell r="CT203" t="str">
            <v>1000</v>
          </cell>
          <cell r="CU203" t="str">
            <v/>
          </cell>
          <cell r="CV203" t="str">
            <v/>
          </cell>
          <cell r="CW203" t="str">
            <v/>
          </cell>
          <cell r="CX203" t="str">
            <v/>
          </cell>
          <cell r="CY203" t="str">
            <v/>
          </cell>
          <cell r="CZ203" t="str">
            <v/>
          </cell>
          <cell r="DA203" t="str">
            <v/>
          </cell>
          <cell r="DB203" t="str">
            <v/>
          </cell>
          <cell r="DC203" t="str">
            <v/>
          </cell>
          <cell r="DD203" t="str">
            <v/>
          </cell>
          <cell r="DE203" t="str">
            <v/>
          </cell>
          <cell r="DF203" t="str">
            <v/>
          </cell>
          <cell r="DH203" t="str">
            <v/>
          </cell>
          <cell r="DN203" t="str">
            <v>21/05/2025</v>
          </cell>
          <cell r="DQ203" t="str">
            <v>Jeferson</v>
          </cell>
          <cell r="DR203" t="str">
            <v>Danton</v>
          </cell>
          <cell r="DS203" t="str">
            <v>06</v>
          </cell>
          <cell r="DT203" t="str">
            <v>2</v>
          </cell>
          <cell r="DU203" t="str">
            <v>GOL</v>
          </cell>
          <cell r="DV203" t="str">
            <v>138 Pax + 9 Flight Crew</v>
          </cell>
          <cell r="DW203" t="str">
            <v>GLP-700-007-GOR</v>
          </cell>
          <cell r="FL203" t="str">
            <v/>
          </cell>
          <cell r="FM203" t="str">
            <v/>
          </cell>
          <cell r="FN203" t="str">
            <v/>
          </cell>
          <cell r="FO203" t="str">
            <v/>
          </cell>
          <cell r="FP203" t="str">
            <v/>
          </cell>
          <cell r="FQ203" t="str">
            <v/>
          </cell>
          <cell r="FR203" t="str">
            <v/>
          </cell>
          <cell r="FS203" t="str">
            <v/>
          </cell>
          <cell r="FT203" t="str">
            <v/>
          </cell>
          <cell r="FU203" t="str">
            <v/>
          </cell>
          <cell r="FV203" t="str">
            <v/>
          </cell>
          <cell r="FW203" t="str">
            <v/>
          </cell>
          <cell r="FX203" t="str">
            <v/>
          </cell>
          <cell r="FY203" t="str">
            <v/>
          </cell>
          <cell r="FZ203" t="str">
            <v/>
          </cell>
          <cell r="GA203" t="str">
            <v/>
          </cell>
          <cell r="GB203" t="str">
            <v/>
          </cell>
          <cell r="GC203" t="str">
            <v/>
          </cell>
          <cell r="GD203" t="str">
            <v/>
          </cell>
          <cell r="GE203" t="str">
            <v/>
          </cell>
          <cell r="GF203" t="str">
            <v/>
          </cell>
          <cell r="GG203" t="str">
            <v/>
          </cell>
          <cell r="GH203" t="str">
            <v/>
          </cell>
          <cell r="GI203" t="str">
            <v/>
          </cell>
          <cell r="GJ203" t="str">
            <v/>
          </cell>
          <cell r="GK203" t="str">
            <v/>
          </cell>
          <cell r="GL203" t="str">
            <v/>
          </cell>
          <cell r="GM203" t="str">
            <v/>
          </cell>
          <cell r="GN203" t="str">
            <v/>
          </cell>
        </row>
        <row r="204">
          <cell r="A204" t="str">
            <v>PR-GUB</v>
          </cell>
          <cell r="D204" t="str">
            <v>26/10/2025</v>
          </cell>
          <cell r="E204">
            <v>7</v>
          </cell>
          <cell r="F204">
            <v>0</v>
          </cell>
          <cell r="G204" t="str">
            <v>Lagoa Santa, MG - Brazil</v>
          </cell>
          <cell r="H204" t="str">
            <v>5 Years Check</v>
          </cell>
          <cell r="I204" t="str">
            <v>1510</v>
          </cell>
          <cell r="J204" t="str">
            <v>1556</v>
          </cell>
          <cell r="K204" t="str">
            <v>9800</v>
          </cell>
          <cell r="L204" t="str">
            <v>9206</v>
          </cell>
          <cell r="M204" t="str">
            <v>9732</v>
          </cell>
          <cell r="N204" t="str">
            <v>9286</v>
          </cell>
          <cell r="O204" t="str">
            <v>1522</v>
          </cell>
          <cell r="P204" t="str">
            <v>1544</v>
          </cell>
          <cell r="Q204" t="str">
            <v>9506</v>
          </cell>
          <cell r="R204" t="str">
            <v>9488</v>
          </cell>
          <cell r="S204" t="str">
            <v>9924</v>
          </cell>
          <cell r="T204" t="str">
            <v>9104</v>
          </cell>
          <cell r="U204" t="str">
            <v>4,3125</v>
          </cell>
          <cell r="V204" t="str">
            <v>3,9375</v>
          </cell>
          <cell r="W204" t="str">
            <v xml:space="preserve">Down Lock, Nose Gear </v>
          </cell>
          <cell r="X204" t="str">
            <v xml:space="preserve">Down Lock, Main Gear </v>
          </cell>
          <cell r="Y204" t="str">
            <v>Plumb Bob</v>
          </cell>
          <cell r="Z204" t="str">
            <v/>
          </cell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  <cell r="AG204" t="str">
            <v/>
          </cell>
          <cell r="AH204" t="str">
            <v/>
          </cell>
          <cell r="AI204" t="str">
            <v/>
          </cell>
          <cell r="AJ204" t="str">
            <v/>
          </cell>
          <cell r="AK204" t="str">
            <v>0,3</v>
          </cell>
          <cell r="AL204" t="str">
            <v>0,4</v>
          </cell>
          <cell r="AM204" t="str">
            <v>0,5</v>
          </cell>
          <cell r="AN204" t="str">
            <v>0</v>
          </cell>
          <cell r="AO204" t="str">
            <v>0</v>
          </cell>
          <cell r="AP204" t="str">
            <v>0</v>
          </cell>
          <cell r="AQ204" t="str">
            <v>0</v>
          </cell>
          <cell r="AR204" t="str">
            <v>0</v>
          </cell>
          <cell r="AS204" t="str">
            <v>0</v>
          </cell>
          <cell r="AT204" t="str">
            <v>0</v>
          </cell>
          <cell r="AU204" t="str">
            <v>0</v>
          </cell>
          <cell r="AV204" t="str">
            <v>0</v>
          </cell>
          <cell r="AW204" t="str">
            <v>0</v>
          </cell>
          <cell r="AX204" t="str">
            <v>0</v>
          </cell>
          <cell r="AY204" t="str">
            <v>91</v>
          </cell>
          <cell r="AZ204" t="str">
            <v>702</v>
          </cell>
          <cell r="BA204" t="str">
            <v>685</v>
          </cell>
          <cell r="BB204" t="str">
            <v>0</v>
          </cell>
          <cell r="BC204" t="str">
            <v>0</v>
          </cell>
          <cell r="BD204" t="str">
            <v>0</v>
          </cell>
          <cell r="BE204" t="str">
            <v>0</v>
          </cell>
          <cell r="BF204" t="str">
            <v>0</v>
          </cell>
          <cell r="BG204" t="str">
            <v>0</v>
          </cell>
          <cell r="BH204" t="str">
            <v>0</v>
          </cell>
          <cell r="BI204" t="str">
            <v>0</v>
          </cell>
          <cell r="BJ204" t="str">
            <v>0</v>
          </cell>
          <cell r="BK204" t="str">
            <v>0</v>
          </cell>
          <cell r="BL204" t="str">
            <v>0</v>
          </cell>
          <cell r="BM204" t="str">
            <v>Flaps 0 - 40° (Up when weighed)</v>
          </cell>
          <cell r="BN204" t="str">
            <v>Fuel, Drain, Unusable (5.6 Gal)</v>
          </cell>
          <cell r="BO204" t="str">
            <v>Lavatory Pre-charge Fluid (6.0 Gal)</v>
          </cell>
          <cell r="BP204" t="str">
            <v>Lavatory Dry Supplies</v>
          </cell>
          <cell r="BQ204" t="str">
            <v>Water, Potable (62.6 Gal)</v>
          </cell>
          <cell r="BR204" t="str">
            <v/>
          </cell>
          <cell r="BS204" t="str">
            <v/>
          </cell>
          <cell r="BT204" t="str">
            <v/>
          </cell>
          <cell r="BU204" t="str">
            <v/>
          </cell>
          <cell r="BV204" t="str">
            <v/>
          </cell>
          <cell r="BW204" t="str">
            <v/>
          </cell>
          <cell r="BX204" t="str">
            <v/>
          </cell>
          <cell r="BY204" t="str">
            <v/>
          </cell>
          <cell r="BZ204" t="str">
            <v/>
          </cell>
          <cell r="CA204" t="str">
            <v/>
          </cell>
          <cell r="CB204" t="str">
            <v>0</v>
          </cell>
          <cell r="CC204" t="str">
            <v>17,3</v>
          </cell>
          <cell r="CD204" t="str">
            <v>22,7</v>
          </cell>
          <cell r="CE204" t="str">
            <v>4</v>
          </cell>
          <cell r="CF204" t="str">
            <v>236,4</v>
          </cell>
          <cell r="CG204" t="str">
            <v>0</v>
          </cell>
          <cell r="CH204" t="str">
            <v>0</v>
          </cell>
          <cell r="CI204" t="str">
            <v>0</v>
          </cell>
          <cell r="CJ204" t="str">
            <v>0</v>
          </cell>
          <cell r="CK204" t="str">
            <v>0</v>
          </cell>
          <cell r="CL204" t="str">
            <v>0</v>
          </cell>
          <cell r="CM204" t="str">
            <v>0</v>
          </cell>
          <cell r="CN204" t="str">
            <v>0</v>
          </cell>
          <cell r="CO204" t="str">
            <v>0</v>
          </cell>
          <cell r="CP204" t="str">
            <v>0</v>
          </cell>
          <cell r="CQ204" t="str">
            <v>646</v>
          </cell>
          <cell r="CR204" t="str">
            <v>1112</v>
          </cell>
          <cell r="CS204" t="str">
            <v>1145</v>
          </cell>
          <cell r="CT204" t="str">
            <v>1150</v>
          </cell>
          <cell r="CU204" t="str">
            <v>0</v>
          </cell>
          <cell r="CV204" t="str">
            <v>0</v>
          </cell>
          <cell r="CW204" t="str">
            <v>0</v>
          </cell>
          <cell r="CX204" t="str">
            <v>0</v>
          </cell>
          <cell r="CY204" t="str">
            <v>0</v>
          </cell>
          <cell r="CZ204" t="str">
            <v>0</v>
          </cell>
          <cell r="DA204" t="str">
            <v>0</v>
          </cell>
          <cell r="DB204" t="str">
            <v>0</v>
          </cell>
          <cell r="DC204" t="str">
            <v>0</v>
          </cell>
          <cell r="DD204" t="str">
            <v/>
          </cell>
          <cell r="DE204" t="str">
            <v/>
          </cell>
          <cell r="DF204" t="str">
            <v/>
          </cell>
          <cell r="DH204" t="str">
            <v/>
          </cell>
          <cell r="DN204" t="str">
            <v>26/10/2025</v>
          </cell>
          <cell r="DQ204" t="str">
            <v>Maia</v>
          </cell>
          <cell r="DR204" t="str">
            <v>Danton</v>
          </cell>
          <cell r="DS204" t="str">
            <v>6</v>
          </cell>
          <cell r="DT204" t="str">
            <v>0</v>
          </cell>
          <cell r="DU204" t="str">
            <v>GOL</v>
          </cell>
          <cell r="DV204" t="str">
            <v>186 Pax + 10 Flight Crew</v>
          </cell>
          <cell r="DW204" t="str">
            <v xml:space="preserve">GLP-800-002-GUB </v>
          </cell>
          <cell r="FL204" t="str">
            <v/>
          </cell>
          <cell r="FM204" t="str">
            <v/>
          </cell>
          <cell r="FN204" t="str">
            <v/>
          </cell>
          <cell r="FO204" t="str">
            <v/>
          </cell>
          <cell r="FP204" t="str">
            <v/>
          </cell>
          <cell r="FQ204" t="str">
            <v/>
          </cell>
          <cell r="FR204" t="str">
            <v/>
          </cell>
          <cell r="FS204" t="str">
            <v/>
          </cell>
          <cell r="FT204" t="str">
            <v/>
          </cell>
          <cell r="FU204" t="str">
            <v/>
          </cell>
          <cell r="FV204" t="str">
            <v/>
          </cell>
          <cell r="FW204" t="str">
            <v/>
          </cell>
          <cell r="FX204" t="str">
            <v/>
          </cell>
          <cell r="FY204" t="str">
            <v/>
          </cell>
          <cell r="FZ204" t="str">
            <v/>
          </cell>
          <cell r="GA204" t="str">
            <v/>
          </cell>
          <cell r="GB204" t="str">
            <v/>
          </cell>
          <cell r="GC204" t="str">
            <v/>
          </cell>
          <cell r="GD204" t="str">
            <v/>
          </cell>
          <cell r="GE204" t="str">
            <v/>
          </cell>
          <cell r="GF204" t="str">
            <v/>
          </cell>
          <cell r="GG204" t="str">
            <v/>
          </cell>
          <cell r="GH204" t="str">
            <v/>
          </cell>
          <cell r="GI204" t="str">
            <v/>
          </cell>
          <cell r="GJ204" t="str">
            <v/>
          </cell>
          <cell r="GK204" t="str">
            <v/>
          </cell>
          <cell r="GL204" t="str">
            <v/>
          </cell>
          <cell r="GM204" t="str">
            <v/>
          </cell>
          <cell r="GN204" t="str">
            <v/>
          </cell>
        </row>
        <row r="205">
          <cell r="A205" t="str">
            <v>PR-GUA</v>
          </cell>
          <cell r="E205">
            <v>8</v>
          </cell>
          <cell r="F205">
            <v>0</v>
          </cell>
          <cell r="DN205">
            <v>0</v>
          </cell>
        </row>
        <row r="206">
          <cell r="A206" t="str">
            <v>PR-GUA</v>
          </cell>
          <cell r="D206" t="str">
            <v>10/06/2025</v>
          </cell>
          <cell r="E206">
            <v>9</v>
          </cell>
          <cell r="F206">
            <v>0</v>
          </cell>
          <cell r="G206" t="str">
            <v>Lagoa Santa, MG - Brazil</v>
          </cell>
          <cell r="H206" t="str">
            <v>New Painting</v>
          </cell>
          <cell r="I206" t="str">
            <v>1416</v>
          </cell>
          <cell r="J206" t="str">
            <v>1416</v>
          </cell>
          <cell r="K206" t="str">
            <v>8728</v>
          </cell>
          <cell r="L206" t="str">
            <v>9126</v>
          </cell>
          <cell r="M206" t="str">
            <v>8934</v>
          </cell>
          <cell r="N206" t="str">
            <v>8972</v>
          </cell>
          <cell r="O206" t="str">
            <v>1410</v>
          </cell>
          <cell r="P206" t="str">
            <v>1422</v>
          </cell>
          <cell r="Q206" t="str">
            <v>8718</v>
          </cell>
          <cell r="R206" t="str">
            <v>9136</v>
          </cell>
          <cell r="S206" t="str">
            <v>8944</v>
          </cell>
          <cell r="T206" t="str">
            <v>8962</v>
          </cell>
          <cell r="U206">
            <v>4.0944881889763778</v>
          </cell>
          <cell r="V206">
            <v>4.3307086614173231</v>
          </cell>
          <cell r="W206" t="str">
            <v xml:space="preserve">Down Lock, Nose Gear </v>
          </cell>
          <cell r="X206" t="str">
            <v xml:space="preserve">Down Lock, Main Gear </v>
          </cell>
          <cell r="Y206" t="str">
            <v>Plumb Bob</v>
          </cell>
          <cell r="Z206" t="str">
            <v/>
          </cell>
          <cell r="AA206" t="str">
            <v/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  <cell r="AF206" t="str">
            <v/>
          </cell>
          <cell r="AG206" t="str">
            <v/>
          </cell>
          <cell r="AH206" t="str">
            <v/>
          </cell>
          <cell r="AI206" t="str">
            <v/>
          </cell>
          <cell r="AJ206" t="str">
            <v/>
          </cell>
          <cell r="AK206" t="str">
            <v>0,3</v>
          </cell>
          <cell r="AL206" t="str">
            <v>0,4</v>
          </cell>
          <cell r="AM206" t="str">
            <v>0,5</v>
          </cell>
          <cell r="AN206" t="str">
            <v/>
          </cell>
          <cell r="AO206" t="str">
            <v/>
          </cell>
          <cell r="AP206" t="str">
            <v/>
          </cell>
          <cell r="AQ206" t="str">
            <v/>
          </cell>
          <cell r="AR206" t="str">
            <v/>
          </cell>
          <cell r="AS206" t="str">
            <v/>
          </cell>
          <cell r="AT206" t="str">
            <v/>
          </cell>
          <cell r="AU206" t="str">
            <v/>
          </cell>
          <cell r="AV206" t="str">
            <v/>
          </cell>
          <cell r="AW206" t="str">
            <v/>
          </cell>
          <cell r="AX206" t="str">
            <v/>
          </cell>
          <cell r="AY206" t="str">
            <v>91</v>
          </cell>
          <cell r="AZ206" t="str">
            <v>702</v>
          </cell>
          <cell r="BA206" t="str">
            <v>685</v>
          </cell>
          <cell r="BB206" t="str">
            <v/>
          </cell>
          <cell r="BC206" t="str">
            <v/>
          </cell>
          <cell r="BD206" t="str">
            <v/>
          </cell>
          <cell r="BE206" t="str">
            <v/>
          </cell>
          <cell r="BF206" t="str">
            <v/>
          </cell>
          <cell r="BG206" t="str">
            <v/>
          </cell>
          <cell r="BH206" t="str">
            <v/>
          </cell>
          <cell r="BI206" t="str">
            <v/>
          </cell>
          <cell r="BJ206" t="str">
            <v/>
          </cell>
          <cell r="BK206" t="str">
            <v/>
          </cell>
          <cell r="BL206" t="str">
            <v/>
          </cell>
          <cell r="BM206" t="str">
            <v>Flaps 0 - 40° (Up when weighed)</v>
          </cell>
          <cell r="BN206" t="str">
            <v>Fuel, Drain, Unusable (5.6 Gal)</v>
          </cell>
          <cell r="BO206" t="str">
            <v>Lavatory Pre-charge Fluid (6.0 Gal)</v>
          </cell>
          <cell r="BP206" t="str">
            <v>Lavatory Dry Supplies</v>
          </cell>
          <cell r="BQ206" t="str">
            <v>Water, Potable (62.6 Gal)</v>
          </cell>
          <cell r="BR206" t="str">
            <v/>
          </cell>
          <cell r="BS206" t="str">
            <v/>
          </cell>
          <cell r="BT206" t="str">
            <v/>
          </cell>
          <cell r="BU206" t="str">
            <v/>
          </cell>
          <cell r="BV206" t="str">
            <v/>
          </cell>
          <cell r="BW206" t="str">
            <v/>
          </cell>
          <cell r="BX206" t="str">
            <v/>
          </cell>
          <cell r="BY206" t="str">
            <v/>
          </cell>
          <cell r="BZ206" t="str">
            <v/>
          </cell>
          <cell r="CA206" t="str">
            <v/>
          </cell>
          <cell r="CB206" t="str">
            <v/>
          </cell>
          <cell r="CC206" t="str">
            <v>17,300</v>
          </cell>
          <cell r="CD206" t="str">
            <v>22,700</v>
          </cell>
          <cell r="CE206" t="str">
            <v>4</v>
          </cell>
          <cell r="CF206" t="str">
            <v>236,400</v>
          </cell>
          <cell r="CG206" t="str">
            <v/>
          </cell>
          <cell r="CH206" t="str">
            <v/>
          </cell>
          <cell r="CI206" t="str">
            <v/>
          </cell>
          <cell r="CJ206" t="str">
            <v/>
          </cell>
          <cell r="CK206" t="str">
            <v/>
          </cell>
          <cell r="CL206" t="str">
            <v/>
          </cell>
          <cell r="CM206" t="str">
            <v/>
          </cell>
          <cell r="CN206" t="str">
            <v/>
          </cell>
          <cell r="CO206" t="str">
            <v/>
          </cell>
          <cell r="CP206" t="str">
            <v/>
          </cell>
          <cell r="CQ206" t="str">
            <v>646</v>
          </cell>
          <cell r="CR206" t="str">
            <v>1112</v>
          </cell>
          <cell r="CS206" t="str">
            <v>1145</v>
          </cell>
          <cell r="CT206" t="str">
            <v>1150</v>
          </cell>
          <cell r="CU206" t="str">
            <v/>
          </cell>
          <cell r="CV206" t="str">
            <v/>
          </cell>
          <cell r="CW206" t="str">
            <v/>
          </cell>
          <cell r="CX206" t="str">
            <v/>
          </cell>
          <cell r="CY206" t="str">
            <v/>
          </cell>
          <cell r="CZ206" t="str">
            <v/>
          </cell>
          <cell r="DA206" t="str">
            <v/>
          </cell>
          <cell r="DB206" t="str">
            <v/>
          </cell>
          <cell r="DC206" t="str">
            <v/>
          </cell>
          <cell r="DD206" t="str">
            <v/>
          </cell>
          <cell r="DE206" t="str">
            <v/>
          </cell>
          <cell r="DF206" t="str">
            <v/>
          </cell>
          <cell r="DH206" t="str">
            <v/>
          </cell>
          <cell r="DN206" t="str">
            <v>10/06/2025</v>
          </cell>
          <cell r="DQ206" t="str">
            <v>Jeferson</v>
          </cell>
          <cell r="DR206" t="str">
            <v>Danton</v>
          </cell>
          <cell r="DS206" t="str">
            <v>8</v>
          </cell>
          <cell r="DT206" t="str">
            <v>0</v>
          </cell>
          <cell r="DU206" t="str">
            <v>GOL</v>
          </cell>
          <cell r="DV206" t="str">
            <v>6 PAX +10 Flight Crew</v>
          </cell>
          <cell r="DW206" t="str">
            <v>GLP-800-002-GUA</v>
          </cell>
          <cell r="FL206" t="str">
            <v/>
          </cell>
          <cell r="FM206" t="str">
            <v/>
          </cell>
          <cell r="FN206" t="str">
            <v/>
          </cell>
          <cell r="FO206" t="str">
            <v/>
          </cell>
          <cell r="FP206" t="str">
            <v/>
          </cell>
          <cell r="FQ206" t="str">
            <v/>
          </cell>
          <cell r="FR206" t="str">
            <v/>
          </cell>
          <cell r="FS206" t="str">
            <v/>
          </cell>
          <cell r="FT206" t="str">
            <v/>
          </cell>
          <cell r="FU206" t="str">
            <v/>
          </cell>
          <cell r="FV206" t="str">
            <v/>
          </cell>
          <cell r="FW206" t="str">
            <v/>
          </cell>
          <cell r="FX206" t="str">
            <v/>
          </cell>
          <cell r="FY206" t="str">
            <v/>
          </cell>
          <cell r="FZ206" t="str">
            <v/>
          </cell>
          <cell r="GA206" t="str">
            <v/>
          </cell>
          <cell r="GB206" t="str">
            <v/>
          </cell>
          <cell r="GC206" t="str">
            <v/>
          </cell>
          <cell r="GD206" t="str">
            <v/>
          </cell>
          <cell r="GE206" t="str">
            <v/>
          </cell>
          <cell r="GF206" t="str">
            <v/>
          </cell>
          <cell r="GG206" t="str">
            <v/>
          </cell>
          <cell r="GH206" t="str">
            <v/>
          </cell>
          <cell r="GI206" t="str">
            <v/>
          </cell>
          <cell r="GJ206" t="str">
            <v/>
          </cell>
          <cell r="GK206" t="str">
            <v/>
          </cell>
          <cell r="GL206" t="str">
            <v/>
          </cell>
          <cell r="GM206" t="str">
            <v/>
          </cell>
          <cell r="GN206" t="str">
            <v/>
          </cell>
        </row>
        <row r="207">
          <cell r="A207" t="str">
            <v>PS-GRK</v>
          </cell>
          <cell r="E207">
            <v>0</v>
          </cell>
          <cell r="F207">
            <v>0</v>
          </cell>
          <cell r="DN207">
            <v>0</v>
          </cell>
        </row>
        <row r="208">
          <cell r="A208" t="str">
            <v>PS-GRK</v>
          </cell>
          <cell r="D208" t="str">
            <v>26/05/2025</v>
          </cell>
          <cell r="E208">
            <v>1</v>
          </cell>
          <cell r="F208">
            <v>0</v>
          </cell>
          <cell r="G208" t="str">
            <v>Portland, OR</v>
          </cell>
          <cell r="H208" t="str">
            <v>New Production Aircraft</v>
          </cell>
          <cell r="I208" t="str">
            <v>3764,04556</v>
          </cell>
          <cell r="J208" t="str">
            <v>0</v>
          </cell>
          <cell r="K208" t="str">
            <v>10077,3256</v>
          </cell>
          <cell r="L208" t="str">
            <v>10012,9155</v>
          </cell>
          <cell r="M208" t="str">
            <v>9981,61761</v>
          </cell>
          <cell r="N208" t="str">
            <v>10253,3648</v>
          </cell>
          <cell r="O208" t="str">
            <v>3764,04556</v>
          </cell>
          <cell r="P208" t="str">
            <v>0</v>
          </cell>
          <cell r="Q208" t="str">
            <v>10077,3256</v>
          </cell>
          <cell r="R208" t="str">
            <v>10012,9155</v>
          </cell>
          <cell r="S208" t="str">
            <v>9981,61761</v>
          </cell>
          <cell r="T208" t="str">
            <v>10253,3648</v>
          </cell>
          <cell r="U208" t="str">
            <v>6,365</v>
          </cell>
          <cell r="V208" t="str">
            <v>6,365</v>
          </cell>
          <cell r="W208" t="str">
            <v xml:space="preserve">Down Lock, Nose Gear </v>
          </cell>
          <cell r="X208" t="str">
            <v xml:space="preserve">Down Lock, Main Gear </v>
          </cell>
          <cell r="Y208" t="str">
            <v>Plumb Bob</v>
          </cell>
          <cell r="Z208" t="str">
            <v>Operations Manuals</v>
          </cell>
          <cell r="AA208" t="str">
            <v>Wiring Diagrams</v>
          </cell>
          <cell r="AB208" t="str">
            <v>Production Flight Emergency Equipment</v>
          </cell>
          <cell r="AC208" t="str">
            <v>Defibrillator</v>
          </cell>
          <cell r="AD208" t="str">
            <v/>
          </cell>
          <cell r="AE208" t="str">
            <v/>
          </cell>
          <cell r="AF208" t="str">
            <v/>
          </cell>
          <cell r="AG208" t="str">
            <v/>
          </cell>
          <cell r="AH208" t="str">
            <v/>
          </cell>
          <cell r="AI208" t="str">
            <v/>
          </cell>
          <cell r="AJ208" t="str">
            <v/>
          </cell>
          <cell r="AK208" t="str">
            <v>0,2</v>
          </cell>
          <cell r="AL208" t="str">
            <v>0,4</v>
          </cell>
          <cell r="AM208" t="str">
            <v>0,5</v>
          </cell>
          <cell r="AN208" t="str">
            <v>4,6</v>
          </cell>
          <cell r="AO208" t="str">
            <v>23,6</v>
          </cell>
          <cell r="AP208" t="str">
            <v>29,5</v>
          </cell>
          <cell r="AQ208" t="str">
            <v>5,4</v>
          </cell>
          <cell r="AR208" t="str">
            <v/>
          </cell>
          <cell r="AS208" t="str">
            <v/>
          </cell>
          <cell r="AT208" t="str">
            <v/>
          </cell>
          <cell r="AU208" t="str">
            <v/>
          </cell>
          <cell r="AV208" t="str">
            <v/>
          </cell>
          <cell r="AW208" t="str">
            <v/>
          </cell>
          <cell r="AX208" t="str">
            <v/>
          </cell>
          <cell r="AY208" t="str">
            <v>82</v>
          </cell>
          <cell r="AZ208" t="str">
            <v>702</v>
          </cell>
          <cell r="BA208" t="str">
            <v>685</v>
          </cell>
          <cell r="BB208" t="str">
            <v>67</v>
          </cell>
          <cell r="BC208" t="str">
            <v>230</v>
          </cell>
          <cell r="BD208" t="str">
            <v>230</v>
          </cell>
          <cell r="BE208" t="str">
            <v>230</v>
          </cell>
          <cell r="BF208" t="str">
            <v/>
          </cell>
          <cell r="BG208" t="str">
            <v/>
          </cell>
          <cell r="BH208" t="str">
            <v/>
          </cell>
          <cell r="BI208" t="str">
            <v/>
          </cell>
          <cell r="BJ208" t="str">
            <v/>
          </cell>
          <cell r="BK208" t="str">
            <v/>
          </cell>
          <cell r="BL208" t="str">
            <v/>
          </cell>
          <cell r="BM208" t="str">
            <v>Fuel, Drain, Unusable (5.6 Gal)</v>
          </cell>
          <cell r="BN208" t="str">
            <v>Lavatory Pre-charge Fluid (6.0 Gal)</v>
          </cell>
          <cell r="BO208" t="str">
            <v>Oven Rack</v>
          </cell>
          <cell r="BP208" t="str">
            <v>Oven Tray</v>
          </cell>
          <cell r="BQ208" t="str">
            <v>Lavatory Dry Supplies</v>
          </cell>
          <cell r="BR208" t="str">
            <v>Water, Potable (62.6 Gal)</v>
          </cell>
          <cell r="BS208" t="str">
            <v/>
          </cell>
          <cell r="BT208" t="str">
            <v/>
          </cell>
          <cell r="BU208" t="str">
            <v/>
          </cell>
          <cell r="BV208" t="str">
            <v/>
          </cell>
          <cell r="BW208" t="str">
            <v/>
          </cell>
          <cell r="BX208" t="str">
            <v/>
          </cell>
          <cell r="BY208" t="str">
            <v/>
          </cell>
          <cell r="BZ208" t="str">
            <v/>
          </cell>
          <cell r="CA208" t="str">
            <v/>
          </cell>
          <cell r="CB208" t="str">
            <v>17,3</v>
          </cell>
          <cell r="CC208" t="str">
            <v>22,7</v>
          </cell>
          <cell r="CD208" t="str">
            <v>2,3</v>
          </cell>
          <cell r="CE208" t="str">
            <v>1,6</v>
          </cell>
          <cell r="CF208" t="str">
            <v>4,0</v>
          </cell>
          <cell r="CG208" t="str">
            <v>236,4</v>
          </cell>
          <cell r="CH208" t="str">
            <v/>
          </cell>
          <cell r="CI208" t="str">
            <v/>
          </cell>
          <cell r="CJ208" t="str">
            <v/>
          </cell>
          <cell r="CK208" t="str">
            <v/>
          </cell>
          <cell r="CL208" t="str">
            <v/>
          </cell>
          <cell r="CM208" t="str">
            <v/>
          </cell>
          <cell r="CN208" t="str">
            <v/>
          </cell>
          <cell r="CO208" t="str">
            <v/>
          </cell>
          <cell r="CP208" t="str">
            <v>646</v>
          </cell>
          <cell r="CQ208" t="str">
            <v>1112</v>
          </cell>
          <cell r="CR208" t="str">
            <v>1214</v>
          </cell>
          <cell r="CS208" t="str">
            <v>1214</v>
          </cell>
          <cell r="CT208" t="str">
            <v>1138</v>
          </cell>
          <cell r="CU208" t="str">
            <v>1150</v>
          </cell>
          <cell r="CV208" t="str">
            <v/>
          </cell>
          <cell r="CW208" t="str">
            <v/>
          </cell>
          <cell r="CX208" t="str">
            <v/>
          </cell>
          <cell r="CY208" t="str">
            <v/>
          </cell>
          <cell r="CZ208" t="str">
            <v/>
          </cell>
          <cell r="DA208" t="str">
            <v/>
          </cell>
          <cell r="DB208" t="str">
            <v/>
          </cell>
          <cell r="DC208" t="str">
            <v/>
          </cell>
          <cell r="DD208" t="str">
            <v/>
          </cell>
          <cell r="DE208" t="str">
            <v/>
          </cell>
          <cell r="DF208" t="str">
            <v/>
          </cell>
          <cell r="DH208" t="str">
            <v/>
          </cell>
          <cell r="DN208" t="str">
            <v>17/06/2025</v>
          </cell>
          <cell r="DQ208" t="str">
            <v>Maia</v>
          </cell>
          <cell r="DR208" t="str">
            <v>Danton</v>
          </cell>
          <cell r="DS208" t="str">
            <v>00</v>
          </cell>
          <cell r="DT208" t="str">
            <v>00</v>
          </cell>
          <cell r="DU208" t="str">
            <v>Boeing</v>
          </cell>
          <cell r="DV208" t="str">
            <v>186 Pax + 10 Flight Crew</v>
          </cell>
          <cell r="DW208" t="str">
            <v>GLP-MAX8-001-GRK</v>
          </cell>
          <cell r="FL208" t="str">
            <v/>
          </cell>
          <cell r="FM208" t="str">
            <v/>
          </cell>
          <cell r="FN208" t="str">
            <v/>
          </cell>
          <cell r="FO208" t="str">
            <v/>
          </cell>
          <cell r="FP208" t="str">
            <v/>
          </cell>
          <cell r="FQ208" t="str">
            <v/>
          </cell>
          <cell r="FR208" t="str">
            <v/>
          </cell>
          <cell r="FS208" t="str">
            <v/>
          </cell>
          <cell r="FT208" t="str">
            <v/>
          </cell>
          <cell r="FU208" t="str">
            <v/>
          </cell>
          <cell r="FV208" t="str">
            <v/>
          </cell>
          <cell r="FW208" t="str">
            <v/>
          </cell>
          <cell r="FX208" t="str">
            <v/>
          </cell>
          <cell r="FY208" t="str">
            <v/>
          </cell>
          <cell r="FZ208" t="str">
            <v/>
          </cell>
          <cell r="GA208" t="str">
            <v/>
          </cell>
          <cell r="GB208" t="str">
            <v/>
          </cell>
          <cell r="GC208" t="str">
            <v/>
          </cell>
          <cell r="GD208" t="str">
            <v/>
          </cell>
          <cell r="GE208" t="str">
            <v/>
          </cell>
          <cell r="GF208" t="str">
            <v/>
          </cell>
          <cell r="GG208" t="str">
            <v/>
          </cell>
          <cell r="GH208" t="str">
            <v/>
          </cell>
          <cell r="GI208" t="str">
            <v/>
          </cell>
          <cell r="GJ208" t="str">
            <v/>
          </cell>
          <cell r="GK208" t="str">
            <v/>
          </cell>
          <cell r="GL208" t="str">
            <v/>
          </cell>
          <cell r="GM208" t="str">
            <v/>
          </cell>
          <cell r="GN208" t="str">
            <v/>
          </cell>
        </row>
        <row r="209">
          <cell r="A209" t="str">
            <v>PS-GRL</v>
          </cell>
          <cell r="E209">
            <v>0</v>
          </cell>
          <cell r="F209">
            <v>0</v>
          </cell>
          <cell r="DN209">
            <v>0</v>
          </cell>
        </row>
        <row r="210">
          <cell r="A210" t="str">
            <v>PS-GRL</v>
          </cell>
          <cell r="D210" t="str">
            <v>10/06/2025</v>
          </cell>
          <cell r="E210">
            <v>1</v>
          </cell>
          <cell r="F210">
            <v>0</v>
          </cell>
          <cell r="G210" t="str">
            <v>Seattle, WA - EUA</v>
          </cell>
          <cell r="H210" t="str">
            <v>New Production Aircraft</v>
          </cell>
          <cell r="I210" t="str">
            <v>0</v>
          </cell>
          <cell r="J210" t="str">
            <v>3853,3579</v>
          </cell>
          <cell r="K210" t="str">
            <v>10313,7833</v>
          </cell>
          <cell r="L210" t="str">
            <v>9686,964</v>
          </cell>
          <cell r="M210" t="str">
            <v>10090,1623</v>
          </cell>
          <cell r="N210" t="str">
            <v>10115,5634</v>
          </cell>
          <cell r="O210" t="str">
            <v>0</v>
          </cell>
          <cell r="P210" t="str">
            <v>3853,3579</v>
          </cell>
          <cell r="Q210" t="str">
            <v>10313,7833</v>
          </cell>
          <cell r="R210" t="str">
            <v>9686,964</v>
          </cell>
          <cell r="S210" t="str">
            <v>10090,1623</v>
          </cell>
          <cell r="T210" t="str">
            <v>10115,5634</v>
          </cell>
          <cell r="U210" t="str">
            <v>14,0337</v>
          </cell>
          <cell r="V210" t="str">
            <v>14,0337</v>
          </cell>
          <cell r="W210" t="str">
            <v xml:space="preserve">Down Lock, Nose Gear </v>
          </cell>
          <cell r="X210" t="str">
            <v xml:space="preserve">Down Lock, Main Gear </v>
          </cell>
          <cell r="Y210" t="str">
            <v>Plumb Bob</v>
          </cell>
          <cell r="Z210" t="str">
            <v>Operations Manuals</v>
          </cell>
          <cell r="AA210" t="str">
            <v>Wiring Diagrams</v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  <cell r="AF210" t="str">
            <v/>
          </cell>
          <cell r="AG210" t="str">
            <v/>
          </cell>
          <cell r="AH210" t="str">
            <v/>
          </cell>
          <cell r="AI210" t="str">
            <v/>
          </cell>
          <cell r="AJ210" t="str">
            <v/>
          </cell>
          <cell r="AK210" t="str">
            <v>0,2</v>
          </cell>
          <cell r="AL210" t="str">
            <v>0,4</v>
          </cell>
          <cell r="AM210" t="str">
            <v>0,5</v>
          </cell>
          <cell r="AN210" t="str">
            <v>2,3</v>
          </cell>
          <cell r="AO210" t="str">
            <v>23,6</v>
          </cell>
          <cell r="AP210" t="str">
            <v/>
          </cell>
          <cell r="AQ210" t="str">
            <v/>
          </cell>
          <cell r="AR210" t="str">
            <v/>
          </cell>
          <cell r="AS210" t="str">
            <v/>
          </cell>
          <cell r="AT210" t="str">
            <v/>
          </cell>
          <cell r="AU210" t="str">
            <v/>
          </cell>
          <cell r="AV210" t="str">
            <v/>
          </cell>
          <cell r="AW210" t="str">
            <v/>
          </cell>
          <cell r="AX210" t="str">
            <v/>
          </cell>
          <cell r="AY210" t="str">
            <v>82</v>
          </cell>
          <cell r="AZ210" t="str">
            <v>702</v>
          </cell>
          <cell r="BA210" t="str">
            <v>685</v>
          </cell>
          <cell r="BB210" t="str">
            <v>67</v>
          </cell>
          <cell r="BC210" t="str">
            <v>230</v>
          </cell>
          <cell r="BD210" t="str">
            <v/>
          </cell>
          <cell r="BE210" t="str">
            <v/>
          </cell>
          <cell r="BF210" t="str">
            <v/>
          </cell>
          <cell r="BG210" t="str">
            <v/>
          </cell>
          <cell r="BH210" t="str">
            <v/>
          </cell>
          <cell r="BI210" t="str">
            <v/>
          </cell>
          <cell r="BJ210" t="str">
            <v/>
          </cell>
          <cell r="BK210" t="str">
            <v/>
          </cell>
          <cell r="BL210" t="str">
            <v/>
          </cell>
          <cell r="BM210" t="str">
            <v>Fuel, Drain, Unusable (5.6 Gal)</v>
          </cell>
          <cell r="BN210" t="str">
            <v>Lavatory Pre-charge Fluid (6.0 Gal)</v>
          </cell>
          <cell r="BO210" t="str">
            <v>Lavatory Dry Supplies</v>
          </cell>
          <cell r="BP210" t="str">
            <v>Lavatory Dry Supplies</v>
          </cell>
          <cell r="BQ210" t="str">
            <v>Water, Potable (62.6 Gal)</v>
          </cell>
          <cell r="BR210" t="str">
            <v/>
          </cell>
          <cell r="BS210" t="str">
            <v/>
          </cell>
          <cell r="BT210" t="str">
            <v/>
          </cell>
          <cell r="BU210" t="str">
            <v/>
          </cell>
          <cell r="BV210" t="str">
            <v/>
          </cell>
          <cell r="BW210" t="str">
            <v/>
          </cell>
          <cell r="BX210" t="str">
            <v/>
          </cell>
          <cell r="BY210" t="str">
            <v/>
          </cell>
          <cell r="BZ210" t="str">
            <v/>
          </cell>
          <cell r="CA210" t="str">
            <v/>
          </cell>
          <cell r="CB210" t="str">
            <v>17,3</v>
          </cell>
          <cell r="CC210" t="str">
            <v>22,7</v>
          </cell>
          <cell r="CD210" t="str">
            <v>2,0</v>
          </cell>
          <cell r="CE210" t="str">
            <v>4,0</v>
          </cell>
          <cell r="CF210" t="str">
            <v>236,4</v>
          </cell>
          <cell r="CG210" t="str">
            <v/>
          </cell>
          <cell r="CH210" t="str">
            <v/>
          </cell>
          <cell r="CI210" t="str">
            <v/>
          </cell>
          <cell r="CJ210" t="str">
            <v/>
          </cell>
          <cell r="CK210" t="str">
            <v/>
          </cell>
          <cell r="CL210" t="str">
            <v/>
          </cell>
          <cell r="CM210" t="str">
            <v/>
          </cell>
          <cell r="CN210" t="str">
            <v/>
          </cell>
          <cell r="CO210" t="str">
            <v/>
          </cell>
          <cell r="CP210" t="str">
            <v>646</v>
          </cell>
          <cell r="CQ210" t="str">
            <v>1112</v>
          </cell>
          <cell r="CR210" t="str">
            <v>80</v>
          </cell>
          <cell r="CS210" t="str">
            <v>1138</v>
          </cell>
          <cell r="CT210" t="str">
            <v>1150</v>
          </cell>
          <cell r="CU210" t="str">
            <v/>
          </cell>
          <cell r="CV210" t="str">
            <v/>
          </cell>
          <cell r="CW210" t="str">
            <v/>
          </cell>
          <cell r="CX210" t="str">
            <v/>
          </cell>
          <cell r="CY210" t="str">
            <v/>
          </cell>
          <cell r="CZ210" t="str">
            <v/>
          </cell>
          <cell r="DA210" t="str">
            <v/>
          </cell>
          <cell r="DB210" t="str">
            <v/>
          </cell>
          <cell r="DC210" t="str">
            <v/>
          </cell>
          <cell r="DD210" t="str">
            <v/>
          </cell>
          <cell r="DE210" t="str">
            <v/>
          </cell>
          <cell r="DF210" t="str">
            <v/>
          </cell>
          <cell r="DH210" t="str">
            <v/>
          </cell>
          <cell r="DN210" t="str">
            <v>24/06/2025</v>
          </cell>
          <cell r="DQ210" t="str">
            <v>Maia</v>
          </cell>
          <cell r="DR210" t="str">
            <v>Danton</v>
          </cell>
          <cell r="DS210" t="str">
            <v>0</v>
          </cell>
          <cell r="DT210" t="str">
            <v>0</v>
          </cell>
          <cell r="DU210" t="str">
            <v>Boeing</v>
          </cell>
          <cell r="DV210" t="str">
            <v>186 Pax + 10 Flight Crew</v>
          </cell>
          <cell r="DW210" t="str">
            <v>GLP-MAX8-001-GRL</v>
          </cell>
          <cell r="FL210" t="str">
            <v/>
          </cell>
          <cell r="FM210" t="str">
            <v/>
          </cell>
          <cell r="FN210" t="str">
            <v/>
          </cell>
          <cell r="FO210" t="str">
            <v/>
          </cell>
          <cell r="FP210" t="str">
            <v/>
          </cell>
          <cell r="FQ210" t="str">
            <v/>
          </cell>
          <cell r="FR210" t="str">
            <v/>
          </cell>
          <cell r="FS210" t="str">
            <v/>
          </cell>
          <cell r="FT210" t="str">
            <v/>
          </cell>
          <cell r="FU210" t="str">
            <v/>
          </cell>
          <cell r="FV210" t="str">
            <v/>
          </cell>
          <cell r="FW210" t="str">
            <v/>
          </cell>
          <cell r="FX210" t="str">
            <v/>
          </cell>
          <cell r="FY210" t="str">
            <v/>
          </cell>
          <cell r="FZ210" t="str">
            <v/>
          </cell>
          <cell r="GA210" t="str">
            <v/>
          </cell>
          <cell r="GB210" t="str">
            <v/>
          </cell>
          <cell r="GC210" t="str">
            <v/>
          </cell>
          <cell r="GD210" t="str">
            <v/>
          </cell>
          <cell r="GE210" t="str">
            <v/>
          </cell>
          <cell r="GF210" t="str">
            <v/>
          </cell>
          <cell r="GG210" t="str">
            <v/>
          </cell>
          <cell r="GH210" t="str">
            <v/>
          </cell>
          <cell r="GI210" t="str">
            <v/>
          </cell>
          <cell r="GJ210" t="str">
            <v/>
          </cell>
          <cell r="GK210" t="str">
            <v/>
          </cell>
          <cell r="GL210" t="str">
            <v/>
          </cell>
          <cell r="GM210" t="str">
            <v/>
          </cell>
          <cell r="GN210" t="str">
            <v/>
          </cell>
        </row>
        <row r="211">
          <cell r="A211" t="str">
            <v>PS-GFH</v>
          </cell>
          <cell r="E211">
            <v>0</v>
          </cell>
          <cell r="F211">
            <v>0</v>
          </cell>
          <cell r="DN211">
            <v>0</v>
          </cell>
          <cell r="DQ211" t="str">
            <v>Maia</v>
          </cell>
          <cell r="DS211" t="str">
            <v/>
          </cell>
          <cell r="DT211" t="str">
            <v/>
          </cell>
        </row>
        <row r="212">
          <cell r="A212" t="str">
            <v>PS-GFH</v>
          </cell>
          <cell r="D212" t="str">
            <v>08/04/2023</v>
          </cell>
          <cell r="E212">
            <v>1</v>
          </cell>
          <cell r="F212">
            <v>0</v>
          </cell>
          <cell r="G212" t="str">
            <v>Haikou, China</v>
          </cell>
          <cell r="H212" t="str">
            <v>BCF Conversion</v>
          </cell>
          <cell r="I212" t="str">
            <v>2140</v>
          </cell>
          <cell r="J212" t="str">
            <v>2250</v>
          </cell>
          <cell r="K212" t="str">
            <v>9665</v>
          </cell>
          <cell r="L212" t="str">
            <v>7870</v>
          </cell>
          <cell r="M212" t="str">
            <v>9175</v>
          </cell>
          <cell r="N212" t="str">
            <v>8020</v>
          </cell>
          <cell r="O212" t="str">
            <v>2140</v>
          </cell>
          <cell r="P212" t="str">
            <v>2250</v>
          </cell>
          <cell r="Q212" t="str">
            <v>9670</v>
          </cell>
          <cell r="R212" t="str">
            <v>7860</v>
          </cell>
          <cell r="S212" t="str">
            <v>9185</v>
          </cell>
          <cell r="T212" t="str">
            <v>8020</v>
          </cell>
          <cell r="U212" t="str">
            <v>1,15</v>
          </cell>
          <cell r="V212" t="str">
            <v>0,65</v>
          </cell>
          <cell r="W212" t="str">
            <v xml:space="preserve">Down Lock, Nose Gear </v>
          </cell>
          <cell r="X212" t="str">
            <v xml:space="preserve">Down Lock, Main Gear </v>
          </cell>
          <cell r="Y212" t="str">
            <v>Plumb Bob</v>
          </cell>
          <cell r="Z212" t="str">
            <v/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>0,3</v>
          </cell>
          <cell r="AL212" t="str">
            <v>0,4</v>
          </cell>
          <cell r="AM212" t="str">
            <v>0,5</v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>91</v>
          </cell>
          <cell r="AZ212" t="str">
            <v>702</v>
          </cell>
          <cell r="BA212" t="str">
            <v>685</v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>Fuel, Drain, Unusable (5.6 Gal)</v>
          </cell>
          <cell r="BN212" t="str">
            <v>Lavatory Pre-charge Fluid (6.0 Gal)</v>
          </cell>
          <cell r="BO212" t="str">
            <v>Microphone/Monitor</v>
          </cell>
          <cell r="BP212" t="str">
            <v>Lavatory Dry Supplies</v>
          </cell>
          <cell r="BQ212" t="str">
            <v xml:space="preserve">Water, Potable (42.6 Gal) </v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 t="str">
            <v/>
          </cell>
          <cell r="BY212" t="str">
            <v/>
          </cell>
          <cell r="BZ212" t="str">
            <v/>
          </cell>
          <cell r="CA212" t="str">
            <v/>
          </cell>
          <cell r="CB212" t="str">
            <v>17,3</v>
          </cell>
          <cell r="CC212" t="str">
            <v>22,7</v>
          </cell>
          <cell r="CD212" t="str">
            <v>0,4</v>
          </cell>
          <cell r="CE212" t="str">
            <v>2</v>
          </cell>
          <cell r="CF212" t="str">
            <v>161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>646</v>
          </cell>
          <cell r="CQ212" t="str">
            <v>1112</v>
          </cell>
          <cell r="CR212" t="str">
            <v>26</v>
          </cell>
          <cell r="CS212" t="str">
            <v>89</v>
          </cell>
          <cell r="CT212" t="str">
            <v>1141</v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H212" t="str">
            <v/>
          </cell>
          <cell r="DN212" t="str">
            <v>24/06/2025</v>
          </cell>
          <cell r="DQ212" t="str">
            <v>Maia</v>
          </cell>
          <cell r="DR212" t="str">
            <v>Danton</v>
          </cell>
          <cell r="DS212" t="str">
            <v>1</v>
          </cell>
          <cell r="DT212" t="str">
            <v>0</v>
          </cell>
          <cell r="DU212" t="str">
            <v>GCAM</v>
          </cell>
          <cell r="DV212" t="str">
            <v>(11) 88”x125” ULDs Plus (1) 60.4" x 61.5" ULD</v>
          </cell>
          <cell r="DW212" t="str">
            <v>GLP-BCF-001-GFH</v>
          </cell>
          <cell r="FL212" t="str">
            <v/>
          </cell>
          <cell r="FM212" t="str">
            <v/>
          </cell>
          <cell r="FN212" t="str">
            <v/>
          </cell>
          <cell r="FO212" t="str">
            <v/>
          </cell>
          <cell r="FP212" t="str">
            <v/>
          </cell>
          <cell r="FQ212" t="str">
            <v/>
          </cell>
          <cell r="FR212" t="str">
            <v/>
          </cell>
          <cell r="FS212" t="str">
            <v/>
          </cell>
          <cell r="FT212" t="str">
            <v/>
          </cell>
          <cell r="FU212" t="str">
            <v/>
          </cell>
          <cell r="FV212" t="str">
            <v/>
          </cell>
          <cell r="FW212" t="str">
            <v/>
          </cell>
          <cell r="FX212" t="str">
            <v/>
          </cell>
          <cell r="FY212" t="str">
            <v/>
          </cell>
          <cell r="FZ212" t="str">
            <v/>
          </cell>
          <cell r="GA212" t="str">
            <v/>
          </cell>
          <cell r="GB212" t="str">
            <v/>
          </cell>
          <cell r="GC212" t="str">
            <v/>
          </cell>
          <cell r="GD212" t="str">
            <v/>
          </cell>
          <cell r="GE212" t="str">
            <v/>
          </cell>
          <cell r="GF212" t="str">
            <v/>
          </cell>
          <cell r="GG212" t="str">
            <v/>
          </cell>
          <cell r="GH212" t="str">
            <v/>
          </cell>
          <cell r="GI212" t="str">
            <v/>
          </cell>
          <cell r="GJ212" t="str">
            <v/>
          </cell>
          <cell r="GK212" t="str">
            <v/>
          </cell>
          <cell r="GL212" t="str">
            <v/>
          </cell>
          <cell r="GM212" t="str">
            <v/>
          </cell>
          <cell r="GN212" t="str">
            <v/>
          </cell>
        </row>
        <row r="213">
          <cell r="A213" t="str">
            <v>PR-GGF</v>
          </cell>
          <cell r="D213">
            <v>45664</v>
          </cell>
          <cell r="E213">
            <v>6</v>
          </cell>
          <cell r="F213">
            <v>0</v>
          </cell>
          <cell r="G213" t="str">
            <v>Lagoa Santa, MG - Brazil</v>
          </cell>
          <cell r="H213" t="str">
            <v>5 Years Check</v>
          </cell>
          <cell r="I213" t="str">
            <v>1338</v>
          </cell>
          <cell r="J213" t="str">
            <v>1622</v>
          </cell>
          <cell r="K213" t="str">
            <v>9238</v>
          </cell>
          <cell r="L213" t="str">
            <v>9832</v>
          </cell>
          <cell r="M213" t="str">
            <v>9642</v>
          </cell>
          <cell r="N213" t="str">
            <v>9712</v>
          </cell>
          <cell r="O213" t="str">
            <v>1340</v>
          </cell>
          <cell r="P213" t="str">
            <v>1622</v>
          </cell>
          <cell r="Q213" t="str">
            <v>9240</v>
          </cell>
          <cell r="R213" t="str">
            <v>9832</v>
          </cell>
          <cell r="S213" t="str">
            <v>9666</v>
          </cell>
          <cell r="T213" t="str">
            <v>9674</v>
          </cell>
          <cell r="U213">
            <v>4.7244094488188981</v>
          </cell>
          <cell r="V213">
            <v>3.9370078740157481</v>
          </cell>
          <cell r="W213" t="str">
            <v>Plumb Bob</v>
          </cell>
          <cell r="X213" t="str">
            <v>Down Lock, Nose Gear</v>
          </cell>
          <cell r="Y213" t="str">
            <v>Down Lock, Main Gear</v>
          </cell>
          <cell r="Z213" t="str">
            <v/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>0,5</v>
          </cell>
          <cell r="AL213" t="str">
            <v>0,3</v>
          </cell>
          <cell r="AM213" t="str">
            <v>0,4</v>
          </cell>
          <cell r="AN213" t="str">
            <v>0</v>
          </cell>
          <cell r="AO213" t="str">
            <v>0</v>
          </cell>
          <cell r="AP213" t="str">
            <v>0</v>
          </cell>
          <cell r="AQ213" t="str">
            <v>0</v>
          </cell>
          <cell r="AR213" t="str">
            <v>0</v>
          </cell>
          <cell r="AS213" t="str">
            <v>0</v>
          </cell>
          <cell r="AT213" t="str">
            <v>0</v>
          </cell>
          <cell r="AU213" t="str">
            <v>0</v>
          </cell>
          <cell r="AV213" t="str">
            <v>0</v>
          </cell>
          <cell r="AW213" t="str">
            <v>0</v>
          </cell>
          <cell r="AX213" t="str">
            <v>0</v>
          </cell>
          <cell r="AY213" t="str">
            <v>685</v>
          </cell>
          <cell r="AZ213" t="str">
            <v>91</v>
          </cell>
          <cell r="BA213" t="str">
            <v>702</v>
          </cell>
          <cell r="BB213" t="str">
            <v>0</v>
          </cell>
          <cell r="BC213" t="str">
            <v>0</v>
          </cell>
          <cell r="BD213" t="str">
            <v>0</v>
          </cell>
          <cell r="BE213" t="str">
            <v>0</v>
          </cell>
          <cell r="BF213" t="str">
            <v>0</v>
          </cell>
          <cell r="BG213" t="str">
            <v>0</v>
          </cell>
          <cell r="BH213" t="str">
            <v>0</v>
          </cell>
          <cell r="BI213" t="str">
            <v>0</v>
          </cell>
          <cell r="BJ213" t="str">
            <v>0</v>
          </cell>
          <cell r="BK213" t="str">
            <v>0</v>
          </cell>
          <cell r="BL213" t="str">
            <v>0</v>
          </cell>
          <cell r="BM213" t="str">
            <v>Water, Potable (62.6 Gal)</v>
          </cell>
          <cell r="BN213" t="str">
            <v>Standard Container (2 EA) - Galley #4</v>
          </cell>
          <cell r="BO213" t="str">
            <v>Lavatory Pre-charge Fluid (6.0 Gal)</v>
          </cell>
          <cell r="BP213" t="str">
            <v>Lavatory Dry Supplies</v>
          </cell>
          <cell r="BQ213" t="str">
            <v>Fuel, Drain, Unusable (5.6 Gal)</v>
          </cell>
          <cell r="BR213" t="str">
            <v>Flaps 0 - 40° (Up when weighed)</v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 t="str">
            <v/>
          </cell>
          <cell r="BY213" t="str">
            <v/>
          </cell>
          <cell r="BZ213" t="str">
            <v/>
          </cell>
          <cell r="CA213" t="str">
            <v/>
          </cell>
          <cell r="CB213" t="str">
            <v>236,4</v>
          </cell>
          <cell r="CC213" t="str">
            <v>5,8</v>
          </cell>
          <cell r="CD213" t="str">
            <v>22,7</v>
          </cell>
          <cell r="CE213" t="str">
            <v>4</v>
          </cell>
          <cell r="CF213" t="str">
            <v>17,3</v>
          </cell>
          <cell r="CG213" t="str">
            <v>0</v>
          </cell>
          <cell r="CH213" t="str">
            <v>0</v>
          </cell>
          <cell r="CI213" t="str">
            <v>0</v>
          </cell>
          <cell r="CJ213" t="str">
            <v>0</v>
          </cell>
          <cell r="CK213" t="str">
            <v>0</v>
          </cell>
          <cell r="CL213" t="str">
            <v>0</v>
          </cell>
          <cell r="CM213" t="str">
            <v>0</v>
          </cell>
          <cell r="CN213" t="str">
            <v>0</v>
          </cell>
          <cell r="CO213" t="str">
            <v>0</v>
          </cell>
          <cell r="CP213" t="str">
            <v>1150</v>
          </cell>
          <cell r="CQ213" t="str">
            <v>1219</v>
          </cell>
          <cell r="CR213" t="str">
            <v>1112</v>
          </cell>
          <cell r="CS213" t="str">
            <v>1145</v>
          </cell>
          <cell r="CT213" t="str">
            <v>646</v>
          </cell>
          <cell r="CU213" t="str">
            <v>0</v>
          </cell>
          <cell r="CV213" t="str">
            <v>0</v>
          </cell>
          <cell r="CW213" t="str">
            <v>0</v>
          </cell>
          <cell r="CX213" t="str">
            <v>0</v>
          </cell>
          <cell r="CY213" t="str">
            <v>0</v>
          </cell>
          <cell r="CZ213" t="str">
            <v>0</v>
          </cell>
          <cell r="DA213" t="str">
            <v>0</v>
          </cell>
          <cell r="DB213" t="str">
            <v>0</v>
          </cell>
          <cell r="DC213" t="str">
            <v>0</v>
          </cell>
          <cell r="DN213" t="str">
            <v>01/07/2025</v>
          </cell>
          <cell r="DQ213" t="str">
            <v>Fernando Meirelles</v>
          </cell>
          <cell r="DR213" t="str">
            <v>Maia</v>
          </cell>
          <cell r="DS213" t="str">
            <v>5</v>
          </cell>
          <cell r="DT213" t="str">
            <v>1</v>
          </cell>
          <cell r="DU213" t="str">
            <v>GOL</v>
          </cell>
          <cell r="DV213" t="str">
            <v>186 Pax + 10 Flight Crew</v>
          </cell>
          <cell r="DW213" t="str">
            <v>GLP-800-004-GGF</v>
          </cell>
          <cell r="FL213" t="str">
            <v/>
          </cell>
          <cell r="FM213" t="str">
            <v/>
          </cell>
          <cell r="FN213" t="str">
            <v/>
          </cell>
          <cell r="FO213" t="str">
            <v/>
          </cell>
          <cell r="FP213" t="str">
            <v/>
          </cell>
          <cell r="FQ213" t="str">
            <v/>
          </cell>
          <cell r="FR213" t="str">
            <v/>
          </cell>
          <cell r="FS213" t="str">
            <v/>
          </cell>
          <cell r="FT213" t="str">
            <v/>
          </cell>
          <cell r="FU213" t="str">
            <v/>
          </cell>
          <cell r="FV213" t="str">
            <v/>
          </cell>
          <cell r="FW213" t="str">
            <v/>
          </cell>
          <cell r="FX213" t="str">
            <v/>
          </cell>
          <cell r="FY213" t="str">
            <v/>
          </cell>
          <cell r="FZ213" t="str">
            <v/>
          </cell>
          <cell r="GA213" t="str">
            <v/>
          </cell>
          <cell r="GB213" t="str">
            <v/>
          </cell>
          <cell r="GC213" t="str">
            <v/>
          </cell>
          <cell r="GD213" t="str">
            <v/>
          </cell>
          <cell r="GE213" t="str">
            <v/>
          </cell>
          <cell r="GF213" t="str">
            <v/>
          </cell>
          <cell r="GG213" t="str">
            <v/>
          </cell>
          <cell r="GH213" t="str">
            <v/>
          </cell>
          <cell r="GI213" t="str">
            <v/>
          </cell>
          <cell r="GJ213" t="str">
            <v/>
          </cell>
          <cell r="GK213" t="str">
            <v/>
          </cell>
          <cell r="GL213" t="str">
            <v/>
          </cell>
          <cell r="GM213" t="str">
            <v/>
          </cell>
          <cell r="GN213" t="str">
            <v/>
          </cell>
        </row>
        <row r="214">
          <cell r="A214" t="str">
            <v>PR-GUM</v>
          </cell>
          <cell r="E214">
            <v>6</v>
          </cell>
          <cell r="F214">
            <v>0</v>
          </cell>
          <cell r="DN214">
            <v>0</v>
          </cell>
        </row>
        <row r="215">
          <cell r="A215" t="str">
            <v>PR-GUM</v>
          </cell>
          <cell r="D215" t="str">
            <v>15/07/2025</v>
          </cell>
          <cell r="E215">
            <v>7</v>
          </cell>
          <cell r="F215">
            <v>0</v>
          </cell>
          <cell r="G215" t="str">
            <v>Lagoa Santa, MG - Brazil</v>
          </cell>
          <cell r="H215" t="str">
            <v>Scheduled</v>
          </cell>
          <cell r="I215" t="str">
            <v>1596</v>
          </cell>
          <cell r="J215" t="str">
            <v>1374</v>
          </cell>
          <cell r="K215" t="str">
            <v>9756</v>
          </cell>
          <cell r="L215" t="str">
            <v>9506</v>
          </cell>
          <cell r="M215" t="str">
            <v>10300</v>
          </cell>
          <cell r="N215" t="str">
            <v>8960</v>
          </cell>
          <cell r="O215" t="str">
            <v>1594</v>
          </cell>
          <cell r="P215" t="str">
            <v>1376</v>
          </cell>
          <cell r="Q215" t="str">
            <v>9654</v>
          </cell>
          <cell r="R215" t="str">
            <v>9604</v>
          </cell>
          <cell r="S215" t="str">
            <v>10364</v>
          </cell>
          <cell r="T215" t="str">
            <v>8912</v>
          </cell>
          <cell r="U215">
            <v>5.1181102362204731</v>
          </cell>
          <cell r="V215">
            <v>3.9370078740157481</v>
          </cell>
          <cell r="W215" t="str">
            <v xml:space="preserve">Down Lock, Nose Gear </v>
          </cell>
          <cell r="X215" t="str">
            <v xml:space="preserve">Down Lock, Main Gear </v>
          </cell>
          <cell r="Y215" t="str">
            <v>Plumb Bob</v>
          </cell>
          <cell r="Z215" t="str">
            <v/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>0,3</v>
          </cell>
          <cell r="AL215" t="str">
            <v>0,4</v>
          </cell>
          <cell r="AM215" t="str">
            <v>0,5</v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>82</v>
          </cell>
          <cell r="AZ215" t="str">
            <v>702</v>
          </cell>
          <cell r="BA215" t="str">
            <v>685</v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>Flaps 0 - 40° (Up when weighed)</v>
          </cell>
          <cell r="BN215" t="str">
            <v>Fuel, Drain, Unusable (5.6 Gal)</v>
          </cell>
          <cell r="BO215" t="str">
            <v>Lavatory Dry Supplies</v>
          </cell>
          <cell r="BP215" t="str">
            <v>Lavatory Pre-charge Fluid (6.0 Gal)</v>
          </cell>
          <cell r="BQ215" t="str">
            <v>Water, Potable (62.6 Gal)</v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>0</v>
          </cell>
          <cell r="CC215" t="str">
            <v>17,3</v>
          </cell>
          <cell r="CD215" t="str">
            <v>2</v>
          </cell>
          <cell r="CE215" t="str">
            <v>22,7</v>
          </cell>
          <cell r="CF215" t="str">
            <v>236,4</v>
          </cell>
          <cell r="CG215" t="str">
            <v/>
          </cell>
          <cell r="CH215" t="str">
            <v/>
          </cell>
          <cell r="CI215" t="str">
            <v/>
          </cell>
          <cell r="CJ215" t="str">
            <v/>
          </cell>
          <cell r="CK215" t="str">
            <v/>
          </cell>
          <cell r="CL215" t="str">
            <v/>
          </cell>
          <cell r="CM215" t="str">
            <v/>
          </cell>
          <cell r="CN215" t="str">
            <v/>
          </cell>
          <cell r="CO215" t="str">
            <v/>
          </cell>
          <cell r="CP215" t="str">
            <v>0</v>
          </cell>
          <cell r="CQ215" t="str">
            <v>646</v>
          </cell>
          <cell r="CR215" t="str">
            <v>89</v>
          </cell>
          <cell r="CS215" t="str">
            <v>1112</v>
          </cell>
          <cell r="CT215" t="str">
            <v>1150</v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H215" t="str">
            <v/>
          </cell>
          <cell r="DN215" t="str">
            <v>16/07/2025</v>
          </cell>
          <cell r="DQ215" t="str">
            <v>Fernando Meirelles</v>
          </cell>
          <cell r="DR215" t="str">
            <v>Maia</v>
          </cell>
          <cell r="DS215" t="str">
            <v>6</v>
          </cell>
          <cell r="DT215" t="str">
            <v>0</v>
          </cell>
          <cell r="DU215" t="str">
            <v>GOL</v>
          </cell>
          <cell r="DV215" t="str">
            <v>186 Pax + 10 Flight Crew</v>
          </cell>
          <cell r="DW215" t="str">
            <v xml:space="preserve">GLP-800-004-GUM </v>
          </cell>
          <cell r="FL215" t="str">
            <v/>
          </cell>
          <cell r="FM215" t="str">
            <v/>
          </cell>
          <cell r="FN215" t="str">
            <v/>
          </cell>
          <cell r="FO215" t="str">
            <v/>
          </cell>
          <cell r="FP215" t="str">
            <v/>
          </cell>
          <cell r="FQ215" t="str">
            <v/>
          </cell>
          <cell r="FR215" t="str">
            <v/>
          </cell>
          <cell r="FS215" t="str">
            <v/>
          </cell>
          <cell r="FT215" t="str">
            <v/>
          </cell>
          <cell r="FU215" t="str">
            <v/>
          </cell>
          <cell r="FV215" t="str">
            <v/>
          </cell>
          <cell r="FW215" t="str">
            <v/>
          </cell>
          <cell r="FX215" t="str">
            <v/>
          </cell>
          <cell r="FY215" t="str">
            <v/>
          </cell>
          <cell r="FZ215" t="str">
            <v/>
          </cell>
          <cell r="GA215" t="str">
            <v/>
          </cell>
          <cell r="GB215" t="str">
            <v/>
          </cell>
          <cell r="GC215" t="str">
            <v/>
          </cell>
          <cell r="GD215" t="str">
            <v/>
          </cell>
          <cell r="GE215" t="str">
            <v/>
          </cell>
          <cell r="GF215" t="str">
            <v/>
          </cell>
          <cell r="GG215" t="str">
            <v/>
          </cell>
          <cell r="GH215" t="str">
            <v/>
          </cell>
          <cell r="GI215" t="str">
            <v/>
          </cell>
          <cell r="GJ215" t="str">
            <v/>
          </cell>
          <cell r="GK215" t="str">
            <v/>
          </cell>
          <cell r="GL215" t="str">
            <v/>
          </cell>
          <cell r="GM215" t="str">
            <v/>
          </cell>
          <cell r="GN215" t="str">
            <v/>
          </cell>
        </row>
        <row r="216">
          <cell r="A216" t="str">
            <v>PS-GFH</v>
          </cell>
          <cell r="D216" t="str">
            <v>15/07/2025</v>
          </cell>
          <cell r="E216">
            <v>1</v>
          </cell>
          <cell r="F216">
            <v>0</v>
          </cell>
          <cell r="DN216" t="str">
            <v>15/07/2025</v>
          </cell>
        </row>
        <row r="217">
          <cell r="A217" t="str">
            <v>PS-GFH</v>
          </cell>
          <cell r="D217" t="str">
            <v>15/07/2025</v>
          </cell>
          <cell r="E217">
            <v>2</v>
          </cell>
          <cell r="F217">
            <v>0</v>
          </cell>
          <cell r="G217" t="str">
            <v>Lagoa Santa, MG - Brazil</v>
          </cell>
          <cell r="H217" t="str">
            <v>Scheduled</v>
          </cell>
          <cell r="I217" t="str">
            <v>2002</v>
          </cell>
          <cell r="J217" t="str">
            <v>2406</v>
          </cell>
          <cell r="K217" t="str">
            <v>8944</v>
          </cell>
          <cell r="L217" t="str">
            <v>8528</v>
          </cell>
          <cell r="M217" t="str">
            <v>8084</v>
          </cell>
          <cell r="N217" t="str">
            <v>9260</v>
          </cell>
          <cell r="O217" t="str">
            <v>2002</v>
          </cell>
          <cell r="P217" t="str">
            <v>2408</v>
          </cell>
          <cell r="Q217" t="str">
            <v>9000</v>
          </cell>
          <cell r="R217" t="str">
            <v>8472</v>
          </cell>
          <cell r="S217" t="str">
            <v>8018</v>
          </cell>
          <cell r="T217" t="str">
            <v>9322</v>
          </cell>
          <cell r="U217">
            <v>4.1732283464566935</v>
          </cell>
          <cell r="V217">
            <v>4.2125984251968509</v>
          </cell>
          <cell r="W217" t="str">
            <v xml:space="preserve">Down Lock, Nose Gear </v>
          </cell>
          <cell r="X217" t="str">
            <v xml:space="preserve">Down Lock, Main Gear </v>
          </cell>
          <cell r="Y217" t="str">
            <v>Plumb Bob</v>
          </cell>
          <cell r="Z217" t="str">
            <v/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>0,3</v>
          </cell>
          <cell r="AL217" t="str">
            <v>0,4</v>
          </cell>
          <cell r="AM217" t="str">
            <v>0,5</v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>91</v>
          </cell>
          <cell r="AZ217" t="str">
            <v>702</v>
          </cell>
          <cell r="BA217" t="str">
            <v>685</v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>Flaps 0 - 40° (Up when weighed)</v>
          </cell>
          <cell r="BN217" t="str">
            <v>Fuel, Drain, Unusable (5.6 Gal)</v>
          </cell>
          <cell r="BO217" t="str">
            <v>Lavatory Pre-charge Fluid (6.0 Gal)</v>
          </cell>
          <cell r="BP217" t="str">
            <v>Lavatory Dry Supplies</v>
          </cell>
          <cell r="BQ217" t="str">
            <v>Water, Potable (62.6 Gal)</v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 t="str">
            <v/>
          </cell>
          <cell r="BY217" t="str">
            <v/>
          </cell>
          <cell r="BZ217" t="str">
            <v/>
          </cell>
          <cell r="CA217" t="str">
            <v/>
          </cell>
          <cell r="CB217" t="str">
            <v>0</v>
          </cell>
          <cell r="CC217" t="str">
            <v>17,3</v>
          </cell>
          <cell r="CD217" t="str">
            <v>22,7</v>
          </cell>
          <cell r="CE217" t="str">
            <v>2</v>
          </cell>
          <cell r="CF217" t="str">
            <v>161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>0</v>
          </cell>
          <cell r="CQ217" t="str">
            <v>646</v>
          </cell>
          <cell r="CR217" t="str">
            <v>1112</v>
          </cell>
          <cell r="CS217" t="str">
            <v>89</v>
          </cell>
          <cell r="CT217" t="str">
            <v>1141</v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H217" t="str">
            <v/>
          </cell>
          <cell r="DN217" t="str">
            <v>15/07/2025</v>
          </cell>
          <cell r="DQ217" t="str">
            <v>Fernando Meirelles</v>
          </cell>
          <cell r="DR217" t="str">
            <v>Maia</v>
          </cell>
          <cell r="DS217" t="str">
            <v>1</v>
          </cell>
          <cell r="DT217" t="str">
            <v>0</v>
          </cell>
          <cell r="DU217" t="str">
            <v>GOL</v>
          </cell>
          <cell r="DV217" t="str">
            <v>(11) 88"x125" ULDs Plus (1) 60.4" x 61.5" ULD</v>
          </cell>
          <cell r="DW217" t="str">
            <v>GLP-BCF-001-GFH</v>
          </cell>
          <cell r="FL217" t="str">
            <v/>
          </cell>
          <cell r="FM217" t="str">
            <v/>
          </cell>
          <cell r="FN217" t="str">
            <v/>
          </cell>
          <cell r="FO217" t="str">
            <v/>
          </cell>
          <cell r="FP217" t="str">
            <v/>
          </cell>
          <cell r="FQ217" t="str">
            <v/>
          </cell>
          <cell r="FR217" t="str">
            <v/>
          </cell>
          <cell r="FS217" t="str">
            <v/>
          </cell>
          <cell r="FT217" t="str">
            <v/>
          </cell>
          <cell r="FU217" t="str">
            <v/>
          </cell>
          <cell r="FV217" t="str">
            <v/>
          </cell>
          <cell r="FW217" t="str">
            <v/>
          </cell>
          <cell r="FX217" t="str">
            <v/>
          </cell>
          <cell r="FY217" t="str">
            <v/>
          </cell>
          <cell r="FZ217" t="str">
            <v/>
          </cell>
          <cell r="GA217" t="str">
            <v/>
          </cell>
          <cell r="GB217" t="str">
            <v/>
          </cell>
          <cell r="GC217" t="str">
            <v/>
          </cell>
          <cell r="GD217" t="str">
            <v/>
          </cell>
          <cell r="GE217" t="str">
            <v/>
          </cell>
          <cell r="GF217" t="str">
            <v/>
          </cell>
          <cell r="GG217" t="str">
            <v/>
          </cell>
          <cell r="GH217" t="str">
            <v/>
          </cell>
          <cell r="GI217" t="str">
            <v/>
          </cell>
          <cell r="GJ217" t="str">
            <v/>
          </cell>
          <cell r="GK217" t="str">
            <v/>
          </cell>
          <cell r="GL217" t="str">
            <v/>
          </cell>
          <cell r="GM217" t="str">
            <v/>
          </cell>
          <cell r="GN217" t="str">
            <v/>
          </cell>
        </row>
        <row r="218">
          <cell r="A218" t="str">
            <v>PR-RAU</v>
          </cell>
          <cell r="D218" t="str">
            <v>10/10/2024</v>
          </cell>
          <cell r="E218">
            <v>11</v>
          </cell>
          <cell r="F218">
            <v>0</v>
          </cell>
          <cell r="G218" t="str">
            <v>São José dos Campos, SP - Brazil</v>
          </cell>
          <cell r="H218" t="str">
            <v>New Production Aircraft</v>
          </cell>
          <cell r="I218" t="str">
            <v>2518</v>
          </cell>
          <cell r="J218" t="str">
            <v>2518</v>
          </cell>
          <cell r="K218" t="str">
            <v>9413,5</v>
          </cell>
          <cell r="L218" t="str">
            <v>9413,5</v>
          </cell>
          <cell r="M218" t="str">
            <v>9558,5</v>
          </cell>
          <cell r="N218" t="str">
            <v>9558,5</v>
          </cell>
          <cell r="O218" t="str">
            <v>1518</v>
          </cell>
          <cell r="P218" t="str">
            <v>1518</v>
          </cell>
          <cell r="Q218" t="str">
            <v>9413,5</v>
          </cell>
          <cell r="R218" t="str">
            <v>9413,5</v>
          </cell>
          <cell r="S218" t="str">
            <v>9558,5</v>
          </cell>
          <cell r="T218" t="str">
            <v>9558,5</v>
          </cell>
          <cell r="U218" t="str">
            <v>11</v>
          </cell>
          <cell r="V218" t="str">
            <v>11</v>
          </cell>
          <cell r="W218" t="str">
            <v>Down Lock Nose Gear (1 ea)</v>
          </cell>
          <cell r="X218" t="str">
            <v>Down Lock Main Gear (2 ea)</v>
          </cell>
          <cell r="Y218" t="str">
            <v>Plumb Bob (1 ea)</v>
          </cell>
          <cell r="Z218" t="str">
            <v>Loto Kit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>0,3</v>
          </cell>
          <cell r="AL218" t="str">
            <v>0,4</v>
          </cell>
          <cell r="AM218" t="str">
            <v>0,5</v>
          </cell>
          <cell r="AN218" t="str">
            <v>4</v>
          </cell>
          <cell r="AO218" t="str">
            <v>0</v>
          </cell>
          <cell r="AP218" t="str">
            <v>0</v>
          </cell>
          <cell r="AQ218" t="str">
            <v>0</v>
          </cell>
          <cell r="AR218" t="str">
            <v>0</v>
          </cell>
          <cell r="AS218" t="str">
            <v>0</v>
          </cell>
          <cell r="AT218" t="str">
            <v>0</v>
          </cell>
          <cell r="AU218" t="str">
            <v>0</v>
          </cell>
          <cell r="AV218" t="str">
            <v>0</v>
          </cell>
          <cell r="AW218" t="str">
            <v>0</v>
          </cell>
          <cell r="AX218" t="str">
            <v>0</v>
          </cell>
          <cell r="AY218" t="str">
            <v>91</v>
          </cell>
          <cell r="AZ218" t="str">
            <v>702</v>
          </cell>
          <cell r="BA218" t="str">
            <v>685</v>
          </cell>
          <cell r="BB218" t="str">
            <v>120</v>
          </cell>
          <cell r="BC218" t="str">
            <v>0</v>
          </cell>
          <cell r="BD218" t="str">
            <v>0</v>
          </cell>
          <cell r="BE218" t="str">
            <v>0</v>
          </cell>
          <cell r="BF218" t="str">
            <v>0</v>
          </cell>
          <cell r="BG218" t="str">
            <v>0</v>
          </cell>
          <cell r="BH218" t="str">
            <v>0</v>
          </cell>
          <cell r="BI218" t="str">
            <v>0</v>
          </cell>
          <cell r="BJ218" t="str">
            <v>0</v>
          </cell>
          <cell r="BK218" t="str">
            <v>0</v>
          </cell>
          <cell r="BL218" t="str">
            <v>0</v>
          </cell>
          <cell r="BM218" t="str">
            <v>Flaps 0 - 40° (up when weighed)</v>
          </cell>
          <cell r="BN218" t="str">
            <v>Fuel, Drain., Unusable (5.6 Gal)</v>
          </cell>
          <cell r="BO218" t="str">
            <v>Lavatory Pre-Charge Fluid (6.0 Gal)</v>
          </cell>
          <cell r="BP218" t="str">
            <v>Lavatory Dry Supplies</v>
          </cell>
          <cell r="BQ218" t="str">
            <v>Potable Water (62.6 Gal)</v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 t="str">
            <v/>
          </cell>
          <cell r="BY218" t="str">
            <v/>
          </cell>
          <cell r="BZ218" t="str">
            <v/>
          </cell>
          <cell r="CA218" t="str">
            <v/>
          </cell>
          <cell r="CB218" t="str">
            <v>0</v>
          </cell>
          <cell r="CC218" t="str">
            <v>17,3</v>
          </cell>
          <cell r="CD218" t="str">
            <v>22,7</v>
          </cell>
          <cell r="CE218" t="str">
            <v>4</v>
          </cell>
          <cell r="CF218" t="str">
            <v>236,4</v>
          </cell>
          <cell r="CG218" t="str">
            <v>0</v>
          </cell>
          <cell r="CH218" t="str">
            <v>0</v>
          </cell>
          <cell r="CI218" t="str">
            <v>0</v>
          </cell>
          <cell r="CJ218" t="str">
            <v>0</v>
          </cell>
          <cell r="CK218" t="str">
            <v>0</v>
          </cell>
          <cell r="CL218" t="str">
            <v>0</v>
          </cell>
          <cell r="CM218" t="str">
            <v>0</v>
          </cell>
          <cell r="CN218" t="str">
            <v>0</v>
          </cell>
          <cell r="CO218" t="str">
            <v>0</v>
          </cell>
          <cell r="CP218" t="str">
            <v>0</v>
          </cell>
          <cell r="CQ218" t="str">
            <v>646</v>
          </cell>
          <cell r="CR218" t="str">
            <v>1112</v>
          </cell>
          <cell r="CS218" t="str">
            <v>1145</v>
          </cell>
          <cell r="CT218" t="str">
            <v>1150</v>
          </cell>
          <cell r="CU218" t="str">
            <v>0</v>
          </cell>
          <cell r="CV218" t="str">
            <v>0</v>
          </cell>
          <cell r="CW218" t="str">
            <v>0</v>
          </cell>
          <cell r="CX218" t="str">
            <v>0</v>
          </cell>
          <cell r="CY218" t="str">
            <v>0</v>
          </cell>
          <cell r="CZ218" t="str">
            <v>0</v>
          </cell>
          <cell r="DA218" t="str">
            <v>0</v>
          </cell>
          <cell r="DB218" t="str">
            <v>0</v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H218" t="str">
            <v/>
          </cell>
          <cell r="DN218" t="str">
            <v>22/07/2025</v>
          </cell>
          <cell r="DQ218" t="str">
            <v>Raul</v>
          </cell>
          <cell r="DS218" t="str">
            <v/>
          </cell>
          <cell r="DT218" t="str">
            <v/>
          </cell>
          <cell r="DU218" t="str">
            <v>GOL</v>
          </cell>
          <cell r="DV218" t="str">
            <v>138 Pax + 9 Flight Crew</v>
          </cell>
          <cell r="DW218" t="str">
            <v xml:space="preserve">GLP-800-001-GTH </v>
          </cell>
          <cell r="FL218" t="str">
            <v/>
          </cell>
          <cell r="FM218" t="str">
            <v/>
          </cell>
          <cell r="FN218" t="str">
            <v/>
          </cell>
          <cell r="FO218" t="str">
            <v/>
          </cell>
          <cell r="FP218" t="str">
            <v/>
          </cell>
          <cell r="FQ218" t="str">
            <v/>
          </cell>
          <cell r="FR218" t="str">
            <v/>
          </cell>
          <cell r="FS218" t="str">
            <v/>
          </cell>
          <cell r="FT218" t="str">
            <v/>
          </cell>
          <cell r="FU218" t="str">
            <v/>
          </cell>
          <cell r="FV218" t="str">
            <v/>
          </cell>
          <cell r="FW218" t="str">
            <v/>
          </cell>
          <cell r="FX218" t="str">
            <v/>
          </cell>
          <cell r="FY218" t="str">
            <v/>
          </cell>
          <cell r="FZ218" t="str">
            <v/>
          </cell>
          <cell r="GA218" t="str">
            <v/>
          </cell>
          <cell r="GB218" t="str">
            <v/>
          </cell>
          <cell r="GC218" t="str">
            <v/>
          </cell>
          <cell r="GD218" t="str">
            <v/>
          </cell>
          <cell r="GE218" t="str">
            <v/>
          </cell>
          <cell r="GF218" t="str">
            <v/>
          </cell>
          <cell r="GG218" t="str">
            <v/>
          </cell>
          <cell r="GH218" t="str">
            <v/>
          </cell>
          <cell r="GI218" t="str">
            <v/>
          </cell>
          <cell r="GJ218" t="str">
            <v/>
          </cell>
          <cell r="GK218" t="str">
            <v/>
          </cell>
          <cell r="GL218" t="str">
            <v/>
          </cell>
          <cell r="GM218" t="str">
            <v/>
          </cell>
          <cell r="GN218" t="str">
            <v/>
          </cell>
        </row>
        <row r="219">
          <cell r="A219" t="str">
            <v>PR-RAU</v>
          </cell>
          <cell r="D219" t="str">
            <v>22/07/2025</v>
          </cell>
          <cell r="E219">
            <v>12</v>
          </cell>
          <cell r="F219">
            <v>0</v>
          </cell>
          <cell r="G219" t="str">
            <v>São José dos Campos, SP - Brazil</v>
          </cell>
          <cell r="H219" t="str">
            <v>New Production Aircraft</v>
          </cell>
          <cell r="I219" t="str">
            <v>2518</v>
          </cell>
          <cell r="J219" t="str">
            <v>2518</v>
          </cell>
          <cell r="K219" t="str">
            <v>9413,5</v>
          </cell>
          <cell r="L219" t="str">
            <v>9413,5</v>
          </cell>
          <cell r="M219" t="str">
            <v>9558,5</v>
          </cell>
          <cell r="N219" t="str">
            <v>9558,5</v>
          </cell>
          <cell r="O219" t="str">
            <v>1518</v>
          </cell>
          <cell r="P219" t="str">
            <v>1518</v>
          </cell>
          <cell r="Q219" t="str">
            <v>9413,5</v>
          </cell>
          <cell r="R219" t="str">
            <v>9413,5</v>
          </cell>
          <cell r="S219" t="str">
            <v>9558,5</v>
          </cell>
          <cell r="T219" t="str">
            <v>9558,5</v>
          </cell>
          <cell r="U219" t="str">
            <v>2</v>
          </cell>
          <cell r="V219" t="str">
            <v>2</v>
          </cell>
          <cell r="W219" t="str">
            <v>Down Lock Nose Gear (1 ea)</v>
          </cell>
          <cell r="X219" t="str">
            <v>Down Lock Main Gear (2 ea)</v>
          </cell>
          <cell r="Y219" t="str">
            <v>Plumb Bob (1 ea)</v>
          </cell>
          <cell r="Z219" t="str">
            <v>Loto Kit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>0,3</v>
          </cell>
          <cell r="AL219" t="str">
            <v>0,4</v>
          </cell>
          <cell r="AM219" t="str">
            <v>0,5</v>
          </cell>
          <cell r="AN219" t="str">
            <v>4</v>
          </cell>
          <cell r="AO219" t="str">
            <v>0</v>
          </cell>
          <cell r="AP219" t="str">
            <v>0</v>
          </cell>
          <cell r="AQ219" t="str">
            <v>0</v>
          </cell>
          <cell r="AR219" t="str">
            <v>0</v>
          </cell>
          <cell r="AS219" t="str">
            <v>0</v>
          </cell>
          <cell r="AT219" t="str">
            <v>0</v>
          </cell>
          <cell r="AU219" t="str">
            <v>0</v>
          </cell>
          <cell r="AV219" t="str">
            <v>0</v>
          </cell>
          <cell r="AW219" t="str">
            <v>0</v>
          </cell>
          <cell r="AX219" t="str">
            <v>0</v>
          </cell>
          <cell r="AY219" t="str">
            <v>91</v>
          </cell>
          <cell r="AZ219" t="str">
            <v>702</v>
          </cell>
          <cell r="BA219" t="str">
            <v>685</v>
          </cell>
          <cell r="BB219" t="str">
            <v>120</v>
          </cell>
          <cell r="BC219" t="str">
            <v>0</v>
          </cell>
          <cell r="BD219" t="str">
            <v>0</v>
          </cell>
          <cell r="BE219" t="str">
            <v>0</v>
          </cell>
          <cell r="BF219" t="str">
            <v>0</v>
          </cell>
          <cell r="BG219" t="str">
            <v>0</v>
          </cell>
          <cell r="BH219" t="str">
            <v>0</v>
          </cell>
          <cell r="BI219" t="str">
            <v>0</v>
          </cell>
          <cell r="BJ219" t="str">
            <v>0</v>
          </cell>
          <cell r="BK219" t="str">
            <v>0</v>
          </cell>
          <cell r="BL219" t="str">
            <v>0</v>
          </cell>
          <cell r="BM219" t="str">
            <v>Flaps 0 - 40° (up when weighed)</v>
          </cell>
          <cell r="BN219" t="str">
            <v>Fuel, Drain., Unusable (5.6 Gal)</v>
          </cell>
          <cell r="BO219" t="str">
            <v>Lavatory Pre-Charge Fluid (6.0 Gal)</v>
          </cell>
          <cell r="BP219" t="str">
            <v>Lavatory Dry Supplies</v>
          </cell>
          <cell r="BQ219" t="str">
            <v>Potable Water (62.6 Gal)</v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 t="str">
            <v/>
          </cell>
          <cell r="BY219" t="str">
            <v/>
          </cell>
          <cell r="BZ219" t="str">
            <v/>
          </cell>
          <cell r="CA219" t="str">
            <v/>
          </cell>
          <cell r="CB219" t="str">
            <v>0</v>
          </cell>
          <cell r="CC219" t="str">
            <v>17,3</v>
          </cell>
          <cell r="CD219" t="str">
            <v>22,7</v>
          </cell>
          <cell r="CE219" t="str">
            <v>4</v>
          </cell>
          <cell r="CF219" t="str">
            <v>236,4</v>
          </cell>
          <cell r="CG219" t="str">
            <v>0</v>
          </cell>
          <cell r="CH219" t="str">
            <v>0</v>
          </cell>
          <cell r="CI219" t="str">
            <v>0</v>
          </cell>
          <cell r="CJ219" t="str">
            <v>0</v>
          </cell>
          <cell r="CK219" t="str">
            <v>0</v>
          </cell>
          <cell r="CL219" t="str">
            <v>0</v>
          </cell>
          <cell r="CM219" t="str">
            <v>0</v>
          </cell>
          <cell r="CN219" t="str">
            <v>0</v>
          </cell>
          <cell r="CO219" t="str">
            <v>0</v>
          </cell>
          <cell r="CP219" t="str">
            <v>0</v>
          </cell>
          <cell r="CQ219" t="str">
            <v>646</v>
          </cell>
          <cell r="CR219" t="str">
            <v>1112</v>
          </cell>
          <cell r="CS219" t="str">
            <v>1145</v>
          </cell>
          <cell r="CT219" t="str">
            <v>1150</v>
          </cell>
          <cell r="CU219" t="str">
            <v>0</v>
          </cell>
          <cell r="CV219" t="str">
            <v>0</v>
          </cell>
          <cell r="CW219" t="str">
            <v>0</v>
          </cell>
          <cell r="CX219" t="str">
            <v>0</v>
          </cell>
          <cell r="CY219" t="str">
            <v>0</v>
          </cell>
          <cell r="CZ219" t="str">
            <v>0</v>
          </cell>
          <cell r="DA219" t="str">
            <v>0</v>
          </cell>
          <cell r="DB219" t="str">
            <v>0</v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H219" t="str">
            <v/>
          </cell>
          <cell r="DN219" t="str">
            <v>11/11/2011</v>
          </cell>
          <cell r="DQ219" t="str">
            <v>Raul</v>
          </cell>
          <cell r="DS219" t="str">
            <v/>
          </cell>
          <cell r="DT219" t="str">
            <v/>
          </cell>
          <cell r="DU219" t="str">
            <v>GOL</v>
          </cell>
          <cell r="DV219" t="str">
            <v>138 Pax + 9 Flight Crew</v>
          </cell>
          <cell r="DW219" t="str">
            <v xml:space="preserve">GLP-800-001-GTH </v>
          </cell>
          <cell r="FL219" t="str">
            <v/>
          </cell>
          <cell r="FM219" t="str">
            <v/>
          </cell>
          <cell r="FN219" t="str">
            <v/>
          </cell>
          <cell r="FO219" t="str">
            <v/>
          </cell>
          <cell r="FP219" t="str">
            <v/>
          </cell>
          <cell r="FQ219" t="str">
            <v/>
          </cell>
          <cell r="FR219" t="str">
            <v/>
          </cell>
          <cell r="FS219" t="str">
            <v/>
          </cell>
          <cell r="FT219" t="str">
            <v/>
          </cell>
          <cell r="FU219" t="str">
            <v/>
          </cell>
          <cell r="FV219" t="str">
            <v/>
          </cell>
          <cell r="FW219" t="str">
            <v/>
          </cell>
          <cell r="FX219" t="str">
            <v/>
          </cell>
          <cell r="FY219" t="str">
            <v/>
          </cell>
          <cell r="FZ219" t="str">
            <v/>
          </cell>
          <cell r="GA219" t="str">
            <v/>
          </cell>
          <cell r="GB219" t="str">
            <v/>
          </cell>
          <cell r="GC219" t="str">
            <v/>
          </cell>
          <cell r="GD219" t="str">
            <v/>
          </cell>
          <cell r="GE219" t="str">
            <v/>
          </cell>
          <cell r="GF219" t="str">
            <v/>
          </cell>
          <cell r="GG219" t="str">
            <v/>
          </cell>
          <cell r="GH219" t="str">
            <v/>
          </cell>
          <cell r="GI219" t="str">
            <v/>
          </cell>
          <cell r="GJ219" t="str">
            <v/>
          </cell>
          <cell r="GK219" t="str">
            <v/>
          </cell>
          <cell r="GL219" t="str">
            <v/>
          </cell>
          <cell r="GM219" t="str">
            <v/>
          </cell>
          <cell r="GN219" t="str">
            <v/>
          </cell>
        </row>
        <row r="220">
          <cell r="A220" t="str">
            <v>PR-RAU</v>
          </cell>
          <cell r="D220" t="str">
            <v>11/11/2011</v>
          </cell>
          <cell r="E220">
            <v>13</v>
          </cell>
          <cell r="F220">
            <v>0</v>
          </cell>
          <cell r="G220" t="str">
            <v>São José dos Campos, SP - Brazil</v>
          </cell>
          <cell r="H220" t="str">
            <v>New Production Aircraft</v>
          </cell>
          <cell r="I220" t="str">
            <v>2518</v>
          </cell>
          <cell r="J220" t="str">
            <v>2518</v>
          </cell>
          <cell r="K220" t="str">
            <v>9413,5</v>
          </cell>
          <cell r="L220" t="str">
            <v>9413,5</v>
          </cell>
          <cell r="M220" t="str">
            <v>9558,5</v>
          </cell>
          <cell r="N220" t="str">
            <v>9558,5</v>
          </cell>
          <cell r="O220" t="str">
            <v>1518</v>
          </cell>
          <cell r="P220" t="str">
            <v>1518</v>
          </cell>
          <cell r="Q220" t="str">
            <v>9413,5</v>
          </cell>
          <cell r="R220" t="str">
            <v>9413,5</v>
          </cell>
          <cell r="S220" t="str">
            <v>9558,5</v>
          </cell>
          <cell r="T220" t="str">
            <v>9558,5</v>
          </cell>
          <cell r="U220">
            <v>5.1181102362204731</v>
          </cell>
          <cell r="V220">
            <v>5.1181102362204731</v>
          </cell>
          <cell r="W220" t="str">
            <v>Down Lock Nose Gear (1 ea)</v>
          </cell>
          <cell r="X220" t="str">
            <v>Down Lock Main Gear (2 ea)</v>
          </cell>
          <cell r="Y220" t="str">
            <v>Plumb Bob (1 ea)</v>
          </cell>
          <cell r="Z220" t="str">
            <v>Loto Kit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>0,3</v>
          </cell>
          <cell r="AL220" t="str">
            <v>0,4</v>
          </cell>
          <cell r="AM220" t="str">
            <v>0,5</v>
          </cell>
          <cell r="AN220" t="str">
            <v>4</v>
          </cell>
          <cell r="AO220" t="str">
            <v>0</v>
          </cell>
          <cell r="AP220" t="str">
            <v>0</v>
          </cell>
          <cell r="AQ220" t="str">
            <v>0</v>
          </cell>
          <cell r="AR220" t="str">
            <v>0</v>
          </cell>
          <cell r="AS220" t="str">
            <v>0</v>
          </cell>
          <cell r="AT220" t="str">
            <v>0</v>
          </cell>
          <cell r="AU220" t="str">
            <v>0</v>
          </cell>
          <cell r="AV220" t="str">
            <v>0</v>
          </cell>
          <cell r="AW220" t="str">
            <v>0</v>
          </cell>
          <cell r="AX220" t="str">
            <v>0</v>
          </cell>
          <cell r="AY220" t="str">
            <v>91</v>
          </cell>
          <cell r="AZ220" t="str">
            <v>702</v>
          </cell>
          <cell r="BA220" t="str">
            <v>685</v>
          </cell>
          <cell r="BB220" t="str">
            <v>120</v>
          </cell>
          <cell r="BC220" t="str">
            <v>0</v>
          </cell>
          <cell r="BD220" t="str">
            <v>0</v>
          </cell>
          <cell r="BE220" t="str">
            <v>0</v>
          </cell>
          <cell r="BF220" t="str">
            <v>0</v>
          </cell>
          <cell r="BG220" t="str">
            <v>0</v>
          </cell>
          <cell r="BH220" t="str">
            <v>0</v>
          </cell>
          <cell r="BI220" t="str">
            <v>0</v>
          </cell>
          <cell r="BJ220" t="str">
            <v>0</v>
          </cell>
          <cell r="BK220" t="str">
            <v>0</v>
          </cell>
          <cell r="BL220" t="str">
            <v>0</v>
          </cell>
          <cell r="BM220" t="str">
            <v>Flaps 0 - 40° (up when weighed)</v>
          </cell>
          <cell r="BN220" t="str">
            <v>Fuel, Drain., Unusable (5.6 Gal)</v>
          </cell>
          <cell r="BO220" t="str">
            <v>Lavatory Pre-Charge Fluid (6.0 Gal)</v>
          </cell>
          <cell r="BP220" t="str">
            <v>Lavatory Dry Supplies</v>
          </cell>
          <cell r="BQ220" t="str">
            <v>Potable Water (62.6 Gal)</v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 t="str">
            <v>0</v>
          </cell>
          <cell r="CC220" t="str">
            <v>17,3</v>
          </cell>
          <cell r="CD220" t="str">
            <v>22,7</v>
          </cell>
          <cell r="CE220" t="str">
            <v>4</v>
          </cell>
          <cell r="CF220" t="str">
            <v>236,4</v>
          </cell>
          <cell r="CG220" t="str">
            <v>0</v>
          </cell>
          <cell r="CH220" t="str">
            <v>0</v>
          </cell>
          <cell r="CI220" t="str">
            <v>0</v>
          </cell>
          <cell r="CJ220" t="str">
            <v>0</v>
          </cell>
          <cell r="CK220" t="str">
            <v>0</v>
          </cell>
          <cell r="CL220" t="str">
            <v>0</v>
          </cell>
          <cell r="CM220" t="str">
            <v>0</v>
          </cell>
          <cell r="CN220" t="str">
            <v>0</v>
          </cell>
          <cell r="CO220" t="str">
            <v>0</v>
          </cell>
          <cell r="CP220" t="str">
            <v>0</v>
          </cell>
          <cell r="CQ220" t="str">
            <v>646</v>
          </cell>
          <cell r="CR220" t="str">
            <v>1112</v>
          </cell>
          <cell r="CS220" t="str">
            <v>1145</v>
          </cell>
          <cell r="CT220" t="str">
            <v>1150</v>
          </cell>
          <cell r="CU220" t="str">
            <v>0</v>
          </cell>
          <cell r="CV220" t="str">
            <v>0</v>
          </cell>
          <cell r="CW220" t="str">
            <v>0</v>
          </cell>
          <cell r="CX220" t="str">
            <v>0</v>
          </cell>
          <cell r="CY220" t="str">
            <v>0</v>
          </cell>
          <cell r="CZ220" t="str">
            <v>0</v>
          </cell>
          <cell r="DA220" t="str">
            <v>0</v>
          </cell>
          <cell r="DB220" t="str">
            <v>0</v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H220" t="str">
            <v/>
          </cell>
          <cell r="DN220" t="str">
            <v>11/11/2011</v>
          </cell>
          <cell r="DQ220" t="str">
            <v>Raul</v>
          </cell>
          <cell r="DS220" t="str">
            <v/>
          </cell>
          <cell r="DT220" t="str">
            <v/>
          </cell>
          <cell r="DU220" t="str">
            <v>GOL</v>
          </cell>
          <cell r="DV220" t="str">
            <v>138 Pax + 9 Flight Crew</v>
          </cell>
          <cell r="DW220" t="str">
            <v xml:space="preserve">GLP-800-001-GTH </v>
          </cell>
          <cell r="FL220" t="str">
            <v/>
          </cell>
          <cell r="FM220" t="str">
            <v/>
          </cell>
          <cell r="FN220" t="str">
            <v/>
          </cell>
          <cell r="FO220" t="str">
            <v/>
          </cell>
          <cell r="FP220" t="str">
            <v/>
          </cell>
          <cell r="FQ220" t="str">
            <v/>
          </cell>
          <cell r="FR220" t="str">
            <v/>
          </cell>
          <cell r="FS220" t="str">
            <v/>
          </cell>
          <cell r="FT220" t="str">
            <v/>
          </cell>
          <cell r="FU220" t="str">
            <v/>
          </cell>
          <cell r="FV220" t="str">
            <v/>
          </cell>
          <cell r="FW220" t="str">
            <v/>
          </cell>
          <cell r="FX220" t="str">
            <v/>
          </cell>
          <cell r="FY220" t="str">
            <v/>
          </cell>
          <cell r="FZ220" t="str">
            <v/>
          </cell>
          <cell r="GA220" t="str">
            <v/>
          </cell>
          <cell r="GB220" t="str">
            <v/>
          </cell>
          <cell r="GC220" t="str">
            <v/>
          </cell>
          <cell r="GD220" t="str">
            <v/>
          </cell>
          <cell r="GE220" t="str">
            <v/>
          </cell>
          <cell r="GF220" t="str">
            <v/>
          </cell>
          <cell r="GG220" t="str">
            <v/>
          </cell>
          <cell r="GH220" t="str">
            <v/>
          </cell>
          <cell r="GI220" t="str">
            <v/>
          </cell>
          <cell r="GJ220" t="str">
            <v/>
          </cell>
          <cell r="GK220" t="str">
            <v/>
          </cell>
          <cell r="GL220" t="str">
            <v/>
          </cell>
          <cell r="GM220" t="str">
            <v/>
          </cell>
          <cell r="GN220" t="str">
            <v/>
          </cell>
        </row>
        <row r="221">
          <cell r="A221" t="str">
            <v>PR-XMF</v>
          </cell>
          <cell r="E221">
            <v>2</v>
          </cell>
          <cell r="F221">
            <v>0</v>
          </cell>
          <cell r="DN221">
            <v>0</v>
          </cell>
        </row>
        <row r="222">
          <cell r="A222" t="str">
            <v>PR-XMF</v>
          </cell>
          <cell r="D222" t="str">
            <v>1/12/2023</v>
          </cell>
          <cell r="E222">
            <v>2</v>
          </cell>
          <cell r="F222">
            <v>1</v>
          </cell>
          <cell r="G222" t="str">
            <v>Lagoa Santa, MG - Brazil</v>
          </cell>
          <cell r="H222" t="str">
            <v>Scheduled</v>
          </cell>
          <cell r="I222" t="str">
            <v>2148</v>
          </cell>
          <cell r="J222" t="str">
            <v>1570</v>
          </cell>
          <cell r="K222" t="str">
            <v>9364</v>
          </cell>
          <cell r="L222" t="str">
            <v>10744</v>
          </cell>
          <cell r="M222" t="str">
            <v>10668</v>
          </cell>
          <cell r="N222" t="str">
            <v>9542</v>
          </cell>
          <cell r="O222" t="str">
            <v>2170</v>
          </cell>
          <cell r="P222" t="str">
            <v>1548</v>
          </cell>
          <cell r="Q222" t="str">
            <v>9292</v>
          </cell>
          <cell r="R222" t="str">
            <v>10822</v>
          </cell>
          <cell r="S222" t="str">
            <v>10744</v>
          </cell>
          <cell r="T222" t="str">
            <v>9470</v>
          </cell>
          <cell r="U222">
            <v>3.5433070866141736</v>
          </cell>
          <cell r="V222">
            <v>3.5433070866141736</v>
          </cell>
          <cell r="W222" t="str">
            <v xml:space="preserve">Down Lock, Nose Gear </v>
          </cell>
          <cell r="X222" t="str">
            <v xml:space="preserve">Down Lock, Main Gear </v>
          </cell>
          <cell r="Y222" t="str">
            <v>Plumb Bob</v>
          </cell>
          <cell r="Z222" t="str">
            <v/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>0,3</v>
          </cell>
          <cell r="AL222" t="str">
            <v>0,4</v>
          </cell>
          <cell r="AM222" t="str">
            <v>0,5</v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>82</v>
          </cell>
          <cell r="AZ222" t="str">
            <v>702</v>
          </cell>
          <cell r="BA222" t="str">
            <v>685</v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>Flaps 0 - 40° (Up when weighed)</v>
          </cell>
          <cell r="BN222" t="str">
            <v>Fuel, Drain, Unusable (5.6 Gal)</v>
          </cell>
          <cell r="BO222" t="str">
            <v>Lavatory Pre-charge Fluid (6.0 Gal)</v>
          </cell>
          <cell r="BP222" t="str">
            <v>Lavatory Dry Supplies</v>
          </cell>
          <cell r="BQ222" t="str">
            <v>Water, Potable (62.6 Gal)</v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>17,3</v>
          </cell>
          <cell r="CD222" t="str">
            <v>22,7</v>
          </cell>
          <cell r="CE222" t="str">
            <v>4</v>
          </cell>
          <cell r="CF222" t="str">
            <v>236,4</v>
          </cell>
          <cell r="CG222" t="str">
            <v/>
          </cell>
          <cell r="CH222" t="str">
            <v/>
          </cell>
          <cell r="CI222" t="str">
            <v/>
          </cell>
          <cell r="CJ222" t="str">
            <v/>
          </cell>
          <cell r="CK222" t="str">
            <v/>
          </cell>
          <cell r="CL222" t="str">
            <v/>
          </cell>
          <cell r="CM222" t="str">
            <v/>
          </cell>
          <cell r="CN222" t="str">
            <v/>
          </cell>
          <cell r="CO222" t="str">
            <v/>
          </cell>
          <cell r="CP222" t="str">
            <v/>
          </cell>
          <cell r="CQ222" t="str">
            <v>646</v>
          </cell>
          <cell r="CR222" t="str">
            <v>1112</v>
          </cell>
          <cell r="CS222" t="str">
            <v>1138</v>
          </cell>
          <cell r="CT222" t="str">
            <v>1150</v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>Revision 1 was issued to remove the Level Correction</v>
          </cell>
          <cell r="DE222" t="str">
            <v/>
          </cell>
          <cell r="DF222" t="str">
            <v/>
          </cell>
          <cell r="DH222" t="str">
            <v/>
          </cell>
          <cell r="DN222" t="str">
            <v>01/08/2025</v>
          </cell>
          <cell r="DQ222" t="str">
            <v>Fernando Araujo</v>
          </cell>
          <cell r="DR222" t="str">
            <v>Danton</v>
          </cell>
          <cell r="DS222" t="str">
            <v>2</v>
          </cell>
          <cell r="DT222" t="str">
            <v>0</v>
          </cell>
          <cell r="DU222" t="str">
            <v>GOL</v>
          </cell>
          <cell r="DV222" t="str">
            <v>186 Pax + 10 Flight Crew</v>
          </cell>
          <cell r="DW222" t="str">
            <v>GLP-MAX8-001-XMF</v>
          </cell>
          <cell r="FL222" t="str">
            <v/>
          </cell>
          <cell r="FM222" t="str">
            <v/>
          </cell>
          <cell r="FN222" t="str">
            <v/>
          </cell>
          <cell r="FO222" t="str">
            <v/>
          </cell>
          <cell r="FP222" t="str">
            <v/>
          </cell>
          <cell r="FQ222" t="str">
            <v/>
          </cell>
          <cell r="FR222" t="str">
            <v/>
          </cell>
          <cell r="FS222" t="str">
            <v/>
          </cell>
          <cell r="FT222" t="str">
            <v/>
          </cell>
          <cell r="FU222" t="str">
            <v/>
          </cell>
          <cell r="FV222" t="str">
            <v/>
          </cell>
          <cell r="FW222" t="str">
            <v/>
          </cell>
          <cell r="FX222" t="str">
            <v/>
          </cell>
          <cell r="FY222" t="str">
            <v/>
          </cell>
          <cell r="FZ222" t="str">
            <v/>
          </cell>
          <cell r="GA222" t="str">
            <v/>
          </cell>
          <cell r="GB222" t="str">
            <v/>
          </cell>
          <cell r="GC222" t="str">
            <v/>
          </cell>
          <cell r="GD222" t="str">
            <v/>
          </cell>
          <cell r="GE222" t="str">
            <v/>
          </cell>
          <cell r="GF222" t="str">
            <v/>
          </cell>
          <cell r="GG222" t="str">
            <v/>
          </cell>
          <cell r="GH222" t="str">
            <v/>
          </cell>
          <cell r="GI222" t="str">
            <v/>
          </cell>
          <cell r="GJ222" t="str">
            <v/>
          </cell>
          <cell r="GK222" t="str">
            <v/>
          </cell>
          <cell r="GL222" t="str">
            <v/>
          </cell>
          <cell r="GM222" t="str">
            <v/>
          </cell>
          <cell r="GN222" t="str">
            <v/>
          </cell>
        </row>
        <row r="223">
          <cell r="A223" t="str">
            <v>PS-GRM</v>
          </cell>
          <cell r="D223" t="str">
            <v>21/08/2025</v>
          </cell>
          <cell r="E223">
            <v>1</v>
          </cell>
          <cell r="F223">
            <v>0</v>
          </cell>
          <cell r="G223" t="str">
            <v>Victorville, CA - EUA</v>
          </cell>
          <cell r="H223" t="str">
            <v>New Production Aircraft</v>
          </cell>
          <cell r="I223" t="str">
            <v>3722,63</v>
          </cell>
          <cell r="J223" t="str">
            <v>0</v>
          </cell>
          <cell r="K223" t="str">
            <v>10325,67</v>
          </cell>
          <cell r="L223" t="str">
            <v>9858,33</v>
          </cell>
          <cell r="M223" t="str">
            <v>9448,65</v>
          </cell>
          <cell r="N223" t="str">
            <v>10688,59</v>
          </cell>
          <cell r="O223" t="str">
            <v>3722,63</v>
          </cell>
          <cell r="P223" t="str">
            <v>0</v>
          </cell>
          <cell r="Q223" t="str">
            <v>10325,67</v>
          </cell>
          <cell r="R223" t="str">
            <v>9858,33</v>
          </cell>
          <cell r="S223" t="str">
            <v>9448,65</v>
          </cell>
          <cell r="T223" t="str">
            <v>10688,59</v>
          </cell>
          <cell r="U223" t="str">
            <v>4,83</v>
          </cell>
          <cell r="V223" t="str">
            <v>4,06</v>
          </cell>
          <cell r="W223" t="str">
            <v xml:space="preserve">Down Lock, Nose Gear </v>
          </cell>
          <cell r="X223" t="str">
            <v xml:space="preserve">Down Lock, Main Gear </v>
          </cell>
          <cell r="Y223" t="str">
            <v>Plumb Bob</v>
          </cell>
          <cell r="Z223" t="str">
            <v>Operations Manuals</v>
          </cell>
          <cell r="AA223" t="str">
            <v>Production Flight Emergency Equipment</v>
          </cell>
          <cell r="AB223" t="str">
            <v>Defibrillator</v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>0,2</v>
          </cell>
          <cell r="AL223" t="str">
            <v>0,4</v>
          </cell>
          <cell r="AM223" t="str">
            <v>0,5</v>
          </cell>
          <cell r="AN223" t="str">
            <v>2,3</v>
          </cell>
          <cell r="AO223" t="str">
            <v>29,5</v>
          </cell>
          <cell r="AP223" t="str">
            <v>5,4</v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>82</v>
          </cell>
          <cell r="AZ223" t="str">
            <v>702</v>
          </cell>
          <cell r="BA223" t="str">
            <v>685</v>
          </cell>
          <cell r="BB223" t="str">
            <v>67</v>
          </cell>
          <cell r="BC223" t="str">
            <v>230</v>
          </cell>
          <cell r="BD223" t="str">
            <v>230</v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>Fuel, Drain, Unusable (5.6 Gal)</v>
          </cell>
          <cell r="BN223" t="str">
            <v>Lavatory Pre-charge Fluid (6.0 Gal)</v>
          </cell>
          <cell r="BO223" t="str">
            <v>Lavatory Dry Supplies</v>
          </cell>
          <cell r="BP223" t="str">
            <v>Flaps 0 - 40° (Up when weighed)</v>
          </cell>
          <cell r="BQ223" t="str">
            <v>Water, Potable (62.6 Gal)</v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>17,3</v>
          </cell>
          <cell r="CC223" t="str">
            <v>22,7</v>
          </cell>
          <cell r="CD223" t="str">
            <v>4</v>
          </cell>
          <cell r="CE223" t="str">
            <v>0</v>
          </cell>
          <cell r="CF223" t="str">
            <v>236,4</v>
          </cell>
          <cell r="CG223" t="str">
            <v/>
          </cell>
          <cell r="CH223" t="str">
            <v/>
          </cell>
          <cell r="CI223" t="str">
            <v/>
          </cell>
          <cell r="CJ223" t="str">
            <v/>
          </cell>
          <cell r="CK223" t="str">
            <v/>
          </cell>
          <cell r="CL223" t="str">
            <v/>
          </cell>
          <cell r="CM223" t="str">
            <v/>
          </cell>
          <cell r="CN223" t="str">
            <v/>
          </cell>
          <cell r="CO223" t="str">
            <v/>
          </cell>
          <cell r="CP223" t="str">
            <v>646</v>
          </cell>
          <cell r="CQ223" t="str">
            <v>1112</v>
          </cell>
          <cell r="CR223" t="str">
            <v>1138</v>
          </cell>
          <cell r="CS223" t="str">
            <v>6190</v>
          </cell>
          <cell r="CT223" t="str">
            <v>1150</v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H223" t="str">
            <v/>
          </cell>
          <cell r="DN223" t="str">
            <v>09/09/2025</v>
          </cell>
          <cell r="DQ223" t="str">
            <v>Danton</v>
          </cell>
          <cell r="DR223" t="str">
            <v>Maia</v>
          </cell>
          <cell r="DS223" t="str">
            <v>1</v>
          </cell>
          <cell r="DT223" t="str">
            <v>0</v>
          </cell>
          <cell r="DU223" t="str">
            <v>Boeing</v>
          </cell>
          <cell r="DV223" t="str">
            <v>186 Pax + 10 Flight Crew</v>
          </cell>
          <cell r="DW223" t="str">
            <v>GLP-MAX8-001-GRM</v>
          </cell>
          <cell r="FL223" t="str">
            <v/>
          </cell>
          <cell r="FM223" t="str">
            <v/>
          </cell>
          <cell r="FN223" t="str">
            <v/>
          </cell>
          <cell r="FO223" t="str">
            <v/>
          </cell>
          <cell r="FP223" t="str">
            <v/>
          </cell>
          <cell r="FQ223" t="str">
            <v/>
          </cell>
          <cell r="FR223" t="str">
            <v/>
          </cell>
          <cell r="FS223" t="str">
            <v/>
          </cell>
          <cell r="FT223" t="str">
            <v/>
          </cell>
          <cell r="FU223" t="str">
            <v/>
          </cell>
          <cell r="FV223" t="str">
            <v/>
          </cell>
          <cell r="FW223" t="str">
            <v/>
          </cell>
          <cell r="FX223" t="str">
            <v/>
          </cell>
          <cell r="FY223" t="str">
            <v/>
          </cell>
          <cell r="FZ223" t="str">
            <v/>
          </cell>
          <cell r="GA223" t="str">
            <v/>
          </cell>
          <cell r="GB223" t="str">
            <v/>
          </cell>
          <cell r="GC223" t="str">
            <v/>
          </cell>
          <cell r="GD223" t="str">
            <v/>
          </cell>
          <cell r="GE223" t="str">
            <v/>
          </cell>
          <cell r="GF223" t="str">
            <v/>
          </cell>
          <cell r="GG223" t="str">
            <v/>
          </cell>
          <cell r="GH223" t="str">
            <v/>
          </cell>
          <cell r="GI223" t="str">
            <v/>
          </cell>
          <cell r="GJ223" t="str">
            <v/>
          </cell>
          <cell r="GK223" t="str">
            <v/>
          </cell>
          <cell r="GL223" t="str">
            <v/>
          </cell>
          <cell r="GM223" t="str">
            <v/>
          </cell>
          <cell r="GN223" t="str">
            <v/>
          </cell>
        </row>
        <row r="224">
          <cell r="A224" t="str">
            <v>PR-GKA</v>
          </cell>
          <cell r="E224">
            <v>0</v>
          </cell>
          <cell r="F224">
            <v>0</v>
          </cell>
          <cell r="DN224">
            <v>0</v>
          </cell>
        </row>
        <row r="225">
          <cell r="A225" t="str">
            <v>PR-XMK</v>
          </cell>
          <cell r="D225">
            <v>45843</v>
          </cell>
          <cell r="E225">
            <v>2</v>
          </cell>
          <cell r="F225">
            <v>1</v>
          </cell>
          <cell r="G225" t="str">
            <v>Lagoa Santa, MG - Brazil</v>
          </cell>
          <cell r="H225" t="str">
            <v>Scheduled</v>
          </cell>
          <cell r="I225" t="str">
            <v>1838</v>
          </cell>
          <cell r="J225" t="str">
            <v>1772</v>
          </cell>
          <cell r="K225" t="str">
            <v>10104</v>
          </cell>
          <cell r="L225" t="str">
            <v>10270</v>
          </cell>
          <cell r="M225" t="str">
            <v>10440</v>
          </cell>
          <cell r="N225" t="str">
            <v>10110</v>
          </cell>
          <cell r="O225" t="str">
            <v>1838</v>
          </cell>
          <cell r="P225" t="str">
            <v>1772</v>
          </cell>
          <cell r="Q225" t="str">
            <v>10124</v>
          </cell>
          <cell r="R225" t="str">
            <v>10254</v>
          </cell>
          <cell r="S225" t="str">
            <v>10422</v>
          </cell>
          <cell r="T225" t="str">
            <v>10130</v>
          </cell>
          <cell r="U225">
            <v>0.20150000000000001</v>
          </cell>
          <cell r="V225">
            <v>0.193751968503937</v>
          </cell>
          <cell r="W225" t="str">
            <v>Down Lock, Nose Gear</v>
          </cell>
          <cell r="X225" t="str">
            <v>Down Lock, Main Gear</v>
          </cell>
          <cell r="Y225" t="str">
            <v>Plumb Bob</v>
          </cell>
          <cell r="Z225" t="str">
            <v>Seats Removal (186 Pax) LOPA Rev 01</v>
          </cell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  <cell r="AG225" t="str">
            <v/>
          </cell>
          <cell r="AH225" t="str">
            <v/>
          </cell>
          <cell r="AI225" t="str">
            <v/>
          </cell>
          <cell r="AJ225" t="str">
            <v/>
          </cell>
          <cell r="AK225" t="str">
            <v>0,3</v>
          </cell>
          <cell r="AL225" t="str">
            <v>0,4</v>
          </cell>
          <cell r="AM225" t="str">
            <v>0,5</v>
          </cell>
          <cell r="AN225" t="str">
            <v>2457,32</v>
          </cell>
          <cell r="AO225" t="str">
            <v>0</v>
          </cell>
          <cell r="AP225" t="str">
            <v>0</v>
          </cell>
          <cell r="AQ225" t="str">
            <v>0</v>
          </cell>
          <cell r="AR225" t="str">
            <v>0</v>
          </cell>
          <cell r="AS225" t="str">
            <v>0</v>
          </cell>
          <cell r="AT225" t="str">
            <v>0</v>
          </cell>
          <cell r="AU225" t="str">
            <v>0</v>
          </cell>
          <cell r="AV225" t="str">
            <v>0</v>
          </cell>
          <cell r="AW225" t="str">
            <v>0</v>
          </cell>
          <cell r="AX225" t="str">
            <v>0</v>
          </cell>
          <cell r="AY225" t="str">
            <v>82</v>
          </cell>
          <cell r="AZ225" t="str">
            <v>702</v>
          </cell>
          <cell r="BA225" t="str">
            <v>685</v>
          </cell>
          <cell r="BB225" t="str">
            <v>673,21</v>
          </cell>
          <cell r="BC225" t="str">
            <v>0</v>
          </cell>
          <cell r="BD225" t="str">
            <v>0</v>
          </cell>
          <cell r="BE225" t="str">
            <v>0</v>
          </cell>
          <cell r="BF225" t="str">
            <v>0</v>
          </cell>
          <cell r="BG225" t="str">
            <v>0</v>
          </cell>
          <cell r="BH225" t="str">
            <v>0</v>
          </cell>
          <cell r="BI225" t="str">
            <v>0</v>
          </cell>
          <cell r="BJ225" t="str">
            <v>0</v>
          </cell>
          <cell r="BK225" t="str">
            <v>0</v>
          </cell>
          <cell r="BL225" t="str">
            <v>0</v>
          </cell>
          <cell r="BM225" t="str">
            <v>Flaps 0 - 40° (Up when weighed)</v>
          </cell>
          <cell r="BN225" t="str">
            <v>Fuel, Drain, Unusable (5.6 Gal)</v>
          </cell>
          <cell r="BO225" t="str">
            <v>Lavatory Dry Supplies</v>
          </cell>
          <cell r="BP225" t="str">
            <v>Lavatory Pre-charge Fluid (6.0 Gal)</v>
          </cell>
          <cell r="BQ225" t="str">
            <v>Water, Potable (62.6 Gal)</v>
          </cell>
          <cell r="BR225" t="str">
            <v>Seats Installation (186 Pax) LOPA Rev 02</v>
          </cell>
          <cell r="BS225" t="str">
            <v/>
          </cell>
          <cell r="BT225" t="str">
            <v/>
          </cell>
          <cell r="BU225" t="str">
            <v/>
          </cell>
          <cell r="BV225" t="str">
            <v/>
          </cell>
          <cell r="BW225" t="str">
            <v/>
          </cell>
          <cell r="BX225" t="str">
            <v/>
          </cell>
          <cell r="BY225" t="str">
            <v/>
          </cell>
          <cell r="BZ225" t="str">
            <v/>
          </cell>
          <cell r="CA225" t="str">
            <v/>
          </cell>
          <cell r="CB225" t="str">
            <v>0</v>
          </cell>
          <cell r="CC225" t="str">
            <v>17,3</v>
          </cell>
          <cell r="CD225" t="str">
            <v>4</v>
          </cell>
          <cell r="CE225" t="str">
            <v>22,7</v>
          </cell>
          <cell r="CF225" t="str">
            <v>236,4</v>
          </cell>
          <cell r="CG225" t="str">
            <v>02457,32</v>
          </cell>
          <cell r="CH225" t="str">
            <v>0</v>
          </cell>
          <cell r="CI225" t="str">
            <v>0</v>
          </cell>
          <cell r="CJ225" t="str">
            <v>0</v>
          </cell>
          <cell r="CK225" t="str">
            <v>0</v>
          </cell>
          <cell r="CL225" t="str">
            <v>0</v>
          </cell>
          <cell r="CM225" t="str">
            <v>0</v>
          </cell>
          <cell r="CN225" t="str">
            <v>0</v>
          </cell>
          <cell r="CO225" t="str">
            <v>0</v>
          </cell>
          <cell r="CP225" t="str">
            <v>0</v>
          </cell>
          <cell r="CQ225" t="str">
            <v>646</v>
          </cell>
          <cell r="CR225" t="str">
            <v>1138</v>
          </cell>
          <cell r="CS225" t="str">
            <v>1112</v>
          </cell>
          <cell r="CT225" t="str">
            <v>1150</v>
          </cell>
          <cell r="CU225" t="str">
            <v>659,08</v>
          </cell>
          <cell r="CV225" t="str">
            <v>0</v>
          </cell>
          <cell r="CW225" t="str">
            <v>0</v>
          </cell>
          <cell r="CX225" t="str">
            <v>0</v>
          </cell>
          <cell r="CY225" t="str">
            <v>0</v>
          </cell>
          <cell r="CZ225" t="str">
            <v>0</v>
          </cell>
          <cell r="DA225" t="str">
            <v>0</v>
          </cell>
          <cell r="DB225" t="str">
            <v>0</v>
          </cell>
          <cell r="DC225" t="str">
            <v>0</v>
          </cell>
          <cell r="DD225" t="str">
            <v>Interior rearrangement changed to GLP-MAX8-001-XMK Rev 02</v>
          </cell>
          <cell r="DN225" t="str">
            <v>15/09/2025</v>
          </cell>
          <cell r="DQ225" t="str">
            <v>Fernando Meirelles</v>
          </cell>
          <cell r="DR225" t="str">
            <v>Danton</v>
          </cell>
          <cell r="DS225" t="str">
            <v>2</v>
          </cell>
          <cell r="DT225" t="str">
            <v>0</v>
          </cell>
          <cell r="DU225" t="str">
            <v>GOL</v>
          </cell>
          <cell r="DV225" t="str">
            <v>186 Pax + 10 Flight Crew</v>
          </cell>
          <cell r="DW225" t="str">
            <v xml:space="preserve">GLP-MAX8-001-XMK </v>
          </cell>
          <cell r="FL225" t="str">
            <v/>
          </cell>
          <cell r="FM225" t="str">
            <v/>
          </cell>
          <cell r="FN225" t="str">
            <v/>
          </cell>
          <cell r="FO225" t="str">
            <v/>
          </cell>
          <cell r="FP225" t="str">
            <v/>
          </cell>
          <cell r="FQ225" t="str">
            <v/>
          </cell>
          <cell r="FR225" t="str">
            <v/>
          </cell>
          <cell r="FS225" t="str">
            <v/>
          </cell>
          <cell r="FT225" t="str">
            <v/>
          </cell>
          <cell r="FU225" t="str">
            <v/>
          </cell>
          <cell r="FV225" t="str">
            <v/>
          </cell>
          <cell r="FW225" t="str">
            <v/>
          </cell>
          <cell r="FX225" t="str">
            <v/>
          </cell>
          <cell r="FY225" t="str">
            <v/>
          </cell>
          <cell r="FZ225" t="str">
            <v/>
          </cell>
          <cell r="GA225" t="str">
            <v/>
          </cell>
          <cell r="GB225" t="str">
            <v/>
          </cell>
          <cell r="GC225" t="str">
            <v/>
          </cell>
          <cell r="GD225" t="str">
            <v/>
          </cell>
          <cell r="GE225" t="str">
            <v/>
          </cell>
          <cell r="GF225" t="str">
            <v/>
          </cell>
          <cell r="GG225" t="str">
            <v/>
          </cell>
          <cell r="GH225" t="str">
            <v/>
          </cell>
          <cell r="GI225" t="str">
            <v/>
          </cell>
          <cell r="GJ225" t="str">
            <v/>
          </cell>
          <cell r="GK225" t="str">
            <v/>
          </cell>
          <cell r="GL225" t="str">
            <v/>
          </cell>
          <cell r="GM225" t="str">
            <v/>
          </cell>
          <cell r="GN225" t="str">
            <v/>
          </cell>
        </row>
        <row r="226">
          <cell r="A226" t="str">
            <v>PR-GXI</v>
          </cell>
          <cell r="D226" t="str">
            <v>06/10/2025</v>
          </cell>
          <cell r="E226">
            <v>4</v>
          </cell>
          <cell r="F226">
            <v>0</v>
          </cell>
          <cell r="G226" t="str">
            <v>Lagoa Santa, MG - Brazil</v>
          </cell>
          <cell r="H226" t="str">
            <v>Scheduled</v>
          </cell>
          <cell r="I226" t="str">
            <v>1580</v>
          </cell>
          <cell r="J226" t="str">
            <v>1496</v>
          </cell>
          <cell r="K226" t="str">
            <v>8758</v>
          </cell>
          <cell r="L226" t="str">
            <v>10388</v>
          </cell>
          <cell r="M226" t="str">
            <v>10294</v>
          </cell>
          <cell r="N226" t="str">
            <v>8948</v>
          </cell>
          <cell r="O226" t="str">
            <v>1586</v>
          </cell>
          <cell r="P226" t="str">
            <v>1492</v>
          </cell>
          <cell r="Q226" t="str">
            <v>8636</v>
          </cell>
          <cell r="R226" t="str">
            <v>10508</v>
          </cell>
          <cell r="S226" t="str">
            <v>10416</v>
          </cell>
          <cell r="T226" t="str">
            <v>8822</v>
          </cell>
          <cell r="U226" t="str">
            <v>4,72</v>
          </cell>
          <cell r="V226" t="str">
            <v>4,60</v>
          </cell>
          <cell r="W226" t="str">
            <v>Down Lock, Nose Gear</v>
          </cell>
          <cell r="X226" t="str">
            <v>Down Lock, Main Gear</v>
          </cell>
          <cell r="Y226" t="str">
            <v>Plumb Bob</v>
          </cell>
          <cell r="Z226" t="str">
            <v/>
          </cell>
          <cell r="AA226" t="str">
            <v/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  <cell r="AF226" t="str">
            <v/>
          </cell>
          <cell r="AG226" t="str">
            <v/>
          </cell>
          <cell r="AH226" t="str">
            <v/>
          </cell>
          <cell r="AI226" t="str">
            <v/>
          </cell>
          <cell r="AJ226" t="str">
            <v/>
          </cell>
          <cell r="AK226" t="str">
            <v>0,3</v>
          </cell>
          <cell r="AL226" t="str">
            <v>0,4</v>
          </cell>
          <cell r="AM226" t="str">
            <v>0,5</v>
          </cell>
          <cell r="AN226" t="str">
            <v>0</v>
          </cell>
          <cell r="AO226" t="str">
            <v>0</v>
          </cell>
          <cell r="AP226" t="str">
            <v>0</v>
          </cell>
          <cell r="AQ226" t="str">
            <v>0</v>
          </cell>
          <cell r="AR226" t="str">
            <v>0</v>
          </cell>
          <cell r="AS226" t="str">
            <v>0</v>
          </cell>
          <cell r="AT226" t="str">
            <v>0</v>
          </cell>
          <cell r="AU226" t="str">
            <v>0</v>
          </cell>
          <cell r="AV226" t="str">
            <v>0</v>
          </cell>
          <cell r="AW226" t="str">
            <v>0</v>
          </cell>
          <cell r="AX226" t="str">
            <v>0</v>
          </cell>
          <cell r="AY226" t="str">
            <v>82</v>
          </cell>
          <cell r="AZ226" t="str">
            <v>702</v>
          </cell>
          <cell r="BA226" t="str">
            <v>685</v>
          </cell>
          <cell r="BB226" t="str">
            <v>0</v>
          </cell>
          <cell r="BC226" t="str">
            <v>0</v>
          </cell>
          <cell r="BD226" t="str">
            <v>0</v>
          </cell>
          <cell r="BE226" t="str">
            <v>0</v>
          </cell>
          <cell r="BF226" t="str">
            <v>0</v>
          </cell>
          <cell r="BG226" t="str">
            <v>0</v>
          </cell>
          <cell r="BH226" t="str">
            <v>0</v>
          </cell>
          <cell r="BI226" t="str">
            <v>0</v>
          </cell>
          <cell r="BJ226" t="str">
            <v>0</v>
          </cell>
          <cell r="BK226" t="str">
            <v>0</v>
          </cell>
          <cell r="BL226" t="str">
            <v>0</v>
          </cell>
          <cell r="BM226" t="str">
            <v>Flaps 0 - 40° (Up when weighed)</v>
          </cell>
          <cell r="BN226" t="str">
            <v>Fuel, Drain, Unusable (5.6 Gal)</v>
          </cell>
          <cell r="BO226" t="str">
            <v>Lavatory Dry Supplies (2EA)</v>
          </cell>
          <cell r="BP226" t="str">
            <v>Lavatory Pre-charge Fluid (6.0 Gal)</v>
          </cell>
          <cell r="BQ226" t="str">
            <v>Water, Potable (62.6 Gal)</v>
          </cell>
          <cell r="BR226" t="str">
            <v/>
          </cell>
          <cell r="BS226" t="str">
            <v/>
          </cell>
          <cell r="BT226" t="str">
            <v/>
          </cell>
          <cell r="BU226" t="str">
            <v/>
          </cell>
          <cell r="BV226" t="str">
            <v/>
          </cell>
          <cell r="BW226" t="str">
            <v/>
          </cell>
          <cell r="BX226" t="str">
            <v/>
          </cell>
          <cell r="BY226" t="str">
            <v/>
          </cell>
          <cell r="BZ226" t="str">
            <v/>
          </cell>
          <cell r="CA226" t="str">
            <v/>
          </cell>
          <cell r="CB226" t="str">
            <v>0</v>
          </cell>
          <cell r="CC226" t="str">
            <v>17,3</v>
          </cell>
          <cell r="CD226" t="str">
            <v>4</v>
          </cell>
          <cell r="CE226" t="str">
            <v>22,7</v>
          </cell>
          <cell r="CF226" t="str">
            <v>236,4</v>
          </cell>
          <cell r="CG226" t="str">
            <v>0</v>
          </cell>
          <cell r="CH226" t="str">
            <v>0</v>
          </cell>
          <cell r="CI226" t="str">
            <v>0</v>
          </cell>
          <cell r="CJ226" t="str">
            <v>0</v>
          </cell>
          <cell r="CK226" t="str">
            <v>0</v>
          </cell>
          <cell r="CL226" t="str">
            <v>0</v>
          </cell>
          <cell r="CM226" t="str">
            <v>0</v>
          </cell>
          <cell r="CN226" t="str">
            <v>0</v>
          </cell>
          <cell r="CO226" t="str">
            <v>0</v>
          </cell>
          <cell r="CP226" t="str">
            <v>0</v>
          </cell>
          <cell r="CQ226" t="str">
            <v>646</v>
          </cell>
          <cell r="CR226" t="str">
            <v>1145</v>
          </cell>
          <cell r="CS226" t="str">
            <v>1112</v>
          </cell>
          <cell r="CT226" t="str">
            <v>1150</v>
          </cell>
          <cell r="CU226" t="str">
            <v>0</v>
          </cell>
          <cell r="CV226" t="str">
            <v>0</v>
          </cell>
          <cell r="CW226" t="str">
            <v>0</v>
          </cell>
          <cell r="CX226" t="str">
            <v>0</v>
          </cell>
          <cell r="CY226" t="str">
            <v>0</v>
          </cell>
          <cell r="CZ226" t="str">
            <v>0</v>
          </cell>
          <cell r="DA226" t="str">
            <v>0</v>
          </cell>
          <cell r="DB226" t="str">
            <v>0</v>
          </cell>
          <cell r="DC226" t="str">
            <v>0</v>
          </cell>
          <cell r="DD226" t="str">
            <v/>
          </cell>
          <cell r="DE226" t="str">
            <v/>
          </cell>
          <cell r="DF226" t="str">
            <v/>
          </cell>
          <cell r="DH226" t="str">
            <v/>
          </cell>
          <cell r="DN226" t="str">
            <v>06/10/2025</v>
          </cell>
          <cell r="DQ226" t="str">
            <v>Maia</v>
          </cell>
          <cell r="DR226" t="str">
            <v>Fernando Meirelles</v>
          </cell>
          <cell r="DS226" t="str">
            <v>3</v>
          </cell>
          <cell r="DT226" t="str">
            <v>0</v>
          </cell>
          <cell r="DU226" t="str">
            <v>GOL</v>
          </cell>
          <cell r="DV226" t="str">
            <v>186 Pax + 10 Flight Crew</v>
          </cell>
          <cell r="DW226" t="str">
            <v xml:space="preserve">GLP-800-003-GXI </v>
          </cell>
          <cell r="FL226" t="str">
            <v/>
          </cell>
          <cell r="FM226" t="str">
            <v/>
          </cell>
          <cell r="FN226" t="str">
            <v/>
          </cell>
          <cell r="FO226" t="str">
            <v/>
          </cell>
          <cell r="FP226" t="str">
            <v/>
          </cell>
          <cell r="FQ226" t="str">
            <v/>
          </cell>
          <cell r="FR226" t="str">
            <v/>
          </cell>
          <cell r="FS226" t="str">
            <v/>
          </cell>
          <cell r="FT226" t="str">
            <v/>
          </cell>
          <cell r="FU226" t="str">
            <v/>
          </cell>
          <cell r="FV226" t="str">
            <v/>
          </cell>
          <cell r="FW226" t="str">
            <v/>
          </cell>
          <cell r="FX226" t="str">
            <v/>
          </cell>
          <cell r="FY226" t="str">
            <v/>
          </cell>
          <cell r="FZ226" t="str">
            <v/>
          </cell>
          <cell r="GA226" t="str">
            <v/>
          </cell>
          <cell r="GB226" t="str">
            <v/>
          </cell>
          <cell r="GC226" t="str">
            <v/>
          </cell>
          <cell r="GD226" t="str">
            <v/>
          </cell>
          <cell r="GE226" t="str">
            <v/>
          </cell>
          <cell r="GF226" t="str">
            <v/>
          </cell>
          <cell r="GG226" t="str">
            <v/>
          </cell>
          <cell r="GH226" t="str">
            <v/>
          </cell>
          <cell r="GI226" t="str">
            <v/>
          </cell>
          <cell r="GJ226" t="str">
            <v/>
          </cell>
          <cell r="GK226" t="str">
            <v/>
          </cell>
          <cell r="GL226" t="str">
            <v/>
          </cell>
          <cell r="GM226" t="str">
            <v/>
          </cell>
          <cell r="GN226" t="str">
            <v/>
          </cell>
        </row>
        <row r="227">
          <cell r="A227" t="str">
            <v>PR-VBK</v>
          </cell>
          <cell r="D227" t="str">
            <v>11/10/2025</v>
          </cell>
          <cell r="E227">
            <v>7</v>
          </cell>
          <cell r="F227">
            <v>0</v>
          </cell>
          <cell r="G227" t="str">
            <v>Lagoa Santa, MG - Brazil</v>
          </cell>
          <cell r="H227" t="str">
            <v>Scheduled</v>
          </cell>
          <cell r="I227" t="str">
            <v>1582</v>
          </cell>
          <cell r="J227" t="str">
            <v>1382</v>
          </cell>
          <cell r="K227" t="str">
            <v>10238</v>
          </cell>
          <cell r="L227" t="str">
            <v>8880</v>
          </cell>
          <cell r="M227" t="str">
            <v>10404</v>
          </cell>
          <cell r="N227" t="str">
            <v>8668</v>
          </cell>
          <cell r="O227" t="str">
            <v>1586</v>
          </cell>
          <cell r="P227" t="str">
            <v>1338</v>
          </cell>
          <cell r="Q227" t="str">
            <v>10262</v>
          </cell>
          <cell r="R227" t="str">
            <v>8858</v>
          </cell>
          <cell r="S227" t="str">
            <v>10416</v>
          </cell>
          <cell r="T227" t="str">
            <v>8650</v>
          </cell>
          <cell r="U227">
            <v>3.9370078740157481</v>
          </cell>
          <cell r="V227">
            <v>3.8976377952755907</v>
          </cell>
          <cell r="W227" t="str">
            <v>Down Lock, Nose Gear</v>
          </cell>
          <cell r="X227" t="str">
            <v>Down Lock, Main Gear</v>
          </cell>
          <cell r="Y227" t="str">
            <v>Plumb Bob</v>
          </cell>
          <cell r="Z227" t="str">
            <v/>
          </cell>
          <cell r="AA227" t="str">
            <v/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  <cell r="AF227" t="str">
            <v/>
          </cell>
          <cell r="AG227" t="str">
            <v/>
          </cell>
          <cell r="AH227" t="str">
            <v/>
          </cell>
          <cell r="AI227" t="str">
            <v/>
          </cell>
          <cell r="AJ227" t="str">
            <v/>
          </cell>
          <cell r="AK227" t="str">
            <v>0,3</v>
          </cell>
          <cell r="AL227" t="str">
            <v>0,4</v>
          </cell>
          <cell r="AM227" t="str">
            <v>0,5</v>
          </cell>
          <cell r="AN227" t="str">
            <v>0</v>
          </cell>
          <cell r="AO227" t="str">
            <v>0</v>
          </cell>
          <cell r="AP227" t="str">
            <v>0</v>
          </cell>
          <cell r="AQ227" t="str">
            <v>0</v>
          </cell>
          <cell r="AR227" t="str">
            <v>0</v>
          </cell>
          <cell r="AS227" t="str">
            <v>0</v>
          </cell>
          <cell r="AT227" t="str">
            <v>0</v>
          </cell>
          <cell r="AU227" t="str">
            <v>0</v>
          </cell>
          <cell r="AV227" t="str">
            <v>0</v>
          </cell>
          <cell r="AW227" t="str">
            <v>0</v>
          </cell>
          <cell r="AX227" t="str">
            <v>0</v>
          </cell>
          <cell r="AY227" t="str">
            <v>91</v>
          </cell>
          <cell r="AZ227" t="str">
            <v>702</v>
          </cell>
          <cell r="BA227" t="str">
            <v>685</v>
          </cell>
          <cell r="BB227" t="str">
            <v>0</v>
          </cell>
          <cell r="BC227" t="str">
            <v>0</v>
          </cell>
          <cell r="BD227" t="str">
            <v>0</v>
          </cell>
          <cell r="BE227" t="str">
            <v>0</v>
          </cell>
          <cell r="BF227" t="str">
            <v>0</v>
          </cell>
          <cell r="BG227" t="str">
            <v>0</v>
          </cell>
          <cell r="BH227" t="str">
            <v>0</v>
          </cell>
          <cell r="BI227" t="str">
            <v>0</v>
          </cell>
          <cell r="BJ227" t="str">
            <v>0</v>
          </cell>
          <cell r="BK227" t="str">
            <v>0</v>
          </cell>
          <cell r="BL227" t="str">
            <v>0</v>
          </cell>
          <cell r="BM227" t="str">
            <v>Flaps 0 - 40° (Up when weighed)</v>
          </cell>
          <cell r="BN227" t="str">
            <v>Fuel, Drain, Unusable (5.6 Gal)</v>
          </cell>
          <cell r="BO227" t="str">
            <v>Lavatory Dry Supplies</v>
          </cell>
          <cell r="BP227" t="str">
            <v>Lavatory Pre-charge Fluid (6.0 Gal)</v>
          </cell>
          <cell r="BQ227" t="str">
            <v>Water, Potable (62.6 Gal)</v>
          </cell>
          <cell r="BR227" t="str">
            <v/>
          </cell>
          <cell r="BS227" t="str">
            <v/>
          </cell>
          <cell r="BT227" t="str">
            <v/>
          </cell>
          <cell r="BU227" t="str">
            <v/>
          </cell>
          <cell r="BV227" t="str">
            <v/>
          </cell>
          <cell r="BW227" t="str">
            <v/>
          </cell>
          <cell r="BX227" t="str">
            <v/>
          </cell>
          <cell r="BY227" t="str">
            <v/>
          </cell>
          <cell r="BZ227" t="str">
            <v/>
          </cell>
          <cell r="CA227" t="str">
            <v/>
          </cell>
          <cell r="CB227" t="str">
            <v>0</v>
          </cell>
          <cell r="CC227" t="str">
            <v>17,3</v>
          </cell>
          <cell r="CD227" t="str">
            <v>4</v>
          </cell>
          <cell r="CE227" t="str">
            <v>22,7</v>
          </cell>
          <cell r="CF227" t="str">
            <v>236,4</v>
          </cell>
          <cell r="CG227" t="str">
            <v>0</v>
          </cell>
          <cell r="CH227" t="str">
            <v>0</v>
          </cell>
          <cell r="CI227" t="str">
            <v>0</v>
          </cell>
          <cell r="CJ227" t="str">
            <v>0</v>
          </cell>
          <cell r="CK227" t="str">
            <v>0</v>
          </cell>
          <cell r="CL227" t="str">
            <v>0</v>
          </cell>
          <cell r="CM227" t="str">
            <v>0</v>
          </cell>
          <cell r="CN227" t="str">
            <v>0</v>
          </cell>
          <cell r="CO227" t="str">
            <v>0</v>
          </cell>
          <cell r="CP227" t="str">
            <v>0</v>
          </cell>
          <cell r="CQ227" t="str">
            <v>646</v>
          </cell>
          <cell r="CR227" t="str">
            <v>1145</v>
          </cell>
          <cell r="CS227" t="str">
            <v>1112</v>
          </cell>
          <cell r="CT227" t="str">
            <v>1150</v>
          </cell>
          <cell r="CU227" t="str">
            <v>0</v>
          </cell>
          <cell r="CV227" t="str">
            <v>0</v>
          </cell>
          <cell r="CW227" t="str">
            <v>0</v>
          </cell>
          <cell r="CX227" t="str">
            <v>0</v>
          </cell>
          <cell r="CY227" t="str">
            <v>0</v>
          </cell>
          <cell r="CZ227" t="str">
            <v>0</v>
          </cell>
          <cell r="DA227" t="str">
            <v>0</v>
          </cell>
          <cell r="DB227" t="str">
            <v>0</v>
          </cell>
          <cell r="DC227" t="str">
            <v>0</v>
          </cell>
          <cell r="DD227" t="str">
            <v/>
          </cell>
          <cell r="DE227" t="str">
            <v/>
          </cell>
          <cell r="DF227" t="str">
            <v/>
          </cell>
          <cell r="DH227" t="str">
            <v/>
          </cell>
          <cell r="DN227" t="str">
            <v>13/10/2025</v>
          </cell>
          <cell r="DQ227" t="str">
            <v>Euler</v>
          </cell>
          <cell r="DR227" t="str">
            <v>Maia</v>
          </cell>
          <cell r="DS227" t="str">
            <v>6</v>
          </cell>
          <cell r="DT227" t="str">
            <v>0</v>
          </cell>
          <cell r="DU227" t="str">
            <v>GOL</v>
          </cell>
          <cell r="DV227" t="str">
            <v>186 Pax + 10 Flight Crew</v>
          </cell>
          <cell r="DW227" t="str">
            <v xml:space="preserve">GLP-800-004-VBK </v>
          </cell>
          <cell r="FL227" t="str">
            <v/>
          </cell>
          <cell r="FM227" t="str">
            <v/>
          </cell>
          <cell r="FN227" t="str">
            <v/>
          </cell>
          <cell r="FO227" t="str">
            <v/>
          </cell>
          <cell r="FP227" t="str">
            <v/>
          </cell>
          <cell r="FQ227" t="str">
            <v/>
          </cell>
          <cell r="FR227" t="str">
            <v/>
          </cell>
          <cell r="FS227" t="str">
            <v/>
          </cell>
          <cell r="FT227" t="str">
            <v/>
          </cell>
          <cell r="FU227" t="str">
            <v/>
          </cell>
          <cell r="FV227" t="str">
            <v/>
          </cell>
          <cell r="FW227" t="str">
            <v/>
          </cell>
          <cell r="FX227" t="str">
            <v/>
          </cell>
          <cell r="FY227" t="str">
            <v/>
          </cell>
          <cell r="FZ227" t="str">
            <v/>
          </cell>
          <cell r="GA227" t="str">
            <v/>
          </cell>
          <cell r="GB227" t="str">
            <v/>
          </cell>
          <cell r="GC227" t="str">
            <v/>
          </cell>
          <cell r="GD227" t="str">
            <v/>
          </cell>
          <cell r="GE227" t="str">
            <v/>
          </cell>
          <cell r="GF227" t="str">
            <v/>
          </cell>
          <cell r="GG227" t="str">
            <v/>
          </cell>
          <cell r="GH227" t="str">
            <v/>
          </cell>
          <cell r="GI227" t="str">
            <v/>
          </cell>
          <cell r="GJ227" t="str">
            <v/>
          </cell>
          <cell r="GK227" t="str">
            <v/>
          </cell>
          <cell r="GL227" t="str">
            <v/>
          </cell>
          <cell r="GM227" t="str">
            <v/>
          </cell>
          <cell r="GN227" t="str">
            <v/>
          </cell>
        </row>
        <row r="228">
          <cell r="A228" t="str">
            <v>PR-GKA</v>
          </cell>
          <cell r="D228" t="str">
            <v>09/11/2011</v>
          </cell>
          <cell r="E228">
            <v>1</v>
          </cell>
          <cell r="F228">
            <v>0</v>
          </cell>
          <cell r="G228" t="str">
            <v>Southwest - USA</v>
          </cell>
          <cell r="H228" t="str">
            <v>Scheduled</v>
          </cell>
          <cell r="I228" t="str">
            <v>3046</v>
          </cell>
          <cell r="J228" t="str">
            <v>0</v>
          </cell>
          <cell r="K228" t="str">
            <v>18822,512</v>
          </cell>
          <cell r="L228" t="str">
            <v>0</v>
          </cell>
          <cell r="M228" t="str">
            <v>18822,512</v>
          </cell>
          <cell r="N228" t="str">
            <v>0</v>
          </cell>
          <cell r="O228" t="str">
            <v>3046,7141</v>
          </cell>
          <cell r="P228" t="str">
            <v>0</v>
          </cell>
          <cell r="Q228" t="str">
            <v>18822,512</v>
          </cell>
          <cell r="R228" t="str">
            <v>0</v>
          </cell>
          <cell r="S228" t="str">
            <v>18822,512</v>
          </cell>
          <cell r="T228" t="str">
            <v>0</v>
          </cell>
          <cell r="U228" t="str">
            <v>15</v>
          </cell>
          <cell r="V228" t="str">
            <v>15</v>
          </cell>
          <cell r="W228" t="str">
            <v>IMMR - GLS</v>
          </cell>
          <cell r="X228" t="str">
            <v/>
          </cell>
          <cell r="Y228" t="str">
            <v/>
          </cell>
          <cell r="Z228" t="str">
            <v/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>8,1600</v>
          </cell>
          <cell r="AL228" t="str">
            <v>0</v>
          </cell>
          <cell r="AM228" t="str">
            <v>0</v>
          </cell>
          <cell r="AN228" t="str">
            <v>0</v>
          </cell>
          <cell r="AO228" t="str">
            <v>0</v>
          </cell>
          <cell r="AP228" t="str">
            <v>0</v>
          </cell>
          <cell r="AQ228" t="str">
            <v>0</v>
          </cell>
          <cell r="AR228" t="str">
            <v>0</v>
          </cell>
          <cell r="AS228" t="str">
            <v>0</v>
          </cell>
          <cell r="AT228" t="str">
            <v>0</v>
          </cell>
          <cell r="AU228" t="str">
            <v>0</v>
          </cell>
          <cell r="AV228" t="str">
            <v>0</v>
          </cell>
          <cell r="AW228" t="str">
            <v>0</v>
          </cell>
          <cell r="AX228" t="str">
            <v>0</v>
          </cell>
          <cell r="AY228" t="str">
            <v>114,200</v>
          </cell>
          <cell r="AZ228" t="str">
            <v>0</v>
          </cell>
          <cell r="BA228" t="str">
            <v>0</v>
          </cell>
          <cell r="BB228" t="str">
            <v>0</v>
          </cell>
          <cell r="BC228" t="str">
            <v>0</v>
          </cell>
          <cell r="BD228" t="str">
            <v>0</v>
          </cell>
          <cell r="BE228" t="str">
            <v>0</v>
          </cell>
          <cell r="BF228" t="str">
            <v>0</v>
          </cell>
          <cell r="BG228" t="str">
            <v>0</v>
          </cell>
          <cell r="BH228" t="str">
            <v>0</v>
          </cell>
          <cell r="BI228" t="str">
            <v>0</v>
          </cell>
          <cell r="BJ228" t="str">
            <v>0</v>
          </cell>
          <cell r="BK228" t="str">
            <v>0</v>
          </cell>
          <cell r="BL228" t="str">
            <v>0</v>
          </cell>
          <cell r="BM228" t="str">
            <v>Flaps 0 - 40° (up when weighed)</v>
          </cell>
          <cell r="BN228" t="str">
            <v>800 G4B Configuration</v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>1179,8000</v>
          </cell>
          <cell r="CD228" t="str">
            <v>0</v>
          </cell>
          <cell r="CE228" t="str">
            <v>0</v>
          </cell>
          <cell r="CF228" t="str">
            <v>0</v>
          </cell>
          <cell r="CG228" t="str">
            <v>0</v>
          </cell>
          <cell r="CH228" t="str">
            <v>0</v>
          </cell>
          <cell r="CI228" t="str">
            <v>0</v>
          </cell>
          <cell r="CJ228" t="str">
            <v>0</v>
          </cell>
          <cell r="CK228" t="str">
            <v>0</v>
          </cell>
          <cell r="CL228" t="str">
            <v>0</v>
          </cell>
          <cell r="CM228" t="str">
            <v>0</v>
          </cell>
          <cell r="CN228" t="str">
            <v>0</v>
          </cell>
          <cell r="CO228" t="str">
            <v>0</v>
          </cell>
          <cell r="CP228" t="str">
            <v/>
          </cell>
          <cell r="CQ228" t="str">
            <v>816,9000</v>
          </cell>
          <cell r="CR228" t="str">
            <v>0</v>
          </cell>
          <cell r="CS228" t="str">
            <v>0</v>
          </cell>
          <cell r="CT228" t="str">
            <v>0</v>
          </cell>
          <cell r="CU228" t="str">
            <v>0</v>
          </cell>
          <cell r="CV228" t="str">
            <v>0</v>
          </cell>
          <cell r="CW228" t="str">
            <v>0</v>
          </cell>
          <cell r="CX228" t="str">
            <v>0</v>
          </cell>
          <cell r="CY228" t="str">
            <v>0</v>
          </cell>
          <cell r="CZ228" t="str">
            <v>0</v>
          </cell>
          <cell r="DA228" t="str">
            <v>0</v>
          </cell>
          <cell r="DB228" t="str">
            <v>0</v>
          </cell>
          <cell r="DC228" t="str">
            <v>0</v>
          </cell>
          <cell r="DD228" t="str">
            <v/>
          </cell>
          <cell r="DE228" t="str">
            <v/>
          </cell>
          <cell r="DF228" t="str">
            <v/>
          </cell>
          <cell r="DH228" t="str">
            <v/>
          </cell>
          <cell r="DN228" t="str">
            <v>21/10/2025</v>
          </cell>
          <cell r="DQ228" t="str">
            <v>Maia</v>
          </cell>
          <cell r="DR228" t="str">
            <v>Danton</v>
          </cell>
          <cell r="DS228" t="str">
            <v/>
          </cell>
          <cell r="DT228" t="str">
            <v/>
          </cell>
          <cell r="DU228" t="str">
            <v>Southwest</v>
          </cell>
          <cell r="DV228" t="str">
            <v>175 Pax + 10 Flight Crew</v>
          </cell>
          <cell r="DW228" t="str">
            <v>GLP-800-001-GKA</v>
          </cell>
          <cell r="FL228" t="str">
            <v/>
          </cell>
          <cell r="FM228" t="str">
            <v/>
          </cell>
          <cell r="FN228" t="str">
            <v/>
          </cell>
          <cell r="FO228" t="str">
            <v/>
          </cell>
          <cell r="FP228" t="str">
            <v/>
          </cell>
          <cell r="FQ228" t="str">
            <v/>
          </cell>
          <cell r="FR228" t="str">
            <v/>
          </cell>
          <cell r="FS228" t="str">
            <v/>
          </cell>
          <cell r="FT228" t="str">
            <v/>
          </cell>
          <cell r="FU228" t="str">
            <v/>
          </cell>
          <cell r="FV228" t="str">
            <v/>
          </cell>
          <cell r="FW228" t="str">
            <v/>
          </cell>
          <cell r="FX228" t="str">
            <v/>
          </cell>
          <cell r="FY228" t="str">
            <v/>
          </cell>
          <cell r="FZ228" t="str">
            <v/>
          </cell>
          <cell r="GA228" t="str">
            <v/>
          </cell>
          <cell r="GB228" t="str">
            <v/>
          </cell>
          <cell r="GC228" t="str">
            <v/>
          </cell>
          <cell r="GD228" t="str">
            <v/>
          </cell>
          <cell r="GE228" t="str">
            <v/>
          </cell>
          <cell r="GF228" t="str">
            <v/>
          </cell>
          <cell r="GG228" t="str">
            <v/>
          </cell>
          <cell r="GH228" t="str">
            <v/>
          </cell>
          <cell r="GI228" t="str">
            <v/>
          </cell>
          <cell r="GJ228" t="str">
            <v/>
          </cell>
          <cell r="GK228" t="str">
            <v/>
          </cell>
          <cell r="GL228" t="str">
            <v/>
          </cell>
          <cell r="GM228" t="str">
            <v/>
          </cell>
          <cell r="GN228" t="str">
            <v/>
          </cell>
        </row>
        <row r="229">
          <cell r="A229" t="str">
            <v>PS-GFD</v>
          </cell>
          <cell r="D229" t="str">
            <v>15/10/2025</v>
          </cell>
          <cell r="E229">
            <v>8</v>
          </cell>
          <cell r="F229">
            <v>0</v>
          </cell>
          <cell r="G229" t="str">
            <v>Lagoa Santa, MG</v>
          </cell>
          <cell r="H229" t="str">
            <v>Scheduled</v>
          </cell>
          <cell r="I229" t="str">
            <v>2204</v>
          </cell>
          <cell r="J229" t="str">
            <v>2208</v>
          </cell>
          <cell r="K229" t="str">
            <v>8562</v>
          </cell>
          <cell r="L229" t="str">
            <v>8926</v>
          </cell>
          <cell r="M229" t="str">
            <v>8994</v>
          </cell>
          <cell r="N229" t="str">
            <v>7966</v>
          </cell>
          <cell r="O229" t="str">
            <v>2222</v>
          </cell>
          <cell r="P229" t="str">
            <v>2186</v>
          </cell>
          <cell r="Q229" t="str">
            <v>8480</v>
          </cell>
          <cell r="R229" t="str">
            <v>9012</v>
          </cell>
          <cell r="S229" t="str">
            <v>9056</v>
          </cell>
          <cell r="T229" t="str">
            <v>7906</v>
          </cell>
          <cell r="U229">
            <v>3.8582677165354333</v>
          </cell>
          <cell r="V229">
            <v>4.3307086614173231</v>
          </cell>
          <cell r="W229" t="str">
            <v>Down Lock, Nose Gear</v>
          </cell>
          <cell r="X229" t="str">
            <v>Down Lock, Main Gear</v>
          </cell>
          <cell r="Y229" t="str">
            <v>Plumb Bob</v>
          </cell>
          <cell r="Z229" t="str">
            <v/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>0,3</v>
          </cell>
          <cell r="AL229" t="str">
            <v>0,4</v>
          </cell>
          <cell r="AM229" t="str">
            <v>0,5</v>
          </cell>
          <cell r="AN229" t="str">
            <v/>
          </cell>
          <cell r="AO229" t="str">
            <v/>
          </cell>
          <cell r="AP229" t="str">
            <v/>
          </cell>
          <cell r="AQ229" t="str">
            <v>0</v>
          </cell>
          <cell r="AR229" t="str">
            <v>0</v>
          </cell>
          <cell r="AS229" t="str">
            <v>0</v>
          </cell>
          <cell r="AT229" t="str">
            <v>0</v>
          </cell>
          <cell r="AU229" t="str">
            <v>0</v>
          </cell>
          <cell r="AV229" t="str">
            <v>0</v>
          </cell>
          <cell r="AW229" t="str">
            <v>0</v>
          </cell>
          <cell r="AX229" t="str">
            <v>0</v>
          </cell>
          <cell r="AY229" t="str">
            <v>91</v>
          </cell>
          <cell r="AZ229" t="str">
            <v>702</v>
          </cell>
          <cell r="BA229" t="str">
            <v>685</v>
          </cell>
          <cell r="BB229" t="str">
            <v/>
          </cell>
          <cell r="BC229" t="str">
            <v/>
          </cell>
          <cell r="BD229" t="str">
            <v/>
          </cell>
          <cell r="BE229" t="str">
            <v>0</v>
          </cell>
          <cell r="BF229" t="str">
            <v>0</v>
          </cell>
          <cell r="BG229" t="str">
            <v>0</v>
          </cell>
          <cell r="BH229" t="str">
            <v>0</v>
          </cell>
          <cell r="BI229" t="str">
            <v>0</v>
          </cell>
          <cell r="BJ229" t="str">
            <v>0</v>
          </cell>
          <cell r="BK229" t="str">
            <v>0</v>
          </cell>
          <cell r="BL229" t="str">
            <v>0</v>
          </cell>
          <cell r="DN229" t="str">
            <v>15/10/2025</v>
          </cell>
          <cell r="DQ229" t="str">
            <v>Jeferson</v>
          </cell>
          <cell r="DS229" t="str">
            <v>7</v>
          </cell>
          <cell r="DT229" t="str">
            <v>1</v>
          </cell>
          <cell r="DU229" t="str">
            <v>GOL</v>
          </cell>
          <cell r="DV229" t="str">
            <v>737-800BCF</v>
          </cell>
          <cell r="DW229" t="str">
            <v>GLP-BCF-001-GFD</v>
          </cell>
        </row>
        <row r="230">
          <cell r="A230" t="str">
            <v>PS-GFI</v>
          </cell>
          <cell r="E230">
            <v>1</v>
          </cell>
          <cell r="F230">
            <v>0</v>
          </cell>
          <cell r="DN230">
            <v>0</v>
          </cell>
        </row>
        <row r="231">
          <cell r="A231" t="str">
            <v>PS-GFI</v>
          </cell>
          <cell r="D231" t="str">
            <v>17/10/2025</v>
          </cell>
          <cell r="E231">
            <v>2</v>
          </cell>
          <cell r="F231">
            <v>0</v>
          </cell>
          <cell r="G231" t="str">
            <v>Lagoa Santa, MG - Brazil</v>
          </cell>
          <cell r="H231" t="str">
            <v>New Painting</v>
          </cell>
          <cell r="I231" t="str">
            <v>2112</v>
          </cell>
          <cell r="J231" t="str">
            <v>2250</v>
          </cell>
          <cell r="K231" t="str">
            <v>9254</v>
          </cell>
          <cell r="L231" t="str">
            <v>8256</v>
          </cell>
          <cell r="M231" t="str">
            <v>8134</v>
          </cell>
          <cell r="N231" t="str">
            <v>9084</v>
          </cell>
          <cell r="O231" t="str">
            <v>2110</v>
          </cell>
          <cell r="P231" t="str">
            <v>2250</v>
          </cell>
          <cell r="Q231" t="str">
            <v>9268</v>
          </cell>
          <cell r="R231" t="str">
            <v>8242</v>
          </cell>
          <cell r="S231" t="str">
            <v>8112</v>
          </cell>
          <cell r="T231" t="str">
            <v>9114</v>
          </cell>
          <cell r="U231" t="str">
            <v>3,1496062992126</v>
          </cell>
          <cell r="V231" t="str">
            <v>2,95275590551181</v>
          </cell>
          <cell r="W231" t="str">
            <v xml:space="preserve">Down Lock, Nose Gear </v>
          </cell>
          <cell r="X231" t="str">
            <v xml:space="preserve">Down Lock, Main Gear </v>
          </cell>
          <cell r="Y231" t="str">
            <v>Plumb Bob</v>
          </cell>
          <cell r="Z231" t="str">
            <v/>
          </cell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  <cell r="AG231" t="str">
            <v/>
          </cell>
          <cell r="AH231" t="str">
            <v/>
          </cell>
          <cell r="AI231" t="str">
            <v/>
          </cell>
          <cell r="AJ231" t="str">
            <v/>
          </cell>
          <cell r="AK231" t="str">
            <v>0,3</v>
          </cell>
          <cell r="AL231" t="str">
            <v>0,4</v>
          </cell>
          <cell r="AM231" t="str">
            <v>0,5</v>
          </cell>
          <cell r="AN231" t="str">
            <v/>
          </cell>
          <cell r="AO231" t="str">
            <v/>
          </cell>
          <cell r="AP231" t="str">
            <v/>
          </cell>
          <cell r="AQ231" t="str">
            <v/>
          </cell>
          <cell r="AR231" t="str">
            <v/>
          </cell>
          <cell r="AS231" t="str">
            <v/>
          </cell>
          <cell r="AT231" t="str">
            <v/>
          </cell>
          <cell r="AU231" t="str">
            <v/>
          </cell>
          <cell r="AV231" t="str">
            <v/>
          </cell>
          <cell r="AW231" t="str">
            <v/>
          </cell>
          <cell r="AX231" t="str">
            <v/>
          </cell>
          <cell r="AY231" t="str">
            <v>91</v>
          </cell>
          <cell r="AZ231" t="str">
            <v>702</v>
          </cell>
          <cell r="BA231" t="str">
            <v>685</v>
          </cell>
          <cell r="BB231" t="str">
            <v/>
          </cell>
          <cell r="BC231" t="str">
            <v/>
          </cell>
          <cell r="BD231" t="str">
            <v/>
          </cell>
          <cell r="BE231" t="str">
            <v/>
          </cell>
          <cell r="BF231" t="str">
            <v/>
          </cell>
          <cell r="BG231" t="str">
            <v/>
          </cell>
          <cell r="BH231" t="str">
            <v/>
          </cell>
          <cell r="BI231" t="str">
            <v/>
          </cell>
          <cell r="BJ231" t="str">
            <v/>
          </cell>
          <cell r="BK231" t="str">
            <v/>
          </cell>
          <cell r="BL231" t="str">
            <v/>
          </cell>
          <cell r="BM231" t="str">
            <v>Flaps 0 - 40° (Up when weighed)</v>
          </cell>
          <cell r="BN231" t="str">
            <v>Fuel, Drain, Unusable (5.6 Gal)</v>
          </cell>
          <cell r="BO231" t="str">
            <v>Lavatory Pre-charge Fluid (6.0 Gal)</v>
          </cell>
          <cell r="BP231" t="str">
            <v>Water, Potable (42.6 Gal)</v>
          </cell>
          <cell r="BQ231" t="str">
            <v/>
          </cell>
          <cell r="BR231" t="str">
            <v/>
          </cell>
          <cell r="BS231" t="str">
            <v/>
          </cell>
          <cell r="BT231" t="str">
            <v/>
          </cell>
          <cell r="BU231" t="str">
            <v/>
          </cell>
          <cell r="BV231" t="str">
            <v/>
          </cell>
          <cell r="BW231" t="str">
            <v/>
          </cell>
          <cell r="BX231" t="str">
            <v/>
          </cell>
          <cell r="BY231" t="str">
            <v/>
          </cell>
          <cell r="BZ231" t="str">
            <v/>
          </cell>
          <cell r="CA231" t="str">
            <v/>
          </cell>
          <cell r="CB231" t="str">
            <v/>
          </cell>
          <cell r="CC231" t="str">
            <v>17,3</v>
          </cell>
          <cell r="CD231" t="str">
            <v>22,7</v>
          </cell>
          <cell r="CE231" t="str">
            <v>160,9</v>
          </cell>
          <cell r="CF231" t="str">
            <v/>
          </cell>
          <cell r="CG231" t="str">
            <v/>
          </cell>
          <cell r="CH231" t="str">
            <v/>
          </cell>
          <cell r="CI231" t="str">
            <v/>
          </cell>
          <cell r="CJ231" t="str">
            <v/>
          </cell>
          <cell r="CK231" t="str">
            <v/>
          </cell>
          <cell r="CL231" t="str">
            <v/>
          </cell>
          <cell r="CM231" t="str">
            <v/>
          </cell>
          <cell r="CN231" t="str">
            <v/>
          </cell>
          <cell r="CO231" t="str">
            <v/>
          </cell>
          <cell r="CP231" t="str">
            <v/>
          </cell>
          <cell r="CQ231" t="str">
            <v>646</v>
          </cell>
          <cell r="CR231" t="str">
            <v>1112</v>
          </cell>
          <cell r="CS231" t="str">
            <v>1140,5</v>
          </cell>
          <cell r="CT231" t="str">
            <v/>
          </cell>
          <cell r="CU231" t="str">
            <v/>
          </cell>
          <cell r="CV231" t="str">
            <v/>
          </cell>
          <cell r="CW231" t="str">
            <v/>
          </cell>
          <cell r="CX231" t="str">
            <v/>
          </cell>
          <cell r="CY231" t="str">
            <v/>
          </cell>
          <cell r="CZ231" t="str">
            <v/>
          </cell>
          <cell r="DA231" t="str">
            <v/>
          </cell>
          <cell r="DB231" t="str">
            <v/>
          </cell>
          <cell r="DC231" t="str">
            <v/>
          </cell>
          <cell r="DD231" t="str">
            <v/>
          </cell>
          <cell r="DE231" t="str">
            <v/>
          </cell>
          <cell r="DF231" t="str">
            <v/>
          </cell>
          <cell r="DH231" t="str">
            <v/>
          </cell>
          <cell r="DN231" t="str">
            <v>17/10/2025</v>
          </cell>
          <cell r="DQ231" t="str">
            <v>Jeferson</v>
          </cell>
          <cell r="DR231" t="str">
            <v>Danton</v>
          </cell>
          <cell r="DS231" t="str">
            <v>1</v>
          </cell>
          <cell r="DT231" t="str">
            <v>0</v>
          </cell>
          <cell r="DU231" t="str">
            <v>GOL</v>
          </cell>
          <cell r="DV231" t="str">
            <v>11) 88”x125” ULDs Plus (1) 60.4”x61.5”</v>
          </cell>
          <cell r="DW231" t="str">
            <v>GLP-BCF-001-GFI</v>
          </cell>
          <cell r="FL231" t="str">
            <v/>
          </cell>
          <cell r="FM231" t="str">
            <v/>
          </cell>
          <cell r="FN231" t="str">
            <v/>
          </cell>
          <cell r="FO231" t="str">
            <v/>
          </cell>
          <cell r="FP231" t="str">
            <v/>
          </cell>
          <cell r="FQ231" t="str">
            <v/>
          </cell>
          <cell r="FR231" t="str">
            <v/>
          </cell>
          <cell r="FS231" t="str">
            <v/>
          </cell>
          <cell r="FT231" t="str">
            <v/>
          </cell>
          <cell r="FU231" t="str">
            <v/>
          </cell>
          <cell r="FV231" t="str">
            <v/>
          </cell>
          <cell r="FW231" t="str">
            <v/>
          </cell>
          <cell r="FX231" t="str">
            <v/>
          </cell>
          <cell r="FY231" t="str">
            <v/>
          </cell>
          <cell r="FZ231" t="str">
            <v/>
          </cell>
          <cell r="GA231" t="str">
            <v/>
          </cell>
          <cell r="GB231" t="str">
            <v/>
          </cell>
          <cell r="GC231" t="str">
            <v/>
          </cell>
          <cell r="GD231" t="str">
            <v/>
          </cell>
          <cell r="GE231" t="str">
            <v/>
          </cell>
          <cell r="GF231" t="str">
            <v/>
          </cell>
          <cell r="GG231" t="str">
            <v/>
          </cell>
          <cell r="GH231" t="str">
            <v/>
          </cell>
          <cell r="GI231" t="str">
            <v/>
          </cell>
          <cell r="GJ231" t="str">
            <v/>
          </cell>
          <cell r="GK231" t="str">
            <v/>
          </cell>
          <cell r="GL231" t="str">
            <v/>
          </cell>
          <cell r="GM231" t="str">
            <v/>
          </cell>
          <cell r="GN231" t="str">
            <v/>
          </cell>
        </row>
        <row r="232">
          <cell r="A232" t="str">
            <v>PR-GUB</v>
          </cell>
          <cell r="D232" t="str">
            <v>26/10/2025</v>
          </cell>
          <cell r="E232">
            <v>8</v>
          </cell>
          <cell r="F232">
            <v>0</v>
          </cell>
          <cell r="G232" t="str">
            <v>Lagoa Santa, MG - Brazil</v>
          </cell>
          <cell r="H232" t="str">
            <v>5 Years Check</v>
          </cell>
          <cell r="I232" t="str">
            <v>1510</v>
          </cell>
          <cell r="J232" t="str">
            <v>1556</v>
          </cell>
          <cell r="K232" t="str">
            <v>9800</v>
          </cell>
          <cell r="L232" t="str">
            <v>9206</v>
          </cell>
          <cell r="M232" t="str">
            <v>9732</v>
          </cell>
          <cell r="N232" t="str">
            <v>9286</v>
          </cell>
          <cell r="O232" t="str">
            <v>1522</v>
          </cell>
          <cell r="P232" t="str">
            <v>1544</v>
          </cell>
          <cell r="Q232" t="str">
            <v>9506</v>
          </cell>
          <cell r="R232" t="str">
            <v>9488</v>
          </cell>
          <cell r="S232" t="str">
            <v>9924</v>
          </cell>
          <cell r="T232" t="str">
            <v>9104</v>
          </cell>
          <cell r="U232" t="str">
            <v>4,3125</v>
          </cell>
          <cell r="V232" t="str">
            <v>3,9375</v>
          </cell>
          <cell r="W232" t="str">
            <v xml:space="preserve">Down Lock, Nose Gear </v>
          </cell>
          <cell r="X232" t="str">
            <v xml:space="preserve">Down Lock, Main Gear </v>
          </cell>
          <cell r="Y232" t="str">
            <v>Plumb Bob</v>
          </cell>
          <cell r="Z232" t="str">
            <v/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>0,3</v>
          </cell>
          <cell r="AL232" t="str">
            <v>0,4</v>
          </cell>
          <cell r="AM232" t="str">
            <v>0,5</v>
          </cell>
          <cell r="AN232" t="str">
            <v>0</v>
          </cell>
          <cell r="AO232" t="str">
            <v>0</v>
          </cell>
          <cell r="AP232" t="str">
            <v>0</v>
          </cell>
          <cell r="AQ232" t="str">
            <v>0</v>
          </cell>
          <cell r="AR232" t="str">
            <v>0</v>
          </cell>
          <cell r="AS232" t="str">
            <v>0</v>
          </cell>
          <cell r="AT232" t="str">
            <v>0</v>
          </cell>
          <cell r="AU232" t="str">
            <v>0</v>
          </cell>
          <cell r="AV232" t="str">
            <v>0</v>
          </cell>
          <cell r="AW232" t="str">
            <v>0</v>
          </cell>
          <cell r="AX232" t="str">
            <v>0</v>
          </cell>
          <cell r="AY232" t="str">
            <v>91</v>
          </cell>
          <cell r="AZ232" t="str">
            <v>702</v>
          </cell>
          <cell r="BA232" t="str">
            <v>685</v>
          </cell>
          <cell r="BB232" t="str">
            <v>0</v>
          </cell>
          <cell r="BC232" t="str">
            <v>0</v>
          </cell>
          <cell r="BD232" t="str">
            <v>0</v>
          </cell>
          <cell r="BE232" t="str">
            <v>0</v>
          </cell>
          <cell r="BF232" t="str">
            <v>0</v>
          </cell>
          <cell r="BG232" t="str">
            <v>0</v>
          </cell>
          <cell r="BH232" t="str">
            <v>0</v>
          </cell>
          <cell r="BI232" t="str">
            <v>0</v>
          </cell>
          <cell r="BJ232" t="str">
            <v>0</v>
          </cell>
          <cell r="BK232" t="str">
            <v>0</v>
          </cell>
          <cell r="BL232" t="str">
            <v>0</v>
          </cell>
          <cell r="BM232" t="str">
            <v>Flaps 0 - 40° (Up when weighed)</v>
          </cell>
          <cell r="BN232" t="str">
            <v>Fuel, Drain, Unusable (5.6 Gal)</v>
          </cell>
          <cell r="BO232" t="str">
            <v>Lavatory Pre-charge Fluid (6.0 Gal)</v>
          </cell>
          <cell r="BP232" t="str">
            <v>Lavatory Dry Supplies</v>
          </cell>
          <cell r="BQ232" t="str">
            <v>Water, Potable (62.6 Gal)</v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 t="str">
            <v/>
          </cell>
          <cell r="BZ232" t="str">
            <v/>
          </cell>
          <cell r="CA232" t="str">
            <v/>
          </cell>
          <cell r="CB232" t="str">
            <v>0</v>
          </cell>
          <cell r="CC232" t="str">
            <v>17,3</v>
          </cell>
          <cell r="CD232" t="str">
            <v>22,7</v>
          </cell>
          <cell r="CE232" t="str">
            <v>4</v>
          </cell>
          <cell r="CF232" t="str">
            <v>236,4</v>
          </cell>
          <cell r="CG232" t="str">
            <v>0</v>
          </cell>
          <cell r="CH232" t="str">
            <v>0</v>
          </cell>
          <cell r="CI232" t="str">
            <v>0</v>
          </cell>
          <cell r="CJ232" t="str">
            <v>0</v>
          </cell>
          <cell r="CK232" t="str">
            <v>0</v>
          </cell>
          <cell r="CL232" t="str">
            <v>0</v>
          </cell>
          <cell r="CM232" t="str">
            <v>0</v>
          </cell>
          <cell r="CN232" t="str">
            <v>0</v>
          </cell>
          <cell r="CO232" t="str">
            <v>0</v>
          </cell>
          <cell r="CP232" t="str">
            <v>0</v>
          </cell>
          <cell r="CQ232" t="str">
            <v>646</v>
          </cell>
          <cell r="CR232" t="str">
            <v>1112</v>
          </cell>
          <cell r="CS232" t="str">
            <v>1145</v>
          </cell>
          <cell r="CT232" t="str">
            <v>1150</v>
          </cell>
          <cell r="CU232" t="str">
            <v>0</v>
          </cell>
          <cell r="CV232" t="str">
            <v>0</v>
          </cell>
          <cell r="CW232" t="str">
            <v>0</v>
          </cell>
          <cell r="CX232" t="str">
            <v>0</v>
          </cell>
          <cell r="CY232" t="str">
            <v>0</v>
          </cell>
          <cell r="CZ232" t="str">
            <v>0</v>
          </cell>
          <cell r="DA232" t="str">
            <v>0</v>
          </cell>
          <cell r="DB232" t="str">
            <v>0</v>
          </cell>
          <cell r="DC232" t="str">
            <v>0</v>
          </cell>
          <cell r="DD232" t="str">
            <v/>
          </cell>
          <cell r="DE232" t="str">
            <v/>
          </cell>
          <cell r="DF232" t="str">
            <v/>
          </cell>
          <cell r="DH232" t="str">
            <v/>
          </cell>
          <cell r="DN232" t="str">
            <v>26/10/2025</v>
          </cell>
          <cell r="DQ232" t="str">
            <v>Maia</v>
          </cell>
          <cell r="DS232" t="str">
            <v>7</v>
          </cell>
          <cell r="DT232" t="str">
            <v>0</v>
          </cell>
          <cell r="DU232" t="str">
            <v>GOL</v>
          </cell>
          <cell r="DV232" t="str">
            <v>186 Pax + 10 Flight Crew</v>
          </cell>
          <cell r="DW232" t="str">
            <v xml:space="preserve">GLP-800-002-GUB </v>
          </cell>
          <cell r="FL232" t="str">
            <v/>
          </cell>
          <cell r="FM232" t="str">
            <v/>
          </cell>
          <cell r="FN232" t="str">
            <v/>
          </cell>
          <cell r="FO232" t="str">
            <v/>
          </cell>
          <cell r="FP232" t="str">
            <v/>
          </cell>
          <cell r="FQ232" t="str">
            <v/>
          </cell>
          <cell r="FR232" t="str">
            <v/>
          </cell>
          <cell r="FS232" t="str">
            <v/>
          </cell>
          <cell r="FT232" t="str">
            <v/>
          </cell>
          <cell r="FU232" t="str">
            <v/>
          </cell>
          <cell r="FV232" t="str">
            <v/>
          </cell>
          <cell r="FW232" t="str">
            <v/>
          </cell>
          <cell r="FX232" t="str">
            <v/>
          </cell>
          <cell r="FY232" t="str">
            <v/>
          </cell>
          <cell r="FZ232" t="str">
            <v/>
          </cell>
          <cell r="GA232" t="str">
            <v/>
          </cell>
          <cell r="GB232" t="str">
            <v/>
          </cell>
          <cell r="GC232" t="str">
            <v/>
          </cell>
          <cell r="GD232" t="str">
            <v/>
          </cell>
          <cell r="GE232" t="str">
            <v/>
          </cell>
          <cell r="GF232" t="str">
            <v/>
          </cell>
          <cell r="GG232" t="str">
            <v/>
          </cell>
          <cell r="GH232" t="str">
            <v/>
          </cell>
          <cell r="GI232" t="str">
            <v/>
          </cell>
          <cell r="GJ232" t="str">
            <v/>
          </cell>
          <cell r="GK232" t="str">
            <v/>
          </cell>
          <cell r="GL232" t="str">
            <v/>
          </cell>
          <cell r="GM232" t="str">
            <v/>
          </cell>
          <cell r="GN232" t="str">
            <v/>
          </cell>
        </row>
        <row r="233">
          <cell r="A233" t="str">
            <v>PS-GRN</v>
          </cell>
          <cell r="E233">
            <v>0</v>
          </cell>
          <cell r="F233">
            <v>0</v>
          </cell>
          <cell r="DN233">
            <v>0</v>
          </cell>
        </row>
        <row r="234">
          <cell r="A234" t="str">
            <v>PS-GRN</v>
          </cell>
          <cell r="E234">
            <v>0</v>
          </cell>
          <cell r="F234">
            <v>0</v>
          </cell>
          <cell r="DN234">
            <v>0</v>
          </cell>
        </row>
        <row r="235">
          <cell r="A235" t="str">
            <v>PS-GRN</v>
          </cell>
          <cell r="D235">
            <v>0</v>
          </cell>
          <cell r="E235">
            <v>0</v>
          </cell>
          <cell r="F235">
            <v>0</v>
          </cell>
          <cell r="G235" t="str">
            <v>Seattle, WA - EUA</v>
          </cell>
          <cell r="H235" t="str">
            <v>New Production Aircraft</v>
          </cell>
          <cell r="DN235" t="str">
            <v>18/10/2025</v>
          </cell>
          <cell r="DS235" t="str">
            <v>0</v>
          </cell>
          <cell r="DT235" t="str">
            <v>0</v>
          </cell>
          <cell r="DU235" t="str">
            <v>Boeing</v>
          </cell>
          <cell r="DV235" t="str">
            <v>186 Pax + 10 Flight Crew</v>
          </cell>
          <cell r="DW235" t="str">
            <v>GLP-MAX8-001-GRN</v>
          </cell>
        </row>
        <row r="236">
          <cell r="A236" t="str">
            <v>PS-GRN</v>
          </cell>
          <cell r="E236">
            <v>0</v>
          </cell>
          <cell r="F236">
            <v>0</v>
          </cell>
          <cell r="DN236">
            <v>0</v>
          </cell>
          <cell r="DS236" t="str">
            <v>0</v>
          </cell>
          <cell r="DT236" t="str">
            <v>0</v>
          </cell>
        </row>
        <row r="237">
          <cell r="A237" t="str">
            <v>PS-GRN</v>
          </cell>
          <cell r="E237">
            <v>0</v>
          </cell>
          <cell r="F237">
            <v>0</v>
          </cell>
          <cell r="DN237">
            <v>0</v>
          </cell>
          <cell r="DS237" t="str">
            <v>0</v>
          </cell>
          <cell r="DT237" t="str">
            <v>0</v>
          </cell>
        </row>
        <row r="238">
          <cell r="A238" t="str">
            <v>PS-GRN</v>
          </cell>
          <cell r="D238" t="str">
            <v>18/10/2025</v>
          </cell>
          <cell r="E238">
            <v>1</v>
          </cell>
          <cell r="F238">
            <v>0</v>
          </cell>
          <cell r="G238" t="str">
            <v>Seattle, WA - EUA</v>
          </cell>
          <cell r="H238" t="str">
            <v>New Production Aircraft</v>
          </cell>
          <cell r="I238" t="str">
            <v>3887,37</v>
          </cell>
          <cell r="J238" t="str">
            <v>0</v>
          </cell>
          <cell r="K238" t="str">
            <v>10501,97</v>
          </cell>
          <cell r="L238" t="str">
            <v>9501,89</v>
          </cell>
          <cell r="M238" t="str">
            <v>9629,35</v>
          </cell>
          <cell r="N238" t="str">
            <v>10583,62</v>
          </cell>
          <cell r="O238" t="str">
            <v>3887,3</v>
          </cell>
          <cell r="P238" t="str">
            <v>0</v>
          </cell>
          <cell r="Q238" t="str">
            <v>10501,97</v>
          </cell>
          <cell r="R238" t="str">
            <v>9501,89</v>
          </cell>
          <cell r="S238" t="str">
            <v>9629,35</v>
          </cell>
          <cell r="T238" t="str">
            <v>10583,62</v>
          </cell>
          <cell r="U238" t="str">
            <v>13,26</v>
          </cell>
          <cell r="V238" t="str">
            <v>13,26</v>
          </cell>
          <cell r="W238" t="str">
            <v xml:space="preserve">Down Lock, Nose Gear </v>
          </cell>
          <cell r="X238" t="str">
            <v xml:space="preserve">Down Lock, Main Gear </v>
          </cell>
          <cell r="Y238" t="str">
            <v>Plumb Bob</v>
          </cell>
          <cell r="Z238" t="str">
            <v>Operations Manuals</v>
          </cell>
          <cell r="AA238" t="str">
            <v>Wiring Diagrams</v>
          </cell>
          <cell r="AB238" t="str">
            <v>Production Flight Emergency Equipment</v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>0,2</v>
          </cell>
          <cell r="AL238" t="str">
            <v>0,4</v>
          </cell>
          <cell r="AM238" t="str">
            <v>0,5</v>
          </cell>
          <cell r="AN238" t="str">
            <v>2,3</v>
          </cell>
          <cell r="AO238" t="str">
            <v>27,2</v>
          </cell>
          <cell r="AP238" t="str">
            <v>29,5</v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>82</v>
          </cell>
          <cell r="AZ238" t="str">
            <v>702</v>
          </cell>
          <cell r="BA238" t="str">
            <v>685</v>
          </cell>
          <cell r="BB238" t="str">
            <v>67</v>
          </cell>
          <cell r="BC238" t="str">
            <v>230</v>
          </cell>
          <cell r="BD238" t="str">
            <v>230</v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>Fuel, Trapped, Unusable (14.2 Gal)</v>
          </cell>
          <cell r="BN238" t="str">
            <v>Lavatory Pre-charge Fluid (6.0 Gal)</v>
          </cell>
          <cell r="BO238" t="str">
            <v>Lavatory Dry Supplies</v>
          </cell>
          <cell r="BP238" t="str">
            <v>Flaps 0 - 40° (Up when weighed)</v>
          </cell>
          <cell r="BQ238" t="str">
            <v>Water, Potable (62.6 Gal)</v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 t="str">
            <v/>
          </cell>
          <cell r="BZ238" t="str">
            <v/>
          </cell>
          <cell r="CA238" t="str">
            <v/>
          </cell>
          <cell r="CB238" t="str">
            <v>17,3</v>
          </cell>
          <cell r="CC238" t="str">
            <v>22,7</v>
          </cell>
          <cell r="CD238" t="str">
            <v>4,0</v>
          </cell>
          <cell r="CE238" t="str">
            <v/>
          </cell>
          <cell r="CF238" t="str">
            <v>236,4</v>
          </cell>
          <cell r="CG238" t="str">
            <v/>
          </cell>
          <cell r="CH238" t="str">
            <v/>
          </cell>
          <cell r="CI238" t="str">
            <v/>
          </cell>
          <cell r="CJ238" t="str">
            <v/>
          </cell>
          <cell r="CK238" t="str">
            <v/>
          </cell>
          <cell r="CL238" t="str">
            <v/>
          </cell>
          <cell r="CM238" t="str">
            <v/>
          </cell>
          <cell r="CN238" t="str">
            <v/>
          </cell>
          <cell r="CO238" t="str">
            <v/>
          </cell>
          <cell r="CP238" t="str">
            <v>646</v>
          </cell>
          <cell r="CQ238" t="str">
            <v>1112</v>
          </cell>
          <cell r="CR238" t="str">
            <v>1138</v>
          </cell>
          <cell r="CS238" t="str">
            <v/>
          </cell>
          <cell r="CT238" t="str">
            <v>1150</v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H238" t="str">
            <v/>
          </cell>
          <cell r="DN238" t="str">
            <v>10/11/2025</v>
          </cell>
          <cell r="DQ238" t="str">
            <v>Danton</v>
          </cell>
          <cell r="DS238" t="str">
            <v>0</v>
          </cell>
          <cell r="DT238" t="str">
            <v>0</v>
          </cell>
          <cell r="DU238" t="str">
            <v>Boeing</v>
          </cell>
          <cell r="DV238" t="str">
            <v>186 Pax + 10 Flight Crew</v>
          </cell>
          <cell r="DW238" t="str">
            <v>GLP-MAX8-001-GRN</v>
          </cell>
          <cell r="FL238" t="str">
            <v/>
          </cell>
          <cell r="FM238" t="str">
            <v/>
          </cell>
          <cell r="FN238" t="str">
            <v/>
          </cell>
          <cell r="FO238" t="str">
            <v/>
          </cell>
          <cell r="FP238" t="str">
            <v/>
          </cell>
          <cell r="FQ238" t="str">
            <v/>
          </cell>
          <cell r="FR238" t="str">
            <v/>
          </cell>
          <cell r="FS238" t="str">
            <v/>
          </cell>
          <cell r="FT238" t="str">
            <v/>
          </cell>
          <cell r="FU238" t="str">
            <v/>
          </cell>
          <cell r="FV238" t="str">
            <v/>
          </cell>
          <cell r="FW238" t="str">
            <v/>
          </cell>
          <cell r="FX238" t="str">
            <v/>
          </cell>
          <cell r="FY238" t="str">
            <v/>
          </cell>
          <cell r="FZ238" t="str">
            <v/>
          </cell>
          <cell r="GA238" t="str">
            <v/>
          </cell>
          <cell r="GB238" t="str">
            <v/>
          </cell>
          <cell r="GC238" t="str">
            <v/>
          </cell>
          <cell r="GD238" t="str">
            <v/>
          </cell>
          <cell r="GE238" t="str">
            <v/>
          </cell>
          <cell r="GF238" t="str">
            <v/>
          </cell>
          <cell r="GG238" t="str">
            <v/>
          </cell>
          <cell r="GH238" t="str">
            <v/>
          </cell>
          <cell r="GI238" t="str">
            <v/>
          </cell>
          <cell r="GJ238" t="str">
            <v/>
          </cell>
          <cell r="GK238" t="str">
            <v/>
          </cell>
          <cell r="GL238" t="str">
            <v/>
          </cell>
          <cell r="GM238" t="str">
            <v/>
          </cell>
          <cell r="GN238" t="str">
            <v/>
          </cell>
        </row>
        <row r="239">
          <cell r="A239" t="str">
            <v>PR-RAU</v>
          </cell>
          <cell r="D239">
            <v>40858</v>
          </cell>
          <cell r="E239">
            <v>13</v>
          </cell>
          <cell r="F239">
            <v>1</v>
          </cell>
          <cell r="G239" t="str">
            <v>São José dos Campos, SP - Brazil</v>
          </cell>
          <cell r="H239" t="str">
            <v>New Production Aircraft</v>
          </cell>
          <cell r="I239" t="str">
            <v>2518</v>
          </cell>
          <cell r="J239" t="str">
            <v>2518</v>
          </cell>
          <cell r="K239" t="str">
            <v>9413,5</v>
          </cell>
          <cell r="L239" t="str">
            <v>9413,5</v>
          </cell>
          <cell r="M239" t="str">
            <v>9558,5</v>
          </cell>
          <cell r="N239" t="str">
            <v>9558,5</v>
          </cell>
          <cell r="O239" t="str">
            <v>1518</v>
          </cell>
          <cell r="P239" t="str">
            <v>1518</v>
          </cell>
          <cell r="Q239" t="str">
            <v>9413,5</v>
          </cell>
          <cell r="R239" t="str">
            <v>9413,5</v>
          </cell>
          <cell r="S239" t="str">
            <v>9558,5</v>
          </cell>
          <cell r="T239" t="str">
            <v>9558,5</v>
          </cell>
          <cell r="U239">
            <v>0.39370078740157483</v>
          </cell>
          <cell r="V239">
            <v>0.39370078740157483</v>
          </cell>
          <cell r="W239" t="str">
            <v>Down Lock Nose Gear (1 ea)</v>
          </cell>
          <cell r="X239" t="str">
            <v>Down Lock Main Gear (2 ea)</v>
          </cell>
          <cell r="Y239" t="str">
            <v>Plumb Bob (1 ea)</v>
          </cell>
          <cell r="Z239" t="str">
            <v>Loto Kit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>0,3</v>
          </cell>
          <cell r="AL239" t="str">
            <v>0,4</v>
          </cell>
          <cell r="AM239" t="str">
            <v>0,5</v>
          </cell>
          <cell r="AN239" t="str">
            <v>4</v>
          </cell>
          <cell r="AO239" t="str">
            <v>0</v>
          </cell>
          <cell r="AP239" t="str">
            <v>0</v>
          </cell>
          <cell r="AQ239" t="str">
            <v>0</v>
          </cell>
          <cell r="AR239" t="str">
            <v>0</v>
          </cell>
          <cell r="AS239" t="str">
            <v>0</v>
          </cell>
          <cell r="AT239" t="str">
            <v>0</v>
          </cell>
          <cell r="AU239" t="str">
            <v>0</v>
          </cell>
          <cell r="AV239" t="str">
            <v>0</v>
          </cell>
          <cell r="AW239" t="str">
            <v>0</v>
          </cell>
          <cell r="AX239" t="str">
            <v>0</v>
          </cell>
          <cell r="AY239" t="str">
            <v>91</v>
          </cell>
          <cell r="AZ239" t="str">
            <v>702</v>
          </cell>
          <cell r="BA239" t="str">
            <v>685</v>
          </cell>
          <cell r="BB239" t="str">
            <v>120</v>
          </cell>
          <cell r="BC239" t="str">
            <v>0</v>
          </cell>
          <cell r="BD239" t="str">
            <v>0</v>
          </cell>
          <cell r="BE239" t="str">
            <v>0</v>
          </cell>
          <cell r="BF239" t="str">
            <v>0</v>
          </cell>
          <cell r="BG239" t="str">
            <v>0</v>
          </cell>
          <cell r="BH239" t="str">
            <v>0</v>
          </cell>
          <cell r="BI239" t="str">
            <v>0</v>
          </cell>
          <cell r="BJ239" t="str">
            <v>0</v>
          </cell>
          <cell r="BK239" t="str">
            <v>0</v>
          </cell>
          <cell r="BL239" t="str">
            <v>0</v>
          </cell>
          <cell r="BM239" t="str">
            <v>Flaps 0 - 40° (up when weighed)</v>
          </cell>
          <cell r="BN239" t="str">
            <v>Fuel, Drain., Unusable (5.6 Gal)</v>
          </cell>
          <cell r="BO239" t="str">
            <v>Lavatory Pre-Charge Fluid (6.0 Gal)</v>
          </cell>
          <cell r="BP239" t="str">
            <v>Lavatory Dry Supplies</v>
          </cell>
          <cell r="BQ239" t="str">
            <v>Potable Water (62.6 Gal)</v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 t="str">
            <v/>
          </cell>
          <cell r="BZ239" t="str">
            <v/>
          </cell>
          <cell r="CA239" t="str">
            <v/>
          </cell>
          <cell r="CB239" t="str">
            <v>0</v>
          </cell>
          <cell r="CC239" t="str">
            <v>17,3</v>
          </cell>
          <cell r="CD239" t="str">
            <v>22,7</v>
          </cell>
          <cell r="CE239" t="str">
            <v>4</v>
          </cell>
          <cell r="CF239" t="str">
            <v>236,4</v>
          </cell>
          <cell r="CG239" t="str">
            <v>0</v>
          </cell>
          <cell r="CH239" t="str">
            <v>0</v>
          </cell>
          <cell r="CI239" t="str">
            <v>0</v>
          </cell>
          <cell r="CJ239" t="str">
            <v>0</v>
          </cell>
          <cell r="CK239" t="str">
            <v>0</v>
          </cell>
          <cell r="CL239" t="str">
            <v>0</v>
          </cell>
          <cell r="CM239" t="str">
            <v>0</v>
          </cell>
          <cell r="CN239" t="str">
            <v>0</v>
          </cell>
          <cell r="CO239" t="str">
            <v>0</v>
          </cell>
          <cell r="CP239" t="str">
            <v>0</v>
          </cell>
          <cell r="CQ239" t="str">
            <v>646</v>
          </cell>
          <cell r="CR239" t="str">
            <v>1112</v>
          </cell>
          <cell r="CS239" t="str">
            <v>1145</v>
          </cell>
          <cell r="CT239" t="str">
            <v>1150</v>
          </cell>
          <cell r="CU239" t="str">
            <v>0</v>
          </cell>
          <cell r="CV239" t="str">
            <v>0</v>
          </cell>
          <cell r="CW239" t="str">
            <v>0</v>
          </cell>
          <cell r="CX239" t="str">
            <v>0</v>
          </cell>
          <cell r="CY239" t="str">
            <v>0</v>
          </cell>
          <cell r="CZ239" t="str">
            <v>0</v>
          </cell>
          <cell r="DA239" t="str">
            <v>0</v>
          </cell>
          <cell r="DB239" t="str">
            <v>0</v>
          </cell>
          <cell r="DC239" t="str">
            <v/>
          </cell>
          <cell r="DN239" t="str">
            <v>11/11/2011</v>
          </cell>
          <cell r="DQ239" t="str">
            <v>Danton</v>
          </cell>
          <cell r="DS239" t="str">
            <v>13</v>
          </cell>
          <cell r="DT239" t="str">
            <v>0</v>
          </cell>
          <cell r="DU239" t="str">
            <v>GOL</v>
          </cell>
          <cell r="DV239" t="str">
            <v>138 Pax + 9 Flight Crew</v>
          </cell>
          <cell r="DW239" t="str">
            <v xml:space="preserve">GLP-800-001-GTH </v>
          </cell>
          <cell r="FL239" t="str">
            <v/>
          </cell>
          <cell r="FM239" t="str">
            <v/>
          </cell>
          <cell r="FN239" t="str">
            <v/>
          </cell>
          <cell r="FO239" t="str">
            <v/>
          </cell>
          <cell r="FP239" t="str">
            <v/>
          </cell>
          <cell r="FQ239" t="str">
            <v/>
          </cell>
          <cell r="FR239" t="str">
            <v/>
          </cell>
          <cell r="FS239" t="str">
            <v/>
          </cell>
          <cell r="FT239" t="str">
            <v/>
          </cell>
          <cell r="FU239" t="str">
            <v/>
          </cell>
          <cell r="FV239" t="str">
            <v/>
          </cell>
          <cell r="FW239" t="str">
            <v/>
          </cell>
          <cell r="FX239" t="str">
            <v/>
          </cell>
          <cell r="FY239" t="str">
            <v/>
          </cell>
          <cell r="FZ239" t="str">
            <v/>
          </cell>
          <cell r="GA239" t="str">
            <v/>
          </cell>
          <cell r="GB239" t="str">
            <v/>
          </cell>
          <cell r="GC239" t="str">
            <v/>
          </cell>
          <cell r="GD239" t="str">
            <v/>
          </cell>
          <cell r="GE239" t="str">
            <v/>
          </cell>
          <cell r="GF239" t="str">
            <v/>
          </cell>
          <cell r="GG239" t="str">
            <v/>
          </cell>
          <cell r="GH239" t="str">
            <v/>
          </cell>
          <cell r="GI239" t="str">
            <v/>
          </cell>
          <cell r="GJ239" t="str">
            <v/>
          </cell>
          <cell r="GK239" t="str">
            <v/>
          </cell>
          <cell r="GL239" t="str">
            <v/>
          </cell>
          <cell r="GM239" t="str">
            <v/>
          </cell>
          <cell r="GN239" t="str">
            <v/>
          </cell>
        </row>
        <row r="240">
          <cell r="A240" t="str">
            <v>PR-VBK</v>
          </cell>
          <cell r="D240" t="str">
            <v>11/10/2025</v>
          </cell>
          <cell r="E240">
            <v>8</v>
          </cell>
          <cell r="F240">
            <v>0</v>
          </cell>
          <cell r="G240" t="str">
            <v>Lagoa Santa, MG - Brazil</v>
          </cell>
          <cell r="H240" t="str">
            <v>Scheduled</v>
          </cell>
          <cell r="I240" t="str">
            <v>1648</v>
          </cell>
          <cell r="J240" t="str">
            <v>1310</v>
          </cell>
          <cell r="K240" t="str">
            <v>9134</v>
          </cell>
          <cell r="L240" t="str">
            <v>9830</v>
          </cell>
          <cell r="M240" t="str">
            <v>9400</v>
          </cell>
          <cell r="N240" t="str">
            <v>9684</v>
          </cell>
          <cell r="O240" t="str">
            <v>1630</v>
          </cell>
          <cell r="P240" t="str">
            <v>1332</v>
          </cell>
          <cell r="Q240" t="str">
            <v>9154</v>
          </cell>
          <cell r="R240" t="str">
            <v>9808</v>
          </cell>
          <cell r="S240" t="str">
            <v>9407</v>
          </cell>
          <cell r="T240" t="str">
            <v>9668</v>
          </cell>
          <cell r="U240" t="str">
            <v>3,81889763779528</v>
          </cell>
          <cell r="V240" t="str">
            <v>3,93700787401575</v>
          </cell>
          <cell r="W240" t="str">
            <v>Down Lock, Nose Gear</v>
          </cell>
          <cell r="X240" t="str">
            <v>Down Lock, Main Gear</v>
          </cell>
          <cell r="Y240" t="str">
            <v>Plumb Bob</v>
          </cell>
          <cell r="Z240" t="str">
            <v/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>0,3</v>
          </cell>
          <cell r="AL240" t="str">
            <v>0,4</v>
          </cell>
          <cell r="AM240" t="str">
            <v>0,5</v>
          </cell>
          <cell r="AN240" t="str">
            <v>0</v>
          </cell>
          <cell r="AO240" t="str">
            <v>0</v>
          </cell>
          <cell r="AP240" t="str">
            <v>0</v>
          </cell>
          <cell r="AQ240" t="str">
            <v>0</v>
          </cell>
          <cell r="AR240" t="str">
            <v>0</v>
          </cell>
          <cell r="AS240" t="str">
            <v>0</v>
          </cell>
          <cell r="AT240" t="str">
            <v>0</v>
          </cell>
          <cell r="AU240" t="str">
            <v>0</v>
          </cell>
          <cell r="AV240" t="str">
            <v>0</v>
          </cell>
          <cell r="AW240" t="str">
            <v>0</v>
          </cell>
          <cell r="AX240" t="str">
            <v>0</v>
          </cell>
          <cell r="AY240" t="str">
            <v>91</v>
          </cell>
          <cell r="AZ240" t="str">
            <v>702</v>
          </cell>
          <cell r="BA240" t="str">
            <v>685</v>
          </cell>
          <cell r="BB240" t="str">
            <v>0</v>
          </cell>
          <cell r="BC240" t="str">
            <v>0</v>
          </cell>
          <cell r="BD240" t="str">
            <v>0</v>
          </cell>
          <cell r="BE240" t="str">
            <v>0</v>
          </cell>
          <cell r="BF240" t="str">
            <v>0</v>
          </cell>
          <cell r="BG240" t="str">
            <v>0</v>
          </cell>
          <cell r="BH240" t="str">
            <v>0</v>
          </cell>
          <cell r="BI240" t="str">
            <v>0</v>
          </cell>
          <cell r="BJ240" t="str">
            <v>0</v>
          </cell>
          <cell r="BK240" t="str">
            <v>0</v>
          </cell>
          <cell r="BL240" t="str">
            <v>0</v>
          </cell>
          <cell r="BM240" t="str">
            <v>Flaps 0 - 40° (Up when weighed)</v>
          </cell>
          <cell r="BN240" t="str">
            <v>Fuel, Drain, Unusable (5.6 Gal)</v>
          </cell>
          <cell r="BO240" t="str">
            <v>Lavatory Dry Supplies</v>
          </cell>
          <cell r="BP240" t="str">
            <v>Lavatory Pre-charge Fluid (6.0 Gal)</v>
          </cell>
          <cell r="BQ240" t="str">
            <v>Water, Potable (62.6 Gal)</v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 t="str">
            <v/>
          </cell>
          <cell r="BZ240" t="str">
            <v/>
          </cell>
          <cell r="CA240" t="str">
            <v/>
          </cell>
          <cell r="CB240" t="str">
            <v/>
          </cell>
          <cell r="CC240" t="str">
            <v>17,3</v>
          </cell>
          <cell r="CD240" t="str">
            <v>4</v>
          </cell>
          <cell r="CE240" t="str">
            <v>22,7</v>
          </cell>
          <cell r="CF240" t="str">
            <v>236,4</v>
          </cell>
          <cell r="CG240" t="str">
            <v>0</v>
          </cell>
          <cell r="CH240" t="str">
            <v>0</v>
          </cell>
          <cell r="CI240" t="str">
            <v>0</v>
          </cell>
          <cell r="CJ240" t="str">
            <v>0</v>
          </cell>
          <cell r="CK240" t="str">
            <v>0</v>
          </cell>
          <cell r="CL240" t="str">
            <v>0</v>
          </cell>
          <cell r="CM240" t="str">
            <v>0</v>
          </cell>
          <cell r="CN240" t="str">
            <v>0</v>
          </cell>
          <cell r="CO240" t="str">
            <v>0</v>
          </cell>
          <cell r="CP240" t="str">
            <v/>
          </cell>
          <cell r="CQ240" t="str">
            <v>646</v>
          </cell>
          <cell r="CR240" t="str">
            <v>1145</v>
          </cell>
          <cell r="CS240" t="str">
            <v>1112</v>
          </cell>
          <cell r="CT240" t="str">
            <v>1150</v>
          </cell>
          <cell r="CU240" t="str">
            <v>0</v>
          </cell>
          <cell r="CV240" t="str">
            <v>0</v>
          </cell>
          <cell r="CW240" t="str">
            <v>0</v>
          </cell>
          <cell r="CX240" t="str">
            <v>0</v>
          </cell>
          <cell r="CY240" t="str">
            <v>0</v>
          </cell>
          <cell r="CZ240" t="str">
            <v>0</v>
          </cell>
          <cell r="DA240" t="str">
            <v>0</v>
          </cell>
          <cell r="DB240" t="str">
            <v>0</v>
          </cell>
          <cell r="DC240" t="str">
            <v>0</v>
          </cell>
          <cell r="DD240" t="str">
            <v/>
          </cell>
          <cell r="DE240" t="str">
            <v/>
          </cell>
          <cell r="DF240" t="str">
            <v/>
          </cell>
          <cell r="DH240" t="str">
            <v/>
          </cell>
          <cell r="DN240" t="str">
            <v>11/11/2025</v>
          </cell>
          <cell r="DQ240" t="str">
            <v>Fernando Araujo</v>
          </cell>
          <cell r="DR240" t="str">
            <v>Maia</v>
          </cell>
          <cell r="DS240" t="str">
            <v>7</v>
          </cell>
          <cell r="DT240" t="str">
            <v>0</v>
          </cell>
          <cell r="DU240" t="str">
            <v>GOL</v>
          </cell>
          <cell r="DV240" t="str">
            <v>186 Pax + 10 Flight Crew</v>
          </cell>
          <cell r="DW240" t="str">
            <v xml:space="preserve">GLP-800-004-VBK </v>
          </cell>
          <cell r="FL240" t="str">
            <v/>
          </cell>
          <cell r="FM240" t="str">
            <v/>
          </cell>
          <cell r="FN240" t="str">
            <v/>
          </cell>
          <cell r="FO240" t="str">
            <v/>
          </cell>
          <cell r="FP240" t="str">
            <v/>
          </cell>
          <cell r="FQ240" t="str">
            <v/>
          </cell>
          <cell r="FR240" t="str">
            <v/>
          </cell>
          <cell r="FS240" t="str">
            <v/>
          </cell>
          <cell r="FT240" t="str">
            <v/>
          </cell>
          <cell r="FU240" t="str">
            <v/>
          </cell>
          <cell r="FV240" t="str">
            <v/>
          </cell>
          <cell r="FW240" t="str">
            <v/>
          </cell>
          <cell r="FX240" t="str">
            <v/>
          </cell>
          <cell r="FY240" t="str">
            <v/>
          </cell>
          <cell r="FZ240" t="str">
            <v/>
          </cell>
          <cell r="GA240" t="str">
            <v/>
          </cell>
          <cell r="GB240" t="str">
            <v/>
          </cell>
          <cell r="GC240" t="str">
            <v/>
          </cell>
          <cell r="GD240" t="str">
            <v/>
          </cell>
          <cell r="GE240" t="str">
            <v/>
          </cell>
          <cell r="GF240" t="str">
            <v/>
          </cell>
          <cell r="GG240" t="str">
            <v/>
          </cell>
          <cell r="GH240" t="str">
            <v/>
          </cell>
          <cell r="GI240" t="str">
            <v/>
          </cell>
          <cell r="GJ240" t="str">
            <v/>
          </cell>
          <cell r="GK240" t="str">
            <v/>
          </cell>
          <cell r="GL240" t="str">
            <v/>
          </cell>
          <cell r="GM240" t="str">
            <v/>
          </cell>
          <cell r="GN240" t="str">
            <v/>
          </cell>
        </row>
        <row r="241">
          <cell r="A241" t="str">
            <v>PR-GUF</v>
          </cell>
          <cell r="D241" t="str">
            <v>29/11/2025</v>
          </cell>
          <cell r="E241">
            <v>5</v>
          </cell>
          <cell r="F241">
            <v>0</v>
          </cell>
          <cell r="G241" t="str">
            <v>Lagoa Santa, MG - Brazil</v>
          </cell>
          <cell r="H241" t="str">
            <v>Scheduled</v>
          </cell>
          <cell r="I241" t="str">
            <v>1570</v>
          </cell>
          <cell r="J241" t="str">
            <v>1478</v>
          </cell>
          <cell r="K241" t="str">
            <v>8956</v>
          </cell>
          <cell r="L241" t="str">
            <v>10006</v>
          </cell>
          <cell r="M241" t="str">
            <v>9474</v>
          </cell>
          <cell r="N241" t="str">
            <v>9668</v>
          </cell>
          <cell r="O241" t="str">
            <v>1570</v>
          </cell>
          <cell r="P241" t="str">
            <v>1478</v>
          </cell>
          <cell r="Q241" t="str">
            <v>8894</v>
          </cell>
          <cell r="R241" t="str">
            <v>10070</v>
          </cell>
          <cell r="S241" t="str">
            <v>9520</v>
          </cell>
          <cell r="T241" t="str">
            <v>9626</v>
          </cell>
          <cell r="U241">
            <v>5.1574803149606305</v>
          </cell>
          <cell r="V241">
            <v>5.1181102362204731</v>
          </cell>
          <cell r="W241" t="str">
            <v>Down Lock, Nose Gear</v>
          </cell>
          <cell r="X241" t="str">
            <v>Down Lock, Main Gear</v>
          </cell>
          <cell r="Y241" t="str">
            <v>Plumb Bob</v>
          </cell>
          <cell r="Z241" t="str">
            <v/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>0,3</v>
          </cell>
          <cell r="AL241" t="str">
            <v>0,4</v>
          </cell>
          <cell r="AM241" t="str">
            <v>0,5</v>
          </cell>
          <cell r="AN241" t="str">
            <v>0</v>
          </cell>
          <cell r="AO241" t="str">
            <v>0</v>
          </cell>
          <cell r="AP241" t="str">
            <v>0</v>
          </cell>
          <cell r="AQ241" t="str">
            <v>0</v>
          </cell>
          <cell r="AR241" t="str">
            <v>0</v>
          </cell>
          <cell r="AS241" t="str">
            <v>0</v>
          </cell>
          <cell r="AT241" t="str">
            <v>0</v>
          </cell>
          <cell r="AU241" t="str">
            <v>0</v>
          </cell>
          <cell r="AV241" t="str">
            <v>0</v>
          </cell>
          <cell r="AW241" t="str">
            <v>0</v>
          </cell>
          <cell r="AX241" t="str">
            <v>0</v>
          </cell>
          <cell r="AY241" t="str">
            <v>91</v>
          </cell>
          <cell r="AZ241" t="str">
            <v>702</v>
          </cell>
          <cell r="BA241" t="str">
            <v>685</v>
          </cell>
          <cell r="BB241" t="str">
            <v>0</v>
          </cell>
          <cell r="BC241" t="str">
            <v>0</v>
          </cell>
          <cell r="BD241" t="str">
            <v>0</v>
          </cell>
          <cell r="BE241" t="str">
            <v>0</v>
          </cell>
          <cell r="BF241" t="str">
            <v>0</v>
          </cell>
          <cell r="BG241" t="str">
            <v>0</v>
          </cell>
          <cell r="BH241" t="str">
            <v>0</v>
          </cell>
          <cell r="BI241" t="str">
            <v>0</v>
          </cell>
          <cell r="BJ241" t="str">
            <v>0</v>
          </cell>
          <cell r="BK241" t="str">
            <v>0</v>
          </cell>
          <cell r="BL241" t="str">
            <v>0</v>
          </cell>
          <cell r="BM241" t="str">
            <v>Flaps 0 - 40° (Up when weighed)</v>
          </cell>
          <cell r="BN241" t="str">
            <v>Fuel, Drain, Unusable (5.6 Gal)</v>
          </cell>
          <cell r="BO241" t="str">
            <v>Lavatory Dry Supplies</v>
          </cell>
          <cell r="BP241" t="str">
            <v>Lavatory Pre-charge Fluid (6.0 Gal)</v>
          </cell>
          <cell r="BQ241" t="str">
            <v>Water, Potable (62.6 Gal)</v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 t="str">
            <v>17,3</v>
          </cell>
          <cell r="CD241" t="str">
            <v>4</v>
          </cell>
          <cell r="CE241" t="str">
            <v>22,7</v>
          </cell>
          <cell r="CF241" t="str">
            <v>236,4</v>
          </cell>
          <cell r="CG241" t="str">
            <v/>
          </cell>
          <cell r="CH241" t="str">
            <v>0</v>
          </cell>
          <cell r="CI241" t="str">
            <v>0</v>
          </cell>
          <cell r="CJ241" t="str">
            <v>0</v>
          </cell>
          <cell r="CK241" t="str">
            <v>0</v>
          </cell>
          <cell r="CL241" t="str">
            <v>0</v>
          </cell>
          <cell r="CM241" t="str">
            <v>0</v>
          </cell>
          <cell r="CN241" t="str">
            <v>0</v>
          </cell>
          <cell r="CO241" t="str">
            <v>0</v>
          </cell>
          <cell r="CP241" t="str">
            <v/>
          </cell>
          <cell r="CQ241" t="str">
            <v>646</v>
          </cell>
          <cell r="CR241" t="str">
            <v>1145</v>
          </cell>
          <cell r="CS241" t="str">
            <v>1112</v>
          </cell>
          <cell r="CT241" t="str">
            <v>1150</v>
          </cell>
          <cell r="CU241" t="str">
            <v/>
          </cell>
          <cell r="CV241" t="str">
            <v>0</v>
          </cell>
          <cell r="CW241" t="str">
            <v>0</v>
          </cell>
          <cell r="CX241" t="str">
            <v>0</v>
          </cell>
          <cell r="CY241" t="str">
            <v>0</v>
          </cell>
          <cell r="CZ241" t="str">
            <v>0</v>
          </cell>
          <cell r="DA241" t="str">
            <v>0</v>
          </cell>
          <cell r="DB241" t="str">
            <v>0</v>
          </cell>
          <cell r="DC241" t="str">
            <v>0</v>
          </cell>
          <cell r="DN241" t="str">
            <v>01/12/2025</v>
          </cell>
          <cell r="DQ241" t="str">
            <v>Danton</v>
          </cell>
          <cell r="DR241" t="str">
            <v>Jeferson</v>
          </cell>
          <cell r="DS241" t="str">
            <v>4</v>
          </cell>
          <cell r="DT241" t="str">
            <v>0</v>
          </cell>
          <cell r="DU241" t="str">
            <v>GOL</v>
          </cell>
          <cell r="DV241" t="str">
            <v>186 Pax + 10 Flight Crew</v>
          </cell>
          <cell r="DW241" t="str">
            <v xml:space="preserve">GLP-800-004-GUF </v>
          </cell>
          <cell r="FL241" t="str">
            <v/>
          </cell>
          <cell r="FM241" t="str">
            <v/>
          </cell>
          <cell r="FN241" t="str">
            <v/>
          </cell>
          <cell r="FO241" t="str">
            <v/>
          </cell>
          <cell r="FP241" t="str">
            <v/>
          </cell>
          <cell r="FQ241" t="str">
            <v/>
          </cell>
          <cell r="FR241" t="str">
            <v/>
          </cell>
          <cell r="FS241" t="str">
            <v/>
          </cell>
          <cell r="FT241" t="str">
            <v/>
          </cell>
          <cell r="FU241" t="str">
            <v/>
          </cell>
          <cell r="FV241" t="str">
            <v/>
          </cell>
          <cell r="FW241" t="str">
            <v/>
          </cell>
          <cell r="FX241" t="str">
            <v/>
          </cell>
          <cell r="FY241" t="str">
            <v/>
          </cell>
          <cell r="FZ241" t="str">
            <v/>
          </cell>
          <cell r="GA241" t="str">
            <v/>
          </cell>
          <cell r="GB241" t="str">
            <v/>
          </cell>
          <cell r="GC241" t="str">
            <v/>
          </cell>
          <cell r="GD241" t="str">
            <v/>
          </cell>
          <cell r="GE241" t="str">
            <v/>
          </cell>
          <cell r="GF241" t="str">
            <v/>
          </cell>
          <cell r="GG241" t="str">
            <v/>
          </cell>
          <cell r="GH241" t="str">
            <v/>
          </cell>
          <cell r="GI241" t="str">
            <v/>
          </cell>
          <cell r="GJ241" t="str">
            <v/>
          </cell>
          <cell r="GK241" t="str">
            <v/>
          </cell>
          <cell r="GL241" t="str">
            <v/>
          </cell>
          <cell r="GM241" t="str">
            <v/>
          </cell>
          <cell r="GN241" t="str">
            <v/>
          </cell>
        </row>
        <row r="242">
          <cell r="A242" t="str">
            <v>PR-RAU</v>
          </cell>
          <cell r="D242" t="str">
            <v>11/11/2011</v>
          </cell>
          <cell r="E242">
            <v>13</v>
          </cell>
          <cell r="F242">
            <v>2</v>
          </cell>
          <cell r="G242" t="str">
            <v>São José dos Campos, SP - Brazil</v>
          </cell>
          <cell r="H242" t="str">
            <v>New Production Aircraft</v>
          </cell>
          <cell r="I242" t="str">
            <v>2518</v>
          </cell>
          <cell r="J242" t="str">
            <v>2518</v>
          </cell>
          <cell r="K242" t="str">
            <v>9413,5</v>
          </cell>
          <cell r="L242" t="str">
            <v>9413,5</v>
          </cell>
          <cell r="M242" t="str">
            <v>9558,5</v>
          </cell>
          <cell r="N242" t="str">
            <v>9558,5</v>
          </cell>
          <cell r="O242" t="str">
            <v>1518</v>
          </cell>
          <cell r="P242" t="str">
            <v>1518</v>
          </cell>
          <cell r="Q242" t="str">
            <v>9413,5</v>
          </cell>
          <cell r="R242" t="str">
            <v>9413,5</v>
          </cell>
          <cell r="S242" t="str">
            <v>9558,5</v>
          </cell>
          <cell r="T242" t="str">
            <v>9558,5</v>
          </cell>
          <cell r="U242">
            <v>1.5500031000062009E-2</v>
          </cell>
          <cell r="V242">
            <v>1.5500031000062009E-2</v>
          </cell>
          <cell r="W242" t="str">
            <v>Down Lock Nose Gear (1 ea)</v>
          </cell>
          <cell r="X242" t="str">
            <v>Down Lock Main Gear (2 ea)</v>
          </cell>
          <cell r="Y242" t="str">
            <v>Plumb Bob (1 ea)</v>
          </cell>
          <cell r="Z242" t="str">
            <v>Loto Kit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>0,3</v>
          </cell>
          <cell r="AL242" t="str">
            <v>0,4</v>
          </cell>
          <cell r="AM242" t="str">
            <v>0,5</v>
          </cell>
          <cell r="AN242" t="str">
            <v>4</v>
          </cell>
          <cell r="AO242" t="str">
            <v>0</v>
          </cell>
          <cell r="AP242" t="str">
            <v>0</v>
          </cell>
          <cell r="AQ242" t="str">
            <v>0</v>
          </cell>
          <cell r="AR242" t="str">
            <v>0</v>
          </cell>
          <cell r="AS242" t="str">
            <v>0</v>
          </cell>
          <cell r="AT242" t="str">
            <v>0</v>
          </cell>
          <cell r="AU242" t="str">
            <v>0</v>
          </cell>
          <cell r="AV242" t="str">
            <v>0</v>
          </cell>
          <cell r="AW242" t="str">
            <v>0</v>
          </cell>
          <cell r="AX242" t="str">
            <v>0</v>
          </cell>
          <cell r="AY242" t="str">
            <v>91</v>
          </cell>
          <cell r="AZ242" t="str">
            <v>702</v>
          </cell>
          <cell r="BA242" t="str">
            <v>685</v>
          </cell>
          <cell r="BB242" t="str">
            <v>120</v>
          </cell>
          <cell r="BC242" t="str">
            <v>0</v>
          </cell>
          <cell r="BD242" t="str">
            <v>0</v>
          </cell>
          <cell r="BE242" t="str">
            <v>0</v>
          </cell>
          <cell r="BF242" t="str">
            <v>0</v>
          </cell>
          <cell r="BG242" t="str">
            <v>0</v>
          </cell>
          <cell r="BH242" t="str">
            <v>0</v>
          </cell>
          <cell r="BI242" t="str">
            <v>0</v>
          </cell>
          <cell r="BJ242" t="str">
            <v>0</v>
          </cell>
          <cell r="BK242" t="str">
            <v>0</v>
          </cell>
          <cell r="BL242" t="str">
            <v>0</v>
          </cell>
          <cell r="BM242" t="str">
            <v>Flaps 0 - 40° (up when weighed)</v>
          </cell>
          <cell r="BN242" t="str">
            <v>Fuel, Drain., Unusable (5.6 Gal)</v>
          </cell>
          <cell r="BO242" t="str">
            <v>Lavatory Pre-Charge Fluid (6.0 Gal)</v>
          </cell>
          <cell r="BP242" t="str">
            <v>Lavatory Dry Supplies</v>
          </cell>
          <cell r="BQ242" t="str">
            <v>Potable Water (62.6 Gal)</v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>0</v>
          </cell>
          <cell r="CC242" t="str">
            <v>17,3</v>
          </cell>
          <cell r="CD242" t="str">
            <v>22,7</v>
          </cell>
          <cell r="CE242" t="str">
            <v>4</v>
          </cell>
          <cell r="CF242" t="str">
            <v>236,4</v>
          </cell>
          <cell r="CG242" t="str">
            <v>0</v>
          </cell>
          <cell r="CH242" t="str">
            <v>0</v>
          </cell>
          <cell r="CI242" t="str">
            <v>0</v>
          </cell>
          <cell r="CJ242" t="str">
            <v>0</v>
          </cell>
          <cell r="CK242" t="str">
            <v>0</v>
          </cell>
          <cell r="CL242" t="str">
            <v>0</v>
          </cell>
          <cell r="CM242" t="str">
            <v>0</v>
          </cell>
          <cell r="CN242" t="str">
            <v>0</v>
          </cell>
          <cell r="CO242" t="str">
            <v>0</v>
          </cell>
          <cell r="CP242" t="str">
            <v>0</v>
          </cell>
          <cell r="CQ242" t="str">
            <v>646</v>
          </cell>
          <cell r="CR242" t="str">
            <v>1112</v>
          </cell>
          <cell r="CS242" t="str">
            <v>1145</v>
          </cell>
          <cell r="CT242" t="str">
            <v>1150</v>
          </cell>
          <cell r="CU242" t="str">
            <v>0</v>
          </cell>
          <cell r="CV242" t="str">
            <v>0</v>
          </cell>
          <cell r="CW242" t="str">
            <v>0</v>
          </cell>
          <cell r="CX242" t="str">
            <v>0</v>
          </cell>
          <cell r="CY242" t="str">
            <v>0</v>
          </cell>
          <cell r="CZ242" t="str">
            <v>0</v>
          </cell>
          <cell r="DA242" t="str">
            <v>0</v>
          </cell>
          <cell r="DB242" t="str">
            <v>0</v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H242" t="str">
            <v/>
          </cell>
          <cell r="DN242" t="str">
            <v>11/11/2011</v>
          </cell>
          <cell r="DQ242" t="str">
            <v>Raul</v>
          </cell>
          <cell r="DS242" t="str">
            <v/>
          </cell>
          <cell r="DT242" t="str">
            <v/>
          </cell>
          <cell r="DU242" t="str">
            <v>GOL</v>
          </cell>
          <cell r="DV242" t="str">
            <v>138 Pax + 9 Flight Crew</v>
          </cell>
          <cell r="DW242" t="str">
            <v xml:space="preserve">GLP-800-001-GTH </v>
          </cell>
          <cell r="FL242" t="str">
            <v/>
          </cell>
          <cell r="FM242" t="str">
            <v/>
          </cell>
          <cell r="FN242" t="str">
            <v/>
          </cell>
          <cell r="FO242" t="str">
            <v/>
          </cell>
          <cell r="FP242" t="str">
            <v/>
          </cell>
          <cell r="FQ242" t="str">
            <v/>
          </cell>
          <cell r="FR242" t="str">
            <v/>
          </cell>
          <cell r="FS242" t="str">
            <v/>
          </cell>
          <cell r="FT242" t="str">
            <v/>
          </cell>
          <cell r="FU242" t="str">
            <v/>
          </cell>
          <cell r="FV242" t="str">
            <v/>
          </cell>
          <cell r="FW242" t="str">
            <v/>
          </cell>
          <cell r="FX242" t="str">
            <v/>
          </cell>
          <cell r="FY242" t="str">
            <v/>
          </cell>
          <cell r="FZ242" t="str">
            <v/>
          </cell>
          <cell r="GA242" t="str">
            <v/>
          </cell>
          <cell r="GB242" t="str">
            <v/>
          </cell>
          <cell r="GC242" t="str">
            <v/>
          </cell>
          <cell r="GD242" t="str">
            <v/>
          </cell>
          <cell r="GE242" t="str">
            <v/>
          </cell>
          <cell r="GF242" t="str">
            <v/>
          </cell>
          <cell r="GG242" t="str">
            <v/>
          </cell>
          <cell r="GH242" t="str">
            <v/>
          </cell>
          <cell r="GI242" t="str">
            <v/>
          </cell>
          <cell r="GJ242" t="str">
            <v/>
          </cell>
          <cell r="GK242" t="str">
            <v/>
          </cell>
          <cell r="GL242" t="str">
            <v/>
          </cell>
          <cell r="GM242" t="str">
            <v/>
          </cell>
          <cell r="GN242" t="str">
            <v/>
          </cell>
        </row>
        <row r="243">
          <cell r="A243" t="str">
            <v>PR-GUE</v>
          </cell>
          <cell r="D243" t="str">
            <v>23/09/2023</v>
          </cell>
          <cell r="E243">
            <v>4</v>
          </cell>
          <cell r="F243">
            <v>1</v>
          </cell>
          <cell r="G243" t="str">
            <v>Lagoa Santa, MG - Brazil</v>
          </cell>
          <cell r="H243" t="str">
            <v>New Painting</v>
          </cell>
          <cell r="I243" t="str">
            <v>1506</v>
          </cell>
          <cell r="J243" t="str">
            <v>1506</v>
          </cell>
          <cell r="K243" t="str">
            <v>9579</v>
          </cell>
          <cell r="L243" t="str">
            <v>9579</v>
          </cell>
          <cell r="M243" t="str">
            <v>9476</v>
          </cell>
          <cell r="N243" t="str">
            <v>9476</v>
          </cell>
          <cell r="O243" t="str">
            <v>1506</v>
          </cell>
          <cell r="P243" t="str">
            <v>1506</v>
          </cell>
          <cell r="Q243" t="str">
            <v>9579</v>
          </cell>
          <cell r="R243" t="str">
            <v>9579</v>
          </cell>
          <cell r="S243" t="str">
            <v>9476</v>
          </cell>
          <cell r="T243" t="str">
            <v>9476</v>
          </cell>
          <cell r="U243" t="str">
            <v>5,09969325153434</v>
          </cell>
          <cell r="V243" t="str">
            <v>5,00000000000033</v>
          </cell>
          <cell r="W243" t="str">
            <v>Down Lock, Nose Gear</v>
          </cell>
          <cell r="X243" t="str">
            <v>Down Lock, Main Gear</v>
          </cell>
          <cell r="Y243" t="str">
            <v>Plumb Bob</v>
          </cell>
          <cell r="Z243" t="str">
            <v>SB 737-32-1539 MLG Tires bias to radial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>0,3</v>
          </cell>
          <cell r="AL243" t="str">
            <v>0,4</v>
          </cell>
          <cell r="AM243" t="str">
            <v>0,5</v>
          </cell>
          <cell r="AN243" t="str">
            <v>48,443665</v>
          </cell>
          <cell r="AO243" t="str">
            <v>0</v>
          </cell>
          <cell r="AP243" t="str">
            <v>0</v>
          </cell>
          <cell r="AQ243" t="str">
            <v>0</v>
          </cell>
          <cell r="AR243" t="str">
            <v>0</v>
          </cell>
          <cell r="AS243" t="str">
            <v>0</v>
          </cell>
          <cell r="AT243" t="str">
            <v>0</v>
          </cell>
          <cell r="AU243" t="str">
            <v>0</v>
          </cell>
          <cell r="AV243" t="str">
            <v>0</v>
          </cell>
          <cell r="AW243" t="str">
            <v>0</v>
          </cell>
          <cell r="AX243" t="str">
            <v>0</v>
          </cell>
          <cell r="AY243" t="str">
            <v>91</v>
          </cell>
          <cell r="AZ243" t="str">
            <v>702</v>
          </cell>
          <cell r="BA243" t="str">
            <v>685</v>
          </cell>
          <cell r="BB243" t="str">
            <v>705,7247</v>
          </cell>
          <cell r="BC243" t="str">
            <v>0</v>
          </cell>
          <cell r="BD243" t="str">
            <v>0</v>
          </cell>
          <cell r="BE243" t="str">
            <v>0</v>
          </cell>
          <cell r="BF243" t="str">
            <v>0</v>
          </cell>
          <cell r="BG243" t="str">
            <v>0</v>
          </cell>
          <cell r="BH243" t="str">
            <v>0</v>
          </cell>
          <cell r="BI243" t="str">
            <v>0</v>
          </cell>
          <cell r="BJ243" t="str">
            <v>0</v>
          </cell>
          <cell r="BK243" t="str">
            <v>0</v>
          </cell>
          <cell r="BL243" t="str">
            <v>0</v>
          </cell>
          <cell r="BM243" t="str">
            <v>Flaps 0 - 40° (Up when weighed)</v>
          </cell>
          <cell r="BN243" t="str">
            <v>Fuel, Drain, Unusable (5.6 Gal)</v>
          </cell>
          <cell r="BO243" t="str">
            <v>Lavatory Dry Supplies</v>
          </cell>
          <cell r="BP243" t="str">
            <v>Lavatory Pre-charge Fluid (6.0 Gal)</v>
          </cell>
          <cell r="BQ243" t="str">
            <v>Water, Potable (62.6 Gal)</v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>0</v>
          </cell>
          <cell r="CC243" t="str">
            <v>17,3</v>
          </cell>
          <cell r="CD243" t="str">
            <v>4</v>
          </cell>
          <cell r="CE243" t="str">
            <v>22,7</v>
          </cell>
          <cell r="CF243" t="str">
            <v>236,7</v>
          </cell>
          <cell r="CG243" t="str">
            <v>0</v>
          </cell>
          <cell r="CH243" t="str">
            <v>0</v>
          </cell>
          <cell r="CI243" t="str">
            <v>0</v>
          </cell>
          <cell r="CJ243" t="str">
            <v>0</v>
          </cell>
          <cell r="CK243" t="str">
            <v>0</v>
          </cell>
          <cell r="CL243" t="str">
            <v>0</v>
          </cell>
          <cell r="CM243" t="str">
            <v>0</v>
          </cell>
          <cell r="CN243" t="str">
            <v>0</v>
          </cell>
          <cell r="CO243" t="str">
            <v>0</v>
          </cell>
          <cell r="CP243" t="str">
            <v>0</v>
          </cell>
          <cell r="CQ243" t="str">
            <v>646</v>
          </cell>
          <cell r="CR243" t="str">
            <v>526</v>
          </cell>
          <cell r="CS243" t="str">
            <v>1112</v>
          </cell>
          <cell r="CT243" t="str">
            <v>1150</v>
          </cell>
          <cell r="CU243" t="str">
            <v>0</v>
          </cell>
          <cell r="CV243" t="str">
            <v>0</v>
          </cell>
          <cell r="CW243" t="str">
            <v>0</v>
          </cell>
          <cell r="CX243" t="str">
            <v>0</v>
          </cell>
          <cell r="CY243" t="str">
            <v>0</v>
          </cell>
          <cell r="CZ243" t="str">
            <v>0</v>
          </cell>
          <cell r="DA243" t="str">
            <v>0</v>
          </cell>
          <cell r="DB243" t="str">
            <v>0</v>
          </cell>
          <cell r="DC243" t="str">
            <v>0</v>
          </cell>
          <cell r="DD243" t="str">
            <v>Incorporation of SB 737-32-1539 MLG tires bias to radial change</v>
          </cell>
          <cell r="DE243" t="str">
            <v/>
          </cell>
          <cell r="DF243" t="str">
            <v/>
          </cell>
          <cell r="DH243" t="str">
            <v/>
          </cell>
          <cell r="DN243" t="str">
            <v>03/12/2025</v>
          </cell>
          <cell r="DQ243" t="str">
            <v>Danton</v>
          </cell>
          <cell r="DR243" t="str">
            <v>Jeferson</v>
          </cell>
          <cell r="DS243" t="str">
            <v>4</v>
          </cell>
          <cell r="DT243" t="str">
            <v>0</v>
          </cell>
          <cell r="DU243" t="str">
            <v>GOL</v>
          </cell>
          <cell r="DV243" t="str">
            <v>186 Pax + 10 Flight Crew</v>
          </cell>
          <cell r="DW243" t="str">
            <v xml:space="preserve">GLP-800-004-GUE </v>
          </cell>
          <cell r="FL243" t="str">
            <v/>
          </cell>
          <cell r="FM243" t="str">
            <v/>
          </cell>
          <cell r="FN243" t="str">
            <v/>
          </cell>
          <cell r="FO243" t="str">
            <v/>
          </cell>
          <cell r="FP243" t="str">
            <v/>
          </cell>
          <cell r="FQ243" t="str">
            <v/>
          </cell>
          <cell r="FR243" t="str">
            <v/>
          </cell>
          <cell r="FS243" t="str">
            <v/>
          </cell>
          <cell r="FT243" t="str">
            <v/>
          </cell>
          <cell r="FU243" t="str">
            <v/>
          </cell>
          <cell r="FV243" t="str">
            <v/>
          </cell>
          <cell r="FW243" t="str">
            <v/>
          </cell>
          <cell r="FX243" t="str">
            <v/>
          </cell>
          <cell r="FY243" t="str">
            <v/>
          </cell>
          <cell r="FZ243" t="str">
            <v/>
          </cell>
          <cell r="GA243" t="str">
            <v/>
          </cell>
          <cell r="GB243" t="str">
            <v/>
          </cell>
          <cell r="GC243" t="str">
            <v/>
          </cell>
          <cell r="GD243" t="str">
            <v/>
          </cell>
          <cell r="GE243" t="str">
            <v/>
          </cell>
          <cell r="GF243" t="str">
            <v/>
          </cell>
          <cell r="GG243" t="str">
            <v/>
          </cell>
          <cell r="GH243" t="str">
            <v/>
          </cell>
          <cell r="GI243" t="str">
            <v/>
          </cell>
          <cell r="GJ243" t="str">
            <v/>
          </cell>
          <cell r="GK243" t="str">
            <v/>
          </cell>
          <cell r="GL243" t="str">
            <v/>
          </cell>
          <cell r="GM243" t="str">
            <v/>
          </cell>
          <cell r="GN243" t="str">
            <v/>
          </cell>
        </row>
        <row r="244">
          <cell r="A244" t="str">
            <v>PR-GEI</v>
          </cell>
          <cell r="E244">
            <v>3</v>
          </cell>
          <cell r="F244">
            <v>2</v>
          </cell>
          <cell r="DN244">
            <v>0</v>
          </cell>
        </row>
        <row r="245">
          <cell r="A245" t="str">
            <v>PR-GEI</v>
          </cell>
          <cell r="D245" t="str">
            <v>04/12/2025</v>
          </cell>
          <cell r="E245">
            <v>4</v>
          </cell>
          <cell r="F245">
            <v>0</v>
          </cell>
          <cell r="G245" t="str">
            <v>Porto Alegre</v>
          </cell>
          <cell r="H245" t="str">
            <v>5 Years Check</v>
          </cell>
          <cell r="I245" t="str">
            <v>1835</v>
          </cell>
          <cell r="J245" t="str">
            <v>1835</v>
          </cell>
          <cell r="K245" t="str">
            <v>8420</v>
          </cell>
          <cell r="L245" t="str">
            <v>8625</v>
          </cell>
          <cell r="M245" t="str">
            <v>8045</v>
          </cell>
          <cell r="N245" t="str">
            <v>9170</v>
          </cell>
          <cell r="O245" t="str">
            <v>1835</v>
          </cell>
          <cell r="P245" t="str">
            <v>1835</v>
          </cell>
          <cell r="Q245" t="str">
            <v>8430</v>
          </cell>
          <cell r="R245" t="str">
            <v>8610</v>
          </cell>
          <cell r="S245" t="str">
            <v>8050</v>
          </cell>
          <cell r="T245" t="str">
            <v>9170</v>
          </cell>
          <cell r="U245">
            <v>4.3122047244094492</v>
          </cell>
          <cell r="V245">
            <v>4</v>
          </cell>
          <cell r="W245" t="str">
            <v>Plumb Bob</v>
          </cell>
          <cell r="X245" t="str">
            <v xml:space="preserve">Down Lock, Nose Gear </v>
          </cell>
          <cell r="Y245" t="str">
            <v xml:space="preserve">Down Lock, Main Gear </v>
          </cell>
          <cell r="Z245" t="str">
            <v/>
          </cell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  <cell r="AG245" t="str">
            <v/>
          </cell>
          <cell r="AH245" t="str">
            <v/>
          </cell>
          <cell r="AI245" t="str">
            <v/>
          </cell>
          <cell r="AJ245" t="str">
            <v/>
          </cell>
          <cell r="AK245" t="str">
            <v>0,5</v>
          </cell>
          <cell r="AL245" t="str">
            <v>0,3</v>
          </cell>
          <cell r="AM245" t="str">
            <v>0,4</v>
          </cell>
          <cell r="AN245" t="str">
            <v/>
          </cell>
          <cell r="AO245" t="str">
            <v/>
          </cell>
          <cell r="AP245" t="str">
            <v/>
          </cell>
          <cell r="AQ245" t="str">
            <v/>
          </cell>
          <cell r="AR245" t="str">
            <v/>
          </cell>
          <cell r="AS245" t="str">
            <v/>
          </cell>
          <cell r="AT245" t="str">
            <v/>
          </cell>
          <cell r="AU245" t="str">
            <v/>
          </cell>
          <cell r="AV245" t="str">
            <v/>
          </cell>
          <cell r="AW245" t="str">
            <v/>
          </cell>
          <cell r="AX245" t="str">
            <v/>
          </cell>
          <cell r="AY245" t="str">
            <v>685</v>
          </cell>
          <cell r="AZ245" t="str">
            <v>206</v>
          </cell>
          <cell r="BA245" t="str">
            <v>689</v>
          </cell>
          <cell r="BB245" t="str">
            <v/>
          </cell>
          <cell r="BC245" t="str">
            <v/>
          </cell>
          <cell r="BD245" t="str">
            <v/>
          </cell>
          <cell r="BE245" t="str">
            <v/>
          </cell>
          <cell r="BF245" t="str">
            <v/>
          </cell>
          <cell r="BG245" t="str">
            <v/>
          </cell>
          <cell r="BH245" t="str">
            <v/>
          </cell>
          <cell r="BI245" t="str">
            <v/>
          </cell>
          <cell r="BJ245" t="str">
            <v/>
          </cell>
          <cell r="BK245" t="str">
            <v/>
          </cell>
          <cell r="BL245" t="str">
            <v/>
          </cell>
          <cell r="BM245" t="str">
            <v xml:space="preserve">Water, Potable (42.2 Gal) </v>
          </cell>
          <cell r="BN245" t="str">
            <v>Lavatory Pre-charge Fluid (6.0 Gal)</v>
          </cell>
          <cell r="BO245" t="str">
            <v>Lavatory Dry Supplies</v>
          </cell>
          <cell r="BP245" t="str">
            <v>Fuel, Drain, Unusable (5.6 Gal)</v>
          </cell>
          <cell r="BQ245" t="str">
            <v>Flaps 0 - 40° (Up when weighed)</v>
          </cell>
          <cell r="BR245" t="str">
            <v/>
          </cell>
          <cell r="BS245" t="str">
            <v/>
          </cell>
          <cell r="BT245" t="str">
            <v/>
          </cell>
          <cell r="BU245" t="str">
            <v/>
          </cell>
          <cell r="BV245" t="str">
            <v/>
          </cell>
          <cell r="BW245" t="str">
            <v/>
          </cell>
          <cell r="BX245" t="str">
            <v/>
          </cell>
          <cell r="BY245" t="str">
            <v/>
          </cell>
          <cell r="BZ245" t="str">
            <v/>
          </cell>
          <cell r="CA245" t="str">
            <v/>
          </cell>
          <cell r="CB245" t="str">
            <v>159,4</v>
          </cell>
          <cell r="CC245" t="str">
            <v>22,7</v>
          </cell>
          <cell r="CD245" t="str">
            <v>4</v>
          </cell>
          <cell r="CE245" t="str">
            <v>17,95</v>
          </cell>
          <cell r="CF245" t="str">
            <v/>
          </cell>
          <cell r="CG245" t="str">
            <v/>
          </cell>
          <cell r="CH245" t="str">
            <v/>
          </cell>
          <cell r="CI245" t="str">
            <v/>
          </cell>
          <cell r="CJ245" t="str">
            <v/>
          </cell>
          <cell r="CK245" t="str">
            <v/>
          </cell>
          <cell r="CL245" t="str">
            <v/>
          </cell>
          <cell r="CM245" t="str">
            <v/>
          </cell>
          <cell r="CN245" t="str">
            <v/>
          </cell>
          <cell r="CO245" t="str">
            <v/>
          </cell>
          <cell r="CP245" t="str">
            <v>1038,3</v>
          </cell>
          <cell r="CQ245" t="str">
            <v>1000</v>
          </cell>
          <cell r="CR245" t="str">
            <v>1020</v>
          </cell>
          <cell r="CS245" t="str">
            <v>646</v>
          </cell>
          <cell r="CT245" t="str">
            <v/>
          </cell>
          <cell r="CU245" t="str">
            <v/>
          </cell>
          <cell r="CV245" t="str">
            <v/>
          </cell>
          <cell r="CW245" t="str">
            <v/>
          </cell>
          <cell r="CX245" t="str">
            <v/>
          </cell>
          <cell r="CY245" t="str">
            <v/>
          </cell>
          <cell r="CZ245" t="str">
            <v/>
          </cell>
          <cell r="DA245" t="str">
            <v/>
          </cell>
          <cell r="DB245" t="str">
            <v/>
          </cell>
          <cell r="DC245" t="str">
            <v/>
          </cell>
          <cell r="DD245" t="str">
            <v/>
          </cell>
          <cell r="DE245" t="str">
            <v/>
          </cell>
          <cell r="DF245" t="str">
            <v/>
          </cell>
          <cell r="DH245" t="str">
            <v/>
          </cell>
          <cell r="DN245" t="str">
            <v>05/12/2025</v>
          </cell>
          <cell r="DQ245" t="str">
            <v>Jeferson</v>
          </cell>
          <cell r="DR245" t="str">
            <v>Danton</v>
          </cell>
          <cell r="DS245" t="str">
            <v>3</v>
          </cell>
          <cell r="DT245" t="str">
            <v>02</v>
          </cell>
          <cell r="DU245" t="str">
            <v>Drayton POA</v>
          </cell>
          <cell r="DV245" t="str">
            <v>138 Pax + 8 Flight Crew</v>
          </cell>
          <cell r="DW245" t="str">
            <v>GLP-700-011-GEI</v>
          </cell>
          <cell r="FL245" t="str">
            <v/>
          </cell>
          <cell r="FM245" t="str">
            <v/>
          </cell>
          <cell r="FN245" t="str">
            <v/>
          </cell>
          <cell r="FO245" t="str">
            <v/>
          </cell>
          <cell r="FP245" t="str">
            <v/>
          </cell>
          <cell r="FQ245" t="str">
            <v/>
          </cell>
          <cell r="FR245" t="str">
            <v/>
          </cell>
          <cell r="FS245" t="str">
            <v/>
          </cell>
          <cell r="FT245" t="str">
            <v/>
          </cell>
          <cell r="FU245" t="str">
            <v/>
          </cell>
          <cell r="FV245" t="str">
            <v/>
          </cell>
          <cell r="FW245" t="str">
            <v/>
          </cell>
          <cell r="FX245" t="str">
            <v/>
          </cell>
          <cell r="FY245" t="str">
            <v/>
          </cell>
          <cell r="FZ245" t="str">
            <v/>
          </cell>
          <cell r="GA245" t="str">
            <v/>
          </cell>
          <cell r="GB245" t="str">
            <v/>
          </cell>
          <cell r="GC245" t="str">
            <v/>
          </cell>
          <cell r="GD245" t="str">
            <v/>
          </cell>
          <cell r="GE245" t="str">
            <v/>
          </cell>
          <cell r="GF245" t="str">
            <v/>
          </cell>
          <cell r="GG245" t="str">
            <v/>
          </cell>
          <cell r="GH245" t="str">
            <v/>
          </cell>
          <cell r="GI245" t="str">
            <v/>
          </cell>
          <cell r="GJ245" t="str">
            <v/>
          </cell>
          <cell r="GK245" t="str">
            <v/>
          </cell>
          <cell r="GL245" t="str">
            <v/>
          </cell>
          <cell r="GM245" t="str">
            <v/>
          </cell>
          <cell r="GN245" t="str">
            <v/>
          </cell>
        </row>
        <row r="246">
          <cell r="A246" t="str">
            <v>PR-GKB</v>
          </cell>
          <cell r="D246" t="str">
            <v>10/10/2021</v>
          </cell>
          <cell r="E246">
            <v>1</v>
          </cell>
          <cell r="F246">
            <v>0</v>
          </cell>
          <cell r="G246" t="str">
            <v>Southwest - USA</v>
          </cell>
          <cell r="H246" t="str">
            <v>Scheduled</v>
          </cell>
          <cell r="I246" t="str">
            <v>3073,8125</v>
          </cell>
          <cell r="J246" t="str">
            <v>0</v>
          </cell>
          <cell r="K246" t="str">
            <v>18806,695</v>
          </cell>
          <cell r="L246" t="str">
            <v>0</v>
          </cell>
          <cell r="M246" t="str">
            <v>18806,695</v>
          </cell>
          <cell r="N246" t="str">
            <v>0</v>
          </cell>
          <cell r="O246" t="str">
            <v>3073,8125</v>
          </cell>
          <cell r="P246" t="str">
            <v>0</v>
          </cell>
          <cell r="Q246" t="str">
            <v>18806,695</v>
          </cell>
          <cell r="R246" t="str">
            <v>0</v>
          </cell>
          <cell r="S246" t="str">
            <v>18806,695</v>
          </cell>
          <cell r="T246" t="str">
            <v>0</v>
          </cell>
          <cell r="U246" t="str">
            <v>15</v>
          </cell>
          <cell r="V246" t="str">
            <v>15</v>
          </cell>
          <cell r="W246" t="str">
            <v>IMMR - GLS</v>
          </cell>
          <cell r="X246" t="str">
            <v>SWA - SIGOFF RELIEF</v>
          </cell>
          <cell r="Y246" t="str">
            <v>SWA - MINOR ACTION WIFI</v>
          </cell>
          <cell r="Z246" t="str">
            <v/>
          </cell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  <cell r="AG246" t="str">
            <v/>
          </cell>
          <cell r="AH246" t="str">
            <v/>
          </cell>
          <cell r="AI246" t="str">
            <v/>
          </cell>
          <cell r="AJ246" t="str">
            <v/>
          </cell>
          <cell r="AK246" t="str">
            <v>8,16</v>
          </cell>
          <cell r="AL246" t="str">
            <v>95,7079</v>
          </cell>
          <cell r="AM246" t="str">
            <v>10,8862</v>
          </cell>
          <cell r="AN246" t="str">
            <v/>
          </cell>
          <cell r="AO246" t="str">
            <v/>
          </cell>
          <cell r="AP246" t="str">
            <v/>
          </cell>
          <cell r="AQ246" t="str">
            <v/>
          </cell>
          <cell r="AR246" t="str">
            <v/>
          </cell>
          <cell r="AS246" t="str">
            <v/>
          </cell>
          <cell r="AT246" t="str">
            <v/>
          </cell>
          <cell r="AU246" t="str">
            <v/>
          </cell>
          <cell r="AV246" t="str">
            <v/>
          </cell>
          <cell r="AW246" t="str">
            <v/>
          </cell>
          <cell r="AX246" t="str">
            <v/>
          </cell>
          <cell r="AY246" t="str">
            <v>774,3834</v>
          </cell>
          <cell r="AZ246" t="str">
            <v>774,3834</v>
          </cell>
          <cell r="BA246" t="str">
            <v>774,3834</v>
          </cell>
          <cell r="BB246" t="str">
            <v/>
          </cell>
          <cell r="BC246" t="str">
            <v/>
          </cell>
          <cell r="BD246" t="str">
            <v/>
          </cell>
          <cell r="BE246" t="str">
            <v/>
          </cell>
          <cell r="BF246" t="str">
            <v/>
          </cell>
          <cell r="BG246" t="str">
            <v/>
          </cell>
          <cell r="BH246" t="str">
            <v/>
          </cell>
          <cell r="BI246" t="str">
            <v/>
          </cell>
          <cell r="BJ246" t="str">
            <v/>
          </cell>
          <cell r="BK246" t="str">
            <v/>
          </cell>
          <cell r="BL246" t="str">
            <v/>
          </cell>
          <cell r="BM246" t="str">
            <v>800 G4B CONFIGURATION</v>
          </cell>
          <cell r="BN246" t="str">
            <v>Flaps 0 - 40° (Up when weighed)</v>
          </cell>
          <cell r="BO246" t="str">
            <v/>
          </cell>
          <cell r="BP246" t="str">
            <v/>
          </cell>
          <cell r="BQ246" t="str">
            <v/>
          </cell>
          <cell r="BR246" t="str">
            <v/>
          </cell>
          <cell r="BS246" t="str">
            <v/>
          </cell>
          <cell r="BT246" t="str">
            <v/>
          </cell>
          <cell r="BU246" t="str">
            <v/>
          </cell>
          <cell r="BV246" t="str">
            <v/>
          </cell>
          <cell r="BW246" t="str">
            <v/>
          </cell>
          <cell r="BX246" t="str">
            <v/>
          </cell>
          <cell r="BY246" t="str">
            <v/>
          </cell>
          <cell r="BZ246" t="str">
            <v/>
          </cell>
          <cell r="CA246" t="str">
            <v/>
          </cell>
          <cell r="CB246" t="str">
            <v>1179,8000</v>
          </cell>
          <cell r="CC246" t="str">
            <v/>
          </cell>
          <cell r="CD246" t="str">
            <v/>
          </cell>
          <cell r="CE246" t="str">
            <v/>
          </cell>
          <cell r="CF246" t="str">
            <v/>
          </cell>
          <cell r="CG246" t="str">
            <v/>
          </cell>
          <cell r="CH246" t="str">
            <v/>
          </cell>
          <cell r="CI246" t="str">
            <v/>
          </cell>
          <cell r="CJ246" t="str">
            <v/>
          </cell>
          <cell r="CK246" t="str">
            <v/>
          </cell>
          <cell r="CL246" t="str">
            <v/>
          </cell>
          <cell r="CM246" t="str">
            <v/>
          </cell>
          <cell r="CN246" t="str">
            <v/>
          </cell>
          <cell r="CO246" t="str">
            <v/>
          </cell>
          <cell r="CP246" t="str">
            <v>816,9</v>
          </cell>
          <cell r="CQ246" t="str">
            <v/>
          </cell>
          <cell r="CR246" t="str">
            <v/>
          </cell>
          <cell r="CS246" t="str">
            <v/>
          </cell>
          <cell r="CT246" t="str">
            <v/>
          </cell>
          <cell r="CU246" t="str">
            <v/>
          </cell>
          <cell r="CV246" t="str">
            <v/>
          </cell>
          <cell r="CW246" t="str">
            <v/>
          </cell>
          <cell r="CX246" t="str">
            <v/>
          </cell>
          <cell r="CY246" t="str">
            <v/>
          </cell>
          <cell r="CZ246" t="str">
            <v/>
          </cell>
          <cell r="DA246" t="str">
            <v/>
          </cell>
          <cell r="DB246" t="str">
            <v/>
          </cell>
          <cell r="DC246" t="str">
            <v/>
          </cell>
          <cell r="DD246" t="str">
            <v/>
          </cell>
          <cell r="DE246" t="str">
            <v/>
          </cell>
          <cell r="DF246" t="str">
            <v/>
          </cell>
          <cell r="DH246" t="str">
            <v/>
          </cell>
          <cell r="DN246" t="str">
            <v>09/12/2025</v>
          </cell>
          <cell r="DQ246" t="str">
            <v>Maia</v>
          </cell>
          <cell r="DR246" t="str">
            <v>Danton</v>
          </cell>
          <cell r="DS246" t="str">
            <v>0</v>
          </cell>
          <cell r="DT246" t="str">
            <v>0</v>
          </cell>
          <cell r="DU246" t="str">
            <v>Southwest</v>
          </cell>
          <cell r="DV246" t="str">
            <v>175 Pax + 10 Flight Crew</v>
          </cell>
          <cell r="DW246" t="str">
            <v>GLP-800-001-GKB</v>
          </cell>
          <cell r="FL246" t="str">
            <v/>
          </cell>
          <cell r="FM246" t="str">
            <v/>
          </cell>
          <cell r="FN246" t="str">
            <v/>
          </cell>
          <cell r="FO246" t="str">
            <v/>
          </cell>
          <cell r="FP246" t="str">
            <v/>
          </cell>
          <cell r="FQ246" t="str">
            <v/>
          </cell>
          <cell r="FR246" t="str">
            <v/>
          </cell>
          <cell r="FS246" t="str">
            <v/>
          </cell>
          <cell r="FT246" t="str">
            <v/>
          </cell>
          <cell r="FU246" t="str">
            <v/>
          </cell>
          <cell r="FV246" t="str">
            <v/>
          </cell>
          <cell r="FW246" t="str">
            <v/>
          </cell>
          <cell r="FX246" t="str">
            <v/>
          </cell>
          <cell r="FY246" t="str">
            <v/>
          </cell>
          <cell r="FZ246" t="str">
            <v/>
          </cell>
          <cell r="GA246" t="str">
            <v/>
          </cell>
          <cell r="GB246" t="str">
            <v/>
          </cell>
          <cell r="GC246" t="str">
            <v/>
          </cell>
          <cell r="GD246" t="str">
            <v/>
          </cell>
          <cell r="GE246" t="str">
            <v/>
          </cell>
          <cell r="GF246" t="str">
            <v/>
          </cell>
          <cell r="GG246" t="str">
            <v/>
          </cell>
          <cell r="GH246" t="str">
            <v/>
          </cell>
          <cell r="GI246" t="str">
            <v/>
          </cell>
          <cell r="GJ246" t="str">
            <v/>
          </cell>
          <cell r="GK246" t="str">
            <v/>
          </cell>
          <cell r="GL246" t="str">
            <v/>
          </cell>
          <cell r="GM246" t="str">
            <v/>
          </cell>
          <cell r="GN246" t="str">
            <v/>
          </cell>
        </row>
        <row r="247">
          <cell r="A247" t="str">
            <v>PR-GKA</v>
          </cell>
          <cell r="D247" t="str">
            <v>26/12/2025</v>
          </cell>
          <cell r="E247">
            <v>2</v>
          </cell>
          <cell r="F247">
            <v>0</v>
          </cell>
          <cell r="G247" t="str">
            <v>Lagoa Santa, MG - Brazil</v>
          </cell>
          <cell r="H247" t="str">
            <v>New Painting</v>
          </cell>
          <cell r="I247" t="str">
            <v>1536</v>
          </cell>
          <cell r="J247" t="str">
            <v>1468</v>
          </cell>
          <cell r="K247" t="str">
            <v>9190</v>
          </cell>
          <cell r="L247" t="str">
            <v>9684</v>
          </cell>
          <cell r="M247" t="str">
            <v>9606</v>
          </cell>
          <cell r="N247" t="str">
            <v>9224</v>
          </cell>
          <cell r="O247" t="str">
            <v>1536</v>
          </cell>
          <cell r="P247" t="str">
            <v>1468</v>
          </cell>
          <cell r="Q247" t="str">
            <v>9160</v>
          </cell>
          <cell r="R247" t="str">
            <v>9712</v>
          </cell>
          <cell r="S247" t="str">
            <v>9630</v>
          </cell>
          <cell r="T247" t="str">
            <v>9202</v>
          </cell>
          <cell r="U247" t="str">
            <v>4,17322834645669</v>
          </cell>
          <cell r="V247" t="str">
            <v>4,13385826771654</v>
          </cell>
          <cell r="W247" t="str">
            <v xml:space="preserve">Down Lock, Nose Gear </v>
          </cell>
          <cell r="X247" t="str">
            <v xml:space="preserve">Down Lock, Main Gear </v>
          </cell>
          <cell r="Y247" t="str">
            <v>Plumb Bob</v>
          </cell>
          <cell r="Z247" t="str">
            <v/>
          </cell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  <cell r="AG247" t="str">
            <v/>
          </cell>
          <cell r="AH247" t="str">
            <v/>
          </cell>
          <cell r="AI247" t="str">
            <v/>
          </cell>
          <cell r="AJ247" t="str">
            <v/>
          </cell>
          <cell r="AK247" t="str">
            <v>0,6</v>
          </cell>
          <cell r="AL247" t="str">
            <v>0,4</v>
          </cell>
          <cell r="AM247" t="str">
            <v>0,5</v>
          </cell>
          <cell r="AN247" t="str">
            <v>0</v>
          </cell>
          <cell r="AO247" t="str">
            <v>0</v>
          </cell>
          <cell r="AP247" t="str">
            <v>0</v>
          </cell>
          <cell r="AQ247" t="str">
            <v>0</v>
          </cell>
          <cell r="AR247" t="str">
            <v>0</v>
          </cell>
          <cell r="AS247" t="str">
            <v>0</v>
          </cell>
          <cell r="AT247" t="str">
            <v>0</v>
          </cell>
          <cell r="AU247" t="str">
            <v>0</v>
          </cell>
          <cell r="AV247" t="str">
            <v>0</v>
          </cell>
          <cell r="AW247" t="str">
            <v>0</v>
          </cell>
          <cell r="AX247" t="str">
            <v>0</v>
          </cell>
          <cell r="AY247" t="str">
            <v>82</v>
          </cell>
          <cell r="AZ247" t="str">
            <v>702</v>
          </cell>
          <cell r="BA247" t="str">
            <v>685</v>
          </cell>
          <cell r="BB247" t="str">
            <v>0</v>
          </cell>
          <cell r="BC247" t="str">
            <v>0</v>
          </cell>
          <cell r="BD247" t="str">
            <v>0</v>
          </cell>
          <cell r="BE247" t="str">
            <v>0</v>
          </cell>
          <cell r="BF247" t="str">
            <v>0</v>
          </cell>
          <cell r="BG247" t="str">
            <v>0</v>
          </cell>
          <cell r="BH247" t="str">
            <v>0</v>
          </cell>
          <cell r="BI247" t="str">
            <v>0</v>
          </cell>
          <cell r="BJ247" t="str">
            <v>0</v>
          </cell>
          <cell r="BK247" t="str">
            <v>0</v>
          </cell>
          <cell r="BL247" t="str">
            <v>0</v>
          </cell>
          <cell r="BM247" t="str">
            <v>Flaps 0 - 40° (up when weighed)</v>
          </cell>
          <cell r="BN247" t="str">
            <v>Potble Water (42.6 Gal )</v>
          </cell>
          <cell r="BO247" t="str">
            <v>Fuel, Drain, Unusable (5.6 Gal)</v>
          </cell>
          <cell r="BP247" t="str">
            <v>Lavatory Dry Supplies</v>
          </cell>
          <cell r="BQ247" t="str">
            <v>Lavatory Pre-charge Fluid (6.0 Gal)</v>
          </cell>
          <cell r="BR247" t="str">
            <v/>
          </cell>
          <cell r="BS247" t="str">
            <v/>
          </cell>
          <cell r="BT247" t="str">
            <v/>
          </cell>
          <cell r="BU247" t="str">
            <v/>
          </cell>
          <cell r="BV247" t="str">
            <v/>
          </cell>
          <cell r="BW247" t="str">
            <v/>
          </cell>
          <cell r="BX247" t="str">
            <v/>
          </cell>
          <cell r="BY247" t="str">
            <v/>
          </cell>
          <cell r="BZ247" t="str">
            <v/>
          </cell>
          <cell r="CA247" t="str">
            <v/>
          </cell>
          <cell r="CB247" t="str">
            <v/>
          </cell>
          <cell r="CC247" t="str">
            <v>160,98</v>
          </cell>
          <cell r="CD247" t="str">
            <v>17,3</v>
          </cell>
          <cell r="CE247" t="str">
            <v>4</v>
          </cell>
          <cell r="CF247" t="str">
            <v>22,7</v>
          </cell>
          <cell r="CG247" t="str">
            <v>0</v>
          </cell>
          <cell r="CH247" t="str">
            <v>0</v>
          </cell>
          <cell r="CI247" t="str">
            <v>0</v>
          </cell>
          <cell r="CJ247" t="str">
            <v>0</v>
          </cell>
          <cell r="CK247" t="str">
            <v>0</v>
          </cell>
          <cell r="CL247" t="str">
            <v>0</v>
          </cell>
          <cell r="CM247" t="str">
            <v>0</v>
          </cell>
          <cell r="CN247" t="str">
            <v>0</v>
          </cell>
          <cell r="CO247" t="str">
            <v>0</v>
          </cell>
          <cell r="CP247" t="str">
            <v/>
          </cell>
          <cell r="CQ247" t="str">
            <v>1141</v>
          </cell>
          <cell r="CR247" t="str">
            <v>646</v>
          </cell>
          <cell r="CS247" t="str">
            <v>526</v>
          </cell>
          <cell r="CT247" t="str">
            <v>1112</v>
          </cell>
          <cell r="CU247" t="str">
            <v>0</v>
          </cell>
          <cell r="CV247" t="str">
            <v>0</v>
          </cell>
          <cell r="CW247" t="str">
            <v>0</v>
          </cell>
          <cell r="CX247" t="str">
            <v>0</v>
          </cell>
          <cell r="CY247" t="str">
            <v>0</v>
          </cell>
          <cell r="CZ247" t="str">
            <v>0</v>
          </cell>
          <cell r="DA247" t="str">
            <v>0</v>
          </cell>
          <cell r="DB247" t="str">
            <v>0</v>
          </cell>
          <cell r="DC247" t="str">
            <v>0</v>
          </cell>
          <cell r="DD247" t="str">
            <v/>
          </cell>
          <cell r="DE247" t="str">
            <v/>
          </cell>
          <cell r="DF247" t="str">
            <v/>
          </cell>
          <cell r="DH247" t="str">
            <v/>
          </cell>
          <cell r="DN247" t="str">
            <v>26/12/2025</v>
          </cell>
          <cell r="DQ247" t="str">
            <v>Fernando Araujo</v>
          </cell>
          <cell r="DR247" t="str">
            <v>Euler</v>
          </cell>
          <cell r="DS247" t="str">
            <v/>
          </cell>
          <cell r="DT247" t="str">
            <v/>
          </cell>
          <cell r="DU247" t="str">
            <v>GOL</v>
          </cell>
          <cell r="DV247" t="str">
            <v>175 Pax + 10 Flight Crew</v>
          </cell>
          <cell r="DW247" t="str">
            <v>GLP-800-001-GKA</v>
          </cell>
          <cell r="FL247" t="str">
            <v/>
          </cell>
          <cell r="FM247" t="str">
            <v/>
          </cell>
          <cell r="FN247" t="str">
            <v/>
          </cell>
          <cell r="FO247" t="str">
            <v/>
          </cell>
          <cell r="FP247" t="str">
            <v/>
          </cell>
          <cell r="FQ247" t="str">
            <v/>
          </cell>
          <cell r="FR247" t="str">
            <v/>
          </cell>
          <cell r="FS247" t="str">
            <v/>
          </cell>
          <cell r="FT247" t="str">
            <v/>
          </cell>
          <cell r="FU247" t="str">
            <v/>
          </cell>
          <cell r="FV247" t="str">
            <v/>
          </cell>
          <cell r="FW247" t="str">
            <v/>
          </cell>
          <cell r="FX247" t="str">
            <v/>
          </cell>
          <cell r="FY247" t="str">
            <v/>
          </cell>
          <cell r="FZ247" t="str">
            <v/>
          </cell>
          <cell r="GA247" t="str">
            <v/>
          </cell>
          <cell r="GB247" t="str">
            <v/>
          </cell>
          <cell r="GC247" t="str">
            <v/>
          </cell>
          <cell r="GD247" t="str">
            <v/>
          </cell>
          <cell r="GE247" t="str">
            <v/>
          </cell>
          <cell r="GF247" t="str">
            <v/>
          </cell>
          <cell r="GG247" t="str">
            <v/>
          </cell>
          <cell r="GH247" t="str">
            <v/>
          </cell>
          <cell r="GI247" t="str">
            <v/>
          </cell>
          <cell r="GJ247" t="str">
            <v/>
          </cell>
          <cell r="GK247" t="str">
            <v/>
          </cell>
          <cell r="GL247" t="str">
            <v/>
          </cell>
          <cell r="GM247" t="str">
            <v/>
          </cell>
          <cell r="GN247" t="str">
            <v/>
          </cell>
        </row>
        <row r="248">
          <cell r="A248" t="str">
            <v>PR-GKD</v>
          </cell>
          <cell r="E248">
            <v>0</v>
          </cell>
          <cell r="F248">
            <v>0</v>
          </cell>
          <cell r="DN248">
            <v>0</v>
          </cell>
        </row>
        <row r="249">
          <cell r="A249" t="str">
            <v>PR-GKD</v>
          </cell>
          <cell r="D249" t="str">
            <v>05/10/2021</v>
          </cell>
          <cell r="E249">
            <v>1</v>
          </cell>
          <cell r="F249">
            <v>0</v>
          </cell>
          <cell r="G249" t="str">
            <v>Southwest - USA</v>
          </cell>
          <cell r="H249" t="str">
            <v>Scheduled</v>
          </cell>
          <cell r="I249" t="str">
            <v>3078,6184</v>
          </cell>
          <cell r="J249" t="str">
            <v>0</v>
          </cell>
          <cell r="K249" t="str">
            <v>18758,026</v>
          </cell>
          <cell r="L249" t="str">
            <v>0</v>
          </cell>
          <cell r="M249" t="str">
            <v>18758,026</v>
          </cell>
          <cell r="N249" t="str">
            <v>0</v>
          </cell>
          <cell r="O249" t="str">
            <v>3078,6184</v>
          </cell>
          <cell r="P249" t="str">
            <v>0</v>
          </cell>
          <cell r="Q249" t="str">
            <v>18758,026</v>
          </cell>
          <cell r="R249" t="str">
            <v>0</v>
          </cell>
          <cell r="S249" t="str">
            <v>18758,026</v>
          </cell>
          <cell r="T249" t="str">
            <v>0</v>
          </cell>
          <cell r="U249" t="str">
            <v>15</v>
          </cell>
          <cell r="V249" t="str">
            <v>15</v>
          </cell>
          <cell r="W249" t="str">
            <v>IMMR - GLS</v>
          </cell>
          <cell r="X249" t="str">
            <v>SWA - SIGOFF RELIEF</v>
          </cell>
          <cell r="Y249" t="str">
            <v>SWA - MINOR ACTION WIFI</v>
          </cell>
          <cell r="Z249" t="str">
            <v/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>8,16</v>
          </cell>
          <cell r="AL249" t="str">
            <v>95,7079</v>
          </cell>
          <cell r="AM249" t="str">
            <v>10,8862</v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>774,3834</v>
          </cell>
          <cell r="AZ249" t="str">
            <v>774,3834</v>
          </cell>
          <cell r="BA249" t="str">
            <v>774,3834</v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 xml:space="preserve">Water, Potable (42.6 Gal) </v>
          </cell>
          <cell r="BN249" t="str">
            <v>Flaps 0 - 40° (Up when weighed)</v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>160,9799</v>
          </cell>
          <cell r="CC249" t="str">
            <v>0</v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>1141</v>
          </cell>
          <cell r="CQ249" t="str">
            <v>0</v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H249" t="str">
            <v/>
          </cell>
          <cell r="DN249" t="str">
            <v>13/01/2026</v>
          </cell>
          <cell r="DQ249" t="str">
            <v>Maia</v>
          </cell>
          <cell r="DR249" t="str">
            <v>Fernando Araujo</v>
          </cell>
          <cell r="DS249" t="str">
            <v>0</v>
          </cell>
          <cell r="DT249" t="str">
            <v>0</v>
          </cell>
          <cell r="DU249" t="str">
            <v>Southwest</v>
          </cell>
          <cell r="DV249" t="str">
            <v>175 Pax + 10 Flight Crew</v>
          </cell>
          <cell r="DW249" t="str">
            <v>GLP-800-001-GKD</v>
          </cell>
          <cell r="FL249" t="str">
            <v/>
          </cell>
          <cell r="FM249" t="str">
            <v/>
          </cell>
          <cell r="FN249" t="str">
            <v/>
          </cell>
          <cell r="FO249" t="str">
            <v/>
          </cell>
          <cell r="FP249" t="str">
            <v/>
          </cell>
          <cell r="FQ249" t="str">
            <v/>
          </cell>
          <cell r="FR249" t="str">
            <v/>
          </cell>
          <cell r="FS249" t="str">
            <v/>
          </cell>
          <cell r="FT249" t="str">
            <v/>
          </cell>
          <cell r="FU249" t="str">
            <v/>
          </cell>
          <cell r="FV249" t="str">
            <v/>
          </cell>
          <cell r="FW249" t="str">
            <v/>
          </cell>
          <cell r="FX249" t="str">
            <v/>
          </cell>
          <cell r="FY249" t="str">
            <v/>
          </cell>
          <cell r="FZ249" t="str">
            <v/>
          </cell>
          <cell r="GA249" t="str">
            <v/>
          </cell>
          <cell r="GB249" t="str">
            <v/>
          </cell>
          <cell r="GC249" t="str">
            <v/>
          </cell>
          <cell r="GD249" t="str">
            <v/>
          </cell>
          <cell r="GE249" t="str">
            <v/>
          </cell>
          <cell r="GF249" t="str">
            <v/>
          </cell>
          <cell r="GG249" t="str">
            <v/>
          </cell>
          <cell r="GH249" t="str">
            <v/>
          </cell>
          <cell r="GI249" t="str">
            <v/>
          </cell>
          <cell r="GJ249" t="str">
            <v/>
          </cell>
          <cell r="GK249" t="str">
            <v/>
          </cell>
          <cell r="GL249" t="str">
            <v/>
          </cell>
          <cell r="GM249" t="str">
            <v/>
          </cell>
          <cell r="GN249" t="str">
            <v/>
          </cell>
        </row>
        <row r="250">
          <cell r="A250" t="str">
            <v>PR-GKC</v>
          </cell>
          <cell r="E250">
            <v>0</v>
          </cell>
          <cell r="F250">
            <v>0</v>
          </cell>
          <cell r="DN250">
            <v>0</v>
          </cell>
        </row>
        <row r="251">
          <cell r="A251" t="str">
            <v>PR-GKC</v>
          </cell>
          <cell r="D251" t="str">
            <v>11/09/2021</v>
          </cell>
          <cell r="E251">
            <v>1</v>
          </cell>
          <cell r="F251">
            <v>0</v>
          </cell>
          <cell r="G251" t="str">
            <v>Southwest - USA</v>
          </cell>
          <cell r="H251" t="str">
            <v>Scheduled</v>
          </cell>
          <cell r="I251" t="str">
            <v>3052,8551</v>
          </cell>
          <cell r="J251" t="str">
            <v>0</v>
          </cell>
          <cell r="K251" t="str">
            <v>18786,7830</v>
          </cell>
          <cell r="L251" t="str">
            <v>0</v>
          </cell>
          <cell r="M251" t="str">
            <v>18786,7830</v>
          </cell>
          <cell r="N251" t="str">
            <v>0</v>
          </cell>
          <cell r="O251" t="str">
            <v>3052,8551</v>
          </cell>
          <cell r="P251" t="str">
            <v>0</v>
          </cell>
          <cell r="Q251" t="str">
            <v>18786,7830</v>
          </cell>
          <cell r="R251" t="str">
            <v>0</v>
          </cell>
          <cell r="S251" t="str">
            <v>18786,7830</v>
          </cell>
          <cell r="T251" t="str">
            <v>0</v>
          </cell>
          <cell r="U251" t="str">
            <v>15</v>
          </cell>
          <cell r="V251" t="str">
            <v>15</v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  <cell r="AA251" t="str">
            <v/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  <cell r="AF251" t="str">
            <v/>
          </cell>
          <cell r="AG251" t="str">
            <v/>
          </cell>
          <cell r="AH251" t="str">
            <v/>
          </cell>
          <cell r="AI251" t="str">
            <v/>
          </cell>
          <cell r="AJ251" t="str">
            <v/>
          </cell>
          <cell r="AK251" t="str">
            <v/>
          </cell>
          <cell r="AL251" t="str">
            <v/>
          </cell>
          <cell r="AM251" t="str">
            <v/>
          </cell>
          <cell r="AN251" t="str">
            <v/>
          </cell>
          <cell r="AO251" t="str">
            <v/>
          </cell>
          <cell r="AP251" t="str">
            <v/>
          </cell>
          <cell r="AQ251" t="str">
            <v/>
          </cell>
          <cell r="AR251" t="str">
            <v/>
          </cell>
          <cell r="AS251" t="str">
            <v/>
          </cell>
          <cell r="AT251" t="str">
            <v/>
          </cell>
          <cell r="AU251" t="str">
            <v/>
          </cell>
          <cell r="AV251" t="str">
            <v/>
          </cell>
          <cell r="AW251" t="str">
            <v/>
          </cell>
          <cell r="AX251" t="str">
            <v/>
          </cell>
          <cell r="AY251" t="str">
            <v/>
          </cell>
          <cell r="AZ251" t="str">
            <v/>
          </cell>
          <cell r="BA251" t="str">
            <v/>
          </cell>
          <cell r="BB251" t="str">
            <v/>
          </cell>
          <cell r="BC251" t="str">
            <v/>
          </cell>
          <cell r="BD251" t="str">
            <v/>
          </cell>
          <cell r="BE251" t="str">
            <v/>
          </cell>
          <cell r="BF251" t="str">
            <v/>
          </cell>
          <cell r="BG251" t="str">
            <v/>
          </cell>
          <cell r="BH251" t="str">
            <v/>
          </cell>
          <cell r="BI251" t="str">
            <v/>
          </cell>
          <cell r="BJ251" t="str">
            <v/>
          </cell>
          <cell r="BK251" t="str">
            <v/>
          </cell>
          <cell r="BL251" t="str">
            <v/>
          </cell>
          <cell r="BM251" t="str">
            <v>Water, Potable (42.6 Gal)</v>
          </cell>
          <cell r="BN251" t="str">
            <v>Flaps 0 - 40° (Up when weighed)</v>
          </cell>
          <cell r="BO251" t="str">
            <v/>
          </cell>
          <cell r="BP251" t="str">
            <v/>
          </cell>
          <cell r="BQ251" t="str">
            <v/>
          </cell>
          <cell r="BR251" t="str">
            <v/>
          </cell>
          <cell r="BS251" t="str">
            <v/>
          </cell>
          <cell r="BT251" t="str">
            <v/>
          </cell>
          <cell r="BU251" t="str">
            <v/>
          </cell>
          <cell r="BV251" t="str">
            <v/>
          </cell>
          <cell r="BW251" t="str">
            <v/>
          </cell>
          <cell r="BX251" t="str">
            <v/>
          </cell>
          <cell r="BY251" t="str">
            <v/>
          </cell>
          <cell r="BZ251" t="str">
            <v/>
          </cell>
          <cell r="CA251" t="str">
            <v/>
          </cell>
          <cell r="CB251" t="str">
            <v>160,9799</v>
          </cell>
          <cell r="CC251" t="str">
            <v>0</v>
          </cell>
          <cell r="CD251" t="str">
            <v/>
          </cell>
          <cell r="CE251" t="str">
            <v/>
          </cell>
          <cell r="CF251" t="str">
            <v/>
          </cell>
          <cell r="CG251" t="str">
            <v/>
          </cell>
          <cell r="CH251" t="str">
            <v/>
          </cell>
          <cell r="CI251" t="str">
            <v/>
          </cell>
          <cell r="CJ251" t="str">
            <v/>
          </cell>
          <cell r="CK251" t="str">
            <v/>
          </cell>
          <cell r="CL251" t="str">
            <v/>
          </cell>
          <cell r="CM251" t="str">
            <v/>
          </cell>
          <cell r="CN251" t="str">
            <v/>
          </cell>
          <cell r="CO251" t="str">
            <v/>
          </cell>
          <cell r="CP251" t="str">
            <v>1141</v>
          </cell>
          <cell r="CQ251" t="str">
            <v>0</v>
          </cell>
          <cell r="CR251" t="str">
            <v/>
          </cell>
          <cell r="CS251" t="str">
            <v/>
          </cell>
          <cell r="CT251" t="str">
            <v/>
          </cell>
          <cell r="CU251" t="str">
            <v/>
          </cell>
          <cell r="CV251" t="str">
            <v/>
          </cell>
          <cell r="CW251" t="str">
            <v/>
          </cell>
          <cell r="CX251" t="str">
            <v/>
          </cell>
          <cell r="CY251" t="str">
            <v/>
          </cell>
          <cell r="CZ251" t="str">
            <v/>
          </cell>
          <cell r="DA251" t="str">
            <v/>
          </cell>
          <cell r="DB251" t="str">
            <v/>
          </cell>
          <cell r="DC251" t="str">
            <v/>
          </cell>
          <cell r="DD251" t="str">
            <v/>
          </cell>
          <cell r="DE251" t="str">
            <v/>
          </cell>
          <cell r="DF251" t="str">
            <v/>
          </cell>
          <cell r="DH251" t="str">
            <v/>
          </cell>
          <cell r="DN251" t="str">
            <v>13/01/2026</v>
          </cell>
          <cell r="DQ251" t="str">
            <v>Maia</v>
          </cell>
          <cell r="DR251" t="str">
            <v>Fernando Araujo</v>
          </cell>
          <cell r="DS251" t="str">
            <v>0</v>
          </cell>
          <cell r="DT251" t="str">
            <v>0</v>
          </cell>
          <cell r="DU251" t="str">
            <v>Southwest</v>
          </cell>
          <cell r="DV251" t="str">
            <v>175 Pax + 10 Flight Crew</v>
          </cell>
          <cell r="DW251" t="str">
            <v>GLP-800-001-GKC</v>
          </cell>
          <cell r="FL251" t="str">
            <v/>
          </cell>
          <cell r="FM251" t="str">
            <v/>
          </cell>
          <cell r="FN251" t="str">
            <v/>
          </cell>
          <cell r="FO251" t="str">
            <v/>
          </cell>
          <cell r="FP251" t="str">
            <v/>
          </cell>
          <cell r="FQ251" t="str">
            <v/>
          </cell>
          <cell r="FR251" t="str">
            <v/>
          </cell>
          <cell r="FS251" t="str">
            <v/>
          </cell>
          <cell r="FT251" t="str">
            <v/>
          </cell>
          <cell r="FU251" t="str">
            <v/>
          </cell>
          <cell r="FV251" t="str">
            <v/>
          </cell>
          <cell r="FW251" t="str">
            <v/>
          </cell>
          <cell r="FX251" t="str">
            <v/>
          </cell>
          <cell r="FY251" t="str">
            <v/>
          </cell>
          <cell r="FZ251" t="str">
            <v/>
          </cell>
          <cell r="GA251" t="str">
            <v/>
          </cell>
          <cell r="GB251" t="str">
            <v/>
          </cell>
          <cell r="GC251" t="str">
            <v/>
          </cell>
          <cell r="GD251" t="str">
            <v/>
          </cell>
          <cell r="GE251" t="str">
            <v/>
          </cell>
          <cell r="GF251" t="str">
            <v/>
          </cell>
          <cell r="GG251" t="str">
            <v/>
          </cell>
          <cell r="GH251" t="str">
            <v/>
          </cell>
          <cell r="GI251" t="str">
            <v/>
          </cell>
          <cell r="GJ251" t="str">
            <v/>
          </cell>
          <cell r="GK251" t="str">
            <v/>
          </cell>
          <cell r="GL251" t="str">
            <v/>
          </cell>
          <cell r="GM251" t="str">
            <v/>
          </cell>
          <cell r="GN251" t="str">
            <v/>
          </cell>
        </row>
        <row r="252">
          <cell r="A252" t="str">
            <v>PR-GKB</v>
          </cell>
          <cell r="D252" t="str">
            <v>14/01/2026</v>
          </cell>
          <cell r="E252">
            <v>2</v>
          </cell>
          <cell r="F252">
            <v>0</v>
          </cell>
          <cell r="G252" t="str">
            <v>Lagoa Santa, MG - Brazil</v>
          </cell>
          <cell r="H252" t="str">
            <v>New Painting</v>
          </cell>
          <cell r="I252" t="str">
            <v>1274</v>
          </cell>
          <cell r="J252" t="str">
            <v>1696</v>
          </cell>
          <cell r="K252" t="str">
            <v>8922</v>
          </cell>
          <cell r="L252" t="str">
            <v>9796</v>
          </cell>
          <cell r="M252" t="str">
            <v>9162</v>
          </cell>
          <cell r="N252" t="str">
            <v>9856</v>
          </cell>
          <cell r="O252" t="str">
            <v>1260</v>
          </cell>
          <cell r="P252" t="str">
            <v>1710</v>
          </cell>
          <cell r="Q252" t="str">
            <v>8930</v>
          </cell>
          <cell r="R252" t="str">
            <v>9800</v>
          </cell>
          <cell r="S252" t="str">
            <v>9208</v>
          </cell>
          <cell r="T252" t="str">
            <v>9804</v>
          </cell>
          <cell r="U252" t="str">
            <v>2,71653543307087</v>
          </cell>
          <cell r="V252" t="str">
            <v>2,55905511811024</v>
          </cell>
          <cell r="W252" t="str">
            <v xml:space="preserve">Down Lock, Nose Gear </v>
          </cell>
          <cell r="X252" t="str">
            <v xml:space="preserve">Down Lock, Main Gear </v>
          </cell>
          <cell r="Y252" t="str">
            <v>Plumb Bob</v>
          </cell>
          <cell r="Z252" t="str">
            <v/>
          </cell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  <cell r="AG252" t="str">
            <v/>
          </cell>
          <cell r="AH252" t="str">
            <v/>
          </cell>
          <cell r="AI252" t="str">
            <v/>
          </cell>
          <cell r="AJ252" t="str">
            <v/>
          </cell>
          <cell r="AK252" t="str">
            <v>0,2721</v>
          </cell>
          <cell r="AL252" t="str">
            <v>0,3628</v>
          </cell>
          <cell r="AM252" t="str">
            <v>0,4535</v>
          </cell>
          <cell r="AN252" t="str">
            <v/>
          </cell>
          <cell r="AO252" t="str">
            <v/>
          </cell>
          <cell r="AP252" t="str">
            <v/>
          </cell>
          <cell r="AQ252" t="str">
            <v/>
          </cell>
          <cell r="AR252" t="str">
            <v/>
          </cell>
          <cell r="AS252" t="str">
            <v/>
          </cell>
          <cell r="AT252" t="str">
            <v/>
          </cell>
          <cell r="AU252" t="str">
            <v/>
          </cell>
          <cell r="AV252" t="str">
            <v/>
          </cell>
          <cell r="AW252" t="str">
            <v/>
          </cell>
          <cell r="AX252" t="str">
            <v/>
          </cell>
          <cell r="AY252" t="str">
            <v>82</v>
          </cell>
          <cell r="AZ252" t="str">
            <v>702</v>
          </cell>
          <cell r="BA252" t="str">
            <v>685</v>
          </cell>
          <cell r="BB252" t="str">
            <v/>
          </cell>
          <cell r="BC252" t="str">
            <v/>
          </cell>
          <cell r="BD252" t="str">
            <v/>
          </cell>
          <cell r="BE252" t="str">
            <v/>
          </cell>
          <cell r="BF252" t="str">
            <v/>
          </cell>
          <cell r="BG252" t="str">
            <v/>
          </cell>
          <cell r="BH252" t="str">
            <v/>
          </cell>
          <cell r="BI252" t="str">
            <v/>
          </cell>
          <cell r="BJ252" t="str">
            <v/>
          </cell>
          <cell r="BK252" t="str">
            <v/>
          </cell>
          <cell r="BL252" t="str">
            <v/>
          </cell>
          <cell r="BM252" t="str">
            <v>Fuel, Drain, Unusable (5.6 Gal)</v>
          </cell>
          <cell r="BN252" t="str">
            <v>Lavatory Pre-charge Fluid (6.0 Gal)</v>
          </cell>
          <cell r="BO252" t="str">
            <v>Lavatory Dry Supplies</v>
          </cell>
          <cell r="BP252" t="str">
            <v>Water, Potable (42.6 Gal)</v>
          </cell>
          <cell r="BQ252" t="str">
            <v>Flaps 0 - 40° (Up when weighed)</v>
          </cell>
          <cell r="BR252" t="str">
            <v/>
          </cell>
          <cell r="BS252" t="str">
            <v/>
          </cell>
          <cell r="BT252" t="str">
            <v/>
          </cell>
          <cell r="BU252" t="str">
            <v/>
          </cell>
          <cell r="BV252" t="str">
            <v/>
          </cell>
          <cell r="BW252" t="str">
            <v/>
          </cell>
          <cell r="BX252" t="str">
            <v/>
          </cell>
          <cell r="BY252" t="str">
            <v/>
          </cell>
          <cell r="BZ252" t="str">
            <v/>
          </cell>
          <cell r="CA252" t="str">
            <v/>
          </cell>
          <cell r="CB252" t="str">
            <v>17,2818</v>
          </cell>
          <cell r="CC252" t="str">
            <v>22,6796</v>
          </cell>
          <cell r="CD252" t="str">
            <v>3,9916</v>
          </cell>
          <cell r="CE252" t="str">
            <v>160,9799</v>
          </cell>
          <cell r="CF252" t="str">
            <v>0</v>
          </cell>
          <cell r="CG252" t="str">
            <v/>
          </cell>
          <cell r="CH252" t="str">
            <v/>
          </cell>
          <cell r="CI252" t="str">
            <v/>
          </cell>
          <cell r="CJ252" t="str">
            <v/>
          </cell>
          <cell r="CK252" t="str">
            <v/>
          </cell>
          <cell r="CL252" t="str">
            <v/>
          </cell>
          <cell r="CM252" t="str">
            <v/>
          </cell>
          <cell r="CN252" t="str">
            <v/>
          </cell>
          <cell r="CO252" t="str">
            <v/>
          </cell>
          <cell r="CP252" t="str">
            <v>646</v>
          </cell>
          <cell r="CQ252" t="str">
            <v>1112</v>
          </cell>
          <cell r="CR252" t="str">
            <v>1145</v>
          </cell>
          <cell r="CS252" t="str">
            <v>1141</v>
          </cell>
          <cell r="CT252" t="str">
            <v>0</v>
          </cell>
          <cell r="CU252" t="str">
            <v/>
          </cell>
          <cell r="CV252" t="str">
            <v/>
          </cell>
          <cell r="CW252" t="str">
            <v/>
          </cell>
          <cell r="CX252" t="str">
            <v/>
          </cell>
          <cell r="CY252" t="str">
            <v/>
          </cell>
          <cell r="CZ252" t="str">
            <v/>
          </cell>
          <cell r="DA252" t="str">
            <v/>
          </cell>
          <cell r="DB252" t="str">
            <v/>
          </cell>
          <cell r="DC252" t="str">
            <v/>
          </cell>
          <cell r="DD252" t="str">
            <v/>
          </cell>
          <cell r="DE252" t="str">
            <v/>
          </cell>
          <cell r="DF252" t="str">
            <v/>
          </cell>
          <cell r="DH252" t="str">
            <v/>
          </cell>
          <cell r="DN252" t="str">
            <v>16/01/2026</v>
          </cell>
          <cell r="DQ252" t="str">
            <v>Fernando Araujo</v>
          </cell>
          <cell r="DR252" t="str">
            <v>Maia</v>
          </cell>
          <cell r="DS252">
            <v>1</v>
          </cell>
          <cell r="DT252">
            <v>0</v>
          </cell>
          <cell r="DU252" t="str">
            <v>GOL</v>
          </cell>
          <cell r="DV252" t="str">
            <v>175 Pax + 10 Flight Crew</v>
          </cell>
          <cell r="DW252" t="str">
            <v>GLP-800-001-GKB</v>
          </cell>
          <cell r="FL252" t="str">
            <v/>
          </cell>
          <cell r="FM252" t="str">
            <v/>
          </cell>
          <cell r="FN252" t="str">
            <v/>
          </cell>
          <cell r="FO252" t="str">
            <v/>
          </cell>
          <cell r="FP252" t="str">
            <v/>
          </cell>
          <cell r="FQ252" t="str">
            <v/>
          </cell>
          <cell r="FR252" t="str">
            <v/>
          </cell>
          <cell r="FS252" t="str">
            <v/>
          </cell>
          <cell r="FT252" t="str">
            <v/>
          </cell>
          <cell r="FU252" t="str">
            <v/>
          </cell>
          <cell r="FV252" t="str">
            <v/>
          </cell>
          <cell r="FW252" t="str">
            <v/>
          </cell>
          <cell r="FX252" t="str">
            <v/>
          </cell>
          <cell r="FY252" t="str">
            <v/>
          </cell>
          <cell r="FZ252" t="str">
            <v/>
          </cell>
          <cell r="GA252" t="str">
            <v/>
          </cell>
          <cell r="GB252" t="str">
            <v/>
          </cell>
          <cell r="GC252" t="str">
            <v/>
          </cell>
          <cell r="GD252" t="str">
            <v/>
          </cell>
          <cell r="GE252" t="str">
            <v/>
          </cell>
          <cell r="GF252" t="str">
            <v/>
          </cell>
          <cell r="GG252" t="str">
            <v/>
          </cell>
          <cell r="GH252" t="str">
            <v/>
          </cell>
          <cell r="GI252" t="str">
            <v/>
          </cell>
          <cell r="GJ252" t="str">
            <v/>
          </cell>
          <cell r="GK252" t="str">
            <v/>
          </cell>
          <cell r="GL252" t="str">
            <v/>
          </cell>
          <cell r="GM252" t="str">
            <v/>
          </cell>
          <cell r="GN252" t="str">
            <v/>
          </cell>
        </row>
        <row r="253">
          <cell r="A253" t="str">
            <v>PR-GKE</v>
          </cell>
          <cell r="E253">
            <v>0</v>
          </cell>
          <cell r="F253">
            <v>0</v>
          </cell>
          <cell r="DN253">
            <v>0</v>
          </cell>
        </row>
        <row r="254">
          <cell r="A254" t="str">
            <v>PR-GKE</v>
          </cell>
          <cell r="D254" t="str">
            <v>18/11/2021</v>
          </cell>
          <cell r="E254">
            <v>1</v>
          </cell>
          <cell r="F254">
            <v>0</v>
          </cell>
          <cell r="G254" t="str">
            <v>Southwest - USA</v>
          </cell>
          <cell r="H254" t="str">
            <v>Scheduled</v>
          </cell>
          <cell r="I254" t="str">
            <v>2982,37</v>
          </cell>
          <cell r="J254" t="str">
            <v>0</v>
          </cell>
          <cell r="K254" t="str">
            <v>18849,03</v>
          </cell>
          <cell r="L254" t="str">
            <v>0</v>
          </cell>
          <cell r="M254" t="str">
            <v>18615,43</v>
          </cell>
          <cell r="N254" t="str">
            <v>0</v>
          </cell>
          <cell r="O254" t="str">
            <v>2982,37</v>
          </cell>
          <cell r="P254" t="str">
            <v>0</v>
          </cell>
          <cell r="Q254" t="str">
            <v>18849,03</v>
          </cell>
          <cell r="R254" t="str">
            <v>0</v>
          </cell>
          <cell r="S254" t="str">
            <v>18615,43</v>
          </cell>
          <cell r="T254" t="str">
            <v>0</v>
          </cell>
          <cell r="U254" t="str">
            <v>5,75</v>
          </cell>
          <cell r="V254" t="str">
            <v>5</v>
          </cell>
          <cell r="W254" t="str">
            <v>Mods/Repair</v>
          </cell>
          <cell r="X254" t="str">
            <v/>
          </cell>
          <cell r="Y254" t="str">
            <v/>
          </cell>
          <cell r="Z254" t="str">
            <v/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>115,212</v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>783,3976</v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>Water, Potable (42.6 Gal)</v>
          </cell>
          <cell r="BN254" t="str">
            <v>Flaps 0 - 40° (Up when weighed)</v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>160,9799</v>
          </cell>
          <cell r="CC254" t="str">
            <v>0</v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 t="str">
            <v/>
          </cell>
          <cell r="CJ254" t="str">
            <v/>
          </cell>
          <cell r="CK254" t="str">
            <v/>
          </cell>
          <cell r="CL254" t="str">
            <v/>
          </cell>
          <cell r="CM254" t="str">
            <v/>
          </cell>
          <cell r="CN254" t="str">
            <v/>
          </cell>
          <cell r="CO254" t="str">
            <v/>
          </cell>
          <cell r="CP254" t="str">
            <v>1141</v>
          </cell>
          <cell r="CQ254" t="str">
            <v>0</v>
          </cell>
          <cell r="CR254" t="str">
            <v/>
          </cell>
          <cell r="CS254" t="str">
            <v/>
          </cell>
          <cell r="CT254" t="str">
            <v/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H254" t="str">
            <v/>
          </cell>
          <cell r="DN254" t="str">
            <v>27/01/2026</v>
          </cell>
          <cell r="DQ254" t="str">
            <v>Fernando Araujo</v>
          </cell>
          <cell r="DR254" t="str">
            <v>Maia</v>
          </cell>
          <cell r="DS254" t="str">
            <v>0</v>
          </cell>
          <cell r="DT254" t="str">
            <v>0</v>
          </cell>
          <cell r="DU254" t="str">
            <v>Southwest</v>
          </cell>
          <cell r="DV254" t="str">
            <v>175 Pax + 10 Flight Crew</v>
          </cell>
          <cell r="DW254" t="str">
            <v>GLP-800-001-GKE</v>
          </cell>
          <cell r="FL254" t="str">
            <v/>
          </cell>
          <cell r="FM254" t="str">
            <v/>
          </cell>
          <cell r="FN254" t="str">
            <v/>
          </cell>
          <cell r="FO254" t="str">
            <v/>
          </cell>
          <cell r="FP254" t="str">
            <v/>
          </cell>
          <cell r="FQ254" t="str">
            <v/>
          </cell>
          <cell r="FR254" t="str">
            <v/>
          </cell>
          <cell r="FS254" t="str">
            <v/>
          </cell>
          <cell r="FT254" t="str">
            <v/>
          </cell>
          <cell r="FU254" t="str">
            <v/>
          </cell>
          <cell r="FV254" t="str">
            <v/>
          </cell>
          <cell r="FW254" t="str">
            <v/>
          </cell>
          <cell r="FX254" t="str">
            <v/>
          </cell>
          <cell r="FY254" t="str">
            <v/>
          </cell>
          <cell r="FZ254" t="str">
            <v/>
          </cell>
          <cell r="GA254" t="str">
            <v/>
          </cell>
          <cell r="GB254" t="str">
            <v/>
          </cell>
          <cell r="GC254" t="str">
            <v/>
          </cell>
          <cell r="GD254" t="str">
            <v/>
          </cell>
          <cell r="GE254" t="str">
            <v/>
          </cell>
          <cell r="GF254" t="str">
            <v/>
          </cell>
          <cell r="GG254" t="str">
            <v/>
          </cell>
          <cell r="GH254" t="str">
            <v/>
          </cell>
          <cell r="GI254" t="str">
            <v/>
          </cell>
          <cell r="GJ254" t="str">
            <v/>
          </cell>
          <cell r="GK254" t="str">
            <v/>
          </cell>
          <cell r="GL254" t="str">
            <v/>
          </cell>
          <cell r="GM254" t="str">
            <v/>
          </cell>
          <cell r="GN254" t="str">
            <v/>
          </cell>
        </row>
        <row r="255">
          <cell r="A255" t="str">
            <v>PR-XMM</v>
          </cell>
          <cell r="D255" t="str">
            <v>25/01/2026</v>
          </cell>
          <cell r="E255">
            <v>2</v>
          </cell>
          <cell r="F255">
            <v>0</v>
          </cell>
          <cell r="G255" t="str">
            <v>Lagoa Santa, MG - Brazil</v>
          </cell>
          <cell r="H255" t="str">
            <v>5 Years Check</v>
          </cell>
          <cell r="I255" t="str">
            <v>1750</v>
          </cell>
          <cell r="J255" t="str">
            <v>1932</v>
          </cell>
          <cell r="K255" t="str">
            <v>9192</v>
          </cell>
          <cell r="L255" t="str">
            <v>10778</v>
          </cell>
          <cell r="M255" t="str">
            <v>10118</v>
          </cell>
          <cell r="N255" t="str">
            <v>10248</v>
          </cell>
          <cell r="O255" t="str">
            <v>1734</v>
          </cell>
          <cell r="P255" t="str">
            <v>1952</v>
          </cell>
          <cell r="Q255" t="str">
            <v>9210</v>
          </cell>
          <cell r="R255" t="str">
            <v>10780</v>
          </cell>
          <cell r="S255" t="str">
            <v>10136</v>
          </cell>
          <cell r="T255" t="str">
            <v>10214</v>
          </cell>
          <cell r="U255" t="str">
            <v>5,11811023622047</v>
          </cell>
          <cell r="V255" t="str">
            <v>5,11811023622047</v>
          </cell>
          <cell r="W255" t="str">
            <v xml:space="preserve">Down Lock, Nose Gear </v>
          </cell>
          <cell r="X255" t="str">
            <v xml:space="preserve">Down Lock, Main Gear </v>
          </cell>
          <cell r="Y255" t="str">
            <v>Plumb Bob</v>
          </cell>
          <cell r="Z255" t="str">
            <v/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>0,3</v>
          </cell>
          <cell r="AL255" t="str">
            <v>0,4</v>
          </cell>
          <cell r="AM255" t="str">
            <v>0,5</v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>82,0000</v>
          </cell>
          <cell r="AZ255" t="str">
            <v>702,0000</v>
          </cell>
          <cell r="BA255" t="str">
            <v>685,0000</v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>Flaps 0 - 40° (Up when weighed)</v>
          </cell>
          <cell r="BN255" t="str">
            <v>Fuel, Drain, Unusable (5.6 Gal)</v>
          </cell>
          <cell r="BO255" t="str">
            <v>Lavatory Dry Supplies</v>
          </cell>
          <cell r="BP255" t="str">
            <v>Lavatory Pre-charge Fluid (6.0 Gal)</v>
          </cell>
          <cell r="BQ255" t="str">
            <v>Water, Potable (62.6 Gal)</v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>0,00</v>
          </cell>
          <cell r="CC255" t="str">
            <v>17,3</v>
          </cell>
          <cell r="CD255" t="str">
            <v>4,0</v>
          </cell>
          <cell r="CE255" t="str">
            <v>22,7</v>
          </cell>
          <cell r="CF255" t="str">
            <v>236,4</v>
          </cell>
          <cell r="CG255" t="str">
            <v/>
          </cell>
          <cell r="CH255" t="str">
            <v/>
          </cell>
          <cell r="CI255" t="str">
            <v/>
          </cell>
          <cell r="CJ255" t="str">
            <v/>
          </cell>
          <cell r="CK255" t="str">
            <v/>
          </cell>
          <cell r="CL255" t="str">
            <v/>
          </cell>
          <cell r="CM255" t="str">
            <v/>
          </cell>
          <cell r="CN255" t="str">
            <v/>
          </cell>
          <cell r="CO255" t="str">
            <v/>
          </cell>
          <cell r="CP255" t="str">
            <v>0,00</v>
          </cell>
          <cell r="CQ255" t="str">
            <v>646,0000</v>
          </cell>
          <cell r="CR255" t="str">
            <v>1138,0000</v>
          </cell>
          <cell r="CS255" t="str">
            <v>1112,0000</v>
          </cell>
          <cell r="CT255" t="str">
            <v>1150,0000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H255" t="str">
            <v/>
          </cell>
          <cell r="DN255" t="str">
            <v>25/01/2026</v>
          </cell>
          <cell r="DQ255" t="str">
            <v>Euler</v>
          </cell>
          <cell r="DR255" t="str">
            <v>Fernando Meirelles</v>
          </cell>
          <cell r="DS255" t="str">
            <v>1</v>
          </cell>
          <cell r="DT255" t="str">
            <v>2</v>
          </cell>
          <cell r="DU255" t="str">
            <v>GOL</v>
          </cell>
          <cell r="DV255" t="str">
            <v>186 Pax + 10 Flight Crew</v>
          </cell>
          <cell r="DW255" t="str">
            <v>GLP-MAX8-001-XMM</v>
          </cell>
          <cell r="FL255" t="str">
            <v/>
          </cell>
          <cell r="FM255" t="str">
            <v/>
          </cell>
          <cell r="FN255" t="str">
            <v/>
          </cell>
          <cell r="FO255" t="str">
            <v/>
          </cell>
          <cell r="FP255" t="str">
            <v/>
          </cell>
          <cell r="FQ255" t="str">
            <v/>
          </cell>
          <cell r="FR255" t="str">
            <v/>
          </cell>
          <cell r="FS255" t="str">
            <v/>
          </cell>
          <cell r="FT255" t="str">
            <v/>
          </cell>
          <cell r="FU255" t="str">
            <v/>
          </cell>
          <cell r="FV255" t="str">
            <v/>
          </cell>
          <cell r="FW255" t="str">
            <v/>
          </cell>
          <cell r="FX255" t="str">
            <v/>
          </cell>
          <cell r="FY255" t="str">
            <v/>
          </cell>
          <cell r="FZ255" t="str">
            <v/>
          </cell>
          <cell r="GA255" t="str">
            <v/>
          </cell>
          <cell r="GB255" t="str">
            <v/>
          </cell>
          <cell r="GC255" t="str">
            <v/>
          </cell>
          <cell r="GD255" t="str">
            <v/>
          </cell>
          <cell r="GE255" t="str">
            <v/>
          </cell>
          <cell r="GF255" t="str">
            <v/>
          </cell>
          <cell r="GG255" t="str">
            <v/>
          </cell>
          <cell r="GH255" t="str">
            <v/>
          </cell>
          <cell r="GI255" t="str">
            <v/>
          </cell>
          <cell r="GJ255" t="str">
            <v/>
          </cell>
          <cell r="GK255" t="str">
            <v/>
          </cell>
          <cell r="GL255" t="str">
            <v/>
          </cell>
          <cell r="GM255" t="str">
            <v/>
          </cell>
          <cell r="GN255" t="str">
            <v/>
          </cell>
        </row>
        <row r="256">
          <cell r="A256" t="str">
            <v>PS-GRN</v>
          </cell>
          <cell r="D256" t="str">
            <v/>
          </cell>
          <cell r="E256">
            <v>1</v>
          </cell>
          <cell r="F256">
            <v>0</v>
          </cell>
          <cell r="DN256" t="str">
            <v/>
          </cell>
        </row>
        <row r="257">
          <cell r="A257" t="str">
            <v>PS-GRN</v>
          </cell>
          <cell r="D257" t="str">
            <v>05/02/2026</v>
          </cell>
          <cell r="E257">
            <v>2</v>
          </cell>
          <cell r="F257">
            <v>0</v>
          </cell>
          <cell r="G257" t="str">
            <v>Lagoa Santa, MG - Brazil</v>
          </cell>
          <cell r="H257" t="str">
            <v>Scheduled</v>
          </cell>
          <cell r="I257" t="str">
            <v>1980</v>
          </cell>
          <cell r="J257" t="str">
            <v>1734</v>
          </cell>
          <cell r="K257" t="str">
            <v>10184</v>
          </cell>
          <cell r="L257" t="str">
            <v>9838</v>
          </cell>
          <cell r="M257" t="str">
            <v>10652</v>
          </cell>
          <cell r="N257" t="str">
            <v>9730</v>
          </cell>
          <cell r="O257" t="str">
            <v>1978</v>
          </cell>
          <cell r="P257" t="str">
            <v>1736</v>
          </cell>
          <cell r="Q257" t="str">
            <v>10202</v>
          </cell>
          <cell r="R257" t="str">
            <v>9820</v>
          </cell>
          <cell r="S257" t="str">
            <v>10672</v>
          </cell>
          <cell r="T257" t="str">
            <v>9716</v>
          </cell>
          <cell r="U257">
            <v>4.0944881889763778</v>
          </cell>
          <cell r="V257">
            <v>3.9370078740157481</v>
          </cell>
          <cell r="W257" t="str">
            <v xml:space="preserve">Down Lock, Nose Gear </v>
          </cell>
          <cell r="X257" t="str">
            <v xml:space="preserve">Down Lock, Main Gear </v>
          </cell>
          <cell r="Y257" t="str">
            <v>Plumb Bob</v>
          </cell>
          <cell r="Z257" t="str">
            <v/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>0,2</v>
          </cell>
          <cell r="AL257" t="str">
            <v>0,4</v>
          </cell>
          <cell r="AM257" t="str">
            <v>0,5</v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>82,00</v>
          </cell>
          <cell r="AZ257" t="str">
            <v>702,00</v>
          </cell>
          <cell r="BA257" t="str">
            <v>685,00</v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>Fuel, Drain, Unusable (5.6 Gal)</v>
          </cell>
          <cell r="BN257" t="str">
            <v>Lavatory Dry Supplies</v>
          </cell>
          <cell r="BO257" t="str">
            <v>Lavatory Pre-charge Fluid (6.0 Gal)</v>
          </cell>
          <cell r="BP257" t="str">
            <v>Water, Potable (62.6 Gal)</v>
          </cell>
          <cell r="BQ257" t="str">
            <v>Flaps 0 - 40° (Up when weighed)</v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>17,3</v>
          </cell>
          <cell r="CC257" t="str">
            <v>4</v>
          </cell>
          <cell r="CD257" t="str">
            <v>22,7</v>
          </cell>
          <cell r="CE257" t="str">
            <v>236,4</v>
          </cell>
          <cell r="CF257" t="str">
            <v>0</v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>646</v>
          </cell>
          <cell r="CQ257" t="str">
            <v>1138</v>
          </cell>
          <cell r="CR257" t="str">
            <v>1112</v>
          </cell>
          <cell r="CS257" t="str">
            <v>1150</v>
          </cell>
          <cell r="CT257" t="str">
            <v>0</v>
          </cell>
          <cell r="CU257" t="str">
            <v/>
          </cell>
          <cell r="CV257" t="str">
            <v/>
          </cell>
          <cell r="CW257" t="str">
            <v/>
          </cell>
          <cell r="CX257" t="str">
            <v/>
          </cell>
          <cell r="CY257" t="str">
            <v/>
          </cell>
          <cell r="CZ257" t="str">
            <v/>
          </cell>
          <cell r="DA257" t="str">
            <v/>
          </cell>
          <cell r="DB257" t="str">
            <v/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H257" t="str">
            <v/>
          </cell>
          <cell r="DN257" t="str">
            <v>05/02/2026</v>
          </cell>
          <cell r="DQ257" t="str">
            <v>Maia</v>
          </cell>
          <cell r="DR257" t="str">
            <v>Fernando Araujo</v>
          </cell>
          <cell r="DS257" t="str">
            <v>1</v>
          </cell>
          <cell r="DT257" t="str">
            <v>0</v>
          </cell>
          <cell r="DU257" t="str">
            <v>GOL</v>
          </cell>
          <cell r="DV257" t="str">
            <v>186 Pax + 10 Flight Crew</v>
          </cell>
          <cell r="DW257" t="str">
            <v>GLP-MAX8-001-GRN</v>
          </cell>
          <cell r="FL257" t="str">
            <v/>
          </cell>
          <cell r="FM257" t="str">
            <v/>
          </cell>
          <cell r="FN257" t="str">
            <v/>
          </cell>
          <cell r="FO257" t="str">
            <v/>
          </cell>
          <cell r="FP257" t="str">
            <v/>
          </cell>
          <cell r="FQ257" t="str">
            <v/>
          </cell>
          <cell r="FR257" t="str">
            <v/>
          </cell>
          <cell r="FS257" t="str">
            <v/>
          </cell>
          <cell r="FT257" t="str">
            <v/>
          </cell>
          <cell r="FU257" t="str">
            <v/>
          </cell>
          <cell r="FV257" t="str">
            <v/>
          </cell>
          <cell r="FW257" t="str">
            <v/>
          </cell>
          <cell r="FX257" t="str">
            <v/>
          </cell>
          <cell r="FY257" t="str">
            <v/>
          </cell>
          <cell r="FZ257" t="str">
            <v/>
          </cell>
          <cell r="GA257" t="str">
            <v/>
          </cell>
          <cell r="GB257" t="str">
            <v/>
          </cell>
          <cell r="GC257" t="str">
            <v/>
          </cell>
          <cell r="GD257" t="str">
            <v/>
          </cell>
          <cell r="GE257" t="str">
            <v/>
          </cell>
          <cell r="GF257" t="str">
            <v/>
          </cell>
          <cell r="GG257" t="str">
            <v/>
          </cell>
          <cell r="GH257" t="str">
            <v/>
          </cell>
          <cell r="GI257" t="str">
            <v/>
          </cell>
          <cell r="GJ257" t="str">
            <v/>
          </cell>
          <cell r="GK257" t="str">
            <v/>
          </cell>
          <cell r="GL257" t="str">
            <v/>
          </cell>
          <cell r="GM257" t="str">
            <v/>
          </cell>
          <cell r="GN257" t="str">
            <v/>
          </cell>
        </row>
        <row r="258">
          <cell r="A258" t="str">
            <v>PS-GRM</v>
          </cell>
          <cell r="D258" t="str">
            <v/>
          </cell>
          <cell r="E258">
            <v>1</v>
          </cell>
          <cell r="F258">
            <v>0</v>
          </cell>
          <cell r="DN258" t="str">
            <v/>
          </cell>
        </row>
        <row r="259">
          <cell r="A259" t="str">
            <v>PS-GRM</v>
          </cell>
          <cell r="D259" t="str">
            <v>02/02/2026</v>
          </cell>
          <cell r="E259">
            <v>2</v>
          </cell>
          <cell r="F259">
            <v>0</v>
          </cell>
          <cell r="G259" t="str">
            <v>Lagoa Santa, MG - Brazil</v>
          </cell>
          <cell r="H259" t="str">
            <v>Seats Reconfiguration</v>
          </cell>
          <cell r="I259" t="str">
            <v>2028</v>
          </cell>
          <cell r="J259" t="str">
            <v>1678</v>
          </cell>
          <cell r="K259" t="str">
            <v>9418</v>
          </cell>
          <cell r="L259" t="str">
            <v>10580</v>
          </cell>
          <cell r="M259" t="str">
            <v>9922</v>
          </cell>
          <cell r="N259" t="str">
            <v>10416</v>
          </cell>
          <cell r="O259" t="str">
            <v>2028</v>
          </cell>
          <cell r="P259" t="str">
            <v>1678</v>
          </cell>
          <cell r="Q259" t="str">
            <v>9408</v>
          </cell>
          <cell r="R259" t="str">
            <v>10590</v>
          </cell>
          <cell r="S259" t="str">
            <v>9928</v>
          </cell>
          <cell r="T259" t="str">
            <v>10406</v>
          </cell>
          <cell r="U259">
            <v>3.9370078740157481</v>
          </cell>
          <cell r="V259">
            <v>3.9370078740157481</v>
          </cell>
          <cell r="W259" t="str">
            <v xml:space="preserve">Down Lock, Nose Gear </v>
          </cell>
          <cell r="X259" t="str">
            <v xml:space="preserve">Down Lock, Main Gear </v>
          </cell>
          <cell r="Y259" t="str">
            <v>Plumb Bob</v>
          </cell>
          <cell r="Z259" t="str">
            <v>Seats Removal (186 Pax)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>0,2</v>
          </cell>
          <cell r="AL259" t="str">
            <v>0,4</v>
          </cell>
          <cell r="AM259" t="str">
            <v>0,5</v>
          </cell>
          <cell r="AN259" t="str">
            <v>2531,6100</v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>82</v>
          </cell>
          <cell r="AZ259" t="str">
            <v>702</v>
          </cell>
          <cell r="BA259" t="str">
            <v>685</v>
          </cell>
          <cell r="BB259" t="str">
            <v>656,1022</v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>Fuel, Drain, Unusable (5.6 Gal)</v>
          </cell>
          <cell r="BN259" t="str">
            <v>Lavatory Pre-charge Fluid (6.0 Gal)</v>
          </cell>
          <cell r="BO259" t="str">
            <v>Lavatory Dry Supplies</v>
          </cell>
          <cell r="BP259" t="str">
            <v>Water, Potable (62.6 Gal)</v>
          </cell>
          <cell r="BQ259" t="str">
            <v>Flaps 0 - 40° (Up when weighed)</v>
          </cell>
          <cell r="BR259" t="str">
            <v>Seats Installation (6 Pax)</v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>17,3</v>
          </cell>
          <cell r="CC259" t="str">
            <v>22,7</v>
          </cell>
          <cell r="CD259" t="str">
            <v>4</v>
          </cell>
          <cell r="CE259" t="str">
            <v>236,4</v>
          </cell>
          <cell r="CF259" t="str">
            <v>0</v>
          </cell>
          <cell r="CG259" t="str">
            <v>98,6</v>
          </cell>
          <cell r="CH259" t="str">
            <v/>
          </cell>
          <cell r="CI259" t="str">
            <v/>
          </cell>
          <cell r="CJ259" t="str">
            <v/>
          </cell>
          <cell r="CK259" t="str">
            <v/>
          </cell>
          <cell r="CL259" t="str">
            <v/>
          </cell>
          <cell r="CM259" t="str">
            <v/>
          </cell>
          <cell r="CN259" t="str">
            <v/>
          </cell>
          <cell r="CO259" t="str">
            <v/>
          </cell>
          <cell r="CP259" t="str">
            <v>646</v>
          </cell>
          <cell r="CQ259" t="str">
            <v>1112</v>
          </cell>
          <cell r="CR259" t="str">
            <v>1138</v>
          </cell>
          <cell r="CS259" t="str">
            <v>1150</v>
          </cell>
          <cell r="CT259" t="str">
            <v>0</v>
          </cell>
          <cell r="CU259" t="str">
            <v>194</v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H259" t="str">
            <v/>
          </cell>
          <cell r="DN259" t="str">
            <v>12/02/2026</v>
          </cell>
          <cell r="DQ259" t="str">
            <v>Maia</v>
          </cell>
          <cell r="DS259" t="str">
            <v>1</v>
          </cell>
          <cell r="DT259" t="str">
            <v>0</v>
          </cell>
          <cell r="DU259" t="str">
            <v>GOL</v>
          </cell>
          <cell r="DV259" t="str">
            <v>6 Pax + 10 Flight Crew</v>
          </cell>
          <cell r="DW259" t="str">
            <v>GLP-MAX8-001-GRM</v>
          </cell>
          <cell r="FL259" t="str">
            <v/>
          </cell>
          <cell r="FM259" t="str">
            <v/>
          </cell>
          <cell r="FN259" t="str">
            <v/>
          </cell>
          <cell r="FO259" t="str">
            <v/>
          </cell>
          <cell r="FP259" t="str">
            <v/>
          </cell>
          <cell r="FQ259" t="str">
            <v/>
          </cell>
          <cell r="FR259" t="str">
            <v/>
          </cell>
          <cell r="FS259" t="str">
            <v/>
          </cell>
          <cell r="FT259" t="str">
            <v/>
          </cell>
          <cell r="FU259" t="str">
            <v/>
          </cell>
          <cell r="FV259" t="str">
            <v/>
          </cell>
          <cell r="FW259" t="str">
            <v/>
          </cell>
          <cell r="FX259" t="str">
            <v/>
          </cell>
          <cell r="FY259" t="str">
            <v/>
          </cell>
          <cell r="FZ259" t="str">
            <v/>
          </cell>
          <cell r="GA259" t="str">
            <v/>
          </cell>
          <cell r="GB259" t="str">
            <v/>
          </cell>
          <cell r="GC259" t="str">
            <v/>
          </cell>
          <cell r="GD259" t="str">
            <v/>
          </cell>
          <cell r="GE259" t="str">
            <v/>
          </cell>
          <cell r="GF259" t="str">
            <v/>
          </cell>
          <cell r="GG259" t="str">
            <v/>
          </cell>
          <cell r="GH259" t="str">
            <v/>
          </cell>
          <cell r="GI259" t="str">
            <v/>
          </cell>
          <cell r="GJ259" t="str">
            <v/>
          </cell>
          <cell r="GK259" t="str">
            <v/>
          </cell>
          <cell r="GL259" t="str">
            <v/>
          </cell>
          <cell r="GM259" t="str">
            <v/>
          </cell>
          <cell r="GN259" t="str">
            <v/>
          </cell>
        </row>
        <row r="260">
          <cell r="A260" t="str">
            <v>PS-GRN</v>
          </cell>
          <cell r="D260" t="str">
            <v>02/02/2026</v>
          </cell>
          <cell r="E260">
            <v>2</v>
          </cell>
          <cell r="F260">
            <v>1</v>
          </cell>
          <cell r="G260" t="str">
            <v>Lagoa Santa, MG - Brazil</v>
          </cell>
          <cell r="H260" t="str">
            <v>Seats Reconfiguration</v>
          </cell>
          <cell r="I260" t="str">
            <v>1980</v>
          </cell>
          <cell r="J260" t="str">
            <v>1734</v>
          </cell>
          <cell r="K260" t="str">
            <v>10184</v>
          </cell>
          <cell r="L260" t="str">
            <v>9838</v>
          </cell>
          <cell r="M260" t="str">
            <v>10652</v>
          </cell>
          <cell r="N260" t="str">
            <v>9730</v>
          </cell>
          <cell r="O260" t="str">
            <v>1978</v>
          </cell>
          <cell r="P260" t="str">
            <v>1736</v>
          </cell>
          <cell r="Q260" t="str">
            <v>10202</v>
          </cell>
          <cell r="R260" t="str">
            <v>9820</v>
          </cell>
          <cell r="S260" t="str">
            <v>10672</v>
          </cell>
          <cell r="T260" t="str">
            <v>9716</v>
          </cell>
          <cell r="U260" t="str">
            <v>0,161200322400645</v>
          </cell>
          <cell r="V260" t="str">
            <v>0,15500031000062</v>
          </cell>
          <cell r="W260" t="str">
            <v xml:space="preserve">Down Lock, Nose Gear </v>
          </cell>
          <cell r="X260" t="str">
            <v xml:space="preserve">Down Lock, Main Gear </v>
          </cell>
          <cell r="Y260" t="str">
            <v>Plumb Bob</v>
          </cell>
          <cell r="Z260" t="str">
            <v>Seats Removal (186 Pax)</v>
          </cell>
          <cell r="AA260" t="str">
            <v>Production Flight Emergency Equipment</v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>0,2</v>
          </cell>
          <cell r="AL260" t="str">
            <v>0,4</v>
          </cell>
          <cell r="AM260" t="str">
            <v>0,5</v>
          </cell>
          <cell r="AN260" t="str">
            <v>2531,6100</v>
          </cell>
          <cell r="AO260" t="str">
            <v>29,5</v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>82,00</v>
          </cell>
          <cell r="AZ260" t="str">
            <v>702,00</v>
          </cell>
          <cell r="BA260" t="str">
            <v>685,00</v>
          </cell>
          <cell r="BB260" t="str">
            <v>656,1022</v>
          </cell>
          <cell r="BC260" t="str">
            <v>230</v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>Fuel, Drain, Unusable (5.6 Gal)</v>
          </cell>
          <cell r="BN260" t="str">
            <v>Lavatory Dry Supplies</v>
          </cell>
          <cell r="BO260" t="str">
            <v>Lavatory Pre-charge Fluid (6.0 Gal)</v>
          </cell>
          <cell r="BP260" t="str">
            <v>Water, Potable (62.6 Gal)</v>
          </cell>
          <cell r="BQ260" t="str">
            <v>Flaps 0 - 40° (Up when weighed)</v>
          </cell>
          <cell r="BR260" t="str">
            <v>Seats Installation (6 Pax)</v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>17,3</v>
          </cell>
          <cell r="CC260" t="str">
            <v>4</v>
          </cell>
          <cell r="CD260" t="str">
            <v>22,7</v>
          </cell>
          <cell r="CE260" t="str">
            <v>236,4</v>
          </cell>
          <cell r="CF260" t="str">
            <v>0</v>
          </cell>
          <cell r="CG260" t="str">
            <v>98,6</v>
          </cell>
          <cell r="CH260" t="str">
            <v/>
          </cell>
          <cell r="CI260" t="str">
            <v/>
          </cell>
          <cell r="CJ260" t="str">
            <v/>
          </cell>
          <cell r="CK260" t="str">
            <v/>
          </cell>
          <cell r="CL260" t="str">
            <v/>
          </cell>
          <cell r="CM260" t="str">
            <v/>
          </cell>
          <cell r="CN260" t="str">
            <v/>
          </cell>
          <cell r="CO260" t="str">
            <v/>
          </cell>
          <cell r="CP260" t="str">
            <v>646</v>
          </cell>
          <cell r="CQ260" t="str">
            <v>1138</v>
          </cell>
          <cell r="CR260" t="str">
            <v>1112</v>
          </cell>
          <cell r="CS260" t="str">
            <v>1150</v>
          </cell>
          <cell r="CT260" t="str">
            <v>0</v>
          </cell>
          <cell r="CU260" t="str">
            <v>194</v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H260" t="str">
            <v/>
          </cell>
          <cell r="DN260" t="str">
            <v>11/02/2026</v>
          </cell>
          <cell r="DQ260" t="str">
            <v>Maia</v>
          </cell>
          <cell r="DR260" t="str">
            <v>Euler</v>
          </cell>
          <cell r="DS260" t="str">
            <v>2</v>
          </cell>
          <cell r="DT260" t="str">
            <v>0</v>
          </cell>
          <cell r="DU260" t="str">
            <v>GOL</v>
          </cell>
          <cell r="DV260" t="str">
            <v>6 Pax + 10 Flight Crew</v>
          </cell>
          <cell r="DW260" t="str">
            <v>GLP-MAX8-001-GRN REV. 02</v>
          </cell>
          <cell r="FL260" t="str">
            <v/>
          </cell>
          <cell r="FM260" t="str">
            <v/>
          </cell>
          <cell r="FN260" t="str">
            <v/>
          </cell>
          <cell r="FO260" t="str">
            <v/>
          </cell>
          <cell r="FP260" t="str">
            <v/>
          </cell>
          <cell r="FQ260" t="str">
            <v/>
          </cell>
          <cell r="FR260" t="str">
            <v/>
          </cell>
          <cell r="FS260" t="str">
            <v/>
          </cell>
          <cell r="FT260" t="str">
            <v/>
          </cell>
          <cell r="FU260" t="str">
            <v/>
          </cell>
          <cell r="FV260" t="str">
            <v/>
          </cell>
          <cell r="FW260" t="str">
            <v/>
          </cell>
          <cell r="FX260" t="str">
            <v/>
          </cell>
          <cell r="FY260" t="str">
            <v/>
          </cell>
          <cell r="FZ260" t="str">
            <v/>
          </cell>
          <cell r="GA260" t="str">
            <v/>
          </cell>
          <cell r="GB260" t="str">
            <v/>
          </cell>
          <cell r="GC260" t="str">
            <v/>
          </cell>
          <cell r="GD260" t="str">
            <v/>
          </cell>
          <cell r="GE260" t="str">
            <v/>
          </cell>
          <cell r="GF260" t="str">
            <v/>
          </cell>
          <cell r="GG260" t="str">
            <v/>
          </cell>
          <cell r="GH260" t="str">
            <v/>
          </cell>
          <cell r="GI260" t="str">
            <v/>
          </cell>
          <cell r="GJ260" t="str">
            <v/>
          </cell>
          <cell r="GK260" t="str">
            <v/>
          </cell>
          <cell r="GL260" t="str">
            <v/>
          </cell>
          <cell r="GM260" t="str">
            <v/>
          </cell>
          <cell r="GN260" t="str">
            <v/>
          </cell>
        </row>
        <row r="261">
          <cell r="A261" t="str">
            <v>PS-GRM</v>
          </cell>
          <cell r="D261" t="str">
            <v>02/02/2026</v>
          </cell>
          <cell r="E261">
            <v>2</v>
          </cell>
          <cell r="F261">
            <v>1</v>
          </cell>
          <cell r="G261" t="str">
            <v>Lagoa Santa, MG - Brazil</v>
          </cell>
          <cell r="H261" t="str">
            <v>Scheduled</v>
          </cell>
          <cell r="I261" t="str">
            <v>2028</v>
          </cell>
          <cell r="J261" t="str">
            <v>1678</v>
          </cell>
          <cell r="K261" t="str">
            <v>9418</v>
          </cell>
          <cell r="L261" t="str">
            <v>10580</v>
          </cell>
          <cell r="M261" t="str">
            <v>9922</v>
          </cell>
          <cell r="N261" t="str">
            <v>10416</v>
          </cell>
          <cell r="O261" t="str">
            <v>2028</v>
          </cell>
          <cell r="P261" t="str">
            <v>1678</v>
          </cell>
          <cell r="Q261" t="str">
            <v>9408</v>
          </cell>
          <cell r="R261" t="str">
            <v>10590</v>
          </cell>
          <cell r="S261" t="str">
            <v>9928</v>
          </cell>
          <cell r="T261" t="str">
            <v>10406</v>
          </cell>
          <cell r="U261" t="str">
            <v>0,15500031000062</v>
          </cell>
          <cell r="V261" t="str">
            <v>0,15500031000062</v>
          </cell>
          <cell r="W261" t="str">
            <v xml:space="preserve">Down Lock, Nose Gear </v>
          </cell>
          <cell r="X261" t="str">
            <v xml:space="preserve">Down Lock, Main Gear </v>
          </cell>
          <cell r="Y261" t="str">
            <v>Plumb Bob</v>
          </cell>
          <cell r="Z261" t="str">
            <v>Seats Removal (186 Pax)</v>
          </cell>
          <cell r="AA261" t="str">
            <v>Production Flight Emergency Equipment</v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>0,2</v>
          </cell>
          <cell r="AL261" t="str">
            <v>0,4</v>
          </cell>
          <cell r="AM261" t="str">
            <v>0,5</v>
          </cell>
          <cell r="AN261" t="str">
            <v>2531,6100</v>
          </cell>
          <cell r="AO261" t="str">
            <v>29,5</v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>82</v>
          </cell>
          <cell r="AZ261" t="str">
            <v>702</v>
          </cell>
          <cell r="BA261" t="str">
            <v>685</v>
          </cell>
          <cell r="BB261" t="str">
            <v>656,1022</v>
          </cell>
          <cell r="BC261" t="str">
            <v>230</v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>Fuel, Drain, Unusable (5.6 Gal)</v>
          </cell>
          <cell r="BN261" t="str">
            <v>Lavatory Pre-charge Fluid (6.0 Gal)</v>
          </cell>
          <cell r="BO261" t="str">
            <v>Lavatory Dry Supplies</v>
          </cell>
          <cell r="BP261" t="str">
            <v>Water, Potable (62.6 Gal)</v>
          </cell>
          <cell r="BQ261" t="str">
            <v>Flaps 0 - 40° (Up when weighed)</v>
          </cell>
          <cell r="BR261" t="str">
            <v>Seats Installation (6 Pax)</v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>17,3</v>
          </cell>
          <cell r="CC261" t="str">
            <v>22,7</v>
          </cell>
          <cell r="CD261" t="str">
            <v>4</v>
          </cell>
          <cell r="CE261" t="str">
            <v>236,4</v>
          </cell>
          <cell r="CF261" t="str">
            <v>0</v>
          </cell>
          <cell r="CG261" t="str">
            <v>98,6</v>
          </cell>
          <cell r="CH261" t="str">
            <v/>
          </cell>
          <cell r="CI261" t="str">
            <v/>
          </cell>
          <cell r="CJ261" t="str">
            <v/>
          </cell>
          <cell r="CK261" t="str">
            <v/>
          </cell>
          <cell r="CL261" t="str">
            <v/>
          </cell>
          <cell r="CM261" t="str">
            <v/>
          </cell>
          <cell r="CN261" t="str">
            <v/>
          </cell>
          <cell r="CO261" t="str">
            <v/>
          </cell>
          <cell r="CP261" t="str">
            <v>646</v>
          </cell>
          <cell r="CQ261" t="str">
            <v>1112</v>
          </cell>
          <cell r="CR261" t="str">
            <v>1138</v>
          </cell>
          <cell r="CS261" t="str">
            <v>1150</v>
          </cell>
          <cell r="CT261" t="str">
            <v>0</v>
          </cell>
          <cell r="CU261" t="str">
            <v>194</v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>Seat Reconfiguration 186 pax to 6 pax</v>
          </cell>
          <cell r="DE261" t="str">
            <v/>
          </cell>
          <cell r="DF261" t="str">
            <v/>
          </cell>
          <cell r="DH261" t="str">
            <v/>
          </cell>
          <cell r="DN261" t="str">
            <v>12/02/2026</v>
          </cell>
          <cell r="DQ261" t="str">
            <v>Fernando Araujo</v>
          </cell>
          <cell r="DR261" t="str">
            <v>Euler</v>
          </cell>
          <cell r="DS261" t="str">
            <v>2</v>
          </cell>
          <cell r="DT261" t="str">
            <v>0</v>
          </cell>
          <cell r="DU261" t="str">
            <v>GOL</v>
          </cell>
          <cell r="DV261" t="str">
            <v>6 Pax + 10 Flight Crew</v>
          </cell>
          <cell r="DW261" t="str">
            <v>GLP-MAX8-001-GRM Rev. 02</v>
          </cell>
          <cell r="FL261" t="str">
            <v/>
          </cell>
          <cell r="FM261" t="str">
            <v/>
          </cell>
          <cell r="FN261" t="str">
            <v/>
          </cell>
          <cell r="FO261" t="str">
            <v/>
          </cell>
          <cell r="FP261" t="str">
            <v/>
          </cell>
          <cell r="FQ261" t="str">
            <v/>
          </cell>
          <cell r="FR261" t="str">
            <v/>
          </cell>
          <cell r="FS261" t="str">
            <v/>
          </cell>
          <cell r="FT261" t="str">
            <v/>
          </cell>
          <cell r="FU261" t="str">
            <v/>
          </cell>
          <cell r="FV261" t="str">
            <v/>
          </cell>
          <cell r="FW261" t="str">
            <v/>
          </cell>
          <cell r="FX261" t="str">
            <v/>
          </cell>
          <cell r="FY261" t="str">
            <v/>
          </cell>
          <cell r="FZ261" t="str">
            <v/>
          </cell>
          <cell r="GA261" t="str">
            <v/>
          </cell>
          <cell r="GB261" t="str">
            <v/>
          </cell>
          <cell r="GC261" t="str">
            <v/>
          </cell>
          <cell r="GD261" t="str">
            <v/>
          </cell>
          <cell r="GE261" t="str">
            <v/>
          </cell>
          <cell r="GF261" t="str">
            <v/>
          </cell>
          <cell r="GG261" t="str">
            <v/>
          </cell>
          <cell r="GH261" t="str">
            <v/>
          </cell>
          <cell r="GI261" t="str">
            <v/>
          </cell>
          <cell r="GJ261" t="str">
            <v/>
          </cell>
          <cell r="GK261" t="str">
            <v/>
          </cell>
          <cell r="GL261" t="str">
            <v/>
          </cell>
          <cell r="GM261" t="str">
            <v/>
          </cell>
          <cell r="GN261" t="str">
            <v/>
          </cell>
        </row>
        <row r="262">
          <cell r="A262" t="str">
            <v>PS-GRM</v>
          </cell>
          <cell r="D262">
            <v>46358</v>
          </cell>
          <cell r="E262">
            <v>2</v>
          </cell>
          <cell r="F262">
            <v>2</v>
          </cell>
          <cell r="G262" t="str">
            <v>Lagoa Santa, MG - Brazil</v>
          </cell>
          <cell r="H262" t="str">
            <v>Scheduled</v>
          </cell>
          <cell r="I262" t="str">
            <v>2028</v>
          </cell>
          <cell r="J262" t="str">
            <v>1678</v>
          </cell>
          <cell r="K262" t="str">
            <v>9418</v>
          </cell>
          <cell r="L262" t="str">
            <v>10580</v>
          </cell>
          <cell r="M262" t="str">
            <v>9922</v>
          </cell>
          <cell r="N262" t="str">
            <v>10416</v>
          </cell>
          <cell r="O262" t="str">
            <v>2028</v>
          </cell>
          <cell r="P262" t="str">
            <v>1678</v>
          </cell>
          <cell r="Q262" t="str">
            <v>9408</v>
          </cell>
          <cell r="R262" t="str">
            <v>10590</v>
          </cell>
          <cell r="S262" t="str">
            <v>9928</v>
          </cell>
          <cell r="T262" t="str">
            <v>10406</v>
          </cell>
          <cell r="U262">
            <v>6.1023744094732286E-3</v>
          </cell>
          <cell r="V262">
            <v>6.1023744094732286E-3</v>
          </cell>
          <cell r="W262" t="str">
            <v xml:space="preserve">Down Lock, Nose Gear </v>
          </cell>
          <cell r="X262" t="str">
            <v xml:space="preserve">Down Lock, Main Gear </v>
          </cell>
          <cell r="Y262" t="str">
            <v>Plumb Bob</v>
          </cell>
          <cell r="Z262" t="str">
            <v>Seats Removal (186 Pax)</v>
          </cell>
          <cell r="AA262" t="str">
            <v xml:space="preserve">Production Safety Box </v>
          </cell>
          <cell r="AB262" t="str">
            <v xml:space="preserve">Key baggage </v>
          </cell>
          <cell r="AC262" t="str">
            <v xml:space="preserve">IOSA holder </v>
          </cell>
          <cell r="AD262" t="str">
            <v>Cockpit Manual Stowage Box</v>
          </cell>
          <cell r="AE262" t="str">
            <v>Identification Plate</v>
          </cell>
          <cell r="AF262" t="str">
            <v>Raffle KIT</v>
          </cell>
          <cell r="AG262" t="str">
            <v>CREST Logo</v>
          </cell>
          <cell r="AH262" t="str">
            <v>KPU</v>
          </cell>
          <cell r="AI262" t="str">
            <v>KPU</v>
          </cell>
          <cell r="AJ262" t="str">
            <v/>
          </cell>
          <cell r="AK262" t="str">
            <v>0,2</v>
          </cell>
          <cell r="AL262" t="str">
            <v>0,4</v>
          </cell>
          <cell r="AM262" t="str">
            <v>0,5</v>
          </cell>
          <cell r="AN262" t="str">
            <v>2531,6100</v>
          </cell>
          <cell r="AO262" t="str">
            <v>4</v>
          </cell>
          <cell r="AP262" t="str">
            <v>0,1</v>
          </cell>
          <cell r="AQ262" t="str">
            <v>0,1</v>
          </cell>
          <cell r="AR262" t="str">
            <v>0,1</v>
          </cell>
          <cell r="AS262" t="str">
            <v>0,1</v>
          </cell>
          <cell r="AT262" t="str">
            <v>0,2</v>
          </cell>
          <cell r="AU262" t="str">
            <v>2</v>
          </cell>
          <cell r="AV262" t="str">
            <v>0,2</v>
          </cell>
          <cell r="AW262" t="str">
            <v>837</v>
          </cell>
          <cell r="AX262" t="str">
            <v/>
          </cell>
          <cell r="AY262" t="str">
            <v>82</v>
          </cell>
          <cell r="AZ262" t="str">
            <v>702</v>
          </cell>
          <cell r="BA262" t="str">
            <v>685</v>
          </cell>
          <cell r="BB262" t="str">
            <v>656,1022</v>
          </cell>
          <cell r="BC262" t="str">
            <v>350</v>
          </cell>
          <cell r="BD262" t="str">
            <v>140</v>
          </cell>
          <cell r="BE262" t="str">
            <v>140</v>
          </cell>
          <cell r="BF262" t="str">
            <v>120</v>
          </cell>
          <cell r="BG262" t="str">
            <v>140</v>
          </cell>
          <cell r="BH262" t="str">
            <v>140</v>
          </cell>
          <cell r="BI262" t="str">
            <v>140</v>
          </cell>
          <cell r="BJ262" t="str">
            <v>140</v>
          </cell>
          <cell r="BK262" t="str">
            <v>1050</v>
          </cell>
          <cell r="BL262" t="str">
            <v/>
          </cell>
          <cell r="BM262" t="str">
            <v>Fuel, Drain, Unusable (5.6 Gal)</v>
          </cell>
          <cell r="BN262" t="str">
            <v>Lavatory Pre-charge Fluid (6.0 Gal)</v>
          </cell>
          <cell r="BO262" t="str">
            <v>Lavatory Dry Supplies</v>
          </cell>
          <cell r="BP262" t="str">
            <v>Water, Potable (62.6 Gal)</v>
          </cell>
          <cell r="BQ262" t="str">
            <v>Flaps 0 - 40° (Up when weighed)</v>
          </cell>
          <cell r="BR262" t="str">
            <v>Seats Installation (6 Pax)</v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>17,3</v>
          </cell>
          <cell r="CC262" t="str">
            <v>22,7</v>
          </cell>
          <cell r="CD262" t="str">
            <v>4</v>
          </cell>
          <cell r="CE262" t="str">
            <v>236,4</v>
          </cell>
          <cell r="CF262" t="str">
            <v>0</v>
          </cell>
          <cell r="CG262" t="str">
            <v>98,6</v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 t="str">
            <v/>
          </cell>
          <cell r="CN262" t="str">
            <v/>
          </cell>
          <cell r="CO262" t="str">
            <v/>
          </cell>
          <cell r="CP262" t="str">
            <v>646</v>
          </cell>
          <cell r="CQ262" t="str">
            <v>1112</v>
          </cell>
          <cell r="CR262" t="str">
            <v>1138</v>
          </cell>
          <cell r="CS262" t="str">
            <v>1150</v>
          </cell>
          <cell r="CT262" t="str">
            <v>0</v>
          </cell>
          <cell r="CU262" t="str">
            <v>194</v>
          </cell>
          <cell r="CV262" t="str">
            <v/>
          </cell>
          <cell r="CW262" t="str">
            <v/>
          </cell>
          <cell r="CX262" t="str">
            <v/>
          </cell>
          <cell r="CY262" t="str">
            <v/>
          </cell>
          <cell r="CZ262" t="str">
            <v/>
          </cell>
          <cell r="DA262" t="str">
            <v/>
          </cell>
          <cell r="DB262" t="str">
            <v/>
          </cell>
          <cell r="DC262" t="str">
            <v/>
          </cell>
          <cell r="DD262" t="str">
            <v>Seat Reconfiguration 186 pax to 6 pax</v>
          </cell>
          <cell r="DE262" t="str">
            <v>Internal GOL parts removal ( to lease return )</v>
          </cell>
          <cell r="DN262" t="str">
            <v>20/02/2026</v>
          </cell>
          <cell r="DQ262">
            <v>0</v>
          </cell>
          <cell r="DS262" t="str">
            <v>2</v>
          </cell>
          <cell r="DT262" t="str">
            <v>1</v>
          </cell>
          <cell r="DU262" t="str">
            <v>GOL</v>
          </cell>
          <cell r="DV262" t="str">
            <v>6 Pax + 10 Flight Crew</v>
          </cell>
          <cell r="DW262" t="str">
            <v>GLP-MAX8-001-GRM Rev. 02</v>
          </cell>
          <cell r="FL262" t="str">
            <v/>
          </cell>
          <cell r="FM262" t="str">
            <v/>
          </cell>
          <cell r="FN262" t="str">
            <v/>
          </cell>
          <cell r="FO262" t="str">
            <v/>
          </cell>
          <cell r="FP262" t="str">
            <v/>
          </cell>
          <cell r="FQ262" t="str">
            <v/>
          </cell>
          <cell r="FR262" t="str">
            <v/>
          </cell>
          <cell r="FS262" t="str">
            <v/>
          </cell>
          <cell r="FT262" t="str">
            <v/>
          </cell>
          <cell r="FU262" t="str">
            <v/>
          </cell>
          <cell r="FV262" t="str">
            <v/>
          </cell>
          <cell r="FW262" t="str">
            <v/>
          </cell>
          <cell r="FX262" t="str">
            <v/>
          </cell>
          <cell r="FY262" t="str">
            <v/>
          </cell>
          <cell r="FZ262" t="str">
            <v/>
          </cell>
          <cell r="GA262" t="str">
            <v/>
          </cell>
          <cell r="GB262" t="str">
            <v/>
          </cell>
          <cell r="GC262" t="str">
            <v/>
          </cell>
          <cell r="GD262" t="str">
            <v/>
          </cell>
          <cell r="GE262" t="str">
            <v/>
          </cell>
          <cell r="GF262" t="str">
            <v/>
          </cell>
          <cell r="GG262" t="str">
            <v/>
          </cell>
          <cell r="GH262" t="str">
            <v/>
          </cell>
          <cell r="GI262" t="str">
            <v/>
          </cell>
          <cell r="GJ262" t="str">
            <v/>
          </cell>
          <cell r="GK262" t="str">
            <v/>
          </cell>
          <cell r="GL262" t="str">
            <v/>
          </cell>
          <cell r="GM262" t="str">
            <v/>
          </cell>
          <cell r="GN262" t="str">
            <v/>
          </cell>
        </row>
        <row r="263">
          <cell r="A263" t="str">
            <v>PS-GRN</v>
          </cell>
          <cell r="D263">
            <v>46328</v>
          </cell>
          <cell r="E263">
            <v>2</v>
          </cell>
          <cell r="F263">
            <v>2</v>
          </cell>
          <cell r="G263" t="str">
            <v>Lagoa Santa, MG - Brazil</v>
          </cell>
          <cell r="H263" t="str">
            <v>Seats Reconfiguration</v>
          </cell>
          <cell r="I263" t="str">
            <v>1980</v>
          </cell>
          <cell r="J263" t="str">
            <v>1734</v>
          </cell>
          <cell r="K263" t="str">
            <v>10184</v>
          </cell>
          <cell r="L263" t="str">
            <v>9838</v>
          </cell>
          <cell r="M263" t="str">
            <v>10652</v>
          </cell>
          <cell r="N263" t="str">
            <v>9730</v>
          </cell>
          <cell r="O263" t="str">
            <v>1978</v>
          </cell>
          <cell r="P263" t="str">
            <v>1736</v>
          </cell>
          <cell r="Q263" t="str">
            <v>10202</v>
          </cell>
          <cell r="R263" t="str">
            <v>9820</v>
          </cell>
          <cell r="S263" t="str">
            <v>10672</v>
          </cell>
          <cell r="T263" t="str">
            <v>9716</v>
          </cell>
          <cell r="U263">
            <v>6.3464693858521657E-3</v>
          </cell>
          <cell r="V263">
            <v>6.1023744094732286E-3</v>
          </cell>
          <cell r="W263" t="str">
            <v xml:space="preserve">Down Lock, Nose Gear </v>
          </cell>
          <cell r="X263" t="str">
            <v xml:space="preserve">Down Lock, Main Gear </v>
          </cell>
          <cell r="Y263" t="str">
            <v>Plumb Bob</v>
          </cell>
          <cell r="Z263" t="str">
            <v>Seats Removal (186 Pax)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>0,2</v>
          </cell>
          <cell r="AL263" t="str">
            <v>0,4</v>
          </cell>
          <cell r="AM263" t="str">
            <v>0,5</v>
          </cell>
          <cell r="AN263" t="str">
            <v>2531,6100</v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>82,00</v>
          </cell>
          <cell r="AZ263" t="str">
            <v>702,00</v>
          </cell>
          <cell r="BA263" t="str">
            <v>685,00</v>
          </cell>
          <cell r="BB263" t="str">
            <v>656,1022</v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>Fuel, Drain, Unusable (5.6 Gal)</v>
          </cell>
          <cell r="BN263" t="str">
            <v>Lavatory Dry Supplies</v>
          </cell>
          <cell r="BO263" t="str">
            <v>Lavatory Pre-charge Fluid (6.0 Gal)</v>
          </cell>
          <cell r="BP263" t="str">
            <v>Water, Potable (62.6 Gal)</v>
          </cell>
          <cell r="BQ263" t="str">
            <v>Flaps 0 - 40° (Up when weighed)</v>
          </cell>
          <cell r="BR263" t="str">
            <v>Seats Installation (6 Pax)</v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>17,3</v>
          </cell>
          <cell r="CC263" t="str">
            <v>4</v>
          </cell>
          <cell r="CD263" t="str">
            <v>22,7</v>
          </cell>
          <cell r="CE263" t="str">
            <v>236,4</v>
          </cell>
          <cell r="CF263" t="str">
            <v>0</v>
          </cell>
          <cell r="CG263" t="str">
            <v>98,6</v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 t="str">
            <v/>
          </cell>
          <cell r="CN263" t="str">
            <v/>
          </cell>
          <cell r="CO263" t="str">
            <v/>
          </cell>
          <cell r="CP263" t="str">
            <v>646</v>
          </cell>
          <cell r="CQ263" t="str">
            <v>1138</v>
          </cell>
          <cell r="CR263" t="str">
            <v>1112</v>
          </cell>
          <cell r="CS263" t="str">
            <v>1150</v>
          </cell>
          <cell r="CT263" t="str">
            <v>0</v>
          </cell>
          <cell r="CU263" t="str">
            <v>194</v>
          </cell>
          <cell r="CV263" t="str">
            <v/>
          </cell>
          <cell r="CW263" t="str">
            <v/>
          </cell>
          <cell r="CX263" t="str">
            <v/>
          </cell>
          <cell r="CY263" t="str">
            <v/>
          </cell>
          <cell r="CZ263" t="str">
            <v/>
          </cell>
          <cell r="DA263" t="str">
            <v/>
          </cell>
          <cell r="DB263" t="str">
            <v/>
          </cell>
          <cell r="DC263" t="str">
            <v/>
          </cell>
          <cell r="DN263" t="str">
            <v>20/02/2026</v>
          </cell>
          <cell r="DQ263">
            <v>0</v>
          </cell>
          <cell r="DS263" t="str">
            <v>2</v>
          </cell>
          <cell r="DT263" t="str">
            <v>1</v>
          </cell>
          <cell r="DU263" t="str">
            <v>GOL</v>
          </cell>
          <cell r="DV263" t="str">
            <v>6 Pax + 10 Flight Crew</v>
          </cell>
          <cell r="DW263" t="str">
            <v>GLP-MAX8-001-GRN REV. 02</v>
          </cell>
          <cell r="FL263" t="str">
            <v/>
          </cell>
          <cell r="FM263" t="str">
            <v/>
          </cell>
          <cell r="FN263" t="str">
            <v/>
          </cell>
          <cell r="FO263" t="str">
            <v/>
          </cell>
          <cell r="FP263" t="str">
            <v/>
          </cell>
          <cell r="FQ263" t="str">
            <v/>
          </cell>
          <cell r="FR263" t="str">
            <v/>
          </cell>
          <cell r="FS263" t="str">
            <v/>
          </cell>
          <cell r="FT263" t="str">
            <v/>
          </cell>
          <cell r="FU263" t="str">
            <v/>
          </cell>
          <cell r="FV263" t="str">
            <v/>
          </cell>
          <cell r="FW263" t="str">
            <v/>
          </cell>
          <cell r="FX263" t="str">
            <v/>
          </cell>
          <cell r="FY263" t="str">
            <v/>
          </cell>
          <cell r="FZ263" t="str">
            <v/>
          </cell>
          <cell r="GA263" t="str">
            <v/>
          </cell>
          <cell r="GB263" t="str">
            <v/>
          </cell>
          <cell r="GC263" t="str">
            <v/>
          </cell>
          <cell r="GD263" t="str">
            <v/>
          </cell>
          <cell r="GE263" t="str">
            <v/>
          </cell>
          <cell r="GF263" t="str">
            <v/>
          </cell>
          <cell r="GG263" t="str">
            <v/>
          </cell>
          <cell r="GH263" t="str">
            <v/>
          </cell>
          <cell r="GI263" t="str">
            <v/>
          </cell>
          <cell r="GJ263" t="str">
            <v/>
          </cell>
          <cell r="GK263" t="str">
            <v/>
          </cell>
          <cell r="GL263" t="str">
            <v/>
          </cell>
          <cell r="GM263" t="str">
            <v/>
          </cell>
          <cell r="GN263" t="str">
            <v/>
          </cell>
        </row>
        <row r="264">
          <cell r="A264" t="str">
            <v>PR-GKC</v>
          </cell>
          <cell r="D264" t="str">
            <v>21/02/2026</v>
          </cell>
          <cell r="E264">
            <v>2</v>
          </cell>
          <cell r="F264">
            <v>0</v>
          </cell>
          <cell r="G264" t="str">
            <v>Lagoa Santa, MG - Brazil</v>
          </cell>
          <cell r="H264" t="str">
            <v>New Painting</v>
          </cell>
          <cell r="I264" t="str">
            <v>1692</v>
          </cell>
          <cell r="J264" t="str">
            <v>1328</v>
          </cell>
          <cell r="K264" t="str">
            <v>8796</v>
          </cell>
          <cell r="L264" t="str">
            <v>10058</v>
          </cell>
          <cell r="M264" t="str">
            <v>9368</v>
          </cell>
          <cell r="N264" t="str">
            <v>9604</v>
          </cell>
          <cell r="O264" t="str">
            <v>1706</v>
          </cell>
          <cell r="P264" t="str">
            <v>1324</v>
          </cell>
          <cell r="Q264" t="str">
            <v>8774</v>
          </cell>
          <cell r="R264" t="str">
            <v>10110</v>
          </cell>
          <cell r="S264" t="str">
            <v>9492</v>
          </cell>
          <cell r="T264" t="str">
            <v>9440</v>
          </cell>
          <cell r="U264">
            <v>2.9527559055118111</v>
          </cell>
          <cell r="V264">
            <v>3.7401574803149606</v>
          </cell>
          <cell r="W264" t="str">
            <v xml:space="preserve">Down Lock, Nose Gear </v>
          </cell>
          <cell r="X264" t="str">
            <v xml:space="preserve">Down Lock, Main Gear </v>
          </cell>
          <cell r="Y264" t="str">
            <v>Plumb Bob</v>
          </cell>
          <cell r="Z264" t="str">
            <v/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>0,2</v>
          </cell>
          <cell r="AL264" t="str">
            <v>0,4</v>
          </cell>
          <cell r="AM264" t="str">
            <v>0,5</v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>82</v>
          </cell>
          <cell r="AZ264" t="str">
            <v>702</v>
          </cell>
          <cell r="BA264" t="str">
            <v>685</v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>Water, Potable (42.6 Gal)</v>
          </cell>
          <cell r="BN264" t="str">
            <v>Flaps 0 - 40° (Up when weighed)</v>
          </cell>
          <cell r="BO264" t="str">
            <v>Fuel, Drain, Unusable (5.6 Gal)</v>
          </cell>
          <cell r="BP264" t="str">
            <v>Lavatory Dry Supplies</v>
          </cell>
          <cell r="BQ264" t="str">
            <v>Lavatory Pre-charge Fluid (6.0 Gal)</v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>160,9799</v>
          </cell>
          <cell r="CC264" t="str">
            <v>0</v>
          </cell>
          <cell r="CD264" t="str">
            <v>17,3</v>
          </cell>
          <cell r="CE264" t="str">
            <v>4</v>
          </cell>
          <cell r="CF264" t="str">
            <v>22,7</v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>1141</v>
          </cell>
          <cell r="CQ264" t="str">
            <v>0</v>
          </cell>
          <cell r="CR264" t="str">
            <v>646</v>
          </cell>
          <cell r="CS264" t="str">
            <v>1138</v>
          </cell>
          <cell r="CT264" t="str">
            <v>1112</v>
          </cell>
          <cell r="CU264" t="str">
            <v/>
          </cell>
          <cell r="CV264" t="str">
            <v/>
          </cell>
          <cell r="CW264" t="str">
            <v/>
          </cell>
          <cell r="CX264" t="str">
            <v/>
          </cell>
          <cell r="CY264" t="str">
            <v/>
          </cell>
          <cell r="CZ264" t="str">
            <v/>
          </cell>
          <cell r="DA264" t="str">
            <v/>
          </cell>
          <cell r="DB264" t="str">
            <v/>
          </cell>
          <cell r="DC264" t="str">
            <v/>
          </cell>
          <cell r="DN264" t="str">
            <v>21/02/2026</v>
          </cell>
          <cell r="DQ264" t="str">
            <v>Danton</v>
          </cell>
          <cell r="DR264" t="str">
            <v>Fernando Araujo</v>
          </cell>
          <cell r="DS264" t="str">
            <v>1</v>
          </cell>
          <cell r="DT264" t="str">
            <v>0</v>
          </cell>
          <cell r="DU264" t="str">
            <v>GOL</v>
          </cell>
          <cell r="DV264" t="str">
            <v>175 Pax + 10 Flight Crew</v>
          </cell>
          <cell r="DW264" t="str">
            <v>GLP-800-001-GKC</v>
          </cell>
          <cell r="FL264" t="str">
            <v/>
          </cell>
          <cell r="FM264" t="str">
            <v/>
          </cell>
          <cell r="FN264" t="str">
            <v/>
          </cell>
          <cell r="FO264" t="str">
            <v/>
          </cell>
          <cell r="FP264" t="str">
            <v/>
          </cell>
          <cell r="FQ264" t="str">
            <v/>
          </cell>
          <cell r="FR264" t="str">
            <v/>
          </cell>
          <cell r="FS264" t="str">
            <v/>
          </cell>
          <cell r="FT264" t="str">
            <v/>
          </cell>
          <cell r="FU264" t="str">
            <v/>
          </cell>
          <cell r="FV264" t="str">
            <v/>
          </cell>
          <cell r="FW264" t="str">
            <v/>
          </cell>
          <cell r="FX264" t="str">
            <v/>
          </cell>
          <cell r="FY264" t="str">
            <v/>
          </cell>
          <cell r="FZ264" t="str">
            <v/>
          </cell>
          <cell r="GA264" t="str">
            <v/>
          </cell>
          <cell r="GB264" t="str">
            <v/>
          </cell>
          <cell r="GC264" t="str">
            <v/>
          </cell>
          <cell r="GD264" t="str">
            <v/>
          </cell>
          <cell r="GE264" t="str">
            <v/>
          </cell>
          <cell r="GF264" t="str">
            <v/>
          </cell>
          <cell r="GG264" t="str">
            <v/>
          </cell>
          <cell r="GH264" t="str">
            <v/>
          </cell>
          <cell r="GI264" t="str">
            <v/>
          </cell>
          <cell r="GJ264" t="str">
            <v/>
          </cell>
          <cell r="GK264" t="str">
            <v/>
          </cell>
          <cell r="GL264" t="str">
            <v/>
          </cell>
          <cell r="GM264" t="str">
            <v/>
          </cell>
          <cell r="GN264" t="str">
            <v/>
          </cell>
        </row>
        <row r="265">
          <cell r="A265" t="str">
            <v>PS-GRO</v>
          </cell>
          <cell r="E265">
            <v>0</v>
          </cell>
          <cell r="F265">
            <v>0</v>
          </cell>
          <cell r="DN265">
            <v>0</v>
          </cell>
        </row>
        <row r="266">
          <cell r="A266" t="str">
            <v>PS-GRO</v>
          </cell>
          <cell r="D266" t="str">
            <v>07/02/2026</v>
          </cell>
          <cell r="E266">
            <v>1</v>
          </cell>
          <cell r="F266">
            <v>0</v>
          </cell>
          <cell r="G266" t="str">
            <v>Victorville, CA - EUA</v>
          </cell>
          <cell r="H266" t="str">
            <v>New Production Aircraft</v>
          </cell>
          <cell r="I266" t="str">
            <v>3701,994128</v>
          </cell>
          <cell r="J266" t="str">
            <v>0</v>
          </cell>
          <cell r="K266" t="str">
            <v>10400,1473</v>
          </cell>
          <cell r="L266" t="str">
            <v>9892,395997</v>
          </cell>
          <cell r="M266" t="str">
            <v>9520,404895</v>
          </cell>
          <cell r="N266" t="str">
            <v>10564,57453</v>
          </cell>
          <cell r="O266" t="str">
            <v>3701,994128</v>
          </cell>
          <cell r="P266" t="str">
            <v>0</v>
          </cell>
          <cell r="Q266" t="str">
            <v>10400,1473</v>
          </cell>
          <cell r="R266" t="str">
            <v>9892,395997</v>
          </cell>
          <cell r="S266" t="str">
            <v>9520,404895</v>
          </cell>
          <cell r="T266" t="str">
            <v>10564,57453</v>
          </cell>
          <cell r="U266" t="str">
            <v>6,365030675</v>
          </cell>
          <cell r="V266" t="str">
            <v>5,598159509</v>
          </cell>
          <cell r="W266" t="str">
            <v xml:space="preserve">Down Lock, Nose Gear </v>
          </cell>
          <cell r="X266" t="str">
            <v xml:space="preserve">Down Lock, Main Gear </v>
          </cell>
          <cell r="Y266" t="str">
            <v>Plumb Bob</v>
          </cell>
          <cell r="Z266" t="str">
            <v>Operations Manual</v>
          </cell>
          <cell r="AA266" t="str">
            <v>Wiring Diagrams</v>
          </cell>
          <cell r="AB266" t="str">
            <v>Production Flight Emergency Equipment</v>
          </cell>
          <cell r="AC266" t="str">
            <v>Defibrillator</v>
          </cell>
          <cell r="AD266" t="str">
            <v/>
          </cell>
          <cell r="AE266" t="str">
            <v/>
          </cell>
          <cell r="AF266" t="str">
            <v/>
          </cell>
          <cell r="AG266" t="str">
            <v/>
          </cell>
          <cell r="AH266" t="str">
            <v/>
          </cell>
          <cell r="AI266" t="str">
            <v/>
          </cell>
          <cell r="AJ266" t="str">
            <v/>
          </cell>
          <cell r="AK266" t="str">
            <v>0,2</v>
          </cell>
          <cell r="AL266" t="str">
            <v>0,4</v>
          </cell>
          <cell r="AM266" t="str">
            <v>0,5</v>
          </cell>
          <cell r="AN266" t="str">
            <v>2,3</v>
          </cell>
          <cell r="AO266" t="str">
            <v>27,2</v>
          </cell>
          <cell r="AP266" t="str">
            <v>29,5</v>
          </cell>
          <cell r="AQ266" t="str">
            <v>5,4</v>
          </cell>
          <cell r="AR266" t="str">
            <v/>
          </cell>
          <cell r="AS266" t="str">
            <v/>
          </cell>
          <cell r="AT266" t="str">
            <v/>
          </cell>
          <cell r="AU266" t="str">
            <v/>
          </cell>
          <cell r="AV266" t="str">
            <v/>
          </cell>
          <cell r="AW266" t="str">
            <v/>
          </cell>
          <cell r="AX266" t="str">
            <v/>
          </cell>
          <cell r="AY266" t="str">
            <v>82</v>
          </cell>
          <cell r="AZ266" t="str">
            <v>702</v>
          </cell>
          <cell r="BA266" t="str">
            <v>685</v>
          </cell>
          <cell r="BB266" t="str">
            <v>67</v>
          </cell>
          <cell r="BC266" t="str">
            <v>230</v>
          </cell>
          <cell r="BD266" t="str">
            <v>230</v>
          </cell>
          <cell r="BE266" t="str">
            <v>230</v>
          </cell>
          <cell r="BF266" t="str">
            <v/>
          </cell>
          <cell r="BG266" t="str">
            <v/>
          </cell>
          <cell r="BH266" t="str">
            <v/>
          </cell>
          <cell r="BI266" t="str">
            <v/>
          </cell>
          <cell r="BJ266" t="str">
            <v/>
          </cell>
          <cell r="BK266" t="str">
            <v/>
          </cell>
          <cell r="BL266" t="str">
            <v/>
          </cell>
          <cell r="BM266" t="str">
            <v>Fuel, Drain, Unusable (5.6 Gal)</v>
          </cell>
          <cell r="BN266" t="str">
            <v>Lavatory Pre-charge Fluid (6.0 Gal)</v>
          </cell>
          <cell r="BO266" t="str">
            <v>Lavatory Dry Supplies</v>
          </cell>
          <cell r="BP266" t="str">
            <v>Flaps 0 - 40° (Up when weighed)</v>
          </cell>
          <cell r="BQ266" t="str">
            <v>Water, Potable (62.6 Gal)</v>
          </cell>
          <cell r="BR266" t="str">
            <v/>
          </cell>
          <cell r="BS266" t="str">
            <v/>
          </cell>
          <cell r="BT266" t="str">
            <v/>
          </cell>
          <cell r="BU266" t="str">
            <v/>
          </cell>
          <cell r="BV266" t="str">
            <v/>
          </cell>
          <cell r="BW266" t="str">
            <v/>
          </cell>
          <cell r="BX266" t="str">
            <v/>
          </cell>
          <cell r="BY266" t="str">
            <v/>
          </cell>
          <cell r="BZ266" t="str">
            <v/>
          </cell>
          <cell r="CA266" t="str">
            <v/>
          </cell>
          <cell r="CB266" t="str">
            <v>17,3</v>
          </cell>
          <cell r="CC266" t="str">
            <v>22,7</v>
          </cell>
          <cell r="CD266" t="str">
            <v>4</v>
          </cell>
          <cell r="CE266" t="str">
            <v/>
          </cell>
          <cell r="CF266" t="str">
            <v>236,4</v>
          </cell>
          <cell r="CG266" t="str">
            <v/>
          </cell>
          <cell r="CH266" t="str">
            <v/>
          </cell>
          <cell r="CI266" t="str">
            <v/>
          </cell>
          <cell r="CJ266" t="str">
            <v/>
          </cell>
          <cell r="CK266" t="str">
            <v/>
          </cell>
          <cell r="CL266" t="str">
            <v/>
          </cell>
          <cell r="CM266" t="str">
            <v/>
          </cell>
          <cell r="CN266" t="str">
            <v/>
          </cell>
          <cell r="CO266" t="str">
            <v/>
          </cell>
          <cell r="CP266" t="str">
            <v>646</v>
          </cell>
          <cell r="CQ266" t="str">
            <v>1112</v>
          </cell>
          <cell r="CR266" t="str">
            <v>1138</v>
          </cell>
          <cell r="CS266" t="str">
            <v/>
          </cell>
          <cell r="CT266" t="str">
            <v>1150</v>
          </cell>
          <cell r="CU266" t="str">
            <v/>
          </cell>
          <cell r="CV266" t="str">
            <v/>
          </cell>
          <cell r="CW266" t="str">
            <v/>
          </cell>
          <cell r="CX266" t="str">
            <v/>
          </cell>
          <cell r="CY266" t="str">
            <v/>
          </cell>
          <cell r="CZ266" t="str">
            <v/>
          </cell>
          <cell r="DA266" t="str">
            <v/>
          </cell>
          <cell r="DB266" t="str">
            <v/>
          </cell>
          <cell r="DC266" t="str">
            <v/>
          </cell>
          <cell r="DD266" t="str">
            <v/>
          </cell>
          <cell r="DE266" t="str">
            <v/>
          </cell>
          <cell r="DF266" t="str">
            <v/>
          </cell>
          <cell r="DH266" t="str">
            <v/>
          </cell>
          <cell r="DN266" t="str">
            <v>24/02/2026</v>
          </cell>
          <cell r="DQ266" t="str">
            <v>Danton</v>
          </cell>
          <cell r="DR266" t="str">
            <v>Fernando Araujo</v>
          </cell>
          <cell r="DS266" t="str">
            <v>0</v>
          </cell>
          <cell r="DT266" t="str">
            <v>0</v>
          </cell>
          <cell r="DU266" t="str">
            <v>Boeing</v>
          </cell>
          <cell r="DV266" t="str">
            <v>186 Pax + 10 Flight Crew</v>
          </cell>
          <cell r="DW266" t="str">
            <v>GLP-MAX8-001-GRO</v>
          </cell>
          <cell r="FL266" t="str">
            <v/>
          </cell>
          <cell r="FM266" t="str">
            <v/>
          </cell>
          <cell r="FN266" t="str">
            <v/>
          </cell>
          <cell r="FO266" t="str">
            <v/>
          </cell>
          <cell r="FP266" t="str">
            <v/>
          </cell>
          <cell r="FQ266" t="str">
            <v/>
          </cell>
          <cell r="FR266" t="str">
            <v/>
          </cell>
          <cell r="FS266" t="str">
            <v/>
          </cell>
          <cell r="FT266" t="str">
            <v/>
          </cell>
          <cell r="FU266" t="str">
            <v/>
          </cell>
          <cell r="FV266" t="str">
            <v/>
          </cell>
          <cell r="FW266" t="str">
            <v/>
          </cell>
          <cell r="FX266" t="str">
            <v/>
          </cell>
          <cell r="FY266" t="str">
            <v/>
          </cell>
          <cell r="FZ266" t="str">
            <v/>
          </cell>
          <cell r="GA266" t="str">
            <v/>
          </cell>
          <cell r="GB266" t="str">
            <v/>
          </cell>
          <cell r="GC266" t="str">
            <v/>
          </cell>
          <cell r="GD266" t="str">
            <v/>
          </cell>
          <cell r="GE266" t="str">
            <v/>
          </cell>
          <cell r="GF266" t="str">
            <v/>
          </cell>
          <cell r="GG266" t="str">
            <v/>
          </cell>
          <cell r="GH266" t="str">
            <v/>
          </cell>
          <cell r="GI266" t="str">
            <v/>
          </cell>
          <cell r="GJ266" t="str">
            <v/>
          </cell>
          <cell r="GK266" t="str">
            <v/>
          </cell>
          <cell r="GL266" t="str">
            <v/>
          </cell>
          <cell r="GM266" t="str">
            <v/>
          </cell>
          <cell r="GN266" t="str">
            <v/>
          </cell>
        </row>
        <row r="267">
          <cell r="A267" t="str">
            <v>PR-GZV</v>
          </cell>
          <cell r="E267">
            <v>1</v>
          </cell>
          <cell r="F267">
            <v>1</v>
          </cell>
          <cell r="DN267">
            <v>0</v>
          </cell>
        </row>
        <row r="268">
          <cell r="A268" t="str">
            <v>PR-GZV</v>
          </cell>
          <cell r="D268" t="str">
            <v>14/03/2026</v>
          </cell>
          <cell r="E268">
            <v>2</v>
          </cell>
          <cell r="F268">
            <v>0</v>
          </cell>
          <cell r="G268" t="str">
            <v>Lagoa Santa, MG - Brazil</v>
          </cell>
          <cell r="H268" t="str">
            <v>Scheduled</v>
          </cell>
          <cell r="I268" t="str">
            <v>1630</v>
          </cell>
          <cell r="J268" t="str">
            <v>1574</v>
          </cell>
          <cell r="K268" t="str">
            <v>8222</v>
          </cell>
          <cell r="L268" t="str">
            <v>10444</v>
          </cell>
          <cell r="M268" t="str">
            <v>9304</v>
          </cell>
          <cell r="N268" t="str">
            <v>9688</v>
          </cell>
          <cell r="O268" t="str">
            <v>1628</v>
          </cell>
          <cell r="P268" t="str">
            <v>1576</v>
          </cell>
          <cell r="Q268" t="str">
            <v>8212</v>
          </cell>
          <cell r="R268" t="str">
            <v>10444</v>
          </cell>
          <cell r="S268" t="str">
            <v>9322</v>
          </cell>
          <cell r="T268" t="str">
            <v>9668</v>
          </cell>
          <cell r="U268" t="str">
            <v>4,13385826771654</v>
          </cell>
          <cell r="V268" t="str">
            <v>3,93700787401575</v>
          </cell>
          <cell r="W268" t="str">
            <v xml:space="preserve">Down Lock, Nose Gear </v>
          </cell>
          <cell r="X268" t="str">
            <v xml:space="preserve">Down Lock, Main Gear </v>
          </cell>
          <cell r="Y268" t="str">
            <v>Plumb Bob</v>
          </cell>
          <cell r="Z268" t="str">
            <v/>
          </cell>
          <cell r="AA268" t="str">
            <v/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  <cell r="AF268" t="str">
            <v/>
          </cell>
          <cell r="AG268" t="str">
            <v/>
          </cell>
          <cell r="AH268" t="str">
            <v/>
          </cell>
          <cell r="AI268" t="str">
            <v/>
          </cell>
          <cell r="AJ268" t="str">
            <v/>
          </cell>
          <cell r="AK268" t="str">
            <v>0,3</v>
          </cell>
          <cell r="AL268" t="str">
            <v>0,4</v>
          </cell>
          <cell r="AM268" t="str">
            <v>0,5</v>
          </cell>
          <cell r="AN268" t="str">
            <v/>
          </cell>
          <cell r="AO268" t="str">
            <v/>
          </cell>
          <cell r="AP268" t="str">
            <v/>
          </cell>
          <cell r="AQ268" t="str">
            <v/>
          </cell>
          <cell r="AR268" t="str">
            <v/>
          </cell>
          <cell r="AS268" t="str">
            <v/>
          </cell>
          <cell r="AT268" t="str">
            <v/>
          </cell>
          <cell r="AU268" t="str">
            <v/>
          </cell>
          <cell r="AV268" t="str">
            <v/>
          </cell>
          <cell r="AW268" t="str">
            <v/>
          </cell>
          <cell r="AX268" t="str">
            <v/>
          </cell>
          <cell r="AY268" t="str">
            <v>91</v>
          </cell>
          <cell r="AZ268" t="str">
            <v>698</v>
          </cell>
          <cell r="BA268" t="str">
            <v>685</v>
          </cell>
          <cell r="BB268" t="str">
            <v/>
          </cell>
          <cell r="BC268" t="str">
            <v/>
          </cell>
          <cell r="BD268" t="str">
            <v/>
          </cell>
          <cell r="BE268" t="str">
            <v/>
          </cell>
          <cell r="BF268" t="str">
            <v/>
          </cell>
          <cell r="BG268" t="str">
            <v/>
          </cell>
          <cell r="BH268" t="str">
            <v/>
          </cell>
          <cell r="BI268" t="str">
            <v/>
          </cell>
          <cell r="BJ268" t="str">
            <v/>
          </cell>
          <cell r="BK268" t="str">
            <v/>
          </cell>
          <cell r="BL268" t="str">
            <v/>
          </cell>
          <cell r="BM268" t="str">
            <v>Fuel, Drain, Unusable (5.6 Gal)</v>
          </cell>
          <cell r="BN268" t="str">
            <v>Lavatory Pre-charge Fluid (6.0 Gal)</v>
          </cell>
          <cell r="BO268" t="str">
            <v>Flaps 0 - 40° (Up when weighed)</v>
          </cell>
          <cell r="BP268" t="str">
            <v>Lavatory Dry Supplies</v>
          </cell>
          <cell r="BQ268" t="str">
            <v>Water, Potable (62.6 Gal)</v>
          </cell>
          <cell r="BR268" t="str">
            <v/>
          </cell>
          <cell r="BS268" t="str">
            <v/>
          </cell>
          <cell r="BT268" t="str">
            <v/>
          </cell>
          <cell r="BU268" t="str">
            <v/>
          </cell>
          <cell r="BV268" t="str">
            <v/>
          </cell>
          <cell r="BW268" t="str">
            <v/>
          </cell>
          <cell r="BX268" t="str">
            <v/>
          </cell>
          <cell r="BY268" t="str">
            <v/>
          </cell>
          <cell r="BZ268" t="str">
            <v/>
          </cell>
          <cell r="CA268" t="str">
            <v/>
          </cell>
          <cell r="CB268" t="str">
            <v>17,3</v>
          </cell>
          <cell r="CC268" t="str">
            <v>22,7</v>
          </cell>
          <cell r="CD268" t="str">
            <v/>
          </cell>
          <cell r="CE268" t="str">
            <v>4</v>
          </cell>
          <cell r="CF268" t="str">
            <v>236,4</v>
          </cell>
          <cell r="CG268" t="str">
            <v/>
          </cell>
          <cell r="CH268" t="str">
            <v/>
          </cell>
          <cell r="CI268" t="str">
            <v/>
          </cell>
          <cell r="CJ268" t="str">
            <v/>
          </cell>
          <cell r="CK268" t="str">
            <v/>
          </cell>
          <cell r="CL268" t="str">
            <v/>
          </cell>
          <cell r="CM268" t="str">
            <v/>
          </cell>
          <cell r="CN268" t="str">
            <v/>
          </cell>
          <cell r="CO268" t="str">
            <v/>
          </cell>
          <cell r="CP268" t="str">
            <v>646</v>
          </cell>
          <cell r="CQ268" t="str">
            <v>1112</v>
          </cell>
          <cell r="CR268" t="str">
            <v/>
          </cell>
          <cell r="CS268" t="str">
            <v>1145</v>
          </cell>
          <cell r="CT268" t="str">
            <v>1150</v>
          </cell>
          <cell r="CU268" t="str">
            <v/>
          </cell>
          <cell r="CV268" t="str">
            <v/>
          </cell>
          <cell r="CW268" t="str">
            <v/>
          </cell>
          <cell r="CX268" t="str">
            <v/>
          </cell>
          <cell r="CY268" t="str">
            <v/>
          </cell>
          <cell r="CZ268" t="str">
            <v/>
          </cell>
          <cell r="DA268" t="str">
            <v/>
          </cell>
          <cell r="DB268" t="str">
            <v/>
          </cell>
          <cell r="DC268" t="str">
            <v/>
          </cell>
          <cell r="DD268" t="str">
            <v/>
          </cell>
          <cell r="DE268" t="str">
            <v/>
          </cell>
          <cell r="DF268" t="str">
            <v/>
          </cell>
          <cell r="DH268" t="str">
            <v/>
          </cell>
          <cell r="DN268" t="str">
            <v>16/03/2026</v>
          </cell>
          <cell r="DQ268" t="str">
            <v>Fernando Araujo</v>
          </cell>
          <cell r="DR268" t="str">
            <v>Jeferson</v>
          </cell>
          <cell r="DS268" t="str">
            <v>1</v>
          </cell>
          <cell r="DT268" t="str">
            <v>1</v>
          </cell>
          <cell r="DU268" t="str">
            <v>GOL</v>
          </cell>
          <cell r="DV268" t="str">
            <v>186 Pax + 9 Flight Crew</v>
          </cell>
          <cell r="DW268" t="str">
            <v>GLP-800-011-GZV R1</v>
          </cell>
          <cell r="FL268" t="str">
            <v/>
          </cell>
          <cell r="FM268" t="str">
            <v/>
          </cell>
          <cell r="FN268" t="str">
            <v/>
          </cell>
          <cell r="FO268" t="str">
            <v/>
          </cell>
          <cell r="FP268" t="str">
            <v/>
          </cell>
          <cell r="FQ268" t="str">
            <v/>
          </cell>
          <cell r="FR268" t="str">
            <v/>
          </cell>
          <cell r="FS268" t="str">
            <v/>
          </cell>
          <cell r="FT268" t="str">
            <v/>
          </cell>
          <cell r="FU268" t="str">
            <v/>
          </cell>
          <cell r="FV268" t="str">
            <v/>
          </cell>
          <cell r="FW268" t="str">
            <v/>
          </cell>
          <cell r="FX268" t="str">
            <v/>
          </cell>
          <cell r="FY268" t="str">
            <v/>
          </cell>
          <cell r="FZ268" t="str">
            <v/>
          </cell>
          <cell r="GA268" t="str">
            <v/>
          </cell>
          <cell r="GB268" t="str">
            <v/>
          </cell>
          <cell r="GC268" t="str">
            <v/>
          </cell>
          <cell r="GD268" t="str">
            <v/>
          </cell>
          <cell r="GE268" t="str">
            <v/>
          </cell>
          <cell r="GF268" t="str">
            <v/>
          </cell>
          <cell r="GG268" t="str">
            <v/>
          </cell>
          <cell r="GH268" t="str">
            <v/>
          </cell>
          <cell r="GI268" t="str">
            <v/>
          </cell>
          <cell r="GJ268" t="str">
            <v/>
          </cell>
          <cell r="GK268" t="str">
            <v/>
          </cell>
          <cell r="GL268" t="str">
            <v/>
          </cell>
          <cell r="GM268" t="str">
            <v/>
          </cell>
          <cell r="GN268" t="str">
            <v/>
          </cell>
        </row>
        <row r="269">
          <cell r="A269" t="str">
            <v>PR-XMN</v>
          </cell>
          <cell r="D269">
            <v>43777</v>
          </cell>
          <cell r="E269">
            <v>1</v>
          </cell>
          <cell r="F269">
            <v>1</v>
          </cell>
          <cell r="G269" t="str">
            <v>Seattle, WA - EUA</v>
          </cell>
          <cell r="H269" t="str">
            <v>New Production Aircraft</v>
          </cell>
          <cell r="I269" t="str">
            <v>1934,16335</v>
          </cell>
          <cell r="J269" t="str">
            <v>1934,16335</v>
          </cell>
          <cell r="K269" t="str">
            <v>10011,26055</v>
          </cell>
          <cell r="L269" t="str">
            <v>10011,26055</v>
          </cell>
          <cell r="M269" t="str">
            <v>10095,8555</v>
          </cell>
          <cell r="N269" t="str">
            <v>10095,8555</v>
          </cell>
          <cell r="O269" t="str">
            <v>1934,16335</v>
          </cell>
          <cell r="P269" t="str">
            <v>1934,16335</v>
          </cell>
          <cell r="Q269" t="str">
            <v>10011,26055</v>
          </cell>
          <cell r="R269" t="str">
            <v>10011,26055</v>
          </cell>
          <cell r="S269" t="str">
            <v>10095,8555</v>
          </cell>
          <cell r="T269" t="str">
            <v>10095,8555</v>
          </cell>
          <cell r="U269" t="str">
            <v>12,5</v>
          </cell>
          <cell r="V269" t="str">
            <v>11,7331</v>
          </cell>
          <cell r="W269" t="str">
            <v>Down Lock, Nose Gear</v>
          </cell>
          <cell r="X269" t="str">
            <v>Down Lock, Main Gear</v>
          </cell>
          <cell r="Y269" t="str">
            <v>Plumb Bob</v>
          </cell>
          <cell r="Z269" t="str">
            <v>Wiring Diagrams</v>
          </cell>
          <cell r="AA269" t="str">
            <v>Production Flight Emergency Equipment</v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  <cell r="AF269" t="str">
            <v/>
          </cell>
          <cell r="AG269" t="str">
            <v/>
          </cell>
          <cell r="AH269" t="str">
            <v/>
          </cell>
          <cell r="AI269" t="str">
            <v/>
          </cell>
          <cell r="AJ269" t="str">
            <v/>
          </cell>
          <cell r="AK269" t="str">
            <v>0,3</v>
          </cell>
          <cell r="AL269" t="str">
            <v>0,4</v>
          </cell>
          <cell r="AM269" t="str">
            <v>0,5</v>
          </cell>
          <cell r="AN269" t="str">
            <v>23,6</v>
          </cell>
          <cell r="AO269" t="str">
            <v>29,5</v>
          </cell>
          <cell r="AP269" t="str">
            <v>0</v>
          </cell>
          <cell r="AQ269" t="str">
            <v>0</v>
          </cell>
          <cell r="AR269" t="str">
            <v>0</v>
          </cell>
          <cell r="AS269" t="str">
            <v>0</v>
          </cell>
          <cell r="AT269" t="str">
            <v>0</v>
          </cell>
          <cell r="AU269" t="str">
            <v>0</v>
          </cell>
          <cell r="AV269" t="str">
            <v>0</v>
          </cell>
          <cell r="AW269" t="str">
            <v>0</v>
          </cell>
          <cell r="AX269" t="str">
            <v>0</v>
          </cell>
          <cell r="AY269" t="str">
            <v>82</v>
          </cell>
          <cell r="AZ269" t="str">
            <v>702</v>
          </cell>
          <cell r="BA269" t="str">
            <v>685</v>
          </cell>
          <cell r="BB269" t="str">
            <v>230</v>
          </cell>
          <cell r="BC269" t="str">
            <v>230</v>
          </cell>
          <cell r="BD269" t="str">
            <v>0</v>
          </cell>
          <cell r="BE269" t="str">
            <v>0</v>
          </cell>
          <cell r="BF269" t="str">
            <v>0</v>
          </cell>
          <cell r="BG269" t="str">
            <v>0</v>
          </cell>
          <cell r="BH269" t="str">
            <v>0</v>
          </cell>
          <cell r="BI269" t="str">
            <v>0</v>
          </cell>
          <cell r="BJ269" t="str">
            <v>0</v>
          </cell>
          <cell r="BK269" t="str">
            <v>0</v>
          </cell>
          <cell r="BL269" t="str">
            <v>0</v>
          </cell>
          <cell r="BM269" t="str">
            <v>Flaps 0 - 40° (Up when weighed)</v>
          </cell>
          <cell r="BN269" t="str">
            <v>Fuel, Drain, Unusable (5.6 Gal)</v>
          </cell>
          <cell r="BO269" t="str">
            <v>Lavatory Dry Supplies</v>
          </cell>
          <cell r="BP269" t="str">
            <v>Lavatory Pre-charge Fluid (6.0 Gal)</v>
          </cell>
          <cell r="BQ269" t="str">
            <v>Headphone</v>
          </cell>
          <cell r="BR269" t="str">
            <v>Water, Potable (62.6 Gal)</v>
          </cell>
          <cell r="BS269" t="str">
            <v>2Ku System Antenna Installation (ST03405NY)</v>
          </cell>
          <cell r="BT269" t="str">
            <v>2Ku System Cabin Equipment Installation(ST03403NY)</v>
          </cell>
          <cell r="BU269" t="str">
            <v/>
          </cell>
          <cell r="BV269" t="str">
            <v/>
          </cell>
          <cell r="BW269" t="str">
            <v/>
          </cell>
          <cell r="BX269" t="str">
            <v/>
          </cell>
          <cell r="BY269" t="str">
            <v/>
          </cell>
          <cell r="BZ269" t="str">
            <v/>
          </cell>
          <cell r="CA269" t="str">
            <v/>
          </cell>
          <cell r="CB269" t="str">
            <v>0</v>
          </cell>
          <cell r="CC269" t="str">
            <v>17,3</v>
          </cell>
          <cell r="CD269" t="str">
            <v>4</v>
          </cell>
          <cell r="CE269" t="str">
            <v>22,7</v>
          </cell>
          <cell r="CF269" t="str">
            <v>0,4</v>
          </cell>
          <cell r="CG269" t="str">
            <v>236,4</v>
          </cell>
          <cell r="CH269" t="str">
            <v>164,2</v>
          </cell>
          <cell r="CI269" t="str">
            <v>51,6370</v>
          </cell>
          <cell r="CJ269" t="str">
            <v>0</v>
          </cell>
          <cell r="CK269" t="str">
            <v>0</v>
          </cell>
          <cell r="CL269" t="str">
            <v>0</v>
          </cell>
          <cell r="CM269" t="str">
            <v>0</v>
          </cell>
          <cell r="CN269" t="str">
            <v>0</v>
          </cell>
          <cell r="CO269" t="str">
            <v>0</v>
          </cell>
          <cell r="CP269" t="str">
            <v>0</v>
          </cell>
          <cell r="CQ269" t="str">
            <v>646</v>
          </cell>
          <cell r="CR269" t="str">
            <v>1138</v>
          </cell>
          <cell r="CS269" t="str">
            <v>1112</v>
          </cell>
          <cell r="CT269" t="str">
            <v>68</v>
          </cell>
          <cell r="CU269" t="str">
            <v>1150</v>
          </cell>
          <cell r="CV269" t="str">
            <v>861,9867</v>
          </cell>
          <cell r="CW269" t="str">
            <v>468,2060</v>
          </cell>
          <cell r="CX269" t="str">
            <v>0</v>
          </cell>
          <cell r="CY269" t="str">
            <v>0</v>
          </cell>
          <cell r="CZ269" t="str">
            <v>0</v>
          </cell>
          <cell r="DA269" t="str">
            <v>0</v>
          </cell>
          <cell r="DB269" t="str">
            <v>0</v>
          </cell>
          <cell r="DC269" t="str">
            <v>0</v>
          </cell>
          <cell r="DD269" t="str">
            <v>Revision 1 was released due to 2KU System Installation</v>
          </cell>
          <cell r="DE269" t="str">
            <v/>
          </cell>
          <cell r="DF269" t="str">
            <v/>
          </cell>
          <cell r="DH269" t="str">
            <v/>
          </cell>
          <cell r="DN269" t="str">
            <v>25/03/2026</v>
          </cell>
          <cell r="DQ269" t="str">
            <v>Raul</v>
          </cell>
          <cell r="DS269" t="str">
            <v>1</v>
          </cell>
          <cell r="DT269" t="str">
            <v>0</v>
          </cell>
          <cell r="DU269" t="str">
            <v>Boeing</v>
          </cell>
          <cell r="DV269" t="str">
            <v>186 Pax + 10 Flight Crew</v>
          </cell>
          <cell r="DW269" t="str">
            <v xml:space="preserve">GLP-MAX8-001-XMN </v>
          </cell>
          <cell r="FL269" t="str">
            <v/>
          </cell>
          <cell r="FM269" t="str">
            <v/>
          </cell>
          <cell r="FN269" t="str">
            <v/>
          </cell>
          <cell r="FO269" t="str">
            <v/>
          </cell>
          <cell r="FP269" t="str">
            <v/>
          </cell>
          <cell r="FQ269" t="str">
            <v/>
          </cell>
          <cell r="FR269" t="str">
            <v/>
          </cell>
          <cell r="FS269" t="str">
            <v/>
          </cell>
          <cell r="FT269" t="str">
            <v/>
          </cell>
          <cell r="FU269" t="str">
            <v/>
          </cell>
          <cell r="FV269" t="str">
            <v/>
          </cell>
          <cell r="FW269" t="str">
            <v/>
          </cell>
          <cell r="FX269" t="str">
            <v/>
          </cell>
          <cell r="FY269" t="str">
            <v/>
          </cell>
          <cell r="FZ269" t="str">
            <v/>
          </cell>
          <cell r="GA269" t="str">
            <v/>
          </cell>
          <cell r="GB269" t="str">
            <v/>
          </cell>
          <cell r="GC269" t="str">
            <v/>
          </cell>
          <cell r="GD269" t="str">
            <v/>
          </cell>
          <cell r="GE269" t="str">
            <v/>
          </cell>
          <cell r="GF269" t="str">
            <v/>
          </cell>
          <cell r="GG269" t="str">
            <v/>
          </cell>
          <cell r="GH269" t="str">
            <v/>
          </cell>
          <cell r="GI269" t="str">
            <v/>
          </cell>
          <cell r="GJ269" t="str">
            <v/>
          </cell>
          <cell r="GK269" t="str">
            <v/>
          </cell>
          <cell r="GL269" t="str">
            <v/>
          </cell>
          <cell r="GM269" t="str">
            <v/>
          </cell>
          <cell r="GN269" t="str">
            <v/>
          </cell>
        </row>
        <row r="270">
          <cell r="A270" t="str">
            <v>PR-GXR</v>
          </cell>
          <cell r="D270" t="str">
            <v>25/03/2026</v>
          </cell>
          <cell r="E270">
            <v>4</v>
          </cell>
          <cell r="F270">
            <v>0</v>
          </cell>
          <cell r="G270" t="str">
            <v>Porto Alegre</v>
          </cell>
          <cell r="H270" t="str">
            <v>Scheduled</v>
          </cell>
          <cell r="I270" t="str">
            <v>1010</v>
          </cell>
          <cell r="J270" t="str">
            <v>2000</v>
          </cell>
          <cell r="K270" t="str">
            <v>8610</v>
          </cell>
          <cell r="L270" t="str">
            <v>10340</v>
          </cell>
          <cell r="M270" t="str">
            <v>9460</v>
          </cell>
          <cell r="N270" t="str">
            <v>9695</v>
          </cell>
          <cell r="O270" t="str">
            <v>1015</v>
          </cell>
          <cell r="P270" t="str">
            <v>2000</v>
          </cell>
          <cell r="Q270" t="str">
            <v>8600</v>
          </cell>
          <cell r="R270" t="str">
            <v>10350</v>
          </cell>
          <cell r="S270" t="str">
            <v>9490</v>
          </cell>
          <cell r="T270" t="str">
            <v>9670</v>
          </cell>
          <cell r="U270" t="str">
            <v>6,6929</v>
          </cell>
          <cell r="V270" t="str">
            <v>6,8897</v>
          </cell>
          <cell r="W270" t="str">
            <v xml:space="preserve">Down Lock, Nose Gear </v>
          </cell>
          <cell r="X270" t="str">
            <v xml:space="preserve">Down Lock, Main Gear </v>
          </cell>
          <cell r="Y270" t="str">
            <v>Plumb Bob</v>
          </cell>
          <cell r="Z270" t="str">
            <v/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>0,3</v>
          </cell>
          <cell r="AL270" t="str">
            <v>0,4</v>
          </cell>
          <cell r="AM270" t="str">
            <v>0,5</v>
          </cell>
          <cell r="AN270" t="str">
            <v>0</v>
          </cell>
          <cell r="AO270" t="str">
            <v>0</v>
          </cell>
          <cell r="AP270" t="str">
            <v>0</v>
          </cell>
          <cell r="AQ270" t="str">
            <v>0</v>
          </cell>
          <cell r="AR270" t="str">
            <v>0</v>
          </cell>
          <cell r="AS270" t="str">
            <v>0</v>
          </cell>
          <cell r="AT270" t="str">
            <v>0</v>
          </cell>
          <cell r="AU270" t="str">
            <v>0</v>
          </cell>
          <cell r="AV270" t="str">
            <v>0</v>
          </cell>
          <cell r="AW270" t="str">
            <v>0</v>
          </cell>
          <cell r="AX270" t="str">
            <v>0</v>
          </cell>
          <cell r="AY270" t="str">
            <v>82</v>
          </cell>
          <cell r="AZ270" t="str">
            <v>702</v>
          </cell>
          <cell r="BA270" t="str">
            <v>685</v>
          </cell>
          <cell r="BB270" t="str">
            <v>0</v>
          </cell>
          <cell r="BC270" t="str">
            <v>0</v>
          </cell>
          <cell r="BD270" t="str">
            <v>0</v>
          </cell>
          <cell r="BE270" t="str">
            <v>0</v>
          </cell>
          <cell r="BF270" t="str">
            <v>0</v>
          </cell>
          <cell r="BG270" t="str">
            <v>0</v>
          </cell>
          <cell r="BH270" t="str">
            <v>0</v>
          </cell>
          <cell r="BI270" t="str">
            <v>0</v>
          </cell>
          <cell r="BJ270" t="str">
            <v>0</v>
          </cell>
          <cell r="BK270" t="str">
            <v>0</v>
          </cell>
          <cell r="BL270" t="str">
            <v>0</v>
          </cell>
          <cell r="BM270" t="str">
            <v>Flaps 0 - 40° (up when weighed)</v>
          </cell>
          <cell r="BN270" t="str">
            <v>Fuel, Drainable, Unusable (5.6 Gal)</v>
          </cell>
          <cell r="BO270" t="str">
            <v>Lavatory Fluid, Precharge (6.0 Gal)</v>
          </cell>
          <cell r="BP270" t="str">
            <v>Lavatory Dry Supplies (2 ea)</v>
          </cell>
          <cell r="BQ270" t="str">
            <v>Water, Portable (62.6 Gal)</v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>0</v>
          </cell>
          <cell r="CC270" t="str">
            <v>17,3</v>
          </cell>
          <cell r="CD270" t="str">
            <v>22,7</v>
          </cell>
          <cell r="CE270" t="str">
            <v>4</v>
          </cell>
          <cell r="CF270" t="str">
            <v>236,4</v>
          </cell>
          <cell r="CG270" t="str">
            <v>0</v>
          </cell>
          <cell r="CH270" t="str">
            <v>0</v>
          </cell>
          <cell r="CI270" t="str">
            <v>0</v>
          </cell>
          <cell r="CJ270" t="str">
            <v>0</v>
          </cell>
          <cell r="CK270" t="str">
            <v>0</v>
          </cell>
          <cell r="CL270" t="str">
            <v>0</v>
          </cell>
          <cell r="CM270" t="str">
            <v>0</v>
          </cell>
          <cell r="CN270" t="str">
            <v>0</v>
          </cell>
          <cell r="CO270" t="str">
            <v>0</v>
          </cell>
          <cell r="CP270" t="str">
            <v>0</v>
          </cell>
          <cell r="CQ270" t="str">
            <v>646</v>
          </cell>
          <cell r="CR270" t="str">
            <v>1112</v>
          </cell>
          <cell r="CS270" t="str">
            <v>1145</v>
          </cell>
          <cell r="CT270" t="str">
            <v>1150</v>
          </cell>
          <cell r="CU270" t="str">
            <v>0</v>
          </cell>
          <cell r="CV270" t="str">
            <v>0</v>
          </cell>
          <cell r="CW270" t="str">
            <v>0</v>
          </cell>
          <cell r="CX270" t="str">
            <v>0</v>
          </cell>
          <cell r="CY270" t="str">
            <v>0</v>
          </cell>
          <cell r="CZ270" t="str">
            <v>0</v>
          </cell>
          <cell r="DA270" t="str">
            <v>0</v>
          </cell>
          <cell r="DB270" t="str">
            <v>0</v>
          </cell>
          <cell r="DC270" t="str">
            <v>0</v>
          </cell>
          <cell r="DD270" t="str">
            <v/>
          </cell>
          <cell r="DE270" t="str">
            <v/>
          </cell>
          <cell r="DF270" t="str">
            <v/>
          </cell>
          <cell r="DH270" t="str">
            <v/>
          </cell>
          <cell r="DN270" t="str">
            <v>27/03/2026</v>
          </cell>
          <cell r="DQ270" t="str">
            <v>Fernando Araujo</v>
          </cell>
          <cell r="DR270" t="str">
            <v>Fernando Araujo</v>
          </cell>
          <cell r="DS270" t="str">
            <v>3</v>
          </cell>
          <cell r="DT270" t="str">
            <v>0</v>
          </cell>
          <cell r="DU270" t="str">
            <v>DTX</v>
          </cell>
          <cell r="DV270" t="str">
            <v>186 Pax + 10 Flight Crew</v>
          </cell>
          <cell r="DW270" t="str">
            <v>GLP-800-003-GXR</v>
          </cell>
          <cell r="FL270" t="str">
            <v/>
          </cell>
          <cell r="FM270" t="str">
            <v/>
          </cell>
          <cell r="FN270" t="str">
            <v/>
          </cell>
          <cell r="FO270" t="str">
            <v/>
          </cell>
          <cell r="FP270" t="str">
            <v/>
          </cell>
          <cell r="FQ270" t="str">
            <v/>
          </cell>
          <cell r="FR270" t="str">
            <v/>
          </cell>
          <cell r="FS270" t="str">
            <v/>
          </cell>
          <cell r="FT270" t="str">
            <v/>
          </cell>
          <cell r="FU270" t="str">
            <v/>
          </cell>
          <cell r="FV270" t="str">
            <v/>
          </cell>
          <cell r="FW270" t="str">
            <v/>
          </cell>
          <cell r="FX270" t="str">
            <v/>
          </cell>
          <cell r="FY270" t="str">
            <v/>
          </cell>
          <cell r="FZ270" t="str">
            <v/>
          </cell>
          <cell r="GA270" t="str">
            <v/>
          </cell>
          <cell r="GB270" t="str">
            <v/>
          </cell>
          <cell r="GC270" t="str">
            <v/>
          </cell>
          <cell r="GD270" t="str">
            <v/>
          </cell>
          <cell r="GE270" t="str">
            <v/>
          </cell>
          <cell r="GF270" t="str">
            <v/>
          </cell>
          <cell r="GG270" t="str">
            <v/>
          </cell>
          <cell r="GH270" t="str">
            <v/>
          </cell>
          <cell r="GI270" t="str">
            <v/>
          </cell>
          <cell r="GJ270" t="str">
            <v/>
          </cell>
          <cell r="GK270" t="str">
            <v/>
          </cell>
          <cell r="GL270" t="str">
            <v/>
          </cell>
          <cell r="GM270" t="str">
            <v/>
          </cell>
          <cell r="GN270" t="str">
            <v/>
          </cell>
        </row>
        <row r="271">
          <cell r="A271" t="str">
            <v>PR-XMR</v>
          </cell>
          <cell r="E271">
            <v>3</v>
          </cell>
          <cell r="F271">
            <v>0</v>
          </cell>
          <cell r="DN271">
            <v>0</v>
          </cell>
        </row>
        <row r="272">
          <cell r="A272" t="str">
            <v>PR-XMR</v>
          </cell>
          <cell r="D272">
            <v>46125</v>
          </cell>
          <cell r="E272">
            <v>4</v>
          </cell>
          <cell r="F272">
            <v>0</v>
          </cell>
          <cell r="G272" t="str">
            <v>Lagoa Santa, MG - Brazil</v>
          </cell>
          <cell r="H272" t="str">
            <v>New Painting</v>
          </cell>
          <cell r="I272" t="str">
            <v>1672</v>
          </cell>
          <cell r="J272" t="str">
            <v>1980</v>
          </cell>
          <cell r="K272" t="str">
            <v>9982</v>
          </cell>
          <cell r="L272" t="str">
            <v>10304</v>
          </cell>
          <cell r="M272" t="str">
            <v>10638</v>
          </cell>
          <cell r="N272" t="str">
            <v>9770</v>
          </cell>
          <cell r="O272" t="str">
            <v>1670</v>
          </cell>
          <cell r="P272" t="str">
            <v>1984</v>
          </cell>
          <cell r="Q272" t="str">
            <v>9936</v>
          </cell>
          <cell r="R272" t="str">
            <v>10340</v>
          </cell>
          <cell r="S272" t="str">
            <v>10628</v>
          </cell>
          <cell r="T272" t="str">
            <v>9794</v>
          </cell>
          <cell r="U272">
            <v>4.0944881889763778</v>
          </cell>
          <cell r="V272">
            <v>4.0551181102362204</v>
          </cell>
          <cell r="W272" t="str">
            <v xml:space="preserve">Down Lock, Nose Gear </v>
          </cell>
          <cell r="X272" t="str">
            <v xml:space="preserve">Down Lock, Main Gear </v>
          </cell>
          <cell r="Y272" t="str">
            <v>Plumb Bob</v>
          </cell>
          <cell r="Z272" t="str">
            <v/>
          </cell>
          <cell r="AA272" t="str">
            <v/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  <cell r="AF272" t="str">
            <v/>
          </cell>
          <cell r="AG272" t="str">
            <v/>
          </cell>
          <cell r="AH272" t="str">
            <v/>
          </cell>
          <cell r="AI272" t="str">
            <v/>
          </cell>
          <cell r="AJ272" t="str">
            <v/>
          </cell>
          <cell r="AK272" t="str">
            <v>0,300</v>
          </cell>
          <cell r="AL272" t="str">
            <v>0,400</v>
          </cell>
          <cell r="AM272" t="str">
            <v>0,500</v>
          </cell>
          <cell r="AN272" t="str">
            <v/>
          </cell>
          <cell r="AO272" t="str">
            <v/>
          </cell>
          <cell r="AP272" t="str">
            <v/>
          </cell>
          <cell r="AQ272" t="str">
            <v/>
          </cell>
          <cell r="AR272" t="str">
            <v/>
          </cell>
          <cell r="AS272" t="str">
            <v/>
          </cell>
          <cell r="AT272" t="str">
            <v/>
          </cell>
          <cell r="AU272" t="str">
            <v/>
          </cell>
          <cell r="AV272" t="str">
            <v/>
          </cell>
          <cell r="AW272" t="str">
            <v/>
          </cell>
          <cell r="AX272" t="str">
            <v/>
          </cell>
          <cell r="AY272" t="str">
            <v>82</v>
          </cell>
          <cell r="AZ272" t="str">
            <v>702</v>
          </cell>
          <cell r="BA272" t="str">
            <v>685</v>
          </cell>
          <cell r="BB272" t="str">
            <v/>
          </cell>
          <cell r="BC272" t="str">
            <v/>
          </cell>
          <cell r="BD272" t="str">
            <v/>
          </cell>
          <cell r="BE272" t="str">
            <v/>
          </cell>
          <cell r="BF272" t="str">
            <v/>
          </cell>
          <cell r="BG272" t="str">
            <v/>
          </cell>
          <cell r="BH272" t="str">
            <v/>
          </cell>
          <cell r="BI272" t="str">
            <v/>
          </cell>
          <cell r="BJ272" t="str">
            <v/>
          </cell>
          <cell r="BK272" t="str">
            <v/>
          </cell>
          <cell r="BL272" t="str">
            <v/>
          </cell>
          <cell r="BM272" t="str">
            <v>Flaps 0 - 40° (Up when weighed)</v>
          </cell>
          <cell r="BN272" t="str">
            <v>Fuel, Drain, Unusable (5.6 Gal)</v>
          </cell>
          <cell r="BO272" t="str">
            <v>Lavatory Dry Supplies</v>
          </cell>
          <cell r="BP272" t="str">
            <v>Lavatory Pre-charge Fluid (6.0 Gal)</v>
          </cell>
          <cell r="BQ272" t="str">
            <v>Water, Potable (62.6 Gal)</v>
          </cell>
          <cell r="BR272" t="str">
            <v/>
          </cell>
          <cell r="BS272" t="str">
            <v/>
          </cell>
          <cell r="BT272" t="str">
            <v/>
          </cell>
          <cell r="BU272" t="str">
            <v/>
          </cell>
          <cell r="BV272" t="str">
            <v/>
          </cell>
          <cell r="BW272" t="str">
            <v/>
          </cell>
          <cell r="BX272" t="str">
            <v/>
          </cell>
          <cell r="BY272" t="str">
            <v/>
          </cell>
          <cell r="BZ272" t="str">
            <v/>
          </cell>
          <cell r="CA272" t="str">
            <v/>
          </cell>
          <cell r="CB272" t="str">
            <v>0</v>
          </cell>
          <cell r="CC272" t="str">
            <v>17,3</v>
          </cell>
          <cell r="CD272" t="str">
            <v>4</v>
          </cell>
          <cell r="CE272" t="str">
            <v>22,7</v>
          </cell>
          <cell r="CF272" t="str">
            <v>236,4</v>
          </cell>
          <cell r="CG272" t="str">
            <v/>
          </cell>
          <cell r="CH272" t="str">
            <v/>
          </cell>
          <cell r="CI272" t="str">
            <v/>
          </cell>
          <cell r="CJ272" t="str">
            <v/>
          </cell>
          <cell r="CK272" t="str">
            <v/>
          </cell>
          <cell r="CL272" t="str">
            <v/>
          </cell>
          <cell r="CM272" t="str">
            <v/>
          </cell>
          <cell r="CN272" t="str">
            <v/>
          </cell>
          <cell r="CO272" t="str">
            <v/>
          </cell>
          <cell r="CP272" t="str">
            <v>0</v>
          </cell>
          <cell r="CQ272" t="str">
            <v>646</v>
          </cell>
          <cell r="CR272" t="str">
            <v>1138</v>
          </cell>
          <cell r="CS272" t="str">
            <v>1112</v>
          </cell>
          <cell r="CT272" t="str">
            <v>1150</v>
          </cell>
          <cell r="CU272" t="str">
            <v/>
          </cell>
          <cell r="CV272" t="str">
            <v/>
          </cell>
          <cell r="CW272" t="str">
            <v/>
          </cell>
          <cell r="CX272" t="str">
            <v/>
          </cell>
          <cell r="CY272" t="str">
            <v/>
          </cell>
          <cell r="CZ272" t="str">
            <v/>
          </cell>
          <cell r="DA272" t="str">
            <v/>
          </cell>
          <cell r="DB272" t="str">
            <v/>
          </cell>
          <cell r="DC272" t="str">
            <v/>
          </cell>
          <cell r="DN272" t="str">
            <v>13/04/2026</v>
          </cell>
          <cell r="DQ272" t="str">
            <v>Fernando Meirelles</v>
          </cell>
          <cell r="DS272" t="str">
            <v>003</v>
          </cell>
          <cell r="DT272" t="str">
            <v>0</v>
          </cell>
          <cell r="DU272" t="str">
            <v>GOL</v>
          </cell>
          <cell r="DV272" t="str">
            <v>186 Pax + 10 Flight Crew</v>
          </cell>
          <cell r="DW272" t="str">
            <v>GLP-MAX8-001-XMR R00</v>
          </cell>
          <cell r="FL272" t="str">
            <v/>
          </cell>
          <cell r="FM272" t="str">
            <v/>
          </cell>
          <cell r="FN272" t="str">
            <v/>
          </cell>
          <cell r="FO272" t="str">
            <v/>
          </cell>
          <cell r="FP272" t="str">
            <v/>
          </cell>
          <cell r="FQ272" t="str">
            <v/>
          </cell>
          <cell r="FR272" t="str">
            <v/>
          </cell>
          <cell r="FS272" t="str">
            <v/>
          </cell>
          <cell r="FT272" t="str">
            <v/>
          </cell>
          <cell r="FU272" t="str">
            <v/>
          </cell>
          <cell r="FV272" t="str">
            <v/>
          </cell>
          <cell r="FW272" t="str">
            <v/>
          </cell>
          <cell r="FX272" t="str">
            <v/>
          </cell>
          <cell r="FY272" t="str">
            <v/>
          </cell>
          <cell r="FZ272" t="str">
            <v/>
          </cell>
          <cell r="GA272" t="str">
            <v/>
          </cell>
          <cell r="GB272" t="str">
            <v/>
          </cell>
          <cell r="GC272" t="str">
            <v/>
          </cell>
          <cell r="GD272" t="str">
            <v/>
          </cell>
          <cell r="GE272" t="str">
            <v/>
          </cell>
          <cell r="GF272" t="str">
            <v/>
          </cell>
          <cell r="GG272" t="str">
            <v/>
          </cell>
          <cell r="GH272" t="str">
            <v/>
          </cell>
          <cell r="GI272" t="str">
            <v/>
          </cell>
          <cell r="GJ272" t="str">
            <v/>
          </cell>
          <cell r="GK272" t="str">
            <v/>
          </cell>
          <cell r="GL272" t="str">
            <v/>
          </cell>
          <cell r="GM272" t="str">
            <v/>
          </cell>
          <cell r="GN272" t="str">
            <v/>
          </cell>
        </row>
        <row r="273">
          <cell r="A273" t="str">
            <v>PR-XMF</v>
          </cell>
          <cell r="D273" t="str">
            <v>1/12/2023</v>
          </cell>
          <cell r="E273">
            <v>2</v>
          </cell>
          <cell r="F273">
            <v>2</v>
          </cell>
          <cell r="G273" t="str">
            <v>Lagoa Santa, MG - Brazil</v>
          </cell>
          <cell r="H273" t="str">
            <v>Scheduled</v>
          </cell>
          <cell r="I273" t="str">
            <v>2148</v>
          </cell>
          <cell r="J273" t="str">
            <v>1570</v>
          </cell>
          <cell r="K273" t="str">
            <v>9364</v>
          </cell>
          <cell r="L273" t="str">
            <v>10744</v>
          </cell>
          <cell r="M273" t="str">
            <v>10668</v>
          </cell>
          <cell r="N273" t="str">
            <v>9542</v>
          </cell>
          <cell r="O273" t="str">
            <v>2170</v>
          </cell>
          <cell r="P273" t="str">
            <v>1548</v>
          </cell>
          <cell r="Q273" t="str">
            <v>9292</v>
          </cell>
          <cell r="R273" t="str">
            <v>10822</v>
          </cell>
          <cell r="S273" t="str">
            <v>10744</v>
          </cell>
          <cell r="T273" t="str">
            <v>9470</v>
          </cell>
          <cell r="U273" t="str">
            <v>3,54330708661417</v>
          </cell>
          <cell r="V273" t="str">
            <v>3,54330708661417</v>
          </cell>
          <cell r="W273" t="str">
            <v xml:space="preserve">Down Lock, Nose Gear </v>
          </cell>
          <cell r="X273" t="str">
            <v xml:space="preserve">Down Lock, Main Gear </v>
          </cell>
          <cell r="Y273" t="str">
            <v>Plumb Bob</v>
          </cell>
          <cell r="Z273" t="str">
            <v/>
          </cell>
          <cell r="AA273" t="str">
            <v/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  <cell r="AF273" t="str">
            <v/>
          </cell>
          <cell r="AG273" t="str">
            <v/>
          </cell>
          <cell r="AH273" t="str">
            <v/>
          </cell>
          <cell r="AI273" t="str">
            <v/>
          </cell>
          <cell r="AJ273" t="str">
            <v/>
          </cell>
          <cell r="AK273" t="str">
            <v>0,3</v>
          </cell>
          <cell r="AL273" t="str">
            <v>0,4</v>
          </cell>
          <cell r="AM273" t="str">
            <v>0,5</v>
          </cell>
          <cell r="AN273" t="str">
            <v/>
          </cell>
          <cell r="AO273" t="str">
            <v/>
          </cell>
          <cell r="AP273" t="str">
            <v/>
          </cell>
          <cell r="AQ273" t="str">
            <v/>
          </cell>
          <cell r="AR273" t="str">
            <v/>
          </cell>
          <cell r="AS273" t="str">
            <v/>
          </cell>
          <cell r="AT273" t="str">
            <v/>
          </cell>
          <cell r="AU273" t="str">
            <v/>
          </cell>
          <cell r="AV273" t="str">
            <v/>
          </cell>
          <cell r="AW273" t="str">
            <v/>
          </cell>
          <cell r="AX273" t="str">
            <v/>
          </cell>
          <cell r="AY273" t="str">
            <v>82</v>
          </cell>
          <cell r="AZ273" t="str">
            <v>702</v>
          </cell>
          <cell r="BA273" t="str">
            <v>685</v>
          </cell>
          <cell r="BB273" t="str">
            <v/>
          </cell>
          <cell r="BC273" t="str">
            <v/>
          </cell>
          <cell r="BD273" t="str">
            <v/>
          </cell>
          <cell r="BE273" t="str">
            <v/>
          </cell>
          <cell r="BF273" t="str">
            <v/>
          </cell>
          <cell r="BG273" t="str">
            <v/>
          </cell>
          <cell r="BH273" t="str">
            <v/>
          </cell>
          <cell r="BI273" t="str">
            <v/>
          </cell>
          <cell r="BJ273" t="str">
            <v/>
          </cell>
          <cell r="BK273" t="str">
            <v/>
          </cell>
          <cell r="BL273" t="str">
            <v/>
          </cell>
          <cell r="BM273" t="str">
            <v>Flaps 0 - 40° (Up when weighed)</v>
          </cell>
          <cell r="BN273" t="str">
            <v>Fuel, Drain, Unusable (5.6 Gal)</v>
          </cell>
          <cell r="BO273" t="str">
            <v>Lavatory Pre-charge Fluid (6.0 Gal)</v>
          </cell>
          <cell r="BP273" t="str">
            <v>Lavatory Dry Supplies</v>
          </cell>
          <cell r="BQ273" t="str">
            <v>Water, Potable (62.6 Gal)</v>
          </cell>
          <cell r="BR273" t="str">
            <v>2Ku System Antenna Installation ST03405NY</v>
          </cell>
          <cell r="BS273" t="str">
            <v>2Ku System Cabin Equip Installation ST03403NY</v>
          </cell>
          <cell r="BT273" t="str">
            <v/>
          </cell>
          <cell r="BU273" t="str">
            <v/>
          </cell>
          <cell r="BV273" t="str">
            <v/>
          </cell>
          <cell r="BW273" t="str">
            <v/>
          </cell>
          <cell r="BX273" t="str">
            <v/>
          </cell>
          <cell r="BY273" t="str">
            <v/>
          </cell>
          <cell r="BZ273" t="str">
            <v/>
          </cell>
          <cell r="CA273" t="str">
            <v/>
          </cell>
          <cell r="CB273" t="str">
            <v/>
          </cell>
          <cell r="CC273" t="str">
            <v>17,3</v>
          </cell>
          <cell r="CD273" t="str">
            <v>22,7</v>
          </cell>
          <cell r="CE273" t="str">
            <v>4</v>
          </cell>
          <cell r="CF273" t="str">
            <v>236,4</v>
          </cell>
          <cell r="CG273" t="str">
            <v>164,4091</v>
          </cell>
          <cell r="CH273" t="str">
            <v>43,85785</v>
          </cell>
          <cell r="CI273" t="str">
            <v/>
          </cell>
          <cell r="CJ273" t="str">
            <v/>
          </cell>
          <cell r="CK273" t="str">
            <v/>
          </cell>
          <cell r="CL273" t="str">
            <v/>
          </cell>
          <cell r="CM273" t="str">
            <v/>
          </cell>
          <cell r="CN273" t="str">
            <v/>
          </cell>
          <cell r="CO273" t="str">
            <v/>
          </cell>
          <cell r="CP273" t="str">
            <v/>
          </cell>
          <cell r="CQ273" t="str">
            <v>646</v>
          </cell>
          <cell r="CR273" t="str">
            <v>1112</v>
          </cell>
          <cell r="CS273" t="str">
            <v>1138</v>
          </cell>
          <cell r="CT273" t="str">
            <v>1150</v>
          </cell>
          <cell r="CU273" t="str">
            <v>860,8912</v>
          </cell>
          <cell r="CV273" t="str">
            <v>419,4195</v>
          </cell>
          <cell r="CW273" t="str">
            <v/>
          </cell>
          <cell r="CX273" t="str">
            <v/>
          </cell>
          <cell r="CY273" t="str">
            <v/>
          </cell>
          <cell r="CZ273" t="str">
            <v/>
          </cell>
          <cell r="DA273" t="str">
            <v/>
          </cell>
          <cell r="DB273" t="str">
            <v/>
          </cell>
          <cell r="DC273" t="str">
            <v/>
          </cell>
          <cell r="DD273" t="str">
            <v>Revision 1 was issued to remove the Level Correction</v>
          </cell>
          <cell r="DE273" t="str">
            <v>Revision 2 was issued due to 2KU ( Wi-fi ) System installation</v>
          </cell>
          <cell r="DF273" t="str">
            <v/>
          </cell>
          <cell r="DH273" t="str">
            <v/>
          </cell>
          <cell r="DN273" t="str">
            <v>14/04/2025</v>
          </cell>
          <cell r="DQ273" t="str">
            <v>Fernando Araujo</v>
          </cell>
          <cell r="DS273" t="str">
            <v>2</v>
          </cell>
          <cell r="DT273" t="str">
            <v>1</v>
          </cell>
          <cell r="DU273" t="str">
            <v>GOL</v>
          </cell>
          <cell r="DV273" t="str">
            <v>186 Pax + 10 Flight Crew</v>
          </cell>
          <cell r="DW273" t="str">
            <v>GLP-MAX8-001-XMF</v>
          </cell>
          <cell r="FL273" t="str">
            <v/>
          </cell>
          <cell r="FM273" t="str">
            <v/>
          </cell>
          <cell r="FN273" t="str">
            <v/>
          </cell>
          <cell r="FO273" t="str">
            <v/>
          </cell>
          <cell r="FP273" t="str">
            <v/>
          </cell>
          <cell r="FQ273" t="str">
            <v/>
          </cell>
          <cell r="FR273" t="str">
            <v/>
          </cell>
          <cell r="FS273" t="str">
            <v/>
          </cell>
          <cell r="FT273" t="str">
            <v/>
          </cell>
          <cell r="FU273" t="str">
            <v/>
          </cell>
          <cell r="FV273" t="str">
            <v/>
          </cell>
          <cell r="FW273" t="str">
            <v/>
          </cell>
          <cell r="FX273" t="str">
            <v/>
          </cell>
          <cell r="FY273" t="str">
            <v/>
          </cell>
          <cell r="FZ273" t="str">
            <v/>
          </cell>
          <cell r="GA273" t="str">
            <v/>
          </cell>
          <cell r="GB273" t="str">
            <v/>
          </cell>
          <cell r="GC273" t="str">
            <v/>
          </cell>
          <cell r="GD273" t="str">
            <v/>
          </cell>
          <cell r="GE273" t="str">
            <v/>
          </cell>
          <cell r="GF273" t="str">
            <v/>
          </cell>
          <cell r="GG273" t="str">
            <v/>
          </cell>
          <cell r="GH273" t="str">
            <v/>
          </cell>
          <cell r="GI273" t="str">
            <v/>
          </cell>
          <cell r="GJ273" t="str">
            <v/>
          </cell>
          <cell r="GK273" t="str">
            <v/>
          </cell>
          <cell r="GL273" t="str">
            <v/>
          </cell>
          <cell r="GM273" t="str">
            <v/>
          </cell>
          <cell r="GN273" t="str">
            <v/>
          </cell>
        </row>
        <row r="274">
          <cell r="A274" t="str">
            <v>PS-GPD</v>
          </cell>
          <cell r="E274">
            <v>2</v>
          </cell>
          <cell r="F274">
            <v>3</v>
          </cell>
          <cell r="DN274">
            <v>0</v>
          </cell>
        </row>
        <row r="275">
          <cell r="A275" t="str">
            <v>PS-GPD</v>
          </cell>
          <cell r="D275" t="str">
            <v>23/08/2022</v>
          </cell>
          <cell r="E275">
            <v>2</v>
          </cell>
          <cell r="F275">
            <v>4</v>
          </cell>
          <cell r="G275" t="str">
            <v>Lagoa Santa, MG - Brazil</v>
          </cell>
          <cell r="H275" t="str">
            <v>New Painting</v>
          </cell>
          <cell r="I275" t="str">
            <v>3759</v>
          </cell>
          <cell r="J275" t="str">
            <v>0</v>
          </cell>
          <cell r="K275" t="str">
            <v>19703</v>
          </cell>
          <cell r="L275" t="str">
            <v>0</v>
          </cell>
          <cell r="M275" t="str">
            <v>19931</v>
          </cell>
          <cell r="N275" t="str">
            <v>0</v>
          </cell>
          <cell r="O275" t="str">
            <v>3759</v>
          </cell>
          <cell r="P275" t="str">
            <v>0</v>
          </cell>
          <cell r="Q275" t="str">
            <v>19703</v>
          </cell>
          <cell r="R275" t="str">
            <v>0</v>
          </cell>
          <cell r="S275" t="str">
            <v>19931</v>
          </cell>
          <cell r="T275" t="str">
            <v>0</v>
          </cell>
          <cell r="U275" t="str">
            <v>4,743865</v>
          </cell>
          <cell r="V275" t="str">
            <v>5,138036</v>
          </cell>
          <cell r="W275" t="str">
            <v>Down Lock, Nose Gear</v>
          </cell>
          <cell r="X275" t="str">
            <v>Down Lock, Main Gear</v>
          </cell>
          <cell r="Y275" t="str">
            <v>Plumb Bob</v>
          </cell>
          <cell r="Z275" t="str">
            <v/>
          </cell>
          <cell r="AA275" t="str">
            <v/>
          </cell>
          <cell r="AB275" t="str">
            <v/>
          </cell>
          <cell r="AC275" t="str">
            <v/>
          </cell>
          <cell r="AD275" t="str">
            <v/>
          </cell>
          <cell r="AE275" t="str">
            <v/>
          </cell>
          <cell r="AF275" t="str">
            <v/>
          </cell>
          <cell r="AG275" t="str">
            <v/>
          </cell>
          <cell r="AH275" t="str">
            <v/>
          </cell>
          <cell r="AI275" t="str">
            <v/>
          </cell>
          <cell r="AJ275" t="str">
            <v/>
          </cell>
          <cell r="AK275" t="str">
            <v>0,3000</v>
          </cell>
          <cell r="AL275" t="str">
            <v>0,4000</v>
          </cell>
          <cell r="AM275" t="str">
            <v>0,5000</v>
          </cell>
          <cell r="AN275" t="str">
            <v/>
          </cell>
          <cell r="AO275" t="str">
            <v/>
          </cell>
          <cell r="AP275" t="str">
            <v/>
          </cell>
          <cell r="AQ275" t="str">
            <v/>
          </cell>
          <cell r="AR275" t="str">
            <v/>
          </cell>
          <cell r="AS275" t="str">
            <v/>
          </cell>
          <cell r="AT275" t="str">
            <v/>
          </cell>
          <cell r="AU275" t="str">
            <v/>
          </cell>
          <cell r="AV275" t="str">
            <v/>
          </cell>
          <cell r="AW275" t="str">
            <v/>
          </cell>
          <cell r="AX275" t="str">
            <v/>
          </cell>
          <cell r="AY275" t="str">
            <v>82,0000</v>
          </cell>
          <cell r="AZ275" t="str">
            <v>702,0000</v>
          </cell>
          <cell r="BA275" t="str">
            <v>685,0000</v>
          </cell>
          <cell r="BB275" t="str">
            <v/>
          </cell>
          <cell r="BC275" t="str">
            <v/>
          </cell>
          <cell r="BD275" t="str">
            <v/>
          </cell>
          <cell r="BE275" t="str">
            <v/>
          </cell>
          <cell r="BF275" t="str">
            <v/>
          </cell>
          <cell r="BG275" t="str">
            <v/>
          </cell>
          <cell r="BH275" t="str">
            <v/>
          </cell>
          <cell r="BI275" t="str">
            <v/>
          </cell>
          <cell r="BJ275" t="str">
            <v/>
          </cell>
          <cell r="BK275" t="str">
            <v/>
          </cell>
          <cell r="BL275" t="str">
            <v/>
          </cell>
          <cell r="BM275" t="str">
            <v>Flaps 0 - 40° (Up when weighed)</v>
          </cell>
          <cell r="BN275" t="str">
            <v>Fuel, Drain, Unusable (5.6 Gal)</v>
          </cell>
          <cell r="BO275" t="str">
            <v>Lavatory Dry Supplies</v>
          </cell>
          <cell r="BP275" t="str">
            <v>Lavatory Pre-charge Fluid (6.0 Gal)</v>
          </cell>
          <cell r="BQ275" t="str">
            <v>Water, Potable (62.6 Gal)</v>
          </cell>
          <cell r="BR275" t="str">
            <v>Galley G1 Beverage Maker</v>
          </cell>
          <cell r="BS275" t="str">
            <v>Galley G2 Oven</v>
          </cell>
          <cell r="BT275" t="str">
            <v>Galley G4 Oven</v>
          </cell>
          <cell r="BU275" t="str">
            <v>USB Inseat Power</v>
          </cell>
          <cell r="BV275" t="str">
            <v/>
          </cell>
          <cell r="BW275" t="str">
            <v/>
          </cell>
          <cell r="BX275" t="str">
            <v/>
          </cell>
          <cell r="BY275" t="str">
            <v/>
          </cell>
          <cell r="BZ275" t="str">
            <v/>
          </cell>
          <cell r="CA275" t="str">
            <v/>
          </cell>
          <cell r="CB275" t="str">
            <v/>
          </cell>
          <cell r="CC275" t="str">
            <v>17,3000</v>
          </cell>
          <cell r="CD275" t="str">
            <v>4,0000</v>
          </cell>
          <cell r="CE275" t="str">
            <v>22,7000</v>
          </cell>
          <cell r="CF275" t="str">
            <v>236,7000</v>
          </cell>
          <cell r="CG275" t="str">
            <v>6,1000</v>
          </cell>
          <cell r="CH275" t="str">
            <v>15,8000</v>
          </cell>
          <cell r="CI275" t="str">
            <v>18,5000</v>
          </cell>
          <cell r="CJ275" t="str">
            <v>48,7430</v>
          </cell>
          <cell r="CK275" t="str">
            <v/>
          </cell>
          <cell r="CL275" t="str">
            <v/>
          </cell>
          <cell r="CM275" t="str">
            <v/>
          </cell>
          <cell r="CN275" t="str">
            <v/>
          </cell>
          <cell r="CO275" t="str">
            <v/>
          </cell>
          <cell r="CP275" t="str">
            <v/>
          </cell>
          <cell r="CQ275" t="str">
            <v>646,0000</v>
          </cell>
          <cell r="CR275" t="str">
            <v>1138,0000</v>
          </cell>
          <cell r="CS275" t="str">
            <v>1112,0000</v>
          </cell>
          <cell r="CT275" t="str">
            <v>1150,0000</v>
          </cell>
          <cell r="CU275" t="str">
            <v>84,0000</v>
          </cell>
          <cell r="CV275" t="str">
            <v>149,0000</v>
          </cell>
          <cell r="CW275" t="str">
            <v>1214,0000</v>
          </cell>
          <cell r="CX275" t="str">
            <v>626,85</v>
          </cell>
          <cell r="CY275" t="str">
            <v/>
          </cell>
          <cell r="CZ275" t="str">
            <v/>
          </cell>
          <cell r="DA275" t="str">
            <v/>
          </cell>
          <cell r="DB275" t="str">
            <v/>
          </cell>
          <cell r="DC275" t="str">
            <v/>
          </cell>
          <cell r="DD275" t="str">
            <v>Revision 3 was due to the Weighing report layout change</v>
          </cell>
          <cell r="DE275" t="str">
            <v>Revision 4 was due to the Inseat Power ( STC ST04365AT) Installation</v>
          </cell>
          <cell r="DF275" t="str">
            <v/>
          </cell>
          <cell r="DH275" t="str">
            <v/>
          </cell>
          <cell r="DN275" t="str">
            <v>14/04/2026</v>
          </cell>
          <cell r="DQ275" t="str">
            <v>Fernando Araujo</v>
          </cell>
          <cell r="DR275" t="str">
            <v>Danton</v>
          </cell>
          <cell r="DS275" t="str">
            <v>002</v>
          </cell>
          <cell r="DT275" t="str">
            <v>3</v>
          </cell>
          <cell r="DU275" t="str">
            <v>GOL</v>
          </cell>
          <cell r="DV275" t="str">
            <v>186 Pax + 10 Flight Crew</v>
          </cell>
          <cell r="DW275" t="str">
            <v>GLP-MAX8-002-GPD R02</v>
          </cell>
          <cell r="FL275" t="str">
            <v/>
          </cell>
          <cell r="FM275" t="str">
            <v/>
          </cell>
          <cell r="FN275" t="str">
            <v/>
          </cell>
          <cell r="FO275" t="str">
            <v/>
          </cell>
          <cell r="FP275" t="str">
            <v/>
          </cell>
          <cell r="FQ275" t="str">
            <v/>
          </cell>
          <cell r="FR275" t="str">
            <v/>
          </cell>
          <cell r="FS275" t="str">
            <v/>
          </cell>
          <cell r="FT275" t="str">
            <v/>
          </cell>
          <cell r="FU275" t="str">
            <v/>
          </cell>
          <cell r="FV275" t="str">
            <v/>
          </cell>
          <cell r="FW275" t="str">
            <v/>
          </cell>
          <cell r="FX275" t="str">
            <v/>
          </cell>
          <cell r="FY275" t="str">
            <v/>
          </cell>
          <cell r="FZ275" t="str">
            <v/>
          </cell>
          <cell r="GA275" t="str">
            <v/>
          </cell>
          <cell r="GB275" t="str">
            <v/>
          </cell>
          <cell r="GC275" t="str">
            <v/>
          </cell>
          <cell r="GD275" t="str">
            <v/>
          </cell>
          <cell r="GE275" t="str">
            <v/>
          </cell>
          <cell r="GF275" t="str">
            <v/>
          </cell>
          <cell r="GG275" t="str">
            <v/>
          </cell>
          <cell r="GH275" t="str">
            <v/>
          </cell>
          <cell r="GI275" t="str">
            <v/>
          </cell>
          <cell r="GJ275" t="str">
            <v/>
          </cell>
          <cell r="GK275" t="str">
            <v/>
          </cell>
          <cell r="GL275" t="str">
            <v/>
          </cell>
          <cell r="GM275" t="str">
            <v/>
          </cell>
          <cell r="GN275" t="str">
            <v/>
          </cell>
        </row>
        <row r="276">
          <cell r="A276" t="str">
            <v>PR-GKC</v>
          </cell>
          <cell r="D276" t="str">
            <v>21/02/2026</v>
          </cell>
          <cell r="E276">
            <v>3</v>
          </cell>
          <cell r="F276">
            <v>0</v>
          </cell>
          <cell r="G276" t="str">
            <v>Lagoa Santa, MG - Brazil</v>
          </cell>
          <cell r="H276" t="str">
            <v>New Painting</v>
          </cell>
          <cell r="I276" t="str">
            <v>1692</v>
          </cell>
          <cell r="J276" t="str">
            <v>1328</v>
          </cell>
          <cell r="K276" t="str">
            <v>8796</v>
          </cell>
          <cell r="L276" t="str">
            <v>10058</v>
          </cell>
          <cell r="M276" t="str">
            <v>9368</v>
          </cell>
          <cell r="N276" t="str">
            <v>9604</v>
          </cell>
          <cell r="O276" t="str">
            <v>1706</v>
          </cell>
          <cell r="P276" t="str">
            <v>1324</v>
          </cell>
          <cell r="Q276" t="str">
            <v>8774</v>
          </cell>
          <cell r="R276" t="str">
            <v>10110</v>
          </cell>
          <cell r="S276" t="str">
            <v>9492</v>
          </cell>
          <cell r="T276" t="str">
            <v>9440</v>
          </cell>
          <cell r="U276">
            <v>0.11625023250046497</v>
          </cell>
          <cell r="V276">
            <v>0.14725029450058899</v>
          </cell>
          <cell r="DN276" t="str">
            <v/>
          </cell>
          <cell r="DQ276" t="str">
            <v>Jeferson</v>
          </cell>
          <cell r="DS276" t="str">
            <v>2</v>
          </cell>
          <cell r="DT276" t="str">
            <v>0</v>
          </cell>
          <cell r="DU276" t="str">
            <v>GOL</v>
          </cell>
          <cell r="DV276" t="str">
            <v>175 Pax + 10 Flight Crew</v>
          </cell>
          <cell r="DW276" t="str">
            <v>GLP-800-001-GKC</v>
          </cell>
        </row>
        <row r="277">
          <cell r="A277" t="str">
            <v>PR-VBG</v>
          </cell>
          <cell r="E277">
            <v>5</v>
          </cell>
          <cell r="F277">
            <v>0</v>
          </cell>
          <cell r="DN277">
            <v>0</v>
          </cell>
        </row>
        <row r="278">
          <cell r="A278" t="str">
            <v>PR-VBG</v>
          </cell>
          <cell r="D278">
            <v>46140</v>
          </cell>
          <cell r="E278">
            <v>6</v>
          </cell>
          <cell r="F278">
            <v>0</v>
          </cell>
          <cell r="G278" t="str">
            <v>Porto Alegre, RS - Brazil</v>
          </cell>
          <cell r="H278" t="str">
            <v>Scheduled</v>
          </cell>
          <cell r="I278" t="str">
            <v>2875</v>
          </cell>
          <cell r="J278" t="str">
            <v>0</v>
          </cell>
          <cell r="K278" t="str">
            <v>10060</v>
          </cell>
          <cell r="L278" t="str">
            <v>8905</v>
          </cell>
          <cell r="M278" t="str">
            <v>9450</v>
          </cell>
          <cell r="N278" t="str">
            <v>9855</v>
          </cell>
          <cell r="O278" t="str">
            <v>2880</v>
          </cell>
          <cell r="P278" t="str">
            <v>0</v>
          </cell>
          <cell r="Q278" t="str">
            <v>10255</v>
          </cell>
          <cell r="R278" t="str">
            <v>8690</v>
          </cell>
          <cell r="S278" t="str">
            <v>9565</v>
          </cell>
          <cell r="T278" t="str">
            <v>9750</v>
          </cell>
          <cell r="U278" t="str">
            <v>5,11</v>
          </cell>
          <cell r="V278" t="str">
            <v>4,92</v>
          </cell>
          <cell r="W278" t="str">
            <v xml:space="preserve">Down Lock, Nose Gear </v>
          </cell>
          <cell r="X278" t="str">
            <v xml:space="preserve">Down Lock, Main Gear </v>
          </cell>
          <cell r="Y278" t="str">
            <v>Plumb Bob</v>
          </cell>
          <cell r="Z278" t="str">
            <v/>
          </cell>
          <cell r="AA278" t="str">
            <v/>
          </cell>
          <cell r="AB278" t="str">
            <v/>
          </cell>
          <cell r="AC278" t="str">
            <v/>
          </cell>
          <cell r="AD278" t="str">
            <v/>
          </cell>
          <cell r="AE278" t="str">
            <v/>
          </cell>
          <cell r="AF278" t="str">
            <v/>
          </cell>
          <cell r="AG278" t="str">
            <v/>
          </cell>
          <cell r="AH278" t="str">
            <v/>
          </cell>
          <cell r="AI278" t="str">
            <v/>
          </cell>
          <cell r="AJ278" t="str">
            <v/>
          </cell>
          <cell r="AK278" t="str">
            <v>0,3</v>
          </cell>
          <cell r="AL278" t="str">
            <v>0,4</v>
          </cell>
          <cell r="AM278" t="str">
            <v>0,5</v>
          </cell>
          <cell r="AN278" t="str">
            <v/>
          </cell>
          <cell r="AO278" t="str">
            <v/>
          </cell>
          <cell r="AP278" t="str">
            <v/>
          </cell>
          <cell r="AQ278" t="str">
            <v/>
          </cell>
          <cell r="AR278" t="str">
            <v/>
          </cell>
          <cell r="AS278" t="str">
            <v/>
          </cell>
          <cell r="AT278" t="str">
            <v/>
          </cell>
          <cell r="AU278" t="str">
            <v/>
          </cell>
          <cell r="AV278" t="str">
            <v/>
          </cell>
          <cell r="AW278" t="str">
            <v/>
          </cell>
          <cell r="AX278" t="str">
            <v/>
          </cell>
          <cell r="AY278" t="str">
            <v>91</v>
          </cell>
          <cell r="AZ278" t="str">
            <v>702</v>
          </cell>
          <cell r="BA278" t="str">
            <v>685</v>
          </cell>
          <cell r="BB278" t="str">
            <v/>
          </cell>
          <cell r="BC278" t="str">
            <v/>
          </cell>
          <cell r="BD278" t="str">
            <v/>
          </cell>
          <cell r="BE278" t="str">
            <v/>
          </cell>
          <cell r="BF278" t="str">
            <v/>
          </cell>
          <cell r="BG278" t="str">
            <v/>
          </cell>
          <cell r="BH278" t="str">
            <v/>
          </cell>
          <cell r="BI278" t="str">
            <v/>
          </cell>
          <cell r="BJ278" t="str">
            <v/>
          </cell>
          <cell r="BK278" t="str">
            <v/>
          </cell>
          <cell r="BL278" t="str">
            <v/>
          </cell>
          <cell r="BM278" t="str">
            <v>Flaps 0 - 40° (Up when weighed)</v>
          </cell>
          <cell r="BN278" t="str">
            <v>Fuel, Drain, Unusable (5.6 Gal)</v>
          </cell>
          <cell r="BO278" t="str">
            <v>Lavatory Pre-charge Fluid (6.0 Gal)</v>
          </cell>
          <cell r="BP278" t="str">
            <v>Lavatory Dry Supplies</v>
          </cell>
          <cell r="BQ278" t="str">
            <v>Water, Potable (62.6 Gal)</v>
          </cell>
          <cell r="BR278" t="str">
            <v/>
          </cell>
          <cell r="BS278" t="str">
            <v/>
          </cell>
          <cell r="BT278" t="str">
            <v/>
          </cell>
          <cell r="BU278" t="str">
            <v/>
          </cell>
          <cell r="BV278" t="str">
            <v/>
          </cell>
          <cell r="BW278" t="str">
            <v/>
          </cell>
          <cell r="BX278" t="str">
            <v/>
          </cell>
          <cell r="BY278" t="str">
            <v/>
          </cell>
          <cell r="BZ278" t="str">
            <v/>
          </cell>
          <cell r="CA278" t="str">
            <v/>
          </cell>
          <cell r="CB278" t="str">
            <v/>
          </cell>
          <cell r="CC278" t="str">
            <v>17,3</v>
          </cell>
          <cell r="CD278" t="str">
            <v>22,7</v>
          </cell>
          <cell r="CE278" t="str">
            <v>4</v>
          </cell>
          <cell r="CF278" t="str">
            <v>236,4</v>
          </cell>
          <cell r="CG278" t="str">
            <v/>
          </cell>
          <cell r="CH278" t="str">
            <v/>
          </cell>
          <cell r="CI278" t="str">
            <v/>
          </cell>
          <cell r="CJ278" t="str">
            <v/>
          </cell>
          <cell r="CK278" t="str">
            <v/>
          </cell>
          <cell r="CL278" t="str">
            <v/>
          </cell>
          <cell r="CM278" t="str">
            <v/>
          </cell>
          <cell r="CN278" t="str">
            <v/>
          </cell>
          <cell r="CO278" t="str">
            <v/>
          </cell>
          <cell r="CP278" t="str">
            <v/>
          </cell>
          <cell r="CQ278" t="str">
            <v>646</v>
          </cell>
          <cell r="CR278" t="str">
            <v>1112</v>
          </cell>
          <cell r="CS278" t="str">
            <v>1145</v>
          </cell>
          <cell r="CT278" t="str">
            <v>1150</v>
          </cell>
          <cell r="CU278" t="str">
            <v/>
          </cell>
          <cell r="CV278" t="str">
            <v/>
          </cell>
          <cell r="CW278" t="str">
            <v/>
          </cell>
          <cell r="CX278" t="str">
            <v/>
          </cell>
          <cell r="CY278" t="str">
            <v/>
          </cell>
          <cell r="CZ278" t="str">
            <v/>
          </cell>
          <cell r="DA278" t="str">
            <v/>
          </cell>
          <cell r="DB278" t="str">
            <v/>
          </cell>
          <cell r="DC278" t="str">
            <v/>
          </cell>
          <cell r="DN278" t="str">
            <v>30/04/2026</v>
          </cell>
          <cell r="DQ278" t="str">
            <v>Danton</v>
          </cell>
          <cell r="DR278" t="str">
            <v>Maia</v>
          </cell>
          <cell r="DS278" t="str">
            <v>5</v>
          </cell>
          <cell r="DT278" t="str">
            <v>0</v>
          </cell>
          <cell r="DU278" t="str">
            <v>DTX</v>
          </cell>
          <cell r="DV278" t="str">
            <v>186 Pax + 10 Flight Crew</v>
          </cell>
          <cell r="DW278" t="str">
            <v>GLP-800-004-VBG</v>
          </cell>
          <cell r="FL278" t="str">
            <v/>
          </cell>
          <cell r="FM278" t="str">
            <v/>
          </cell>
          <cell r="FN278" t="str">
            <v/>
          </cell>
          <cell r="FO278" t="str">
            <v/>
          </cell>
          <cell r="FP278" t="str">
            <v/>
          </cell>
          <cell r="FQ278" t="str">
            <v/>
          </cell>
          <cell r="FR278" t="str">
            <v/>
          </cell>
          <cell r="FS278" t="str">
            <v/>
          </cell>
          <cell r="FT278" t="str">
            <v/>
          </cell>
          <cell r="FU278" t="str">
            <v/>
          </cell>
          <cell r="FV278" t="str">
            <v/>
          </cell>
          <cell r="FW278" t="str">
            <v/>
          </cell>
          <cell r="FX278" t="str">
            <v/>
          </cell>
          <cell r="FY278" t="str">
            <v/>
          </cell>
          <cell r="FZ278" t="str">
            <v/>
          </cell>
          <cell r="GA278" t="str">
            <v/>
          </cell>
          <cell r="GB278" t="str">
            <v/>
          </cell>
          <cell r="GC278" t="str">
            <v/>
          </cell>
          <cell r="GD278" t="str">
            <v/>
          </cell>
          <cell r="GE278" t="str">
            <v/>
          </cell>
          <cell r="GF278" t="str">
            <v/>
          </cell>
          <cell r="GG278" t="str">
            <v/>
          </cell>
          <cell r="GH278" t="str">
            <v/>
          </cell>
          <cell r="GI278" t="str">
            <v/>
          </cell>
          <cell r="GJ278" t="str">
            <v/>
          </cell>
          <cell r="GK278" t="str">
            <v/>
          </cell>
          <cell r="GL278" t="str">
            <v/>
          </cell>
          <cell r="GM278" t="str">
            <v/>
          </cell>
          <cell r="GN278" t="str">
            <v/>
          </cell>
        </row>
        <row r="279">
          <cell r="A279" t="str">
            <v>PR-GYD</v>
          </cell>
          <cell r="D279" t="str">
            <v>30/04/2026</v>
          </cell>
          <cell r="E279">
            <v>4</v>
          </cell>
          <cell r="F279">
            <v>0</v>
          </cell>
          <cell r="G279" t="str">
            <v>Lagoa Santa, MG - Brazil</v>
          </cell>
          <cell r="H279" t="str">
            <v>New Painting</v>
          </cell>
          <cell r="I279" t="str">
            <v>1606</v>
          </cell>
          <cell r="J279" t="str">
            <v>1432</v>
          </cell>
          <cell r="K279" t="str">
            <v>9200</v>
          </cell>
          <cell r="L279" t="str">
            <v>9932</v>
          </cell>
          <cell r="M279" t="str">
            <v>10188</v>
          </cell>
          <cell r="N279" t="str">
            <v>8912</v>
          </cell>
          <cell r="O279" t="str">
            <v>1604</v>
          </cell>
          <cell r="P279" t="str">
            <v>1433</v>
          </cell>
          <cell r="Q279" t="str">
            <v>9160</v>
          </cell>
          <cell r="R279" t="str">
            <v>9962</v>
          </cell>
          <cell r="S279" t="str">
            <v>10220</v>
          </cell>
          <cell r="T279" t="str">
            <v>8880</v>
          </cell>
          <cell r="U279">
            <v>4.3307086614173231</v>
          </cell>
          <cell r="V279">
            <v>4.1338582677165361</v>
          </cell>
          <cell r="W279" t="str">
            <v xml:space="preserve">Down Lock, Nose Gear </v>
          </cell>
          <cell r="X279" t="str">
            <v xml:space="preserve">Down Lock, Main Gear </v>
          </cell>
          <cell r="Y279" t="str">
            <v>Plumb Bob</v>
          </cell>
          <cell r="Z279" t="str">
            <v/>
          </cell>
          <cell r="AA279" t="str">
            <v/>
          </cell>
          <cell r="AB279" t="str">
            <v/>
          </cell>
          <cell r="AC279" t="str">
            <v/>
          </cell>
          <cell r="AD279" t="str">
            <v/>
          </cell>
          <cell r="AE279" t="str">
            <v/>
          </cell>
          <cell r="AF279" t="str">
            <v/>
          </cell>
          <cell r="AG279" t="str">
            <v/>
          </cell>
          <cell r="AH279" t="str">
            <v/>
          </cell>
          <cell r="AI279" t="str">
            <v/>
          </cell>
          <cell r="AJ279" t="str">
            <v/>
          </cell>
          <cell r="AK279" t="str">
            <v>0,3</v>
          </cell>
          <cell r="AL279" t="str">
            <v>0,4</v>
          </cell>
          <cell r="AM279" t="str">
            <v>0,5</v>
          </cell>
          <cell r="AN279" t="str">
            <v>0</v>
          </cell>
          <cell r="AO279" t="str">
            <v>0</v>
          </cell>
          <cell r="AP279" t="str">
            <v>0</v>
          </cell>
          <cell r="AQ279" t="str">
            <v>0</v>
          </cell>
          <cell r="AR279" t="str">
            <v>0</v>
          </cell>
          <cell r="AS279" t="str">
            <v>0</v>
          </cell>
          <cell r="AT279" t="str">
            <v>0</v>
          </cell>
          <cell r="AU279" t="str">
            <v>0</v>
          </cell>
          <cell r="AV279" t="str">
            <v>0</v>
          </cell>
          <cell r="AW279" t="str">
            <v>0</v>
          </cell>
          <cell r="AX279" t="str">
            <v>0</v>
          </cell>
          <cell r="AY279" t="str">
            <v>82</v>
          </cell>
          <cell r="AZ279" t="str">
            <v>702</v>
          </cell>
          <cell r="BA279" t="str">
            <v>685</v>
          </cell>
          <cell r="BB279" t="str">
            <v>0</v>
          </cell>
          <cell r="BC279" t="str">
            <v>0</v>
          </cell>
          <cell r="BD279" t="str">
            <v>0</v>
          </cell>
          <cell r="BE279" t="str">
            <v>0</v>
          </cell>
          <cell r="BF279" t="str">
            <v>0</v>
          </cell>
          <cell r="BG279" t="str">
            <v>0</v>
          </cell>
          <cell r="BH279" t="str">
            <v>0</v>
          </cell>
          <cell r="BI279" t="str">
            <v>0</v>
          </cell>
          <cell r="BJ279" t="str">
            <v>0</v>
          </cell>
          <cell r="BK279" t="str">
            <v>0</v>
          </cell>
          <cell r="BL279" t="str">
            <v>0</v>
          </cell>
          <cell r="BM279" t="str">
            <v>Flaps 0 - 40° (Up when weighed)</v>
          </cell>
          <cell r="BN279" t="str">
            <v>Fuel, Drain, Unusable (5.6 Gal)</v>
          </cell>
          <cell r="BO279" t="str">
            <v>Lavatory Dry Supplies</v>
          </cell>
          <cell r="BP279" t="str">
            <v>Lavatory Pre-charge Fluid (6.0 Gal)</v>
          </cell>
          <cell r="BQ279" t="str">
            <v>Water, Potable (62.6 Gal)</v>
          </cell>
          <cell r="BR279" t="str">
            <v/>
          </cell>
          <cell r="BS279" t="str">
            <v/>
          </cell>
          <cell r="BT279" t="str">
            <v/>
          </cell>
          <cell r="BU279" t="str">
            <v/>
          </cell>
          <cell r="BV279" t="str">
            <v/>
          </cell>
          <cell r="BW279" t="str">
            <v/>
          </cell>
          <cell r="BX279" t="str">
            <v/>
          </cell>
          <cell r="BY279" t="str">
            <v/>
          </cell>
          <cell r="BZ279" t="str">
            <v/>
          </cell>
          <cell r="CA279" t="str">
            <v/>
          </cell>
          <cell r="CB279" t="str">
            <v/>
          </cell>
          <cell r="CC279" t="str">
            <v>17,3</v>
          </cell>
          <cell r="CD279" t="str">
            <v>2</v>
          </cell>
          <cell r="CE279" t="str">
            <v>22,7</v>
          </cell>
          <cell r="CF279" t="str">
            <v>236</v>
          </cell>
          <cell r="CG279" t="str">
            <v/>
          </cell>
          <cell r="CH279" t="str">
            <v>0</v>
          </cell>
          <cell r="CI279" t="str">
            <v>0</v>
          </cell>
          <cell r="CJ279" t="str">
            <v>0</v>
          </cell>
          <cell r="CK279" t="str">
            <v>0</v>
          </cell>
          <cell r="CL279" t="str">
            <v>0</v>
          </cell>
          <cell r="CM279" t="str">
            <v>0</v>
          </cell>
          <cell r="CN279" t="str">
            <v>0</v>
          </cell>
          <cell r="CO279" t="str">
            <v>0</v>
          </cell>
          <cell r="CP279" t="str">
            <v/>
          </cell>
          <cell r="CQ279" t="str">
            <v>646</v>
          </cell>
          <cell r="CR279" t="str">
            <v>89</v>
          </cell>
          <cell r="CS279" t="str">
            <v>1112</v>
          </cell>
          <cell r="CT279" t="str">
            <v>1150</v>
          </cell>
          <cell r="CU279" t="str">
            <v/>
          </cell>
          <cell r="CV279" t="str">
            <v>0</v>
          </cell>
          <cell r="CW279" t="str">
            <v>0</v>
          </cell>
          <cell r="CX279" t="str">
            <v>0</v>
          </cell>
          <cell r="CY279" t="str">
            <v>0</v>
          </cell>
          <cell r="CZ279" t="str">
            <v>0</v>
          </cell>
          <cell r="DA279" t="str">
            <v>0</v>
          </cell>
          <cell r="DB279" t="str">
            <v>0</v>
          </cell>
          <cell r="DC279" t="str">
            <v/>
          </cell>
          <cell r="DD279" t="str">
            <v/>
          </cell>
          <cell r="DE279" t="str">
            <v/>
          </cell>
          <cell r="DF279" t="str">
            <v/>
          </cell>
          <cell r="DH279" t="str">
            <v/>
          </cell>
          <cell r="DN279" t="str">
            <v>05/05/2026</v>
          </cell>
          <cell r="DQ279" t="str">
            <v>Danton</v>
          </cell>
          <cell r="DR279" t="str">
            <v>Euler</v>
          </cell>
          <cell r="DS279" t="str">
            <v>3</v>
          </cell>
          <cell r="DT279" t="str">
            <v>0</v>
          </cell>
          <cell r="DU279" t="str">
            <v>GOL</v>
          </cell>
          <cell r="DV279" t="str">
            <v>186 Pax + 10 Flight Crew</v>
          </cell>
          <cell r="DW279" t="str">
            <v>GLP-800-003-GYD</v>
          </cell>
          <cell r="FL279" t="str">
            <v/>
          </cell>
          <cell r="FM279" t="str">
            <v/>
          </cell>
          <cell r="FN279" t="str">
            <v/>
          </cell>
          <cell r="FO279" t="str">
            <v/>
          </cell>
          <cell r="FP279" t="str">
            <v/>
          </cell>
          <cell r="FQ279" t="str">
            <v/>
          </cell>
          <cell r="FR279" t="str">
            <v/>
          </cell>
          <cell r="FS279" t="str">
            <v/>
          </cell>
          <cell r="FT279" t="str">
            <v/>
          </cell>
          <cell r="FU279" t="str">
            <v/>
          </cell>
          <cell r="FV279" t="str">
            <v/>
          </cell>
          <cell r="FW279" t="str">
            <v/>
          </cell>
          <cell r="FX279" t="str">
            <v/>
          </cell>
          <cell r="FY279" t="str">
            <v/>
          </cell>
          <cell r="FZ279" t="str">
            <v/>
          </cell>
          <cell r="GA279" t="str">
            <v/>
          </cell>
          <cell r="GB279" t="str">
            <v/>
          </cell>
          <cell r="GC279" t="str">
            <v/>
          </cell>
          <cell r="GD279" t="str">
            <v/>
          </cell>
          <cell r="GE279" t="str">
            <v/>
          </cell>
          <cell r="GF279" t="str">
            <v/>
          </cell>
          <cell r="GG279" t="str">
            <v/>
          </cell>
          <cell r="GH279" t="str">
            <v/>
          </cell>
          <cell r="GI279" t="str">
            <v/>
          </cell>
          <cell r="GJ279" t="str">
            <v/>
          </cell>
          <cell r="GK279" t="str">
            <v/>
          </cell>
          <cell r="GL279" t="str">
            <v/>
          </cell>
          <cell r="GM279" t="str">
            <v/>
          </cell>
          <cell r="GN279" t="str">
            <v/>
          </cell>
        </row>
        <row r="280">
          <cell r="A280" t="str">
            <v>PR-XMZ</v>
          </cell>
          <cell r="D280" t="str">
            <v>25/08/2023</v>
          </cell>
          <cell r="E280">
            <v>1</v>
          </cell>
          <cell r="F280">
            <v>1</v>
          </cell>
          <cell r="G280" t="str">
            <v>Seattle, WA - EUA</v>
          </cell>
          <cell r="H280" t="str">
            <v>New Production Aircraft</v>
          </cell>
          <cell r="I280" t="str">
            <v>1931,66845</v>
          </cell>
          <cell r="J280" t="str">
            <v>1931,66845</v>
          </cell>
          <cell r="K280" t="str">
            <v>10040,97015</v>
          </cell>
          <cell r="L280" t="str">
            <v>10040,97015</v>
          </cell>
          <cell r="M280" t="str">
            <v>10049,11215</v>
          </cell>
          <cell r="N280" t="str">
            <v>10049,11215</v>
          </cell>
          <cell r="O280" t="str">
            <v>1931,66845</v>
          </cell>
          <cell r="P280" t="str">
            <v>1931,66845</v>
          </cell>
          <cell r="Q280" t="str">
            <v>10040,97015</v>
          </cell>
          <cell r="R280" t="str">
            <v>10040,97015</v>
          </cell>
          <cell r="S280" t="str">
            <v>10049,11215</v>
          </cell>
          <cell r="T280" t="str">
            <v>10049,11215</v>
          </cell>
          <cell r="U280" t="str">
            <v>14,0337</v>
          </cell>
          <cell r="V280" t="str">
            <v>13,2669</v>
          </cell>
          <cell r="W280" t="str">
            <v>Down Lock, Nose Gear</v>
          </cell>
          <cell r="X280" t="str">
            <v>Down Lock, Main Gear</v>
          </cell>
          <cell r="Y280" t="str">
            <v>Plumb Bob</v>
          </cell>
          <cell r="Z280" t="str">
            <v>Wiring Diagrams</v>
          </cell>
          <cell r="AA280" t="str">
            <v>Operations Manuals</v>
          </cell>
          <cell r="AB280" t="str">
            <v/>
          </cell>
          <cell r="AC280" t="str">
            <v/>
          </cell>
          <cell r="AD280" t="str">
            <v/>
          </cell>
          <cell r="AE280" t="str">
            <v/>
          </cell>
          <cell r="AF280" t="str">
            <v/>
          </cell>
          <cell r="AG280" t="str">
            <v/>
          </cell>
          <cell r="AH280" t="str">
            <v/>
          </cell>
          <cell r="AI280" t="str">
            <v/>
          </cell>
          <cell r="AJ280" t="str">
            <v/>
          </cell>
          <cell r="AK280" t="str">
            <v>0,3</v>
          </cell>
          <cell r="AL280" t="str">
            <v>0,4</v>
          </cell>
          <cell r="AM280" t="str">
            <v>0,5</v>
          </cell>
          <cell r="AN280" t="str">
            <v>23,6</v>
          </cell>
          <cell r="AO280" t="str">
            <v>2,3</v>
          </cell>
          <cell r="AP280" t="str">
            <v>0</v>
          </cell>
          <cell r="AQ280" t="str">
            <v>0</v>
          </cell>
          <cell r="AR280" t="str">
            <v>0</v>
          </cell>
          <cell r="AS280" t="str">
            <v>0</v>
          </cell>
          <cell r="AT280" t="str">
            <v>0</v>
          </cell>
          <cell r="AU280" t="str">
            <v>0</v>
          </cell>
          <cell r="AV280" t="str">
            <v>0</v>
          </cell>
          <cell r="AW280" t="str">
            <v>0</v>
          </cell>
          <cell r="AX280" t="str">
            <v>0</v>
          </cell>
          <cell r="AY280" t="str">
            <v>82</v>
          </cell>
          <cell r="AZ280" t="str">
            <v>702</v>
          </cell>
          <cell r="BA280" t="str">
            <v>685</v>
          </cell>
          <cell r="BB280" t="str">
            <v>230</v>
          </cell>
          <cell r="BC280" t="str">
            <v>67</v>
          </cell>
          <cell r="BD280" t="str">
            <v>0</v>
          </cell>
          <cell r="BE280" t="str">
            <v>0</v>
          </cell>
          <cell r="BF280" t="str">
            <v>0</v>
          </cell>
          <cell r="BG280" t="str">
            <v>0</v>
          </cell>
          <cell r="BH280" t="str">
            <v>0</v>
          </cell>
          <cell r="BI280" t="str">
            <v>0</v>
          </cell>
          <cell r="BJ280" t="str">
            <v>0</v>
          </cell>
          <cell r="BK280" t="str">
            <v>0</v>
          </cell>
          <cell r="BL280" t="str">
            <v>0</v>
          </cell>
          <cell r="BM280" t="str">
            <v>Flaps 0 - 40° (Up when weighed)</v>
          </cell>
          <cell r="BN280" t="str">
            <v>Fuel, Drain, Unusable (5.6 Gal)</v>
          </cell>
          <cell r="BO280" t="str">
            <v>Lavatory Dry Supplies</v>
          </cell>
          <cell r="BP280" t="str">
            <v>Lavatory Dry Supplies</v>
          </cell>
          <cell r="BQ280" t="str">
            <v>Lavatory Pre-charge Fluid (6.0 Gal)</v>
          </cell>
          <cell r="BR280" t="str">
            <v>Headphone</v>
          </cell>
          <cell r="BS280" t="str">
            <v>Level Correction (value added to CG)</v>
          </cell>
          <cell r="BT280" t="str">
            <v>Water, Potable (62.6 Gal)</v>
          </cell>
          <cell r="BU280" t="str">
            <v>2Ku System Antenna Installation ST03405NY</v>
          </cell>
          <cell r="BV280" t="str">
            <v>2Ku System Cabin Equip Installation ST03403NY</v>
          </cell>
          <cell r="BW280" t="str">
            <v/>
          </cell>
          <cell r="BX280" t="str">
            <v/>
          </cell>
          <cell r="BY280" t="str">
            <v/>
          </cell>
          <cell r="BZ280" t="str">
            <v/>
          </cell>
          <cell r="CA280" t="str">
            <v/>
          </cell>
          <cell r="CB280" t="str">
            <v>0</v>
          </cell>
          <cell r="CC280" t="str">
            <v>17,3</v>
          </cell>
          <cell r="CD280" t="str">
            <v>2</v>
          </cell>
          <cell r="CE280" t="str">
            <v>4</v>
          </cell>
          <cell r="CF280" t="str">
            <v>22,7</v>
          </cell>
          <cell r="CG280" t="str">
            <v>0,4</v>
          </cell>
          <cell r="CH280" t="str">
            <v>0</v>
          </cell>
          <cell r="CI280" t="str">
            <v>236,4</v>
          </cell>
          <cell r="CJ280" t="str">
            <v>164,4091</v>
          </cell>
          <cell r="CK280" t="str">
            <v>43,8579</v>
          </cell>
          <cell r="CL280" t="str">
            <v/>
          </cell>
          <cell r="CM280" t="str">
            <v/>
          </cell>
          <cell r="CN280" t="str">
            <v/>
          </cell>
          <cell r="CO280" t="str">
            <v/>
          </cell>
          <cell r="CP280" t="str">
            <v>0</v>
          </cell>
          <cell r="CQ280" t="str">
            <v>646</v>
          </cell>
          <cell r="CR280" t="str">
            <v>80</v>
          </cell>
          <cell r="CS280" t="str">
            <v>1138</v>
          </cell>
          <cell r="CT280" t="str">
            <v>1112</v>
          </cell>
          <cell r="CU280" t="str">
            <v>68</v>
          </cell>
          <cell r="CV280" t="str">
            <v>0,8</v>
          </cell>
          <cell r="CW280" t="str">
            <v>1150</v>
          </cell>
          <cell r="CX280" t="str">
            <v>860,8912</v>
          </cell>
          <cell r="CY280" t="str">
            <v>419,4195</v>
          </cell>
          <cell r="CZ280" t="str">
            <v/>
          </cell>
          <cell r="DA280" t="str">
            <v/>
          </cell>
          <cell r="DB280" t="str">
            <v/>
          </cell>
          <cell r="DC280" t="str">
            <v/>
          </cell>
          <cell r="DD280" t="str">
            <v>Revision 1 was issued due to 2KU ( Wi-fi ) System installation</v>
          </cell>
          <cell r="DE280" t="str">
            <v/>
          </cell>
          <cell r="DF280" t="str">
            <v/>
          </cell>
          <cell r="DH280" t="str">
            <v/>
          </cell>
          <cell r="DN280" t="str">
            <v>11/05/2026</v>
          </cell>
          <cell r="DQ280" t="str">
            <v>Fernando Araujo</v>
          </cell>
          <cell r="DR280" t="str">
            <v>Ciro</v>
          </cell>
          <cell r="DS280" t="str">
            <v>1</v>
          </cell>
          <cell r="DT280" t="str">
            <v>0</v>
          </cell>
          <cell r="DU280" t="str">
            <v>Boeing</v>
          </cell>
          <cell r="DV280" t="str">
            <v>186 Pax + 10 Flight Crew</v>
          </cell>
          <cell r="DW280" t="str">
            <v>GLP-MAX8-001-XMZ R00</v>
          </cell>
          <cell r="FL280" t="str">
            <v/>
          </cell>
          <cell r="FM280" t="str">
            <v/>
          </cell>
          <cell r="FN280" t="str">
            <v/>
          </cell>
          <cell r="FO280" t="str">
            <v/>
          </cell>
          <cell r="FP280" t="str">
            <v/>
          </cell>
          <cell r="FQ280" t="str">
            <v/>
          </cell>
          <cell r="FR280" t="str">
            <v/>
          </cell>
          <cell r="FS280" t="str">
            <v/>
          </cell>
          <cell r="FT280" t="str">
            <v/>
          </cell>
          <cell r="FU280" t="str">
            <v/>
          </cell>
          <cell r="FV280" t="str">
            <v/>
          </cell>
          <cell r="FW280" t="str">
            <v/>
          </cell>
          <cell r="FX280" t="str">
            <v/>
          </cell>
          <cell r="FY280" t="str">
            <v/>
          </cell>
          <cell r="FZ280" t="str">
            <v/>
          </cell>
          <cell r="GA280" t="str">
            <v/>
          </cell>
          <cell r="GB280" t="str">
            <v/>
          </cell>
          <cell r="GC280" t="str">
            <v/>
          </cell>
          <cell r="GD280" t="str">
            <v/>
          </cell>
          <cell r="GE280" t="str">
            <v/>
          </cell>
          <cell r="GF280" t="str">
            <v/>
          </cell>
          <cell r="GG280" t="str">
            <v/>
          </cell>
          <cell r="GH280" t="str">
            <v/>
          </cell>
          <cell r="GI280" t="str">
            <v/>
          </cell>
          <cell r="GJ280" t="str">
            <v/>
          </cell>
          <cell r="GK280" t="str">
            <v/>
          </cell>
          <cell r="GL280" t="str">
            <v/>
          </cell>
          <cell r="GM280" t="str">
            <v/>
          </cell>
          <cell r="GN280" t="str">
            <v/>
          </cell>
        </row>
        <row r="281">
          <cell r="A281" t="str">
            <v>PR-GKD</v>
          </cell>
          <cell r="D281" t="str">
            <v>14/05/2026</v>
          </cell>
          <cell r="E281">
            <v>2</v>
          </cell>
          <cell r="F281">
            <v>0</v>
          </cell>
          <cell r="G281" t="str">
            <v>Lagoa Santa, MG - Brazil</v>
          </cell>
          <cell r="H281" t="str">
            <v>New Painting</v>
          </cell>
          <cell r="I281" t="str">
            <v>1750</v>
          </cell>
          <cell r="J281" t="str">
            <v>1278</v>
          </cell>
          <cell r="K281" t="str">
            <v>9228</v>
          </cell>
          <cell r="L281" t="str">
            <v>9608</v>
          </cell>
          <cell r="M281" t="str">
            <v>9592</v>
          </cell>
          <cell r="N281" t="str">
            <v>9238</v>
          </cell>
          <cell r="O281" t="str">
            <v>1750</v>
          </cell>
          <cell r="P281" t="str">
            <v>1276</v>
          </cell>
          <cell r="Q281" t="str">
            <v>9036</v>
          </cell>
          <cell r="R281" t="str">
            <v>9774</v>
          </cell>
          <cell r="S281" t="str">
            <v>9650</v>
          </cell>
          <cell r="T281" t="str">
            <v>9200</v>
          </cell>
          <cell r="U281">
            <v>4.9212598425196852</v>
          </cell>
          <cell r="V281">
            <v>4.3307086614173231</v>
          </cell>
          <cell r="W281" t="str">
            <v xml:space="preserve">Down Lock, Nose Gear </v>
          </cell>
          <cell r="X281" t="str">
            <v xml:space="preserve">Down Lock, Main Gear </v>
          </cell>
          <cell r="Y281" t="str">
            <v>Plumb Bob</v>
          </cell>
          <cell r="Z281" t="str">
            <v/>
          </cell>
          <cell r="AA281" t="str">
            <v/>
          </cell>
          <cell r="AB281" t="str">
            <v/>
          </cell>
          <cell r="AC281" t="str">
            <v/>
          </cell>
          <cell r="AD281" t="str">
            <v/>
          </cell>
          <cell r="AE281" t="str">
            <v/>
          </cell>
          <cell r="AF281" t="str">
            <v/>
          </cell>
          <cell r="AG281" t="str">
            <v/>
          </cell>
          <cell r="AH281" t="str">
            <v/>
          </cell>
          <cell r="AI281" t="str">
            <v/>
          </cell>
          <cell r="AJ281" t="str">
            <v/>
          </cell>
          <cell r="AK281" t="str">
            <v>0,272</v>
          </cell>
          <cell r="AL281" t="str">
            <v>0,362</v>
          </cell>
          <cell r="AM281" t="str">
            <v>0,454</v>
          </cell>
          <cell r="AN281" t="str">
            <v/>
          </cell>
          <cell r="AO281" t="str">
            <v/>
          </cell>
          <cell r="AP281" t="str">
            <v/>
          </cell>
          <cell r="AQ281" t="str">
            <v/>
          </cell>
          <cell r="AR281" t="str">
            <v/>
          </cell>
          <cell r="AS281" t="str">
            <v/>
          </cell>
          <cell r="AT281" t="str">
            <v/>
          </cell>
          <cell r="AU281" t="str">
            <v/>
          </cell>
          <cell r="AV281" t="str">
            <v/>
          </cell>
          <cell r="AW281" t="str">
            <v/>
          </cell>
          <cell r="AX281" t="str">
            <v/>
          </cell>
          <cell r="AY281" t="str">
            <v>82</v>
          </cell>
          <cell r="AZ281" t="str">
            <v>702</v>
          </cell>
          <cell r="BA281" t="str">
            <v>685</v>
          </cell>
          <cell r="BB281" t="str">
            <v/>
          </cell>
          <cell r="BC281" t="str">
            <v/>
          </cell>
          <cell r="BD281" t="str">
            <v/>
          </cell>
          <cell r="BE281" t="str">
            <v/>
          </cell>
          <cell r="BF281" t="str">
            <v/>
          </cell>
          <cell r="BG281" t="str">
            <v/>
          </cell>
          <cell r="BH281" t="str">
            <v/>
          </cell>
          <cell r="BI281" t="str">
            <v/>
          </cell>
          <cell r="BJ281" t="str">
            <v/>
          </cell>
          <cell r="BK281" t="str">
            <v/>
          </cell>
          <cell r="BL281" t="str">
            <v/>
          </cell>
          <cell r="BM281" t="str">
            <v>Flaps 0 - 40° (Up when weighed)</v>
          </cell>
          <cell r="BN281" t="str">
            <v>Potable Water (42,6 Gal)</v>
          </cell>
          <cell r="BO281" t="str">
            <v>Fuel, Drain, Unusable (5.6 Gal)</v>
          </cell>
          <cell r="BP281" t="str">
            <v>Lavatory Dry Supplies</v>
          </cell>
          <cell r="BQ281" t="str">
            <v>Lavatory Pre-charge Fluid (6.0 Gal)</v>
          </cell>
          <cell r="BR281" t="str">
            <v/>
          </cell>
          <cell r="BS281" t="str">
            <v/>
          </cell>
          <cell r="BT281" t="str">
            <v/>
          </cell>
          <cell r="BU281" t="str">
            <v/>
          </cell>
          <cell r="BV281" t="str">
            <v/>
          </cell>
          <cell r="BW281" t="str">
            <v/>
          </cell>
          <cell r="BX281" t="str">
            <v/>
          </cell>
          <cell r="BY281" t="str">
            <v/>
          </cell>
          <cell r="BZ281" t="str">
            <v/>
          </cell>
          <cell r="CA281" t="str">
            <v/>
          </cell>
          <cell r="CB281" t="str">
            <v/>
          </cell>
          <cell r="CC281" t="str">
            <v>160,9799</v>
          </cell>
          <cell r="CD281" t="str">
            <v>17,2818</v>
          </cell>
          <cell r="CE281" t="str">
            <v>1,9958</v>
          </cell>
          <cell r="CF281" t="str">
            <v>22,6796</v>
          </cell>
          <cell r="CG281" t="str">
            <v/>
          </cell>
          <cell r="CH281" t="str">
            <v/>
          </cell>
          <cell r="CI281" t="str">
            <v/>
          </cell>
          <cell r="CJ281" t="str">
            <v/>
          </cell>
          <cell r="CK281" t="str">
            <v/>
          </cell>
          <cell r="CL281" t="str">
            <v/>
          </cell>
          <cell r="CM281" t="str">
            <v/>
          </cell>
          <cell r="CN281" t="str">
            <v/>
          </cell>
          <cell r="CO281" t="str">
            <v/>
          </cell>
          <cell r="CP281" t="str">
            <v/>
          </cell>
          <cell r="CQ281" t="str">
            <v>1141</v>
          </cell>
          <cell r="CR281" t="str">
            <v>646</v>
          </cell>
          <cell r="CS281" t="str">
            <v>89</v>
          </cell>
          <cell r="CT281" t="str">
            <v>1112</v>
          </cell>
          <cell r="CU281" t="str">
            <v/>
          </cell>
          <cell r="CV281" t="str">
            <v/>
          </cell>
          <cell r="CW281" t="str">
            <v/>
          </cell>
          <cell r="CX281" t="str">
            <v/>
          </cell>
          <cell r="CY281" t="str">
            <v/>
          </cell>
          <cell r="CZ281" t="str">
            <v/>
          </cell>
          <cell r="DA281" t="str">
            <v/>
          </cell>
          <cell r="DB281" t="str">
            <v/>
          </cell>
          <cell r="DC281" t="str">
            <v/>
          </cell>
          <cell r="DN281" t="str">
            <v>14/05/2026</v>
          </cell>
          <cell r="DQ281" t="str">
            <v>Fernando Araujo</v>
          </cell>
          <cell r="DS281">
            <v>1</v>
          </cell>
          <cell r="DT281">
            <v>0</v>
          </cell>
          <cell r="DU281" t="str">
            <v>GOL</v>
          </cell>
          <cell r="DV281" t="str">
            <v>175 Pax + 10 Flight Crew</v>
          </cell>
          <cell r="DW281" t="str">
            <v>GLP-800-001-GKD</v>
          </cell>
          <cell r="FL281" t="str">
            <v/>
          </cell>
          <cell r="FM281" t="str">
            <v/>
          </cell>
          <cell r="FN281" t="str">
            <v/>
          </cell>
          <cell r="FO281" t="str">
            <v/>
          </cell>
          <cell r="FP281" t="str">
            <v/>
          </cell>
          <cell r="FQ281" t="str">
            <v/>
          </cell>
          <cell r="FR281" t="str">
            <v/>
          </cell>
          <cell r="FS281" t="str">
            <v/>
          </cell>
          <cell r="FT281" t="str">
            <v/>
          </cell>
          <cell r="FU281" t="str">
            <v/>
          </cell>
          <cell r="FV281" t="str">
            <v/>
          </cell>
          <cell r="FW281" t="str">
            <v/>
          </cell>
          <cell r="FX281" t="str">
            <v/>
          </cell>
          <cell r="FY281" t="str">
            <v/>
          </cell>
          <cell r="FZ281" t="str">
            <v/>
          </cell>
          <cell r="GA281" t="str">
            <v/>
          </cell>
          <cell r="GB281" t="str">
            <v/>
          </cell>
          <cell r="GC281" t="str">
            <v/>
          </cell>
          <cell r="GD281" t="str">
            <v/>
          </cell>
          <cell r="GE281" t="str">
            <v/>
          </cell>
          <cell r="GF281" t="str">
            <v/>
          </cell>
          <cell r="GG281" t="str">
            <v/>
          </cell>
          <cell r="GH281" t="str">
            <v/>
          </cell>
          <cell r="GI281" t="str">
            <v/>
          </cell>
          <cell r="GJ281" t="str">
            <v/>
          </cell>
          <cell r="GK281" t="str">
            <v/>
          </cell>
          <cell r="GL281" t="str">
            <v/>
          </cell>
          <cell r="GM281" t="str">
            <v/>
          </cell>
          <cell r="GN281" t="str">
            <v/>
          </cell>
        </row>
        <row r="282">
          <cell r="A282" t="str">
            <v>PS-GRA</v>
          </cell>
          <cell r="D282" t="str">
            <v>11/09/2023</v>
          </cell>
          <cell r="E282">
            <v>1</v>
          </cell>
          <cell r="F282">
            <v>1</v>
          </cell>
          <cell r="G282" t="str">
            <v>Seattle, WA - EUA</v>
          </cell>
          <cell r="H282" t="str">
            <v>New Production Aircraft</v>
          </cell>
          <cell r="I282" t="str">
            <v>1918,2875</v>
          </cell>
          <cell r="J282" t="str">
            <v>1918,2875</v>
          </cell>
          <cell r="K282" t="str">
            <v>9982,68355</v>
          </cell>
          <cell r="L282" t="str">
            <v>9982,68355</v>
          </cell>
          <cell r="M282" t="str">
            <v>10096,28575</v>
          </cell>
          <cell r="N282" t="str">
            <v>10096,28575</v>
          </cell>
          <cell r="O282" t="str">
            <v>1918,2875</v>
          </cell>
          <cell r="P282" t="str">
            <v>1918,2875</v>
          </cell>
          <cell r="Q282" t="str">
            <v>9982,68355</v>
          </cell>
          <cell r="R282" t="str">
            <v>9982,68355</v>
          </cell>
          <cell r="S282" t="str">
            <v>10096,28575</v>
          </cell>
          <cell r="T282" t="str">
            <v>10096,28575</v>
          </cell>
          <cell r="U282" t="str">
            <v>13,2669</v>
          </cell>
          <cell r="V282" t="str">
            <v>12,5</v>
          </cell>
          <cell r="W282" t="str">
            <v>Down Lock, Nose Gear</v>
          </cell>
          <cell r="X282" t="str">
            <v>Down Lock, Main Gear</v>
          </cell>
          <cell r="Y282" t="str">
            <v>Plumb Bob</v>
          </cell>
          <cell r="Z282" t="str">
            <v>Wiring Diagrams</v>
          </cell>
          <cell r="AA282" t="str">
            <v>Operations Manuals</v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  <cell r="AF282" t="str">
            <v/>
          </cell>
          <cell r="AG282" t="str">
            <v/>
          </cell>
          <cell r="AH282" t="str">
            <v/>
          </cell>
          <cell r="AI282" t="str">
            <v/>
          </cell>
          <cell r="AJ282" t="str">
            <v/>
          </cell>
          <cell r="AK282" t="str">
            <v>0,3</v>
          </cell>
          <cell r="AL282" t="str">
            <v>0,4</v>
          </cell>
          <cell r="AM282" t="str">
            <v>0,5</v>
          </cell>
          <cell r="AN282" t="str">
            <v>23,6</v>
          </cell>
          <cell r="AO282" t="str">
            <v>2,3</v>
          </cell>
          <cell r="AP282" t="str">
            <v>0</v>
          </cell>
          <cell r="AQ282" t="str">
            <v>0</v>
          </cell>
          <cell r="AR282" t="str">
            <v>0</v>
          </cell>
          <cell r="AS282" t="str">
            <v>0</v>
          </cell>
          <cell r="AT282" t="str">
            <v>0</v>
          </cell>
          <cell r="AU282" t="str">
            <v>0</v>
          </cell>
          <cell r="AV282" t="str">
            <v>0</v>
          </cell>
          <cell r="AW282" t="str">
            <v>0</v>
          </cell>
          <cell r="AX282" t="str">
            <v>0</v>
          </cell>
          <cell r="AY282" t="str">
            <v>82</v>
          </cell>
          <cell r="AZ282" t="str">
            <v>702</v>
          </cell>
          <cell r="BA282" t="str">
            <v>685</v>
          </cell>
          <cell r="BB282" t="str">
            <v>230</v>
          </cell>
          <cell r="BC282" t="str">
            <v>67</v>
          </cell>
          <cell r="BD282" t="str">
            <v>0</v>
          </cell>
          <cell r="BE282" t="str">
            <v>0</v>
          </cell>
          <cell r="BF282" t="str">
            <v>0</v>
          </cell>
          <cell r="BG282" t="str">
            <v>0</v>
          </cell>
          <cell r="BH282" t="str">
            <v>0</v>
          </cell>
          <cell r="BI282" t="str">
            <v>0</v>
          </cell>
          <cell r="BJ282" t="str">
            <v>0</v>
          </cell>
          <cell r="BK282" t="str">
            <v>0</v>
          </cell>
          <cell r="BL282" t="str">
            <v>0</v>
          </cell>
          <cell r="BM282" t="str">
            <v>Flaps 0 - 40° (Up when weighed)</v>
          </cell>
          <cell r="BN282" t="str">
            <v>Fuel, Drain, Unusable (5.6 Gal)</v>
          </cell>
          <cell r="BO282" t="str">
            <v>Lavatory Dry Supplies</v>
          </cell>
          <cell r="BP282" t="str">
            <v>Lavatory Dry Supplies</v>
          </cell>
          <cell r="BQ282" t="str">
            <v>Lavatory Pre-charge Fluid (6.0 Gal)</v>
          </cell>
          <cell r="BR282" t="str">
            <v>Water, Potable (62.6 Gal)</v>
          </cell>
          <cell r="BT282" t="str">
            <v>2Ku System Antenna Installation ST03405NY</v>
          </cell>
          <cell r="BU282" t="str">
            <v>2Ku System Antenna Installation ST03403NY</v>
          </cell>
          <cell r="BV282" t="str">
            <v/>
          </cell>
          <cell r="BW282" t="str">
            <v/>
          </cell>
          <cell r="BX282" t="str">
            <v/>
          </cell>
          <cell r="BY282" t="str">
            <v/>
          </cell>
          <cell r="BZ282" t="str">
            <v/>
          </cell>
          <cell r="CA282" t="str">
            <v/>
          </cell>
          <cell r="CB282" t="str">
            <v>0</v>
          </cell>
          <cell r="CC282" t="str">
            <v>17,3</v>
          </cell>
          <cell r="CD282" t="str">
            <v>2</v>
          </cell>
          <cell r="CE282" t="str">
            <v>4</v>
          </cell>
          <cell r="CF282" t="str">
            <v>22,7</v>
          </cell>
          <cell r="CG282" t="str">
            <v>236,4</v>
          </cell>
          <cell r="CI282" t="str">
            <v>164,4091</v>
          </cell>
          <cell r="CJ282" t="str">
            <v>43,8579</v>
          </cell>
          <cell r="CK282" t="str">
            <v>0</v>
          </cell>
          <cell r="CL282" t="str">
            <v>0</v>
          </cell>
          <cell r="CM282" t="str">
            <v>0</v>
          </cell>
          <cell r="CN282" t="str">
            <v>0</v>
          </cell>
          <cell r="CO282" t="str">
            <v>0</v>
          </cell>
          <cell r="CP282" t="str">
            <v>0</v>
          </cell>
          <cell r="CQ282" t="str">
            <v>646</v>
          </cell>
          <cell r="CR282" t="str">
            <v>80</v>
          </cell>
          <cell r="CS282" t="str">
            <v>1138</v>
          </cell>
          <cell r="CT282" t="str">
            <v>1112</v>
          </cell>
          <cell r="CU282" t="str">
            <v>1150</v>
          </cell>
          <cell r="CW282" t="str">
            <v>860,8912</v>
          </cell>
          <cell r="CX282" t="str">
            <v>419,4195</v>
          </cell>
          <cell r="CY282" t="str">
            <v>0</v>
          </cell>
          <cell r="CZ282" t="str">
            <v>0</v>
          </cell>
          <cell r="DA282" t="str">
            <v>0</v>
          </cell>
          <cell r="DB282" t="str">
            <v>0</v>
          </cell>
          <cell r="DC282" t="str">
            <v>0</v>
          </cell>
          <cell r="DD282" t="str">
            <v>Revision 1 was issued due to 2KU ( Wi-fi ) System installation</v>
          </cell>
          <cell r="DE282" t="str">
            <v/>
          </cell>
          <cell r="DF282" t="str">
            <v/>
          </cell>
          <cell r="DH282" t="str">
            <v/>
          </cell>
          <cell r="DN282" t="str">
            <v>29/05/2026</v>
          </cell>
          <cell r="DQ282" t="str">
            <v>Fernando Araujo</v>
          </cell>
          <cell r="DR282" t="str">
            <v>Danton</v>
          </cell>
          <cell r="DS282" t="str">
            <v>1</v>
          </cell>
          <cell r="DT282" t="str">
            <v>0</v>
          </cell>
          <cell r="DU282" t="str">
            <v>Boeing</v>
          </cell>
          <cell r="DV282" t="str">
            <v>186 Pax + 10 Flight Crew</v>
          </cell>
          <cell r="DW282" t="str">
            <v xml:space="preserve">GLP-MAX8-001-GRA </v>
          </cell>
          <cell r="FL282" t="str">
            <v/>
          </cell>
          <cell r="FM282" t="str">
            <v/>
          </cell>
          <cell r="FN282" t="str">
            <v/>
          </cell>
          <cell r="FO282" t="str">
            <v/>
          </cell>
          <cell r="FP282" t="str">
            <v/>
          </cell>
          <cell r="FQ282" t="str">
            <v/>
          </cell>
          <cell r="FR282" t="str">
            <v/>
          </cell>
          <cell r="FS282" t="str">
            <v/>
          </cell>
          <cell r="FT282" t="str">
            <v/>
          </cell>
          <cell r="FU282" t="str">
            <v/>
          </cell>
          <cell r="FV282" t="str">
            <v/>
          </cell>
          <cell r="FW282" t="str">
            <v/>
          </cell>
          <cell r="FX282" t="str">
            <v/>
          </cell>
          <cell r="FY282" t="str">
            <v/>
          </cell>
          <cell r="FZ282" t="str">
            <v/>
          </cell>
          <cell r="GA282" t="str">
            <v/>
          </cell>
          <cell r="GB282" t="str">
            <v/>
          </cell>
          <cell r="GC282" t="str">
            <v/>
          </cell>
          <cell r="GD282" t="str">
            <v/>
          </cell>
          <cell r="GE282" t="str">
            <v/>
          </cell>
          <cell r="GF282" t="str">
            <v/>
          </cell>
          <cell r="GG282" t="str">
            <v/>
          </cell>
          <cell r="GH282" t="str">
            <v/>
          </cell>
          <cell r="GI282" t="str">
            <v/>
          </cell>
          <cell r="GJ282" t="str">
            <v/>
          </cell>
          <cell r="GK282" t="str">
            <v/>
          </cell>
          <cell r="GL282" t="str">
            <v/>
          </cell>
          <cell r="GM282" t="str">
            <v/>
          </cell>
          <cell r="GN282" t="str">
            <v/>
          </cell>
        </row>
        <row r="283">
          <cell r="A283" t="str">
            <v>PR-XMP</v>
          </cell>
          <cell r="D283" t="str">
            <v>14/06/2026</v>
          </cell>
          <cell r="E283">
            <v>2</v>
          </cell>
          <cell r="F283">
            <v>0</v>
          </cell>
          <cell r="G283" t="str">
            <v>Lagoa Santa, MG - Brazil</v>
          </cell>
          <cell r="H283" t="str">
            <v>Scheduled</v>
          </cell>
          <cell r="I283" t="str">
            <v>2060</v>
          </cell>
          <cell r="J283" t="str">
            <v>1612</v>
          </cell>
          <cell r="K283" t="str">
            <v>9754</v>
          </cell>
          <cell r="L283" t="str">
            <v>10514</v>
          </cell>
          <cell r="M283" t="str">
            <v>11078</v>
          </cell>
          <cell r="N283" t="str">
            <v>9106</v>
          </cell>
          <cell r="O283" t="str">
            <v>2064</v>
          </cell>
          <cell r="P283" t="str">
            <v>1610</v>
          </cell>
          <cell r="Q283" t="str">
            <v>9884</v>
          </cell>
          <cell r="R283" t="str">
            <v>10394</v>
          </cell>
          <cell r="S283" t="str">
            <v>11006</v>
          </cell>
          <cell r="T283" t="str">
            <v>9170</v>
          </cell>
          <cell r="U283" t="str">
            <v>4</v>
          </cell>
          <cell r="V283" t="str">
            <v>4</v>
          </cell>
          <cell r="W283" t="str">
            <v xml:space="preserve">Down Lock, Nose Gear </v>
          </cell>
          <cell r="X283" t="str">
            <v xml:space="preserve">Down Lock, Main Gear </v>
          </cell>
          <cell r="Y283" t="str">
            <v>Plumb Bob</v>
          </cell>
          <cell r="Z283" t="str">
            <v/>
          </cell>
          <cell r="AA283" t="str">
            <v/>
          </cell>
          <cell r="AB283" t="str">
            <v/>
          </cell>
          <cell r="AC283" t="str">
            <v/>
          </cell>
          <cell r="AD283" t="str">
            <v/>
          </cell>
          <cell r="AE283" t="str">
            <v/>
          </cell>
          <cell r="AF283" t="str">
            <v/>
          </cell>
          <cell r="AG283" t="str">
            <v/>
          </cell>
          <cell r="AH283" t="str">
            <v/>
          </cell>
          <cell r="AI283" t="str">
            <v/>
          </cell>
          <cell r="AJ283" t="str">
            <v/>
          </cell>
          <cell r="AK283" t="str">
            <v>0,3</v>
          </cell>
          <cell r="AL283" t="str">
            <v>0,4</v>
          </cell>
          <cell r="AM283" t="str">
            <v>0,5</v>
          </cell>
          <cell r="AN283" t="str">
            <v>0</v>
          </cell>
          <cell r="AO283" t="str">
            <v>0</v>
          </cell>
          <cell r="AP283" t="str">
            <v>0</v>
          </cell>
          <cell r="AQ283" t="str">
            <v>0</v>
          </cell>
          <cell r="AR283" t="str">
            <v>0</v>
          </cell>
          <cell r="AS283" t="str">
            <v>0</v>
          </cell>
          <cell r="AT283" t="str">
            <v>0</v>
          </cell>
          <cell r="AU283" t="str">
            <v>0</v>
          </cell>
          <cell r="AV283" t="str">
            <v>0</v>
          </cell>
          <cell r="AW283" t="str">
            <v>0</v>
          </cell>
          <cell r="AX283" t="str">
            <v>0</v>
          </cell>
          <cell r="AY283" t="str">
            <v>82</v>
          </cell>
          <cell r="AZ283" t="str">
            <v>702</v>
          </cell>
          <cell r="BA283" t="str">
            <v>685</v>
          </cell>
          <cell r="BB283" t="str">
            <v>0</v>
          </cell>
          <cell r="BC283" t="str">
            <v>0</v>
          </cell>
          <cell r="BD283" t="str">
            <v>0</v>
          </cell>
          <cell r="BE283" t="str">
            <v>0</v>
          </cell>
          <cell r="BF283" t="str">
            <v>0</v>
          </cell>
          <cell r="BG283" t="str">
            <v>0</v>
          </cell>
          <cell r="BH283" t="str">
            <v>0</v>
          </cell>
          <cell r="BI283" t="str">
            <v>0</v>
          </cell>
          <cell r="BJ283" t="str">
            <v>0</v>
          </cell>
          <cell r="BK283" t="str">
            <v>0</v>
          </cell>
          <cell r="BL283" t="str">
            <v>0</v>
          </cell>
          <cell r="BM283" t="str">
            <v>Flaps 0 - 40° (Up when weighed)</v>
          </cell>
          <cell r="BN283" t="str">
            <v>Fuel, Drain, Unusable (5.6 Gal)</v>
          </cell>
          <cell r="BO283" t="str">
            <v>Lavatory Dry Supplies</v>
          </cell>
          <cell r="BP283" t="str">
            <v>Lavatory Pre-charge Fluid (6.0 Gal)</v>
          </cell>
          <cell r="BQ283" t="str">
            <v>Water, Potable (62.6 Gal)</v>
          </cell>
          <cell r="BR283" t="str">
            <v/>
          </cell>
          <cell r="BS283" t="str">
            <v/>
          </cell>
          <cell r="BT283" t="str">
            <v/>
          </cell>
          <cell r="BU283" t="str">
            <v/>
          </cell>
          <cell r="BV283" t="str">
            <v/>
          </cell>
          <cell r="BW283" t="str">
            <v/>
          </cell>
          <cell r="BX283" t="str">
            <v/>
          </cell>
          <cell r="BY283" t="str">
            <v/>
          </cell>
          <cell r="BZ283" t="str">
            <v/>
          </cell>
          <cell r="CA283" t="str">
            <v/>
          </cell>
          <cell r="CB283" t="str">
            <v/>
          </cell>
          <cell r="CC283" t="str">
            <v>17,3</v>
          </cell>
          <cell r="CD283" t="str">
            <v>4</v>
          </cell>
          <cell r="CE283" t="str">
            <v>22,7</v>
          </cell>
          <cell r="CF283" t="str">
            <v>236,4</v>
          </cell>
          <cell r="CG283" t="str">
            <v/>
          </cell>
          <cell r="CH283" t="str">
            <v>0</v>
          </cell>
          <cell r="CI283" t="str">
            <v>0</v>
          </cell>
          <cell r="CJ283" t="str">
            <v>0</v>
          </cell>
          <cell r="CK283" t="str">
            <v>0</v>
          </cell>
          <cell r="CL283" t="str">
            <v>0</v>
          </cell>
          <cell r="CM283" t="str">
            <v>0</v>
          </cell>
          <cell r="CN283" t="str">
            <v>0</v>
          </cell>
          <cell r="CO283" t="str">
            <v>0</v>
          </cell>
          <cell r="CP283" t="str">
            <v/>
          </cell>
          <cell r="CQ283" t="str">
            <v>646</v>
          </cell>
          <cell r="CR283" t="str">
            <v>1138</v>
          </cell>
          <cell r="CS283" t="str">
            <v>1112</v>
          </cell>
          <cell r="CT283" t="str">
            <v>1150</v>
          </cell>
          <cell r="CU283" t="str">
            <v/>
          </cell>
          <cell r="CV283" t="str">
            <v>0</v>
          </cell>
          <cell r="CW283" t="str">
            <v>0</v>
          </cell>
          <cell r="CX283" t="str">
            <v>0</v>
          </cell>
          <cell r="CY283" t="str">
            <v>0</v>
          </cell>
          <cell r="CZ283" t="str">
            <v>0</v>
          </cell>
          <cell r="DA283" t="str">
            <v>0</v>
          </cell>
          <cell r="DB283" t="str">
            <v>0</v>
          </cell>
          <cell r="DC283" t="str">
            <v>0</v>
          </cell>
          <cell r="DD283" t="str">
            <v/>
          </cell>
          <cell r="DE283" t="str">
            <v/>
          </cell>
          <cell r="DF283" t="str">
            <v/>
          </cell>
          <cell r="DH283" t="str">
            <v/>
          </cell>
          <cell r="DN283" t="str">
            <v>14/06/2026</v>
          </cell>
          <cell r="DQ283" t="str">
            <v>Euler</v>
          </cell>
          <cell r="DR283" t="str">
            <v>Danton</v>
          </cell>
          <cell r="DS283" t="str">
            <v>1</v>
          </cell>
          <cell r="DT283" t="str">
            <v>0</v>
          </cell>
          <cell r="DU283" t="str">
            <v>GOL</v>
          </cell>
          <cell r="DV283" t="str">
            <v>186 Pax + 10 Flight Crew</v>
          </cell>
          <cell r="DW283" t="str">
            <v>GLP-MAX8-001-XMP</v>
          </cell>
          <cell r="FL283" t="str">
            <v/>
          </cell>
          <cell r="FM283" t="str">
            <v/>
          </cell>
          <cell r="FN283" t="str">
            <v/>
          </cell>
          <cell r="FO283" t="str">
            <v/>
          </cell>
          <cell r="FP283" t="str">
            <v/>
          </cell>
          <cell r="FQ283" t="str">
            <v/>
          </cell>
          <cell r="FR283" t="str">
            <v/>
          </cell>
          <cell r="FS283" t="str">
            <v/>
          </cell>
          <cell r="FT283" t="str">
            <v/>
          </cell>
          <cell r="FU283" t="str">
            <v/>
          </cell>
          <cell r="FV283" t="str">
            <v/>
          </cell>
          <cell r="FW283" t="str">
            <v/>
          </cell>
          <cell r="FX283" t="str">
            <v/>
          </cell>
          <cell r="FY283" t="str">
            <v/>
          </cell>
          <cell r="FZ283" t="str">
            <v/>
          </cell>
          <cell r="GA283" t="str">
            <v/>
          </cell>
          <cell r="GB283" t="str">
            <v/>
          </cell>
          <cell r="GC283" t="str">
            <v/>
          </cell>
          <cell r="GD283" t="str">
            <v/>
          </cell>
          <cell r="GE283" t="str">
            <v/>
          </cell>
          <cell r="GF283" t="str">
            <v/>
          </cell>
          <cell r="GG283" t="str">
            <v/>
          </cell>
          <cell r="GH283" t="str">
            <v/>
          </cell>
          <cell r="GI283" t="str">
            <v/>
          </cell>
          <cell r="GJ283" t="str">
            <v/>
          </cell>
          <cell r="GK283" t="str">
            <v/>
          </cell>
          <cell r="GL283" t="str">
            <v/>
          </cell>
          <cell r="GM283" t="str">
            <v/>
          </cell>
          <cell r="GN283" t="str">
            <v/>
          </cell>
        </row>
        <row r="284">
          <cell r="A284" t="str">
            <v>PR-GIH</v>
          </cell>
          <cell r="E284">
            <v>5</v>
          </cell>
          <cell r="F284">
            <v>2</v>
          </cell>
          <cell r="DN284">
            <v>0</v>
          </cell>
        </row>
        <row r="285">
          <cell r="A285" t="str">
            <v>PR-GIH</v>
          </cell>
          <cell r="D285" t="str">
            <v>25/06/2026</v>
          </cell>
          <cell r="E285">
            <v>6</v>
          </cell>
          <cell r="F285">
            <v>0</v>
          </cell>
          <cell r="G285" t="str">
            <v>Lagoa Santa, MG - Brazil</v>
          </cell>
          <cell r="H285" t="str">
            <v>5 Years Check</v>
          </cell>
          <cell r="I285" t="str">
            <v>1754</v>
          </cell>
          <cell r="J285" t="str">
            <v>1880</v>
          </cell>
          <cell r="K285" t="str">
            <v>8392</v>
          </cell>
          <cell r="L285" t="str">
            <v>8892</v>
          </cell>
          <cell r="M285" t="str">
            <v>7944</v>
          </cell>
          <cell r="N285" t="str">
            <v>9706</v>
          </cell>
          <cell r="O285" t="str">
            <v>1800</v>
          </cell>
          <cell r="P285" t="str">
            <v>1834</v>
          </cell>
          <cell r="Q285" t="str">
            <v>8418</v>
          </cell>
          <cell r="R285" t="str">
            <v>8870</v>
          </cell>
          <cell r="S285" t="str">
            <v>7926</v>
          </cell>
          <cell r="T285" t="str">
            <v>9720</v>
          </cell>
          <cell r="U285" t="str">
            <v>6</v>
          </cell>
          <cell r="V285" t="str">
            <v>6</v>
          </cell>
          <cell r="W285" t="str">
            <v>Plumb Bob</v>
          </cell>
          <cell r="X285" t="str">
            <v xml:space="preserve">Down Lock, Nose Gear </v>
          </cell>
          <cell r="Y285" t="str">
            <v xml:space="preserve">Down Lock, Main Gear </v>
          </cell>
          <cell r="Z285" t="str">
            <v/>
          </cell>
          <cell r="AA285" t="str">
            <v/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  <cell r="AF285" t="str">
            <v/>
          </cell>
          <cell r="AG285" t="str">
            <v/>
          </cell>
          <cell r="AH285" t="str">
            <v/>
          </cell>
          <cell r="AI285" t="str">
            <v/>
          </cell>
          <cell r="AJ285" t="str">
            <v/>
          </cell>
          <cell r="AK285" t="str">
            <v>0,5</v>
          </cell>
          <cell r="AL285" t="str">
            <v>0,3</v>
          </cell>
          <cell r="AM285" t="str">
            <v>0,4</v>
          </cell>
          <cell r="AN285" t="str">
            <v/>
          </cell>
          <cell r="AO285" t="str">
            <v/>
          </cell>
          <cell r="AP285" t="str">
            <v/>
          </cell>
          <cell r="AQ285" t="str">
            <v/>
          </cell>
          <cell r="AR285" t="str">
            <v/>
          </cell>
          <cell r="AS285" t="str">
            <v/>
          </cell>
          <cell r="AT285" t="str">
            <v/>
          </cell>
          <cell r="AU285" t="str">
            <v/>
          </cell>
          <cell r="AV285" t="str">
            <v/>
          </cell>
          <cell r="AW285" t="str">
            <v/>
          </cell>
          <cell r="AX285" t="str">
            <v/>
          </cell>
          <cell r="AY285" t="str">
            <v>685</v>
          </cell>
          <cell r="AZ285" t="str">
            <v>209</v>
          </cell>
          <cell r="BA285" t="str">
            <v>702</v>
          </cell>
          <cell r="BB285" t="str">
            <v/>
          </cell>
          <cell r="BC285" t="str">
            <v/>
          </cell>
          <cell r="BD285" t="str">
            <v/>
          </cell>
          <cell r="BE285" t="str">
            <v/>
          </cell>
          <cell r="BF285" t="str">
            <v/>
          </cell>
          <cell r="BG285" t="str">
            <v/>
          </cell>
          <cell r="BH285" t="str">
            <v/>
          </cell>
          <cell r="BI285" t="str">
            <v/>
          </cell>
          <cell r="BJ285" t="str">
            <v/>
          </cell>
          <cell r="BK285" t="str">
            <v/>
          </cell>
          <cell r="BL285" t="str">
            <v/>
          </cell>
          <cell r="BM285" t="str">
            <v>Flaps 0 - 40° (Up when weighed)</v>
          </cell>
          <cell r="BN285" t="str">
            <v>Fuel, Drain, Unusable (5.6 Gal)</v>
          </cell>
          <cell r="BO285" t="str">
            <v>Water, Potable (62.6 Gal)</v>
          </cell>
          <cell r="BP285" t="str">
            <v>Lavatory Pre-charge Fluid (6.0 Gal)</v>
          </cell>
          <cell r="BQ285" t="str">
            <v>Oven (1EA) - Galley G1</v>
          </cell>
          <cell r="BR285" t="str">
            <v>Oven (3EA) - Galley G4</v>
          </cell>
          <cell r="BS285" t="str">
            <v>CART, HALF SIZE (2EA) - Galley G1</v>
          </cell>
          <cell r="BT285" t="str">
            <v>CART, HALF SIZE (2EA) - Galley G2</v>
          </cell>
          <cell r="BU285" t="str">
            <v>Standard Container (7EA) - Galley G4</v>
          </cell>
          <cell r="BV285" t="str">
            <v>Standard Container (2EA) - Galley G1</v>
          </cell>
          <cell r="BW285" t="str">
            <v>Lavatory Dry Supplies</v>
          </cell>
          <cell r="BX285" t="str">
            <v/>
          </cell>
          <cell r="BY285" t="str">
            <v/>
          </cell>
          <cell r="BZ285" t="str">
            <v/>
          </cell>
          <cell r="CA285" t="str">
            <v/>
          </cell>
          <cell r="CB285" t="str">
            <v/>
          </cell>
          <cell r="CC285" t="str">
            <v>17,3</v>
          </cell>
          <cell r="CD285" t="str">
            <v>235,3</v>
          </cell>
          <cell r="CE285" t="str">
            <v>22,7</v>
          </cell>
          <cell r="CF285" t="str">
            <v>19</v>
          </cell>
          <cell r="CG285" t="str">
            <v>57</v>
          </cell>
          <cell r="CH285" t="str">
            <v>24</v>
          </cell>
          <cell r="CI285" t="str">
            <v>24</v>
          </cell>
          <cell r="CJ285" t="str">
            <v>21</v>
          </cell>
          <cell r="CK285" t="str">
            <v>6</v>
          </cell>
          <cell r="CL285" t="str">
            <v>4</v>
          </cell>
          <cell r="CM285" t="str">
            <v/>
          </cell>
          <cell r="CN285" t="str">
            <v/>
          </cell>
          <cell r="CO285" t="str">
            <v/>
          </cell>
          <cell r="CP285" t="str">
            <v/>
          </cell>
          <cell r="CQ285" t="str">
            <v>646</v>
          </cell>
          <cell r="CR285" t="str">
            <v>1045</v>
          </cell>
          <cell r="CS285" t="str">
            <v>1000</v>
          </cell>
          <cell r="CT285" t="str">
            <v>204</v>
          </cell>
          <cell r="CU285" t="str">
            <v>1107</v>
          </cell>
          <cell r="CV285" t="str">
            <v>204</v>
          </cell>
          <cell r="CW285" t="str">
            <v>269</v>
          </cell>
          <cell r="CX285" t="str">
            <v>1107</v>
          </cell>
          <cell r="CY285" t="str">
            <v>204</v>
          </cell>
          <cell r="CZ285" t="str">
            <v>1033</v>
          </cell>
          <cell r="DA285" t="str">
            <v/>
          </cell>
          <cell r="DB285" t="str">
            <v/>
          </cell>
          <cell r="DC285" t="str">
            <v/>
          </cell>
          <cell r="DD285" t="str">
            <v/>
          </cell>
          <cell r="DE285" t="str">
            <v/>
          </cell>
          <cell r="DF285" t="str">
            <v/>
          </cell>
          <cell r="DH285" t="str">
            <v/>
          </cell>
          <cell r="DN285" t="str">
            <v>25/06/2026</v>
          </cell>
          <cell r="DQ285" t="str">
            <v>Fernando Meirelles</v>
          </cell>
          <cell r="DR285" t="str">
            <v>Danton</v>
          </cell>
          <cell r="DS285" t="str">
            <v>5</v>
          </cell>
          <cell r="DT285" t="str">
            <v>2</v>
          </cell>
          <cell r="DU285" t="str">
            <v>GOL</v>
          </cell>
          <cell r="DV285" t="str">
            <v>138 Pax + 9 Flight Crew</v>
          </cell>
          <cell r="DW285" t="str">
            <v>GLP-700-003-GiH</v>
          </cell>
          <cell r="FL285" t="str">
            <v/>
          </cell>
          <cell r="FM285" t="str">
            <v/>
          </cell>
          <cell r="FN285" t="str">
            <v/>
          </cell>
          <cell r="FO285" t="str">
            <v/>
          </cell>
          <cell r="FP285" t="str">
            <v/>
          </cell>
          <cell r="FQ285" t="str">
            <v/>
          </cell>
          <cell r="FR285" t="str">
            <v/>
          </cell>
          <cell r="FS285" t="str">
            <v/>
          </cell>
          <cell r="FT285" t="str">
            <v/>
          </cell>
          <cell r="FU285" t="str">
            <v/>
          </cell>
          <cell r="FV285" t="str">
            <v/>
          </cell>
          <cell r="FW285" t="str">
            <v/>
          </cell>
          <cell r="FX285" t="str">
            <v/>
          </cell>
          <cell r="FY285" t="str">
            <v/>
          </cell>
          <cell r="FZ285" t="str">
            <v/>
          </cell>
          <cell r="GA285" t="str">
            <v/>
          </cell>
          <cell r="GB285" t="str">
            <v/>
          </cell>
          <cell r="GC285" t="str">
            <v/>
          </cell>
          <cell r="GD285" t="str">
            <v/>
          </cell>
          <cell r="GE285" t="str">
            <v/>
          </cell>
          <cell r="GF285" t="str">
            <v/>
          </cell>
          <cell r="GG285" t="str">
            <v/>
          </cell>
          <cell r="GH285" t="str">
            <v/>
          </cell>
          <cell r="GI285" t="str">
            <v/>
          </cell>
          <cell r="GJ285" t="str">
            <v/>
          </cell>
          <cell r="GK285" t="str">
            <v/>
          </cell>
          <cell r="GL285" t="str">
            <v/>
          </cell>
          <cell r="GM285" t="str">
            <v/>
          </cell>
          <cell r="GN285" t="str">
            <v/>
          </cell>
        </row>
        <row r="286">
          <cell r="A286" t="str">
            <v>PR-GTH</v>
          </cell>
          <cell r="D286" t="str">
            <v>20/08/2021</v>
          </cell>
          <cell r="E286">
            <v>5</v>
          </cell>
          <cell r="F286">
            <v>0</v>
          </cell>
          <cell r="DN286" t="str">
            <v>20/08/2021</v>
          </cell>
        </row>
        <row r="287">
          <cell r="A287" t="str">
            <v>PR-GTH</v>
          </cell>
          <cell r="D287" t="str">
            <v>03/07/2026</v>
          </cell>
          <cell r="E287">
            <v>6</v>
          </cell>
          <cell r="F287">
            <v>0</v>
          </cell>
          <cell r="G287" t="str">
            <v>Lagoa Santa, MG - Brazil</v>
          </cell>
          <cell r="H287" t="str">
            <v>5 Years Check</v>
          </cell>
          <cell r="I287" t="str">
            <v>1488</v>
          </cell>
          <cell r="J287" t="str">
            <v>1478</v>
          </cell>
          <cell r="K287" t="str">
            <v>9062</v>
          </cell>
          <cell r="L287" t="str">
            <v>9962</v>
          </cell>
          <cell r="M287" t="str">
            <v>9488</v>
          </cell>
          <cell r="N287" t="str">
            <v>9656</v>
          </cell>
          <cell r="O287" t="str">
            <v>1496</v>
          </cell>
          <cell r="P287" t="str">
            <v>1470</v>
          </cell>
          <cell r="Q287" t="str">
            <v>9074</v>
          </cell>
          <cell r="R287" t="str">
            <v>9958</v>
          </cell>
          <cell r="S287" t="str">
            <v>9496</v>
          </cell>
          <cell r="T287" t="str">
            <v>9648</v>
          </cell>
          <cell r="U287">
            <v>5.393700787401575</v>
          </cell>
          <cell r="V287">
            <v>5.5118110236220472</v>
          </cell>
          <cell r="W287" t="str">
            <v xml:space="preserve">Down Lock, Nose Gear </v>
          </cell>
          <cell r="X287" t="str">
            <v xml:space="preserve">Down Lock, Main Gear </v>
          </cell>
          <cell r="Y287" t="str">
            <v>Plumb Bob</v>
          </cell>
          <cell r="Z287" t="str">
            <v/>
          </cell>
          <cell r="AA287" t="str">
            <v/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  <cell r="AF287" t="str">
            <v/>
          </cell>
          <cell r="AG287" t="str">
            <v/>
          </cell>
          <cell r="AH287" t="str">
            <v/>
          </cell>
          <cell r="AI287" t="str">
            <v/>
          </cell>
          <cell r="AJ287" t="str">
            <v/>
          </cell>
          <cell r="AK287" t="str">
            <v>0,3</v>
          </cell>
          <cell r="AL287" t="str">
            <v>0,4</v>
          </cell>
          <cell r="AM287" t="str">
            <v>0,5</v>
          </cell>
          <cell r="AN287" t="str">
            <v/>
          </cell>
          <cell r="AO287" t="str">
            <v/>
          </cell>
          <cell r="AP287" t="str">
            <v/>
          </cell>
          <cell r="AQ287" t="str">
            <v/>
          </cell>
          <cell r="AR287" t="str">
            <v/>
          </cell>
          <cell r="AS287" t="str">
            <v/>
          </cell>
          <cell r="AT287" t="str">
            <v/>
          </cell>
          <cell r="AU287" t="str">
            <v/>
          </cell>
          <cell r="AV287" t="str">
            <v/>
          </cell>
          <cell r="AW287" t="str">
            <v/>
          </cell>
          <cell r="AX287" t="str">
            <v/>
          </cell>
          <cell r="AY287" t="str">
            <v>91</v>
          </cell>
          <cell r="AZ287" t="str">
            <v>702</v>
          </cell>
          <cell r="BA287" t="str">
            <v>685</v>
          </cell>
          <cell r="BB287" t="str">
            <v/>
          </cell>
          <cell r="BC287" t="str">
            <v/>
          </cell>
          <cell r="BD287" t="str">
            <v/>
          </cell>
          <cell r="BE287" t="str">
            <v/>
          </cell>
          <cell r="BF287" t="str">
            <v/>
          </cell>
          <cell r="BG287" t="str">
            <v/>
          </cell>
          <cell r="BH287" t="str">
            <v/>
          </cell>
          <cell r="BI287" t="str">
            <v/>
          </cell>
          <cell r="BJ287" t="str">
            <v/>
          </cell>
          <cell r="BK287" t="str">
            <v/>
          </cell>
          <cell r="BL287" t="str">
            <v/>
          </cell>
          <cell r="BM287" t="str">
            <v>Flaps 0 - 40° (Up when weighed)</v>
          </cell>
          <cell r="BN287" t="str">
            <v>Fuel, Drain, Unusable (5.6 Gal)</v>
          </cell>
          <cell r="BO287" t="str">
            <v>Lavatory Dry Supplies</v>
          </cell>
          <cell r="BP287" t="str">
            <v>Lavatory Pre-charge Fluid (6.0 Gal)</v>
          </cell>
          <cell r="BQ287" t="str">
            <v>Water, Potable (62.6 Gal)</v>
          </cell>
          <cell r="BR287" t="str">
            <v/>
          </cell>
          <cell r="BS287" t="str">
            <v/>
          </cell>
          <cell r="BT287" t="str">
            <v/>
          </cell>
          <cell r="BU287" t="str">
            <v/>
          </cell>
          <cell r="BV287" t="str">
            <v/>
          </cell>
          <cell r="BW287" t="str">
            <v/>
          </cell>
          <cell r="BX287" t="str">
            <v/>
          </cell>
          <cell r="BY287" t="str">
            <v/>
          </cell>
          <cell r="BZ287" t="str">
            <v/>
          </cell>
          <cell r="CA287" t="str">
            <v/>
          </cell>
          <cell r="CB287" t="str">
            <v/>
          </cell>
          <cell r="CC287" t="str">
            <v>17,3</v>
          </cell>
          <cell r="CD287" t="str">
            <v>4</v>
          </cell>
          <cell r="CE287" t="str">
            <v>22,7</v>
          </cell>
          <cell r="CF287" t="str">
            <v>236,4</v>
          </cell>
          <cell r="CG287" t="str">
            <v/>
          </cell>
          <cell r="CH287" t="str">
            <v/>
          </cell>
          <cell r="CI287" t="str">
            <v/>
          </cell>
          <cell r="CJ287" t="str">
            <v/>
          </cell>
          <cell r="CK287" t="str">
            <v/>
          </cell>
          <cell r="CL287" t="str">
            <v/>
          </cell>
          <cell r="CM287" t="str">
            <v/>
          </cell>
          <cell r="CN287" t="str">
            <v/>
          </cell>
          <cell r="CO287" t="str">
            <v/>
          </cell>
          <cell r="CP287" t="str">
            <v/>
          </cell>
          <cell r="CQ287" t="str">
            <v>646</v>
          </cell>
          <cell r="CR287" t="str">
            <v>1145</v>
          </cell>
          <cell r="CS287" t="str">
            <v>1112</v>
          </cell>
          <cell r="CT287" t="str">
            <v>1150</v>
          </cell>
          <cell r="CU287" t="str">
            <v/>
          </cell>
          <cell r="CV287" t="str">
            <v/>
          </cell>
          <cell r="CW287" t="str">
            <v/>
          </cell>
          <cell r="CX287" t="str">
            <v/>
          </cell>
          <cell r="CY287" t="str">
            <v/>
          </cell>
          <cell r="CZ287" t="str">
            <v/>
          </cell>
          <cell r="DA287" t="str">
            <v/>
          </cell>
          <cell r="DB287" t="str">
            <v/>
          </cell>
          <cell r="DC287" t="str">
            <v/>
          </cell>
          <cell r="DD287" t="str">
            <v/>
          </cell>
          <cell r="DE287" t="str">
            <v/>
          </cell>
          <cell r="DF287" t="str">
            <v/>
          </cell>
          <cell r="DH287" t="str">
            <v/>
          </cell>
          <cell r="DN287" t="str">
            <v>03/07/2026</v>
          </cell>
          <cell r="DQ287" t="str">
            <v>Danton</v>
          </cell>
          <cell r="DR287" t="str">
            <v>Fernando Meirelles</v>
          </cell>
          <cell r="DS287">
            <v>5</v>
          </cell>
          <cell r="DT287" t="str">
            <v>0</v>
          </cell>
          <cell r="DU287" t="str">
            <v>GOL</v>
          </cell>
          <cell r="DV287" t="str">
            <v>186 Pax + 10 Flight Crew</v>
          </cell>
          <cell r="DW287" t="str">
            <v xml:space="preserve">GLP-800-001-GTH </v>
          </cell>
          <cell r="FL287" t="str">
            <v/>
          </cell>
          <cell r="FM287" t="str">
            <v/>
          </cell>
          <cell r="FN287" t="str">
            <v/>
          </cell>
          <cell r="FO287" t="str">
            <v/>
          </cell>
          <cell r="FP287" t="str">
            <v/>
          </cell>
          <cell r="FQ287" t="str">
            <v/>
          </cell>
          <cell r="FR287" t="str">
            <v/>
          </cell>
          <cell r="FS287" t="str">
            <v/>
          </cell>
          <cell r="FT287" t="str">
            <v/>
          </cell>
          <cell r="FU287" t="str">
            <v/>
          </cell>
          <cell r="FV287" t="str">
            <v/>
          </cell>
          <cell r="FW287" t="str">
            <v/>
          </cell>
          <cell r="FX287" t="str">
            <v/>
          </cell>
          <cell r="FY287" t="str">
            <v/>
          </cell>
          <cell r="FZ287" t="str">
            <v/>
          </cell>
          <cell r="GA287" t="str">
            <v/>
          </cell>
          <cell r="GB287" t="str">
            <v/>
          </cell>
          <cell r="GC287" t="str">
            <v/>
          </cell>
          <cell r="GD287" t="str">
            <v/>
          </cell>
          <cell r="GE287" t="str">
            <v/>
          </cell>
          <cell r="GF287" t="str">
            <v/>
          </cell>
          <cell r="GG287" t="str">
            <v/>
          </cell>
          <cell r="GH287" t="str">
            <v/>
          </cell>
          <cell r="GI287" t="str">
            <v/>
          </cell>
          <cell r="GJ287" t="str">
            <v/>
          </cell>
          <cell r="GK287" t="str">
            <v/>
          </cell>
          <cell r="GL287" t="str">
            <v/>
          </cell>
          <cell r="GM287" t="str">
            <v/>
          </cell>
          <cell r="GN287" t="str">
            <v/>
          </cell>
        </row>
        <row r="288">
          <cell r="A288" t="str">
            <v>PR-XMQ</v>
          </cell>
          <cell r="E288">
            <v>1</v>
          </cell>
          <cell r="F288">
            <v>0</v>
          </cell>
          <cell r="DN288">
            <v>0</v>
          </cell>
        </row>
        <row r="289">
          <cell r="A289" t="str">
            <v>PR-XMQ</v>
          </cell>
          <cell r="D289" t="str">
            <v>12/07/2026</v>
          </cell>
          <cell r="E289">
            <v>2</v>
          </cell>
          <cell r="F289">
            <v>0</v>
          </cell>
          <cell r="G289" t="str">
            <v>Lagoa Santa, MG - Brazil</v>
          </cell>
          <cell r="H289" t="str">
            <v>5 Years Check</v>
          </cell>
          <cell r="I289" t="str">
            <v>1884</v>
          </cell>
          <cell r="J289" t="str">
            <v>1744</v>
          </cell>
          <cell r="K289" t="str">
            <v>9860</v>
          </cell>
          <cell r="L289" t="str">
            <v>10584</v>
          </cell>
          <cell r="M289" t="str">
            <v>10978</v>
          </cell>
          <cell r="N289" t="str">
            <v>9266</v>
          </cell>
          <cell r="O289" t="str">
            <v>1894</v>
          </cell>
          <cell r="P289" t="str">
            <v>1732</v>
          </cell>
          <cell r="Q289" t="str">
            <v>9816</v>
          </cell>
          <cell r="R289" t="str">
            <v>10622</v>
          </cell>
          <cell r="S289" t="str">
            <v>11004</v>
          </cell>
          <cell r="T289" t="str">
            <v>9242</v>
          </cell>
          <cell r="U289" t="str">
            <v>5</v>
          </cell>
          <cell r="V289" t="str">
            <v>5</v>
          </cell>
          <cell r="W289" t="str">
            <v xml:space="preserve">Down Lock, Nose Gear </v>
          </cell>
          <cell r="X289" t="str">
            <v xml:space="preserve">Down Lock, Main Gear </v>
          </cell>
          <cell r="Y289" t="str">
            <v>Plumb Bob</v>
          </cell>
          <cell r="Z289" t="str">
            <v/>
          </cell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  <cell r="AF289" t="str">
            <v/>
          </cell>
          <cell r="AG289" t="str">
            <v/>
          </cell>
          <cell r="AH289" t="str">
            <v/>
          </cell>
          <cell r="AI289" t="str">
            <v/>
          </cell>
          <cell r="AJ289" t="str">
            <v/>
          </cell>
          <cell r="AK289" t="str">
            <v>0,3</v>
          </cell>
          <cell r="AL289" t="str">
            <v>0,4</v>
          </cell>
          <cell r="AM289" t="str">
            <v>0,5</v>
          </cell>
          <cell r="AN289" t="str">
            <v/>
          </cell>
          <cell r="AO289" t="str">
            <v/>
          </cell>
          <cell r="AP289" t="str">
            <v/>
          </cell>
          <cell r="AQ289" t="str">
            <v/>
          </cell>
          <cell r="AR289" t="str">
            <v/>
          </cell>
          <cell r="AS289" t="str">
            <v/>
          </cell>
          <cell r="AT289" t="str">
            <v/>
          </cell>
          <cell r="AU289" t="str">
            <v/>
          </cell>
          <cell r="AV289" t="str">
            <v/>
          </cell>
          <cell r="AW289" t="str">
            <v/>
          </cell>
          <cell r="AX289" t="str">
            <v/>
          </cell>
          <cell r="AY289" t="str">
            <v>82</v>
          </cell>
          <cell r="AZ289" t="str">
            <v>702</v>
          </cell>
          <cell r="BA289" t="str">
            <v>685</v>
          </cell>
          <cell r="BB289" t="str">
            <v/>
          </cell>
          <cell r="BC289" t="str">
            <v/>
          </cell>
          <cell r="BD289" t="str">
            <v/>
          </cell>
          <cell r="BE289" t="str">
            <v/>
          </cell>
          <cell r="BF289" t="str">
            <v/>
          </cell>
          <cell r="BG289" t="str">
            <v/>
          </cell>
          <cell r="BH289" t="str">
            <v/>
          </cell>
          <cell r="BI289" t="str">
            <v/>
          </cell>
          <cell r="BJ289" t="str">
            <v/>
          </cell>
          <cell r="BK289" t="str">
            <v/>
          </cell>
          <cell r="BL289" t="str">
            <v/>
          </cell>
          <cell r="BM289" t="str">
            <v>Flaps 0 - 40° (Up when weighed)</v>
          </cell>
          <cell r="BN289" t="str">
            <v>Fuel, Drain, Unusable (5.6 Gal)</v>
          </cell>
          <cell r="BO289" t="str">
            <v>Lavatory Dry Supplies</v>
          </cell>
          <cell r="BP289" t="str">
            <v>Lavatory Pre-charge Fluid (6.0 Gal)</v>
          </cell>
          <cell r="BQ289" t="str">
            <v>Water, Potable (62.6 Gal)</v>
          </cell>
          <cell r="BR289" t="str">
            <v>Standard Container (1EA) - Galley G4</v>
          </cell>
          <cell r="BS289" t="str">
            <v>Cart, Half Size (2EA) - Galley G2</v>
          </cell>
          <cell r="BT289" t="str">
            <v/>
          </cell>
          <cell r="BU289" t="str">
            <v/>
          </cell>
          <cell r="BV289" t="str">
            <v/>
          </cell>
          <cell r="BW289" t="str">
            <v/>
          </cell>
          <cell r="BX289" t="str">
            <v/>
          </cell>
          <cell r="BY289" t="str">
            <v/>
          </cell>
          <cell r="BZ289" t="str">
            <v/>
          </cell>
          <cell r="CA289" t="str">
            <v/>
          </cell>
          <cell r="CB289" t="str">
            <v>0</v>
          </cell>
          <cell r="CC289" t="str">
            <v>17,3</v>
          </cell>
          <cell r="CD289" t="str">
            <v>4</v>
          </cell>
          <cell r="CE289" t="str">
            <v>22,7</v>
          </cell>
          <cell r="CF289" t="str">
            <v>236,4</v>
          </cell>
          <cell r="CG289" t="str">
            <v>2,6</v>
          </cell>
          <cell r="CH289" t="str">
            <v>23,2</v>
          </cell>
          <cell r="CI289" t="str">
            <v/>
          </cell>
          <cell r="CJ289" t="str">
            <v/>
          </cell>
          <cell r="CK289" t="str">
            <v/>
          </cell>
          <cell r="CL289" t="str">
            <v/>
          </cell>
          <cell r="CM289" t="str">
            <v/>
          </cell>
          <cell r="CN289" t="str">
            <v/>
          </cell>
          <cell r="CO289" t="str">
            <v/>
          </cell>
          <cell r="CP289" t="str">
            <v>0</v>
          </cell>
          <cell r="CQ289" t="str">
            <v>646</v>
          </cell>
          <cell r="CR289" t="str">
            <v>1138</v>
          </cell>
          <cell r="CS289" t="str">
            <v>1112</v>
          </cell>
          <cell r="CT289" t="str">
            <v>1150</v>
          </cell>
          <cell r="CU289" t="str">
            <v>1214</v>
          </cell>
          <cell r="CV289" t="str">
            <v>140</v>
          </cell>
          <cell r="CW289" t="str">
            <v/>
          </cell>
          <cell r="CX289" t="str">
            <v/>
          </cell>
          <cell r="CY289" t="str">
            <v/>
          </cell>
          <cell r="CZ289" t="str">
            <v/>
          </cell>
          <cell r="DA289" t="str">
            <v/>
          </cell>
          <cell r="DB289" t="str">
            <v/>
          </cell>
          <cell r="DC289" t="str">
            <v/>
          </cell>
          <cell r="DD289" t="str">
            <v/>
          </cell>
          <cell r="DE289" t="str">
            <v/>
          </cell>
          <cell r="DF289" t="str">
            <v/>
          </cell>
          <cell r="DH289" t="str">
            <v/>
          </cell>
          <cell r="DN289" t="str">
            <v>12/07/2026</v>
          </cell>
          <cell r="DQ289" t="str">
            <v>Fernando Meirelles</v>
          </cell>
          <cell r="DR289" t="str">
            <v>Euler</v>
          </cell>
          <cell r="DU289" t="str">
            <v>GOL</v>
          </cell>
          <cell r="DV289" t="str">
            <v>186 Pax + 10 Flight Crew</v>
          </cell>
          <cell r="DW289" t="str">
            <v xml:space="preserve">GLP-MAX8-001-XMQ </v>
          </cell>
          <cell r="FL289" t="str">
            <v/>
          </cell>
          <cell r="FM289" t="str">
            <v/>
          </cell>
          <cell r="FN289" t="str">
            <v/>
          </cell>
          <cell r="FO289" t="str">
            <v/>
          </cell>
          <cell r="FP289" t="str">
            <v/>
          </cell>
          <cell r="FQ289" t="str">
            <v/>
          </cell>
          <cell r="FR289" t="str">
            <v/>
          </cell>
          <cell r="FS289" t="str">
            <v/>
          </cell>
          <cell r="FT289" t="str">
            <v/>
          </cell>
          <cell r="FU289" t="str">
            <v/>
          </cell>
          <cell r="FV289" t="str">
            <v/>
          </cell>
          <cell r="FW289" t="str">
            <v/>
          </cell>
          <cell r="FX289" t="str">
            <v/>
          </cell>
          <cell r="FY289" t="str">
            <v/>
          </cell>
          <cell r="FZ289" t="str">
            <v/>
          </cell>
          <cell r="GA289" t="str">
            <v/>
          </cell>
          <cell r="GB289" t="str">
            <v/>
          </cell>
          <cell r="GC289" t="str">
            <v/>
          </cell>
          <cell r="GD289" t="str">
            <v/>
          </cell>
          <cell r="GE289" t="str">
            <v/>
          </cell>
          <cell r="GF289" t="str">
            <v/>
          </cell>
          <cell r="GG289" t="str">
            <v/>
          </cell>
          <cell r="GH289" t="str">
            <v/>
          </cell>
          <cell r="GI289" t="str">
            <v/>
          </cell>
          <cell r="GJ289" t="str">
            <v/>
          </cell>
          <cell r="GK289" t="str">
            <v/>
          </cell>
          <cell r="GL289" t="str">
            <v/>
          </cell>
          <cell r="GM289" t="str">
            <v/>
          </cell>
          <cell r="GN289" t="str">
            <v/>
          </cell>
        </row>
        <row r="290">
          <cell r="A290" t="str">
            <v>PR-RAU</v>
          </cell>
          <cell r="D290" t="str">
            <v>18/06/2003</v>
          </cell>
          <cell r="E290">
            <v>14</v>
          </cell>
          <cell r="F290">
            <v>0</v>
          </cell>
          <cell r="G290" t="str">
            <v>Jacksonville, FL - EUA</v>
          </cell>
          <cell r="H290" t="str">
            <v>IFE Installation</v>
          </cell>
          <cell r="I290" t="str">
            <v>2518</v>
          </cell>
          <cell r="J290" t="str">
            <v>2518</v>
          </cell>
          <cell r="K290" t="str">
            <v>9413,5</v>
          </cell>
          <cell r="L290" t="str">
            <v>9413,5</v>
          </cell>
          <cell r="M290" t="str">
            <v>9558,5</v>
          </cell>
          <cell r="N290" t="str">
            <v>9558,5</v>
          </cell>
          <cell r="O290" t="str">
            <v>1518</v>
          </cell>
          <cell r="P290" t="str">
            <v>1518</v>
          </cell>
          <cell r="Q290" t="str">
            <v>9413,5</v>
          </cell>
          <cell r="R290" t="str">
            <v>9413,5</v>
          </cell>
          <cell r="S290" t="str">
            <v>9558,5</v>
          </cell>
          <cell r="T290" t="str">
            <v>9558,5</v>
          </cell>
          <cell r="U290">
            <v>6.1023744094732284E-4</v>
          </cell>
          <cell r="V290">
            <v>6.1023744094732284E-4</v>
          </cell>
          <cell r="W290" t="str">
            <v>Down Lock Nose Gear (1 ea)</v>
          </cell>
          <cell r="X290" t="str">
            <v>Down Lock Main Gear (2 ea)</v>
          </cell>
          <cell r="Y290" t="str">
            <v>Plumb Bob (1 ea)</v>
          </cell>
          <cell r="Z290" t="str">
            <v>Loto Kit</v>
          </cell>
          <cell r="AA290" t="str">
            <v>Loto Kit</v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  <cell r="AF290" t="str">
            <v/>
          </cell>
          <cell r="AG290" t="str">
            <v/>
          </cell>
          <cell r="AH290" t="str">
            <v/>
          </cell>
          <cell r="AI290" t="str">
            <v/>
          </cell>
          <cell r="AJ290" t="str">
            <v/>
          </cell>
          <cell r="AK290" t="str">
            <v>0,3</v>
          </cell>
          <cell r="AL290" t="str">
            <v>0,4</v>
          </cell>
          <cell r="AM290" t="str">
            <v>0,5</v>
          </cell>
          <cell r="AN290" t="str">
            <v>4</v>
          </cell>
          <cell r="AO290" t="str">
            <v>0,8</v>
          </cell>
          <cell r="AP290" t="str">
            <v>0</v>
          </cell>
          <cell r="AQ290" t="str">
            <v>0</v>
          </cell>
          <cell r="AR290" t="str">
            <v>0</v>
          </cell>
          <cell r="AS290" t="str">
            <v>0</v>
          </cell>
          <cell r="AT290" t="str">
            <v>0</v>
          </cell>
          <cell r="AU290" t="str">
            <v>0</v>
          </cell>
          <cell r="AV290" t="str">
            <v>0</v>
          </cell>
          <cell r="AW290" t="str">
            <v>0</v>
          </cell>
          <cell r="AX290" t="str">
            <v>0</v>
          </cell>
          <cell r="AY290" t="str">
            <v>91</v>
          </cell>
          <cell r="AZ290" t="str">
            <v>702</v>
          </cell>
          <cell r="BA290" t="str">
            <v>685</v>
          </cell>
          <cell r="BB290" t="str">
            <v>120</v>
          </cell>
          <cell r="BC290" t="str">
            <v>150</v>
          </cell>
          <cell r="BD290" t="str">
            <v>0</v>
          </cell>
          <cell r="BE290" t="str">
            <v>0</v>
          </cell>
          <cell r="BF290" t="str">
            <v>0</v>
          </cell>
          <cell r="BG290" t="str">
            <v>0</v>
          </cell>
          <cell r="BH290" t="str">
            <v>0</v>
          </cell>
          <cell r="BI290" t="str">
            <v>0</v>
          </cell>
          <cell r="BJ290" t="str">
            <v>0</v>
          </cell>
          <cell r="BK290" t="str">
            <v>0</v>
          </cell>
          <cell r="BL290" t="str">
            <v>0</v>
          </cell>
          <cell r="BM290" t="str">
            <v>Flaps 0 - 40° (up when weighed)</v>
          </cell>
          <cell r="BN290" t="str">
            <v>Fuel, Drain., Unusable (5.6 Gal)</v>
          </cell>
          <cell r="BO290" t="str">
            <v>Lavatory Pre-Charge Fluid (6.0 Gal)</v>
          </cell>
          <cell r="BP290" t="str">
            <v>Lavatory Dry Supplies</v>
          </cell>
          <cell r="BQ290" t="str">
            <v>Potable Water (62.6 Gal)</v>
          </cell>
          <cell r="BR290" t="str">
            <v/>
          </cell>
          <cell r="BS290" t="str">
            <v/>
          </cell>
          <cell r="BT290" t="str">
            <v/>
          </cell>
          <cell r="BU290" t="str">
            <v/>
          </cell>
          <cell r="BV290" t="str">
            <v/>
          </cell>
          <cell r="BW290" t="str">
            <v/>
          </cell>
          <cell r="BX290" t="str">
            <v/>
          </cell>
          <cell r="BY290" t="str">
            <v/>
          </cell>
          <cell r="BZ290" t="str">
            <v/>
          </cell>
          <cell r="CA290" t="str">
            <v/>
          </cell>
          <cell r="CB290" t="str">
            <v>0</v>
          </cell>
          <cell r="CC290" t="str">
            <v>17,3</v>
          </cell>
          <cell r="CD290" t="str">
            <v>22,7</v>
          </cell>
          <cell r="CE290" t="str">
            <v>4</v>
          </cell>
          <cell r="CF290" t="str">
            <v>236,4</v>
          </cell>
          <cell r="CG290" t="str">
            <v>0</v>
          </cell>
          <cell r="CH290" t="str">
            <v>0</v>
          </cell>
          <cell r="CI290" t="str">
            <v>0</v>
          </cell>
          <cell r="CJ290" t="str">
            <v>0</v>
          </cell>
          <cell r="CK290" t="str">
            <v>0</v>
          </cell>
          <cell r="CL290" t="str">
            <v>0</v>
          </cell>
          <cell r="CM290" t="str">
            <v>0</v>
          </cell>
          <cell r="CN290" t="str">
            <v>0</v>
          </cell>
          <cell r="CO290" t="str">
            <v>0</v>
          </cell>
          <cell r="CP290" t="str">
            <v>0</v>
          </cell>
          <cell r="CQ290" t="str">
            <v>646</v>
          </cell>
          <cell r="CR290" t="str">
            <v>1112</v>
          </cell>
          <cell r="CS290" t="str">
            <v>1145</v>
          </cell>
          <cell r="CT290" t="str">
            <v>1150</v>
          </cell>
          <cell r="CU290" t="str">
            <v>0</v>
          </cell>
          <cell r="CV290" t="str">
            <v>0</v>
          </cell>
          <cell r="CW290" t="str">
            <v>0</v>
          </cell>
          <cell r="CX290" t="str">
            <v>0</v>
          </cell>
          <cell r="CY290" t="str">
            <v>0</v>
          </cell>
          <cell r="CZ290" t="str">
            <v>0</v>
          </cell>
          <cell r="DA290" t="str">
            <v>0</v>
          </cell>
          <cell r="DB290" t="str">
            <v>0</v>
          </cell>
          <cell r="DC290" t="str">
            <v/>
          </cell>
          <cell r="DD290" t="str">
            <v>Teste de histórico</v>
          </cell>
          <cell r="DE290" t="str">
            <v>Teste de histórico</v>
          </cell>
          <cell r="DF290" t="str">
            <v/>
          </cell>
          <cell r="DH290" t="str">
            <v/>
          </cell>
          <cell r="DN290" t="str">
            <v>13/07/2026</v>
          </cell>
          <cell r="DQ290" t="str">
            <v>Raul</v>
          </cell>
          <cell r="DS290" t="str">
            <v/>
          </cell>
          <cell r="DT290" t="str">
            <v/>
          </cell>
          <cell r="DU290" t="str">
            <v>Flightstar</v>
          </cell>
          <cell r="DV290" t="str">
            <v>168 Pax + 9 Flight Crew</v>
          </cell>
          <cell r="DW290" t="str">
            <v xml:space="preserve">GLP-800-004-GTP </v>
          </cell>
          <cell r="FL290" t="str">
            <v/>
          </cell>
          <cell r="FM290" t="str">
            <v/>
          </cell>
          <cell r="FN290" t="str">
            <v/>
          </cell>
          <cell r="FO290" t="str">
            <v/>
          </cell>
          <cell r="FP290" t="str">
            <v/>
          </cell>
          <cell r="FQ290" t="str">
            <v/>
          </cell>
          <cell r="FR290" t="str">
            <v/>
          </cell>
          <cell r="FS290" t="str">
            <v/>
          </cell>
          <cell r="FT290" t="str">
            <v/>
          </cell>
          <cell r="FU290" t="str">
            <v/>
          </cell>
          <cell r="FV290" t="str">
            <v/>
          </cell>
          <cell r="FW290" t="str">
            <v/>
          </cell>
          <cell r="FX290" t="str">
            <v/>
          </cell>
          <cell r="FY290" t="str">
            <v/>
          </cell>
          <cell r="FZ290" t="str">
            <v/>
          </cell>
          <cell r="GA290" t="str">
            <v/>
          </cell>
          <cell r="GB290" t="str">
            <v/>
          </cell>
          <cell r="GC290" t="str">
            <v/>
          </cell>
          <cell r="GD290" t="str">
            <v/>
          </cell>
          <cell r="GE290" t="str">
            <v/>
          </cell>
          <cell r="GF290" t="str">
            <v/>
          </cell>
          <cell r="GG290" t="str">
            <v/>
          </cell>
          <cell r="GH290" t="str">
            <v/>
          </cell>
          <cell r="GI290" t="str">
            <v/>
          </cell>
          <cell r="GJ290" t="str">
            <v/>
          </cell>
          <cell r="GK290" t="str">
            <v/>
          </cell>
          <cell r="GL290" t="str">
            <v/>
          </cell>
          <cell r="GM290" t="str">
            <v/>
          </cell>
          <cell r="GN290" t="str">
            <v/>
          </cell>
        </row>
        <row r="291">
          <cell r="A291" t="str">
            <v>PR-GTL</v>
          </cell>
          <cell r="E291">
            <v>5</v>
          </cell>
          <cell r="F291">
            <v>1</v>
          </cell>
          <cell r="DN291">
            <v>0</v>
          </cell>
        </row>
        <row r="292">
          <cell r="A292" t="str">
            <v>PR-GTL</v>
          </cell>
          <cell r="E292">
            <v>5</v>
          </cell>
          <cell r="F292">
            <v>1</v>
          </cell>
          <cell r="DN292">
            <v>0</v>
          </cell>
        </row>
        <row r="293">
          <cell r="A293" t="str">
            <v>PR-GTL</v>
          </cell>
          <cell r="D293" t="str">
            <v/>
          </cell>
          <cell r="E293">
            <v>5</v>
          </cell>
          <cell r="F293">
            <v>1</v>
          </cell>
          <cell r="DN293" t="str">
            <v/>
          </cell>
        </row>
        <row r="294">
          <cell r="A294" t="str">
            <v>PR-GTL</v>
          </cell>
          <cell r="D294" t="str">
            <v/>
          </cell>
          <cell r="E294">
            <v>5</v>
          </cell>
          <cell r="F294">
            <v>1</v>
          </cell>
          <cell r="DN294" t="str">
            <v/>
          </cell>
        </row>
        <row r="295">
          <cell r="A295" t="str">
            <v>PR-GTL</v>
          </cell>
          <cell r="D295" t="str">
            <v>28/07/2026</v>
          </cell>
          <cell r="E295">
            <v>6</v>
          </cell>
          <cell r="F295">
            <v>0</v>
          </cell>
          <cell r="G295" t="str">
            <v>Lagoa Santa, MG - Brazil</v>
          </cell>
          <cell r="H295" t="str">
            <v>Scheduled</v>
          </cell>
          <cell r="I295" t="str">
            <v>1512</v>
          </cell>
          <cell r="J295" t="str">
            <v>1306</v>
          </cell>
          <cell r="K295" t="str">
            <v>9150</v>
          </cell>
          <cell r="L295" t="str">
            <v>8806</v>
          </cell>
          <cell r="M295" t="str">
            <v>9050</v>
          </cell>
          <cell r="N295" t="str">
            <v>8928</v>
          </cell>
          <cell r="O295" t="str">
            <v>1484</v>
          </cell>
          <cell r="P295" t="str">
            <v>1338</v>
          </cell>
          <cell r="Q295" t="str">
            <v>9072</v>
          </cell>
          <cell r="R295" t="str">
            <v>8872</v>
          </cell>
          <cell r="S295" t="str">
            <v>9118</v>
          </cell>
          <cell r="T295" t="str">
            <v>8860</v>
          </cell>
          <cell r="U295" t="str">
            <v>4,05511811023622</v>
          </cell>
          <cell r="V295" t="str">
            <v>3,93700787401575</v>
          </cell>
          <cell r="W295" t="str">
            <v xml:space="preserve">Down Lock, Nose Gear </v>
          </cell>
          <cell r="X295" t="str">
            <v xml:space="preserve">Down Lock, Main Gear </v>
          </cell>
          <cell r="Y295" t="str">
            <v>Plumb Bob</v>
          </cell>
          <cell r="Z295" t="str">
            <v/>
          </cell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  <cell r="AF295" t="str">
            <v/>
          </cell>
          <cell r="AG295" t="str">
            <v/>
          </cell>
          <cell r="AH295" t="str">
            <v/>
          </cell>
          <cell r="AI295" t="str">
            <v/>
          </cell>
          <cell r="AJ295" t="str">
            <v/>
          </cell>
          <cell r="AK295" t="str">
            <v>0,3</v>
          </cell>
          <cell r="AL295" t="str">
            <v>0,4</v>
          </cell>
          <cell r="AM295" t="str">
            <v>0,5</v>
          </cell>
          <cell r="AN295" t="str">
            <v/>
          </cell>
          <cell r="AO295" t="str">
            <v/>
          </cell>
          <cell r="AP295" t="str">
            <v/>
          </cell>
          <cell r="AQ295" t="str">
            <v/>
          </cell>
          <cell r="AR295" t="str">
            <v/>
          </cell>
          <cell r="AS295" t="str">
            <v/>
          </cell>
          <cell r="AT295" t="str">
            <v/>
          </cell>
          <cell r="AU295" t="str">
            <v/>
          </cell>
          <cell r="AV295" t="str">
            <v/>
          </cell>
          <cell r="AW295" t="str">
            <v/>
          </cell>
          <cell r="AX295" t="str">
            <v/>
          </cell>
          <cell r="AY295" t="str">
            <v>91</v>
          </cell>
          <cell r="AZ295" t="str">
            <v>702</v>
          </cell>
          <cell r="BA295" t="str">
            <v>685</v>
          </cell>
          <cell r="BB295" t="str">
            <v/>
          </cell>
          <cell r="BC295" t="str">
            <v/>
          </cell>
          <cell r="BD295" t="str">
            <v/>
          </cell>
          <cell r="BE295" t="str">
            <v/>
          </cell>
          <cell r="BF295" t="str">
            <v/>
          </cell>
          <cell r="BG295" t="str">
            <v/>
          </cell>
          <cell r="BH295" t="str">
            <v/>
          </cell>
          <cell r="BI295" t="str">
            <v/>
          </cell>
          <cell r="BJ295" t="str">
            <v/>
          </cell>
          <cell r="BK295" t="str">
            <v/>
          </cell>
          <cell r="BL295" t="str">
            <v/>
          </cell>
          <cell r="BM295" t="str">
            <v>Fuel, Drain, Unusable (5.6 Gal)</v>
          </cell>
          <cell r="BN295" t="str">
            <v>Water, Potable (62.6 Gal)</v>
          </cell>
          <cell r="BO295" t="str">
            <v>Lavatory Pre-charge Fluid (6.0 Gal)</v>
          </cell>
          <cell r="BP295" t="str">
            <v>Lavatory Dry Supplies</v>
          </cell>
          <cell r="BQ295" t="str">
            <v>Flaps 0 - 40° (Up when weighed)</v>
          </cell>
          <cell r="BR295" t="str">
            <v/>
          </cell>
          <cell r="BS295" t="str">
            <v/>
          </cell>
          <cell r="BT295" t="str">
            <v/>
          </cell>
          <cell r="BU295" t="str">
            <v/>
          </cell>
          <cell r="BV295" t="str">
            <v/>
          </cell>
          <cell r="BW295" t="str">
            <v/>
          </cell>
          <cell r="BX295" t="str">
            <v/>
          </cell>
          <cell r="BY295" t="str">
            <v/>
          </cell>
          <cell r="BZ295" t="str">
            <v/>
          </cell>
          <cell r="CA295" t="str">
            <v/>
          </cell>
          <cell r="CB295" t="str">
            <v>17,3</v>
          </cell>
          <cell r="CC295" t="str">
            <v>236,4</v>
          </cell>
          <cell r="CD295" t="str">
            <v>22,7</v>
          </cell>
          <cell r="CE295" t="str">
            <v>4</v>
          </cell>
          <cell r="CF295" t="str">
            <v/>
          </cell>
          <cell r="CG295" t="str">
            <v/>
          </cell>
          <cell r="CH295" t="str">
            <v/>
          </cell>
          <cell r="CI295" t="str">
            <v/>
          </cell>
          <cell r="CJ295" t="str">
            <v/>
          </cell>
          <cell r="CK295" t="str">
            <v/>
          </cell>
          <cell r="CL295" t="str">
            <v/>
          </cell>
          <cell r="CM295" t="str">
            <v/>
          </cell>
          <cell r="CN295" t="str">
            <v/>
          </cell>
          <cell r="CO295" t="str">
            <v/>
          </cell>
          <cell r="CP295" t="str">
            <v>646</v>
          </cell>
          <cell r="CQ295" t="str">
            <v>1150</v>
          </cell>
          <cell r="CR295" t="str">
            <v>1112</v>
          </cell>
          <cell r="CS295" t="str">
            <v>1145</v>
          </cell>
          <cell r="CT295" t="str">
            <v/>
          </cell>
          <cell r="CU295" t="str">
            <v/>
          </cell>
          <cell r="CV295" t="str">
            <v/>
          </cell>
          <cell r="CW295" t="str">
            <v/>
          </cell>
          <cell r="CX295" t="str">
            <v/>
          </cell>
          <cell r="CY295" t="str">
            <v/>
          </cell>
          <cell r="CZ295" t="str">
            <v/>
          </cell>
          <cell r="DA295" t="str">
            <v/>
          </cell>
          <cell r="DB295" t="str">
            <v/>
          </cell>
          <cell r="DC295" t="str">
            <v/>
          </cell>
          <cell r="DD295" t="str">
            <v/>
          </cell>
          <cell r="DE295" t="str">
            <v/>
          </cell>
          <cell r="DF295" t="str">
            <v/>
          </cell>
          <cell r="DH295" t="str">
            <v/>
          </cell>
          <cell r="DN295" t="str">
            <v>30/07/2026</v>
          </cell>
          <cell r="DQ295" t="str">
            <v>Danton</v>
          </cell>
          <cell r="DR295" t="str">
            <v>Jeferson</v>
          </cell>
          <cell r="DS295" t="str">
            <v>5</v>
          </cell>
          <cell r="DT295" t="str">
            <v>1</v>
          </cell>
          <cell r="DU295" t="str">
            <v>GOL</v>
          </cell>
          <cell r="DV295" t="str">
            <v>6 Pax + 10 Flight Crew</v>
          </cell>
          <cell r="DW295" t="str">
            <v>GLP-800-004-GTL</v>
          </cell>
          <cell r="FL295" t="str">
            <v/>
          </cell>
          <cell r="FM295" t="str">
            <v/>
          </cell>
          <cell r="FN295" t="str">
            <v/>
          </cell>
          <cell r="FO295" t="str">
            <v/>
          </cell>
          <cell r="FP295" t="str">
            <v/>
          </cell>
          <cell r="FQ295" t="str">
            <v/>
          </cell>
          <cell r="FR295" t="str">
            <v/>
          </cell>
          <cell r="FS295" t="str">
            <v/>
          </cell>
          <cell r="FT295" t="str">
            <v/>
          </cell>
          <cell r="FU295" t="str">
            <v/>
          </cell>
          <cell r="FV295" t="str">
            <v/>
          </cell>
          <cell r="FW295" t="str">
            <v/>
          </cell>
          <cell r="FX295" t="str">
            <v/>
          </cell>
          <cell r="FY295" t="str">
            <v/>
          </cell>
          <cell r="FZ295" t="str">
            <v/>
          </cell>
          <cell r="GA295" t="str">
            <v/>
          </cell>
          <cell r="GB295" t="str">
            <v/>
          </cell>
          <cell r="GC295" t="str">
            <v/>
          </cell>
          <cell r="GD295" t="str">
            <v/>
          </cell>
          <cell r="GE295" t="str">
            <v/>
          </cell>
          <cell r="GF295" t="str">
            <v/>
          </cell>
          <cell r="GG295" t="str">
            <v/>
          </cell>
          <cell r="GH295" t="str">
            <v/>
          </cell>
          <cell r="GI295" t="str">
            <v/>
          </cell>
          <cell r="GJ295" t="str">
            <v/>
          </cell>
          <cell r="GK295" t="str">
            <v/>
          </cell>
          <cell r="GL295" t="str">
            <v/>
          </cell>
          <cell r="GM295" t="str">
            <v/>
          </cell>
          <cell r="GN295" t="str">
            <v/>
          </cell>
        </row>
        <row r="296">
          <cell r="A296" t="str">
            <v>PR-RAU</v>
          </cell>
          <cell r="D296" t="str">
            <v>13/07/2026</v>
          </cell>
          <cell r="E296">
            <v>14</v>
          </cell>
          <cell r="F296">
            <v>1</v>
          </cell>
          <cell r="G296" t="str">
            <v>Jacksonville, FL - EUA</v>
          </cell>
          <cell r="H296" t="str">
            <v>IFE Installation</v>
          </cell>
          <cell r="I296" t="str">
            <v>2518</v>
          </cell>
          <cell r="J296" t="str">
            <v>2518</v>
          </cell>
          <cell r="K296" t="str">
            <v>9413,5</v>
          </cell>
          <cell r="L296" t="str">
            <v>9413,5</v>
          </cell>
          <cell r="M296" t="str">
            <v>9558,5</v>
          </cell>
          <cell r="N296" t="str">
            <v>9558,5</v>
          </cell>
          <cell r="O296" t="str">
            <v>1518</v>
          </cell>
          <cell r="P296" t="str">
            <v>1518</v>
          </cell>
          <cell r="Q296" t="str">
            <v>9413,5</v>
          </cell>
          <cell r="R296" t="str">
            <v>9413,5</v>
          </cell>
          <cell r="S296" t="str">
            <v>9558,5</v>
          </cell>
          <cell r="T296" t="str">
            <v>9558,5</v>
          </cell>
          <cell r="U296">
            <v>2.4025096100288312E-5</v>
          </cell>
          <cell r="V296">
            <v>2.4025096100288312E-5</v>
          </cell>
          <cell r="W296" t="str">
            <v>Down Lock Nose Gear (1 ea)</v>
          </cell>
          <cell r="X296" t="str">
            <v>Down Lock Main Gear (2 ea)</v>
          </cell>
          <cell r="Y296" t="str">
            <v>Plumb Bob (1 ea)</v>
          </cell>
          <cell r="Z296" t="str">
            <v>Loto Kit</v>
          </cell>
          <cell r="AA296" t="str">
            <v>Loto Kit</v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  <cell r="AF296" t="str">
            <v/>
          </cell>
          <cell r="AG296" t="str">
            <v/>
          </cell>
          <cell r="AH296" t="str">
            <v/>
          </cell>
          <cell r="AI296" t="str">
            <v/>
          </cell>
          <cell r="AJ296" t="str">
            <v/>
          </cell>
          <cell r="AK296" t="str">
            <v>0,3</v>
          </cell>
          <cell r="AL296" t="str">
            <v>0,4</v>
          </cell>
          <cell r="AM296" t="str">
            <v>0,5</v>
          </cell>
          <cell r="AN296" t="str">
            <v>4</v>
          </cell>
          <cell r="AO296" t="str">
            <v>0,8</v>
          </cell>
          <cell r="AP296" t="str">
            <v>0</v>
          </cell>
          <cell r="AQ296" t="str">
            <v>0</v>
          </cell>
          <cell r="AR296" t="str">
            <v>0</v>
          </cell>
          <cell r="AS296" t="str">
            <v>0</v>
          </cell>
          <cell r="AT296" t="str">
            <v>0</v>
          </cell>
          <cell r="AU296" t="str">
            <v>0</v>
          </cell>
          <cell r="AV296" t="str">
            <v>0</v>
          </cell>
          <cell r="AW296" t="str">
            <v>0</v>
          </cell>
          <cell r="AX296" t="str">
            <v>0</v>
          </cell>
          <cell r="AY296" t="str">
            <v>91</v>
          </cell>
          <cell r="AZ296" t="str">
            <v>702</v>
          </cell>
          <cell r="BA296" t="str">
            <v>685</v>
          </cell>
          <cell r="BB296" t="str">
            <v>120</v>
          </cell>
          <cell r="BC296" t="str">
            <v>150</v>
          </cell>
          <cell r="BD296" t="str">
            <v>0</v>
          </cell>
          <cell r="BE296" t="str">
            <v>0</v>
          </cell>
          <cell r="BF296" t="str">
            <v>0</v>
          </cell>
          <cell r="BG296" t="str">
            <v>0</v>
          </cell>
          <cell r="BH296" t="str">
            <v>0</v>
          </cell>
          <cell r="BI296" t="str">
            <v>0</v>
          </cell>
          <cell r="BJ296" t="str">
            <v>0</v>
          </cell>
          <cell r="BK296" t="str">
            <v>0</v>
          </cell>
          <cell r="BL296" t="str">
            <v>0</v>
          </cell>
          <cell r="BM296" t="str">
            <v>Flaps 0 - 40° (up when weighed)</v>
          </cell>
          <cell r="BN296" t="str">
            <v>Fuel, Drain., Unusable (5.6 Gal)</v>
          </cell>
          <cell r="BO296" t="str">
            <v>Lavatory Pre-Charge Fluid (6.0 Gal)</v>
          </cell>
          <cell r="BP296" t="str">
            <v>Lavatory Dry Supplies</v>
          </cell>
          <cell r="BQ296" t="str">
            <v>Potable Water (62.6 Gal)</v>
          </cell>
          <cell r="BR296" t="str">
            <v/>
          </cell>
          <cell r="BS296" t="str">
            <v/>
          </cell>
          <cell r="BT296" t="str">
            <v/>
          </cell>
          <cell r="BU296" t="str">
            <v/>
          </cell>
          <cell r="BV296" t="str">
            <v/>
          </cell>
          <cell r="BW296" t="str">
            <v/>
          </cell>
          <cell r="BX296" t="str">
            <v/>
          </cell>
          <cell r="BY296" t="str">
            <v/>
          </cell>
          <cell r="BZ296" t="str">
            <v/>
          </cell>
          <cell r="CA296" t="str">
            <v/>
          </cell>
          <cell r="CB296" t="str">
            <v>0</v>
          </cell>
          <cell r="CC296" t="str">
            <v>17,3</v>
          </cell>
          <cell r="CD296" t="str">
            <v>22,7</v>
          </cell>
          <cell r="CE296" t="str">
            <v>4</v>
          </cell>
          <cell r="CF296" t="str">
            <v>236,4</v>
          </cell>
          <cell r="CG296" t="str">
            <v>0</v>
          </cell>
          <cell r="CH296" t="str">
            <v>0</v>
          </cell>
          <cell r="CI296" t="str">
            <v>0</v>
          </cell>
          <cell r="CJ296" t="str">
            <v>0</v>
          </cell>
          <cell r="CK296" t="str">
            <v>0</v>
          </cell>
          <cell r="CL296" t="str">
            <v>0</v>
          </cell>
          <cell r="CM296" t="str">
            <v>0</v>
          </cell>
          <cell r="CN296" t="str">
            <v>0</v>
          </cell>
          <cell r="CO296" t="str">
            <v>0</v>
          </cell>
          <cell r="CP296" t="str">
            <v>0</v>
          </cell>
          <cell r="CQ296" t="str">
            <v>646</v>
          </cell>
          <cell r="CR296" t="str">
            <v>1112</v>
          </cell>
          <cell r="CS296" t="str">
            <v>1145</v>
          </cell>
          <cell r="CT296" t="str">
            <v>1150</v>
          </cell>
          <cell r="CU296" t="str">
            <v>0</v>
          </cell>
          <cell r="CV296" t="str">
            <v>0</v>
          </cell>
          <cell r="CW296" t="str">
            <v>0</v>
          </cell>
          <cell r="CX296" t="str">
            <v>0</v>
          </cell>
          <cell r="CY296" t="str">
            <v>0</v>
          </cell>
          <cell r="CZ296" t="str">
            <v>0</v>
          </cell>
          <cell r="DA296" t="str">
            <v>0</v>
          </cell>
          <cell r="DB296" t="str">
            <v>0</v>
          </cell>
          <cell r="DC296" t="str">
            <v/>
          </cell>
          <cell r="DD296" t="str">
            <v>Teste de histórico</v>
          </cell>
          <cell r="DE296" t="str">
            <v>Teste de histórico</v>
          </cell>
          <cell r="DN296" t="str">
            <v>13/07/2026</v>
          </cell>
          <cell r="DQ296">
            <v>0</v>
          </cell>
          <cell r="DS296" t="str">
            <v>14</v>
          </cell>
          <cell r="DT296" t="str">
            <v>0</v>
          </cell>
          <cell r="DU296" t="str">
            <v>Flightstar</v>
          </cell>
          <cell r="DV296" t="str">
            <v>168 Pax + 9 Flight Crew</v>
          </cell>
          <cell r="DW296" t="str">
            <v xml:space="preserve">GLP-800-004-GTP </v>
          </cell>
          <cell r="FL296" t="str">
            <v/>
          </cell>
          <cell r="FM296" t="str">
            <v/>
          </cell>
          <cell r="FN296" t="str">
            <v/>
          </cell>
          <cell r="FO296" t="str">
            <v/>
          </cell>
          <cell r="FP296" t="str">
            <v/>
          </cell>
          <cell r="FQ296" t="str">
            <v/>
          </cell>
          <cell r="FR296" t="str">
            <v/>
          </cell>
          <cell r="FS296" t="str">
            <v/>
          </cell>
          <cell r="FT296" t="str">
            <v/>
          </cell>
          <cell r="FU296" t="str">
            <v/>
          </cell>
          <cell r="FV296" t="str">
            <v/>
          </cell>
          <cell r="FW296" t="str">
            <v/>
          </cell>
          <cell r="FX296" t="str">
            <v/>
          </cell>
          <cell r="FY296" t="str">
            <v/>
          </cell>
          <cell r="FZ296" t="str">
            <v/>
          </cell>
          <cell r="GA296" t="str">
            <v/>
          </cell>
          <cell r="GB296" t="str">
            <v/>
          </cell>
          <cell r="GC296" t="str">
            <v/>
          </cell>
          <cell r="GD296" t="str">
            <v/>
          </cell>
          <cell r="GE296" t="str">
            <v/>
          </cell>
          <cell r="GF296" t="str">
            <v/>
          </cell>
          <cell r="GG296" t="str">
            <v/>
          </cell>
          <cell r="GH296" t="str">
            <v/>
          </cell>
          <cell r="GI296" t="str">
            <v/>
          </cell>
          <cell r="GJ296" t="str">
            <v/>
          </cell>
          <cell r="GK296" t="str">
            <v/>
          </cell>
          <cell r="GL296" t="str">
            <v/>
          </cell>
          <cell r="GM296" t="str">
            <v/>
          </cell>
          <cell r="GN296" t="str">
            <v/>
          </cell>
        </row>
        <row r="297">
          <cell r="A297" t="str">
            <v>PR-GTM</v>
          </cell>
          <cell r="D297" t="str">
            <v>08/08/2026</v>
          </cell>
          <cell r="E297">
            <v>7</v>
          </cell>
          <cell r="F297">
            <v>0</v>
          </cell>
          <cell r="G297" t="str">
            <v>Lagoa Santa, MG - Brazil</v>
          </cell>
          <cell r="H297" t="str">
            <v>New Painting</v>
          </cell>
          <cell r="I297" t="str">
            <v>1392</v>
          </cell>
          <cell r="J297" t="str">
            <v>1564</v>
          </cell>
          <cell r="K297" t="str">
            <v>9054</v>
          </cell>
          <cell r="L297" t="str">
            <v>9830</v>
          </cell>
          <cell r="M297" t="str">
            <v>9712</v>
          </cell>
          <cell r="N297" t="str">
            <v>9296</v>
          </cell>
          <cell r="O297" t="str">
            <v>1388</v>
          </cell>
          <cell r="P297" t="str">
            <v>1568</v>
          </cell>
          <cell r="Q297" t="str">
            <v>8990</v>
          </cell>
          <cell r="R297" t="str">
            <v>9900</v>
          </cell>
          <cell r="S297" t="str">
            <v>9788</v>
          </cell>
          <cell r="T297" t="str">
            <v>9218</v>
          </cell>
          <cell r="U297">
            <v>4.3897637795275593</v>
          </cell>
          <cell r="V297">
            <v>4.409448818897638</v>
          </cell>
          <cell r="W297" t="str">
            <v>Down Lock, Nose Gear</v>
          </cell>
          <cell r="X297" t="str">
            <v>Down Lock, Main Gear</v>
          </cell>
          <cell r="Y297" t="str">
            <v>Plumb Bob</v>
          </cell>
          <cell r="Z297" t="str">
            <v/>
          </cell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  <cell r="AF297" t="str">
            <v/>
          </cell>
          <cell r="AG297" t="str">
            <v/>
          </cell>
          <cell r="AH297" t="str">
            <v/>
          </cell>
          <cell r="AI297" t="str">
            <v/>
          </cell>
          <cell r="AJ297" t="str">
            <v/>
          </cell>
          <cell r="AK297" t="str">
            <v>0,3</v>
          </cell>
          <cell r="AL297" t="str">
            <v>0,4</v>
          </cell>
          <cell r="AM297" t="str">
            <v>0,5</v>
          </cell>
          <cell r="AN297" t="str">
            <v>0</v>
          </cell>
          <cell r="AO297" t="str">
            <v>0</v>
          </cell>
          <cell r="AP297" t="str">
            <v>0</v>
          </cell>
          <cell r="AQ297" t="str">
            <v>0</v>
          </cell>
          <cell r="AR297" t="str">
            <v>0</v>
          </cell>
          <cell r="AS297" t="str">
            <v>0</v>
          </cell>
          <cell r="AT297" t="str">
            <v>0</v>
          </cell>
          <cell r="AU297" t="str">
            <v>0</v>
          </cell>
          <cell r="AV297" t="str">
            <v>0</v>
          </cell>
          <cell r="AW297" t="str">
            <v>0</v>
          </cell>
          <cell r="AX297" t="str">
            <v>0</v>
          </cell>
          <cell r="AY297" t="str">
            <v>91</v>
          </cell>
          <cell r="AZ297" t="str">
            <v>702</v>
          </cell>
          <cell r="BA297" t="str">
            <v>685</v>
          </cell>
          <cell r="BB297" t="str">
            <v>0</v>
          </cell>
          <cell r="BC297" t="str">
            <v>0</v>
          </cell>
          <cell r="BD297" t="str">
            <v>0</v>
          </cell>
          <cell r="BE297" t="str">
            <v>0</v>
          </cell>
          <cell r="BF297" t="str">
            <v>0</v>
          </cell>
          <cell r="BG297" t="str">
            <v>0</v>
          </cell>
          <cell r="BH297" t="str">
            <v>0</v>
          </cell>
          <cell r="BI297" t="str">
            <v>0</v>
          </cell>
          <cell r="BJ297" t="str">
            <v>0</v>
          </cell>
          <cell r="BK297" t="str">
            <v>0</v>
          </cell>
          <cell r="BL297" t="str">
            <v>0</v>
          </cell>
          <cell r="BM297" t="str">
            <v/>
          </cell>
          <cell r="BN297" t="str">
            <v>Flaps 0 - 40° (Up when weighed)</v>
          </cell>
          <cell r="BO297" t="str">
            <v>Fuel, Drain, Unusable (5.6 Gal)</v>
          </cell>
          <cell r="BP297" t="str">
            <v>Lavatory Dry Supplies</v>
          </cell>
          <cell r="BQ297" t="str">
            <v>Lavatory Pre-charge Fluid (6.0 Gal)</v>
          </cell>
          <cell r="BR297" t="str">
            <v>Water, Potable (62.6 Gal)</v>
          </cell>
          <cell r="BS297" t="str">
            <v/>
          </cell>
          <cell r="BT297" t="str">
            <v/>
          </cell>
          <cell r="BU297" t="str">
            <v/>
          </cell>
          <cell r="BV297" t="str">
            <v/>
          </cell>
          <cell r="BW297" t="str">
            <v/>
          </cell>
          <cell r="BX297" t="str">
            <v/>
          </cell>
          <cell r="BY297" t="str">
            <v/>
          </cell>
          <cell r="BZ297" t="str">
            <v/>
          </cell>
          <cell r="CA297" t="str">
            <v/>
          </cell>
          <cell r="CB297" t="str">
            <v/>
          </cell>
          <cell r="CC297" t="str">
            <v/>
          </cell>
          <cell r="CD297" t="str">
            <v>17,3</v>
          </cell>
          <cell r="CE297" t="str">
            <v>4</v>
          </cell>
          <cell r="CF297" t="str">
            <v>22,7</v>
          </cell>
          <cell r="CG297" t="str">
            <v>236,4</v>
          </cell>
          <cell r="CH297" t="str">
            <v/>
          </cell>
          <cell r="CI297" t="str">
            <v/>
          </cell>
          <cell r="CJ297" t="str">
            <v/>
          </cell>
          <cell r="CK297" t="str">
            <v/>
          </cell>
          <cell r="CL297" t="str">
            <v/>
          </cell>
          <cell r="CM297" t="str">
            <v/>
          </cell>
          <cell r="CN297" t="str">
            <v/>
          </cell>
          <cell r="CO297" t="str">
            <v/>
          </cell>
          <cell r="CP297" t="str">
            <v/>
          </cell>
          <cell r="CQ297" t="str">
            <v/>
          </cell>
          <cell r="CR297" t="str">
            <v>646</v>
          </cell>
          <cell r="CS297" t="str">
            <v>1145</v>
          </cell>
          <cell r="CT297" t="str">
            <v>1112</v>
          </cell>
          <cell r="CU297" t="str">
            <v>1150</v>
          </cell>
          <cell r="CV297" t="str">
            <v/>
          </cell>
          <cell r="CW297" t="str">
            <v/>
          </cell>
          <cell r="CX297" t="str">
            <v/>
          </cell>
          <cell r="CY297" t="str">
            <v/>
          </cell>
          <cell r="CZ297" t="str">
            <v/>
          </cell>
          <cell r="DA297" t="str">
            <v/>
          </cell>
          <cell r="DB297" t="str">
            <v/>
          </cell>
          <cell r="DC297" t="str">
            <v/>
          </cell>
          <cell r="DD297" t="str">
            <v/>
          </cell>
          <cell r="DE297" t="str">
            <v/>
          </cell>
          <cell r="DF297" t="str">
            <v/>
          </cell>
          <cell r="DH297" t="str">
            <v/>
          </cell>
          <cell r="DN297" t="str">
            <v>11/08/2026</v>
          </cell>
          <cell r="DQ297" t="str">
            <v>Raul</v>
          </cell>
          <cell r="DR297" t="str">
            <v>Jeferson</v>
          </cell>
          <cell r="DS297">
            <v>6</v>
          </cell>
          <cell r="DT297">
            <v>0</v>
          </cell>
          <cell r="DU297" t="str">
            <v>GOL</v>
          </cell>
          <cell r="DV297" t="str">
            <v>186 Pax + 10 Flight Crew</v>
          </cell>
          <cell r="DW297" t="str">
            <v>GLP-800-004-GTM</v>
          </cell>
          <cell r="FL297" t="str">
            <v/>
          </cell>
          <cell r="FM297" t="str">
            <v/>
          </cell>
          <cell r="FN297" t="str">
            <v/>
          </cell>
          <cell r="FO297" t="str">
            <v/>
          </cell>
          <cell r="FP297" t="str">
            <v/>
          </cell>
          <cell r="FQ297" t="str">
            <v/>
          </cell>
          <cell r="FR297" t="str">
            <v/>
          </cell>
          <cell r="FS297" t="str">
            <v/>
          </cell>
          <cell r="FT297" t="str">
            <v/>
          </cell>
          <cell r="FU297" t="str">
            <v/>
          </cell>
          <cell r="FV297" t="str">
            <v/>
          </cell>
          <cell r="FW297" t="str">
            <v/>
          </cell>
          <cell r="FX297" t="str">
            <v/>
          </cell>
          <cell r="FY297" t="str">
            <v/>
          </cell>
          <cell r="FZ297" t="str">
            <v/>
          </cell>
          <cell r="GA297" t="str">
            <v/>
          </cell>
          <cell r="GB297" t="str">
            <v/>
          </cell>
          <cell r="GC297" t="str">
            <v/>
          </cell>
          <cell r="GD297" t="str">
            <v/>
          </cell>
          <cell r="GE297" t="str">
            <v/>
          </cell>
          <cell r="GF297" t="str">
            <v/>
          </cell>
          <cell r="GG297" t="str">
            <v/>
          </cell>
          <cell r="GH297" t="str">
            <v/>
          </cell>
          <cell r="GI297" t="str">
            <v/>
          </cell>
          <cell r="GJ297" t="str">
            <v/>
          </cell>
          <cell r="GK297" t="str">
            <v/>
          </cell>
          <cell r="GL297" t="str">
            <v/>
          </cell>
          <cell r="GM297" t="str">
            <v/>
          </cell>
          <cell r="GN297" t="str">
            <v/>
          </cell>
        </row>
        <row r="298">
          <cell r="A298" t="str">
            <v>PR-GOL</v>
          </cell>
          <cell r="D298" t="str">
            <v>17/09/2024</v>
          </cell>
          <cell r="E298">
            <v>15</v>
          </cell>
          <cell r="F298">
            <v>0</v>
          </cell>
          <cell r="G298" t="str">
            <v>Jacksonville, FL - EUA</v>
          </cell>
          <cell r="H298" t="str">
            <v>New Painting</v>
          </cell>
          <cell r="I298" t="str">
            <v>2513</v>
          </cell>
          <cell r="J298" t="str">
            <v>2513</v>
          </cell>
          <cell r="K298" t="str">
            <v>9569</v>
          </cell>
          <cell r="L298" t="str">
            <v>9569</v>
          </cell>
          <cell r="M298" t="str">
            <v>9549,5</v>
          </cell>
          <cell r="N298" t="str">
            <v>9549,5</v>
          </cell>
          <cell r="O298" t="str">
            <v>1513</v>
          </cell>
          <cell r="P298" t="str">
            <v>1513</v>
          </cell>
          <cell r="Q298" t="str">
            <v>9569</v>
          </cell>
          <cell r="R298" t="str">
            <v>9569</v>
          </cell>
          <cell r="S298" t="str">
            <v>9549,5</v>
          </cell>
          <cell r="T298" t="str">
            <v>9549,5</v>
          </cell>
          <cell r="U298">
            <v>0.15500031000062009</v>
          </cell>
          <cell r="V298">
            <v>4.650009300018583E-2</v>
          </cell>
          <cell r="W298" t="str">
            <v>Down Lock Nose Gear (1 ea)</v>
          </cell>
          <cell r="X298" t="str">
            <v>Down Lock Main Gear (2 ea)</v>
          </cell>
          <cell r="Y298" t="str">
            <v>Plumb Bob (1 ea)</v>
          </cell>
          <cell r="Z298" t="str">
            <v/>
          </cell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  <cell r="AF298" t="str">
            <v/>
          </cell>
          <cell r="AG298" t="str">
            <v/>
          </cell>
          <cell r="AH298" t="str">
            <v/>
          </cell>
          <cell r="AI298" t="str">
            <v/>
          </cell>
          <cell r="AJ298" t="str">
            <v/>
          </cell>
          <cell r="AK298" t="str">
            <v>0,3</v>
          </cell>
          <cell r="AL298" t="str">
            <v>0,4</v>
          </cell>
          <cell r="AM298" t="str">
            <v>0,5</v>
          </cell>
          <cell r="AN298" t="str">
            <v>0</v>
          </cell>
          <cell r="AO298" t="str">
            <v>0</v>
          </cell>
          <cell r="AP298" t="str">
            <v>0</v>
          </cell>
          <cell r="AQ298" t="str">
            <v>0</v>
          </cell>
          <cell r="AR298" t="str">
            <v>0</v>
          </cell>
          <cell r="AS298" t="str">
            <v>0</v>
          </cell>
          <cell r="AT298" t="str">
            <v>0</v>
          </cell>
          <cell r="AU298" t="str">
            <v>0</v>
          </cell>
          <cell r="AV298" t="str">
            <v>0</v>
          </cell>
          <cell r="AW298" t="str">
            <v>0</v>
          </cell>
          <cell r="AX298" t="str">
            <v>0</v>
          </cell>
          <cell r="AY298" t="str">
            <v>82</v>
          </cell>
          <cell r="AZ298" t="str">
            <v>702</v>
          </cell>
          <cell r="BA298" t="str">
            <v>685</v>
          </cell>
          <cell r="BB298" t="str">
            <v>0</v>
          </cell>
          <cell r="BC298" t="str">
            <v>0</v>
          </cell>
          <cell r="BD298" t="str">
            <v>0</v>
          </cell>
          <cell r="BE298" t="str">
            <v>0</v>
          </cell>
          <cell r="BF298" t="str">
            <v>0</v>
          </cell>
          <cell r="BG298" t="str">
            <v>0</v>
          </cell>
          <cell r="BH298" t="str">
            <v>0</v>
          </cell>
          <cell r="BI298" t="str">
            <v>0</v>
          </cell>
          <cell r="BJ298" t="str">
            <v>0</v>
          </cell>
          <cell r="BK298" t="str">
            <v>0</v>
          </cell>
          <cell r="BL298" t="str">
            <v>0</v>
          </cell>
          <cell r="BM298" t="str">
            <v>Flaps 0 - 40° (up when weighed)</v>
          </cell>
          <cell r="BN298" t="str">
            <v>Fuel, Drainable, Unusable (5.6 Gal)</v>
          </cell>
          <cell r="BO298" t="str">
            <v>Lavatory Fluid, Precharge (6.0 Gal)</v>
          </cell>
          <cell r="BP298" t="str">
            <v>Lavatory Dry Supplies (2 ea)</v>
          </cell>
          <cell r="BQ298" t="str">
            <v>Water, Portable (62.6 Gal)</v>
          </cell>
          <cell r="BR298" t="str">
            <v/>
          </cell>
          <cell r="BS298" t="str">
            <v/>
          </cell>
          <cell r="BT298" t="str">
            <v/>
          </cell>
          <cell r="BU298" t="str">
            <v/>
          </cell>
          <cell r="BV298" t="str">
            <v/>
          </cell>
          <cell r="BW298" t="str">
            <v/>
          </cell>
          <cell r="BX298" t="str">
            <v/>
          </cell>
          <cell r="BY298" t="str">
            <v/>
          </cell>
          <cell r="BZ298" t="str">
            <v/>
          </cell>
          <cell r="CA298" t="str">
            <v/>
          </cell>
          <cell r="CB298" t="str">
            <v>0</v>
          </cell>
          <cell r="CC298" t="str">
            <v>17,3</v>
          </cell>
          <cell r="CD298" t="str">
            <v>22,7</v>
          </cell>
          <cell r="CE298" t="str">
            <v>4</v>
          </cell>
          <cell r="CF298" t="str">
            <v>236,4</v>
          </cell>
          <cell r="CG298" t="str">
            <v>0</v>
          </cell>
          <cell r="CH298" t="str">
            <v>0</v>
          </cell>
          <cell r="CI298" t="str">
            <v>0</v>
          </cell>
          <cell r="CJ298" t="str">
            <v>0</v>
          </cell>
          <cell r="CK298" t="str">
            <v>0</v>
          </cell>
          <cell r="CL298" t="str">
            <v>0</v>
          </cell>
          <cell r="CM298" t="str">
            <v>0</v>
          </cell>
          <cell r="CN298" t="str">
            <v>0</v>
          </cell>
          <cell r="CO298" t="str">
            <v>0</v>
          </cell>
          <cell r="CP298" t="str">
            <v>0</v>
          </cell>
          <cell r="CQ298" t="str">
            <v>646</v>
          </cell>
          <cell r="CR298" t="str">
            <v>1112</v>
          </cell>
          <cell r="CS298" t="str">
            <v>1145</v>
          </cell>
          <cell r="CT298" t="str">
            <v>1150</v>
          </cell>
          <cell r="CU298" t="str">
            <v>0</v>
          </cell>
          <cell r="CV298" t="str">
            <v>0</v>
          </cell>
          <cell r="CW298" t="str">
            <v>0</v>
          </cell>
          <cell r="CX298" t="str">
            <v>0</v>
          </cell>
          <cell r="CY298" t="str">
            <v>0</v>
          </cell>
          <cell r="CZ298" t="str">
            <v>0</v>
          </cell>
          <cell r="DA298" t="str">
            <v>0</v>
          </cell>
          <cell r="DB298" t="str">
            <v>0</v>
          </cell>
          <cell r="DC298" t="str">
            <v/>
          </cell>
          <cell r="DN298" t="str">
            <v/>
          </cell>
          <cell r="DQ298" t="str">
            <v>Raul</v>
          </cell>
          <cell r="DS298" t="str">
            <v>14</v>
          </cell>
          <cell r="DT298" t="str">
            <v>6</v>
          </cell>
          <cell r="DU298" t="str">
            <v>DIGEX</v>
          </cell>
          <cell r="DV298" t="str">
            <v>168 Pax + 9 Flight Crew</v>
          </cell>
          <cell r="DW298" t="str">
            <v>GLP-800-003-GYA</v>
          </cell>
          <cell r="FL298" t="str">
            <v/>
          </cell>
          <cell r="FM298" t="str">
            <v/>
          </cell>
          <cell r="FN298" t="str">
            <v/>
          </cell>
          <cell r="FO298" t="str">
            <v/>
          </cell>
          <cell r="FP298" t="str">
            <v/>
          </cell>
          <cell r="FQ298" t="str">
            <v/>
          </cell>
          <cell r="FR298" t="str">
            <v/>
          </cell>
          <cell r="FS298" t="str">
            <v/>
          </cell>
          <cell r="FT298" t="str">
            <v/>
          </cell>
          <cell r="FU298" t="str">
            <v/>
          </cell>
          <cell r="FV298" t="str">
            <v/>
          </cell>
          <cell r="FW298" t="str">
            <v/>
          </cell>
          <cell r="FX298" t="str">
            <v/>
          </cell>
          <cell r="FY298" t="str">
            <v/>
          </cell>
          <cell r="FZ298" t="str">
            <v/>
          </cell>
          <cell r="GA298" t="str">
            <v/>
          </cell>
          <cell r="GB298" t="str">
            <v/>
          </cell>
          <cell r="GC298" t="str">
            <v/>
          </cell>
          <cell r="GD298" t="str">
            <v/>
          </cell>
          <cell r="GE298" t="str">
            <v/>
          </cell>
          <cell r="GF298" t="str">
            <v/>
          </cell>
          <cell r="GG298" t="str">
            <v/>
          </cell>
          <cell r="GH298" t="str">
            <v/>
          </cell>
          <cell r="GI298" t="str">
            <v/>
          </cell>
          <cell r="GJ298" t="str">
            <v/>
          </cell>
          <cell r="GK298" t="str">
            <v/>
          </cell>
          <cell r="GL298" t="str">
            <v/>
          </cell>
          <cell r="GM298" t="str">
            <v/>
          </cell>
          <cell r="GN298" t="str">
            <v/>
          </cell>
        </row>
        <row r="299">
          <cell r="A299" t="str">
            <v>PR-XMZ</v>
          </cell>
          <cell r="D299">
            <v>46090</v>
          </cell>
          <cell r="E299">
            <v>2</v>
          </cell>
          <cell r="F299">
            <v>0</v>
          </cell>
          <cell r="G299" t="str">
            <v>Lagoa Santa, MG - Brazil</v>
          </cell>
          <cell r="H299" t="str">
            <v>Scheduled</v>
          </cell>
          <cell r="I299" t="str">
            <v>1804</v>
          </cell>
          <cell r="J299" t="str">
            <v>1877</v>
          </cell>
          <cell r="K299" t="str">
            <v>9602</v>
          </cell>
          <cell r="L299" t="str">
            <v>10638</v>
          </cell>
          <cell r="M299" t="str">
            <v>10542</v>
          </cell>
          <cell r="N299" t="str">
            <v>9816</v>
          </cell>
          <cell r="O299" t="str">
            <v>1802</v>
          </cell>
          <cell r="P299" t="str">
            <v>1878</v>
          </cell>
          <cell r="Q299" t="str">
            <v>9590</v>
          </cell>
          <cell r="R299" t="str">
            <v>10648</v>
          </cell>
          <cell r="S299" t="str">
            <v>10558</v>
          </cell>
          <cell r="T299" t="str">
            <v>9804</v>
          </cell>
          <cell r="U299">
            <v>4.7244094488188981</v>
          </cell>
          <cell r="V299">
            <v>4.5275590551181102</v>
          </cell>
          <cell r="W299" t="str">
            <v>Down Lock, Nose Gear</v>
          </cell>
          <cell r="X299" t="str">
            <v>Down Lock, Main Gear</v>
          </cell>
          <cell r="Y299" t="str">
            <v>Plumb Bob</v>
          </cell>
          <cell r="Z299" t="str">
            <v/>
          </cell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  <cell r="AF299" t="str">
            <v/>
          </cell>
          <cell r="AG299" t="str">
            <v/>
          </cell>
          <cell r="AH299" t="str">
            <v/>
          </cell>
          <cell r="AI299" t="str">
            <v/>
          </cell>
          <cell r="AJ299" t="str">
            <v/>
          </cell>
          <cell r="AK299" t="str">
            <v>0,2</v>
          </cell>
          <cell r="AL299" t="str">
            <v>0,4</v>
          </cell>
          <cell r="AM299" t="str">
            <v>0,5</v>
          </cell>
          <cell r="AN299" t="str">
            <v/>
          </cell>
          <cell r="AO299" t="str">
            <v/>
          </cell>
          <cell r="AP299" t="str">
            <v>0</v>
          </cell>
          <cell r="AQ299" t="str">
            <v>0</v>
          </cell>
          <cell r="AR299" t="str">
            <v>0</v>
          </cell>
          <cell r="AS299" t="str">
            <v>0</v>
          </cell>
          <cell r="AT299" t="str">
            <v>0</v>
          </cell>
          <cell r="AU299" t="str">
            <v>0</v>
          </cell>
          <cell r="AV299" t="str">
            <v>0</v>
          </cell>
          <cell r="AW299" t="str">
            <v>0</v>
          </cell>
          <cell r="AX299" t="str">
            <v>0</v>
          </cell>
          <cell r="AY299" t="str">
            <v>82</v>
          </cell>
          <cell r="AZ299" t="str">
            <v>702</v>
          </cell>
          <cell r="BA299" t="str">
            <v>685</v>
          </cell>
          <cell r="BB299" t="str">
            <v/>
          </cell>
          <cell r="BC299" t="str">
            <v/>
          </cell>
          <cell r="BD299" t="str">
            <v>0</v>
          </cell>
          <cell r="BE299" t="str">
            <v>0</v>
          </cell>
          <cell r="BF299" t="str">
            <v>0</v>
          </cell>
          <cell r="BG299" t="str">
            <v>0</v>
          </cell>
          <cell r="BH299" t="str">
            <v>0</v>
          </cell>
          <cell r="BI299" t="str">
            <v>0</v>
          </cell>
          <cell r="BJ299" t="str">
            <v>0</v>
          </cell>
          <cell r="BK299" t="str">
            <v>0</v>
          </cell>
          <cell r="BL299" t="str">
            <v>0</v>
          </cell>
          <cell r="BM299" t="str">
            <v>Flaps 0 - 40° (Up when weighed)</v>
          </cell>
          <cell r="BN299" t="str">
            <v>Fuel, Drain, Unusable (5.6 Gal)</v>
          </cell>
          <cell r="BO299" t="str">
            <v>Lavatory Dry Supplies</v>
          </cell>
          <cell r="BP299" t="str">
            <v>Lavatory Dry Supplies</v>
          </cell>
          <cell r="BQ299" t="str">
            <v>Lavatory Pre-charge Fluid (6.0 Gal)</v>
          </cell>
          <cell r="BR299" t="str">
            <v>Water, Potable (62.6 Gal)</v>
          </cell>
          <cell r="BS299" t="str">
            <v/>
          </cell>
          <cell r="BT299" t="str">
            <v/>
          </cell>
          <cell r="BU299" t="str">
            <v/>
          </cell>
          <cell r="BV299" t="str">
            <v/>
          </cell>
          <cell r="BW299" t="str">
            <v/>
          </cell>
          <cell r="BX299" t="str">
            <v/>
          </cell>
          <cell r="BY299" t="str">
            <v/>
          </cell>
          <cell r="BZ299" t="str">
            <v/>
          </cell>
          <cell r="CA299" t="str">
            <v/>
          </cell>
          <cell r="CB299" t="str">
            <v/>
          </cell>
          <cell r="CC299" t="str">
            <v>17,3</v>
          </cell>
          <cell r="CD299" t="str">
            <v>2</v>
          </cell>
          <cell r="CE299" t="str">
            <v>4</v>
          </cell>
          <cell r="CF299" t="str">
            <v>22,7</v>
          </cell>
          <cell r="CG299" t="str">
            <v>236,4</v>
          </cell>
          <cell r="CH299" t="str">
            <v/>
          </cell>
          <cell r="CI299" t="str">
            <v/>
          </cell>
          <cell r="CJ299" t="str">
            <v/>
          </cell>
          <cell r="CK299" t="str">
            <v/>
          </cell>
          <cell r="CL299" t="str">
            <v/>
          </cell>
          <cell r="CM299" t="str">
            <v/>
          </cell>
          <cell r="CN299" t="str">
            <v/>
          </cell>
          <cell r="CO299" t="str">
            <v/>
          </cell>
          <cell r="CP299" t="str">
            <v/>
          </cell>
          <cell r="CQ299" t="str">
            <v>646</v>
          </cell>
          <cell r="CR299" t="str">
            <v>80</v>
          </cell>
          <cell r="CS299" t="str">
            <v>1138</v>
          </cell>
          <cell r="CT299" t="str">
            <v>1112</v>
          </cell>
          <cell r="CU299" t="str">
            <v>1150</v>
          </cell>
          <cell r="CV299" t="str">
            <v/>
          </cell>
          <cell r="CW299" t="str">
            <v/>
          </cell>
          <cell r="CX299" t="str">
            <v/>
          </cell>
          <cell r="CY299" t="str">
            <v/>
          </cell>
          <cell r="CZ299" t="str">
            <v/>
          </cell>
          <cell r="DA299" t="str">
            <v/>
          </cell>
          <cell r="DB299" t="str">
            <v/>
          </cell>
          <cell r="DC299" t="str">
            <v/>
          </cell>
          <cell r="DN299" t="str">
            <v>03/09/2026</v>
          </cell>
          <cell r="DQ299">
            <v>0</v>
          </cell>
          <cell r="DR299" t="str">
            <v>Maia</v>
          </cell>
          <cell r="DS299" t="str">
            <v>1</v>
          </cell>
          <cell r="DT299" t="str">
            <v>1</v>
          </cell>
          <cell r="DU299" t="str">
            <v>GOL</v>
          </cell>
          <cell r="DV299" t="str">
            <v>186 Pax + 10 Flight Crew</v>
          </cell>
          <cell r="DW299" t="str">
            <v>GLP-MAX8-001-XMZ R00</v>
          </cell>
          <cell r="FL299" t="str">
            <v/>
          </cell>
          <cell r="FM299" t="str">
            <v/>
          </cell>
          <cell r="FN299" t="str">
            <v/>
          </cell>
          <cell r="FO299" t="str">
            <v/>
          </cell>
          <cell r="FP299" t="str">
            <v/>
          </cell>
          <cell r="FQ299" t="str">
            <v/>
          </cell>
          <cell r="FR299" t="str">
            <v/>
          </cell>
          <cell r="FS299" t="str">
            <v/>
          </cell>
          <cell r="FT299" t="str">
            <v/>
          </cell>
          <cell r="FU299" t="str">
            <v/>
          </cell>
          <cell r="FV299" t="str">
            <v/>
          </cell>
          <cell r="FW299" t="str">
            <v/>
          </cell>
          <cell r="FX299" t="str">
            <v/>
          </cell>
          <cell r="FY299" t="str">
            <v/>
          </cell>
          <cell r="FZ299" t="str">
            <v/>
          </cell>
          <cell r="GA299" t="str">
            <v/>
          </cell>
          <cell r="GB299" t="str">
            <v/>
          </cell>
          <cell r="GC299" t="str">
            <v/>
          </cell>
          <cell r="GD299" t="str">
            <v/>
          </cell>
          <cell r="GE299" t="str">
            <v/>
          </cell>
          <cell r="GF299" t="str">
            <v/>
          </cell>
          <cell r="GG299" t="str">
            <v/>
          </cell>
          <cell r="GH299" t="str">
            <v/>
          </cell>
          <cell r="GI299" t="str">
            <v/>
          </cell>
          <cell r="GJ299" t="str">
            <v/>
          </cell>
          <cell r="GK299" t="str">
            <v/>
          </cell>
          <cell r="GL299" t="str">
            <v/>
          </cell>
          <cell r="GM299" t="str">
            <v/>
          </cell>
          <cell r="GN299" t="str">
            <v/>
          </cell>
        </row>
        <row r="300">
          <cell r="A300" t="str">
            <v>PR-GTC</v>
          </cell>
          <cell r="D300" t="str">
            <v>24/02/2023</v>
          </cell>
          <cell r="E300">
            <v>5</v>
          </cell>
          <cell r="F300">
            <v>1</v>
          </cell>
          <cell r="G300" t="str">
            <v>Lagoa Santa, MG - Brazil</v>
          </cell>
          <cell r="H300" t="str">
            <v>New Painting</v>
          </cell>
          <cell r="I300" t="str">
            <v>1460</v>
          </cell>
          <cell r="J300" t="str">
            <v>1460</v>
          </cell>
          <cell r="K300" t="str">
            <v>9550,5</v>
          </cell>
          <cell r="L300" t="str">
            <v>9550,5</v>
          </cell>
          <cell r="M300" t="str">
            <v>9305</v>
          </cell>
          <cell r="N300" t="str">
            <v>9305</v>
          </cell>
          <cell r="O300" t="str">
            <v>1460</v>
          </cell>
          <cell r="P300" t="str">
            <v>1460</v>
          </cell>
          <cell r="Q300" t="str">
            <v>9550,5</v>
          </cell>
          <cell r="R300" t="str">
            <v>9550,5</v>
          </cell>
          <cell r="S300" t="str">
            <v>9305</v>
          </cell>
          <cell r="T300" t="str">
            <v>9305</v>
          </cell>
          <cell r="U300" t="str">
            <v>0,247995265929194</v>
          </cell>
          <cell r="V300" t="str">
            <v>0,25575455292017</v>
          </cell>
          <cell r="W300" t="str">
            <v>Down Lock, Nose Gear</v>
          </cell>
          <cell r="X300" t="str">
            <v>Down Lock, Main Gear</v>
          </cell>
          <cell r="Y300" t="str">
            <v>Plumb Bob</v>
          </cell>
          <cell r="Z300" t="str">
            <v>Seats Removal (186 Pax)</v>
          </cell>
          <cell r="AA300" t="str">
            <v>2Ku System Cabin Equipment Removal</v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  <cell r="AF300" t="str">
            <v/>
          </cell>
          <cell r="AG300" t="str">
            <v/>
          </cell>
          <cell r="AH300" t="str">
            <v/>
          </cell>
          <cell r="AI300" t="str">
            <v/>
          </cell>
          <cell r="AJ300" t="str">
            <v/>
          </cell>
          <cell r="AK300" t="str">
            <v>0,3</v>
          </cell>
          <cell r="AL300" t="str">
            <v>0,4</v>
          </cell>
          <cell r="AM300" t="str">
            <v>0,5</v>
          </cell>
          <cell r="AN300" t="str">
            <v>2217,5677</v>
          </cell>
          <cell r="AO300" t="str">
            <v>140,8359</v>
          </cell>
          <cell r="AP300" t="str">
            <v>0</v>
          </cell>
          <cell r="AQ300" t="str">
            <v>0</v>
          </cell>
          <cell r="AR300" t="str">
            <v>0</v>
          </cell>
          <cell r="AS300" t="str">
            <v>0</v>
          </cell>
          <cell r="AT300" t="str">
            <v>0</v>
          </cell>
          <cell r="AU300" t="str">
            <v>0</v>
          </cell>
          <cell r="AV300" t="str">
            <v>0</v>
          </cell>
          <cell r="AW300" t="str">
            <v>0</v>
          </cell>
          <cell r="AX300" t="str">
            <v>0</v>
          </cell>
          <cell r="AY300" t="str">
            <v>91</v>
          </cell>
          <cell r="AZ300" t="str">
            <v>702</v>
          </cell>
          <cell r="BA300" t="str">
            <v>685</v>
          </cell>
          <cell r="BB300" t="str">
            <v>659,8204</v>
          </cell>
          <cell r="BC300" t="str">
            <v>385,0046</v>
          </cell>
          <cell r="BD300" t="str">
            <v>0</v>
          </cell>
          <cell r="BE300" t="str">
            <v>0</v>
          </cell>
          <cell r="BF300" t="str">
            <v>0</v>
          </cell>
          <cell r="BG300" t="str">
            <v>0</v>
          </cell>
          <cell r="BH300" t="str">
            <v>0</v>
          </cell>
          <cell r="BI300" t="str">
            <v>0</v>
          </cell>
          <cell r="BJ300" t="str">
            <v>0</v>
          </cell>
          <cell r="BK300" t="str">
            <v>0</v>
          </cell>
          <cell r="BL300" t="str">
            <v>0</v>
          </cell>
          <cell r="BM300" t="str">
            <v>Flaps 0 - 40° (Up when weighed)</v>
          </cell>
          <cell r="BN300" t="str">
            <v>Fuel, Drain, Unusable (5.6 Gal)</v>
          </cell>
          <cell r="BO300" t="str">
            <v>Lavatory Dry Supplies</v>
          </cell>
          <cell r="BP300" t="str">
            <v>Lavatory Pre-charge Fluid (6.0 Gal)</v>
          </cell>
          <cell r="BQ300" t="str">
            <v>Water, Potable (62.6 Gal)</v>
          </cell>
          <cell r="BR300" t="str">
            <v>Oven Galley G4</v>
          </cell>
          <cell r="BS300" t="str">
            <v>Cart, Full Size Galley G1</v>
          </cell>
          <cell r="BT300" t="str">
            <v>Standard Container [7 EA] Galley G4</v>
          </cell>
          <cell r="BU300" t="str">
            <v>Seats Installation (6 Pax)</v>
          </cell>
          <cell r="BV300" t="str">
            <v/>
          </cell>
          <cell r="BW300" t="str">
            <v/>
          </cell>
          <cell r="BX300" t="str">
            <v/>
          </cell>
          <cell r="BY300" t="str">
            <v/>
          </cell>
          <cell r="BZ300" t="str">
            <v/>
          </cell>
          <cell r="CA300" t="str">
            <v/>
          </cell>
          <cell r="CB300" t="str">
            <v>0</v>
          </cell>
          <cell r="CC300" t="str">
            <v>17,3</v>
          </cell>
          <cell r="CD300" t="str">
            <v>4</v>
          </cell>
          <cell r="CE300" t="str">
            <v>22,7</v>
          </cell>
          <cell r="CF300" t="str">
            <v>236,4</v>
          </cell>
          <cell r="CG300" t="str">
            <v>51</v>
          </cell>
          <cell r="CH300" t="str">
            <v>26,5</v>
          </cell>
          <cell r="CI300" t="str">
            <v>20,3</v>
          </cell>
          <cell r="CJ300" t="str">
            <v>71,5344</v>
          </cell>
          <cell r="CK300" t="str">
            <v>0</v>
          </cell>
          <cell r="CL300" t="str">
            <v>0</v>
          </cell>
          <cell r="CM300" t="str">
            <v>0</v>
          </cell>
          <cell r="CN300" t="str">
            <v>0</v>
          </cell>
          <cell r="CO300" t="str">
            <v>0</v>
          </cell>
          <cell r="CP300" t="str">
            <v>0</v>
          </cell>
          <cell r="CQ300" t="str">
            <v>646</v>
          </cell>
          <cell r="CR300" t="str">
            <v>1145</v>
          </cell>
          <cell r="CS300" t="str">
            <v>1112</v>
          </cell>
          <cell r="CT300" t="str">
            <v>1150</v>
          </cell>
          <cell r="CU300" t="str">
            <v>1219</v>
          </cell>
          <cell r="CV300" t="str">
            <v>85</v>
          </cell>
          <cell r="CW300" t="str">
            <v>1219</v>
          </cell>
          <cell r="CX300" t="str">
            <v>571,9500</v>
          </cell>
          <cell r="CY300" t="str">
            <v>0</v>
          </cell>
          <cell r="CZ300" t="str">
            <v>0</v>
          </cell>
          <cell r="DA300" t="str">
            <v>0</v>
          </cell>
          <cell r="DB300" t="str">
            <v>0</v>
          </cell>
          <cell r="DC300" t="str">
            <v>0</v>
          </cell>
          <cell r="DD300" t="str">
            <v/>
          </cell>
          <cell r="DE300" t="str">
            <v/>
          </cell>
          <cell r="DF300" t="str">
            <v/>
          </cell>
          <cell r="DH300" t="str">
            <v/>
          </cell>
          <cell r="DN300" t="str">
            <v>16/09/2026</v>
          </cell>
          <cell r="DQ300" t="str">
            <v>Maia</v>
          </cell>
          <cell r="DS300" t="str">
            <v>5</v>
          </cell>
          <cell r="DT300" t="str">
            <v>0</v>
          </cell>
          <cell r="DU300" t="str">
            <v>GOL</v>
          </cell>
          <cell r="DV300" t="str">
            <v>6 Pax + 10 Flight Crew</v>
          </cell>
          <cell r="DW300" t="str">
            <v>GLP-800-001-GTC REV. 04</v>
          </cell>
          <cell r="FL300" t="str">
            <v/>
          </cell>
          <cell r="FM300" t="str">
            <v/>
          </cell>
          <cell r="FN300" t="str">
            <v/>
          </cell>
          <cell r="FO300" t="str">
            <v/>
          </cell>
          <cell r="FP300" t="str">
            <v/>
          </cell>
          <cell r="FQ300" t="str">
            <v/>
          </cell>
          <cell r="FR300" t="str">
            <v/>
          </cell>
          <cell r="FS300" t="str">
            <v/>
          </cell>
          <cell r="FT300" t="str">
            <v/>
          </cell>
          <cell r="FU300" t="str">
            <v/>
          </cell>
          <cell r="FV300" t="str">
            <v/>
          </cell>
          <cell r="FW300" t="str">
            <v/>
          </cell>
          <cell r="FX300" t="str">
            <v/>
          </cell>
          <cell r="FY300" t="str">
            <v/>
          </cell>
          <cell r="FZ300" t="str">
            <v/>
          </cell>
          <cell r="GA300" t="str">
            <v/>
          </cell>
          <cell r="GB300" t="str">
            <v/>
          </cell>
          <cell r="GC300" t="str">
            <v/>
          </cell>
          <cell r="GD300" t="str">
            <v/>
          </cell>
          <cell r="GE300" t="str">
            <v/>
          </cell>
          <cell r="GF300" t="str">
            <v/>
          </cell>
          <cell r="GG300" t="str">
            <v/>
          </cell>
          <cell r="GH300" t="str">
            <v/>
          </cell>
          <cell r="GI300" t="str">
            <v/>
          </cell>
          <cell r="GJ300" t="str">
            <v/>
          </cell>
          <cell r="GK300" t="str">
            <v/>
          </cell>
          <cell r="GL300" t="str">
            <v/>
          </cell>
          <cell r="GM300" t="str">
            <v/>
          </cell>
          <cell r="GN300" t="str">
            <v/>
          </cell>
        </row>
        <row r="301">
          <cell r="A301" t="str">
            <v>PR-XMT</v>
          </cell>
          <cell r="D301" t="str">
            <v>24/09/2026</v>
          </cell>
          <cell r="E301">
            <v>2</v>
          </cell>
          <cell r="F301">
            <v>0</v>
          </cell>
          <cell r="G301" t="str">
            <v>Lagoa Santa, MG - Brazil</v>
          </cell>
          <cell r="H301" t="str">
            <v>Scheduled</v>
          </cell>
          <cell r="I301" t="str">
            <v>1812</v>
          </cell>
          <cell r="J301" t="str">
            <v>1840</v>
          </cell>
          <cell r="K301" t="str">
            <v>9388</v>
          </cell>
          <cell r="L301" t="str">
            <v>10746</v>
          </cell>
          <cell r="M301" t="str">
            <v>10400</v>
          </cell>
          <cell r="N301" t="str">
            <v>9916</v>
          </cell>
          <cell r="O301" t="str">
            <v>1812</v>
          </cell>
          <cell r="P301" t="str">
            <v>1842</v>
          </cell>
          <cell r="Q301" t="str">
            <v>9366</v>
          </cell>
          <cell r="R301" t="str">
            <v>10770</v>
          </cell>
          <cell r="S301" t="str">
            <v>10424</v>
          </cell>
          <cell r="T301" t="str">
            <v>9896</v>
          </cell>
          <cell r="U301" t="str">
            <v>5</v>
          </cell>
          <cell r="V301" t="str">
            <v>5</v>
          </cell>
          <cell r="W301" t="str">
            <v>Down Lock, Nose Gear</v>
          </cell>
          <cell r="X301" t="str">
            <v>Down Lock, Main Gear</v>
          </cell>
          <cell r="Y301" t="str">
            <v>Plumb Bob</v>
          </cell>
          <cell r="Z301" t="str">
            <v/>
          </cell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  <cell r="AF301" t="str">
            <v/>
          </cell>
          <cell r="AG301" t="str">
            <v/>
          </cell>
          <cell r="AH301" t="str">
            <v/>
          </cell>
          <cell r="AI301" t="str">
            <v/>
          </cell>
          <cell r="AJ301" t="str">
            <v/>
          </cell>
          <cell r="AK301" t="str">
            <v>0,3</v>
          </cell>
          <cell r="AL301" t="str">
            <v>0,4</v>
          </cell>
          <cell r="AM301" t="str">
            <v>0,5</v>
          </cell>
          <cell r="AN301" t="str">
            <v>0</v>
          </cell>
          <cell r="AO301" t="str">
            <v>0</v>
          </cell>
          <cell r="AP301" t="str">
            <v>0</v>
          </cell>
          <cell r="AQ301" t="str">
            <v>0</v>
          </cell>
          <cell r="AR301" t="str">
            <v>0</v>
          </cell>
          <cell r="AS301" t="str">
            <v>0</v>
          </cell>
          <cell r="AT301" t="str">
            <v>0</v>
          </cell>
          <cell r="AU301" t="str">
            <v>0</v>
          </cell>
          <cell r="AV301" t="str">
            <v>0</v>
          </cell>
          <cell r="AW301" t="str">
            <v>0</v>
          </cell>
          <cell r="AX301" t="str">
            <v>0</v>
          </cell>
          <cell r="AY301" t="str">
            <v>82</v>
          </cell>
          <cell r="AZ301" t="str">
            <v>702</v>
          </cell>
          <cell r="BA301" t="str">
            <v>685</v>
          </cell>
          <cell r="BB301" t="str">
            <v>0</v>
          </cell>
          <cell r="BC301" t="str">
            <v>0</v>
          </cell>
          <cell r="BD301" t="str">
            <v>0</v>
          </cell>
          <cell r="BE301" t="str">
            <v>0</v>
          </cell>
          <cell r="BF301" t="str">
            <v>0</v>
          </cell>
          <cell r="BG301" t="str">
            <v>0</v>
          </cell>
          <cell r="BH301" t="str">
            <v>0</v>
          </cell>
          <cell r="BI301" t="str">
            <v>0</v>
          </cell>
          <cell r="BJ301" t="str">
            <v>0</v>
          </cell>
          <cell r="BK301" t="str">
            <v>0</v>
          </cell>
          <cell r="BL301" t="str">
            <v>0</v>
          </cell>
          <cell r="BM301" t="str">
            <v>Flaps 0 - 40° (Up when weighed)</v>
          </cell>
          <cell r="BN301" t="str">
            <v>Fuel, Drain, Unusable (5.6 Gal)</v>
          </cell>
          <cell r="BO301" t="str">
            <v>Lavatory Dry Supplies</v>
          </cell>
          <cell r="BP301" t="str">
            <v>Lavatory Pre-charge Fluid (6.0 Gal)</v>
          </cell>
          <cell r="BQ301" t="str">
            <v>Water, Potable (62.6 Gal)</v>
          </cell>
          <cell r="BR301" t="str">
            <v/>
          </cell>
          <cell r="BS301" t="str">
            <v/>
          </cell>
          <cell r="BT301" t="str">
            <v/>
          </cell>
          <cell r="BU301" t="str">
            <v/>
          </cell>
          <cell r="BV301" t="str">
            <v/>
          </cell>
          <cell r="BW301" t="str">
            <v/>
          </cell>
          <cell r="BX301" t="str">
            <v/>
          </cell>
          <cell r="BY301" t="str">
            <v/>
          </cell>
          <cell r="BZ301" t="str">
            <v/>
          </cell>
          <cell r="CA301" t="str">
            <v/>
          </cell>
          <cell r="CB301" t="str">
            <v>0</v>
          </cell>
          <cell r="CC301" t="str">
            <v>17,3</v>
          </cell>
          <cell r="CD301" t="str">
            <v>4</v>
          </cell>
          <cell r="CE301" t="str">
            <v>22,7</v>
          </cell>
          <cell r="CF301" t="str">
            <v>236,4</v>
          </cell>
          <cell r="CG301" t="str">
            <v>0</v>
          </cell>
          <cell r="CH301" t="str">
            <v>0</v>
          </cell>
          <cell r="CI301" t="str">
            <v>0</v>
          </cell>
          <cell r="CJ301" t="str">
            <v>0</v>
          </cell>
          <cell r="CK301" t="str">
            <v>0</v>
          </cell>
          <cell r="CL301" t="str">
            <v>0</v>
          </cell>
          <cell r="CM301" t="str">
            <v>0</v>
          </cell>
          <cell r="CN301" t="str">
            <v>0</v>
          </cell>
          <cell r="CO301" t="str">
            <v>0</v>
          </cell>
          <cell r="CP301" t="str">
            <v>0</v>
          </cell>
          <cell r="CQ301" t="str">
            <v>646</v>
          </cell>
          <cell r="CR301" t="str">
            <v>1138</v>
          </cell>
          <cell r="CS301" t="str">
            <v>1112</v>
          </cell>
          <cell r="CT301" t="str">
            <v>1150</v>
          </cell>
          <cell r="CU301" t="str">
            <v>0</v>
          </cell>
          <cell r="CV301" t="str">
            <v>0</v>
          </cell>
          <cell r="CW301" t="str">
            <v>0</v>
          </cell>
          <cell r="CX301" t="str">
            <v>0</v>
          </cell>
          <cell r="CY301" t="str">
            <v>0</v>
          </cell>
          <cell r="CZ301" t="str">
            <v>0</v>
          </cell>
          <cell r="DA301" t="str">
            <v>0</v>
          </cell>
          <cell r="DB301" t="str">
            <v>0</v>
          </cell>
          <cell r="DC301" t="str">
            <v>0</v>
          </cell>
          <cell r="DD301" t="str">
            <v/>
          </cell>
          <cell r="DE301" t="str">
            <v/>
          </cell>
          <cell r="DF301" t="str">
            <v/>
          </cell>
          <cell r="DH301" t="str">
            <v/>
          </cell>
          <cell r="DN301" t="str">
            <v>24/09/2026</v>
          </cell>
          <cell r="DQ301" t="str">
            <v>Maia</v>
          </cell>
          <cell r="DS301" t="str">
            <v>1</v>
          </cell>
          <cell r="DT301" t="str">
            <v>0</v>
          </cell>
          <cell r="DU301" t="str">
            <v>GOL</v>
          </cell>
          <cell r="DV301" t="str">
            <v>186 Pax + 10 Flight Crew</v>
          </cell>
          <cell r="DW301" t="str">
            <v>GLP-MAX8-001-XMT R00</v>
          </cell>
          <cell r="FL301" t="str">
            <v/>
          </cell>
          <cell r="FM301" t="str">
            <v/>
          </cell>
          <cell r="FN301" t="str">
            <v/>
          </cell>
          <cell r="FO301" t="str">
            <v/>
          </cell>
          <cell r="FP301" t="str">
            <v/>
          </cell>
          <cell r="FQ301" t="str">
            <v/>
          </cell>
          <cell r="FR301" t="str">
            <v/>
          </cell>
          <cell r="FS301" t="str">
            <v/>
          </cell>
          <cell r="FT301" t="str">
            <v/>
          </cell>
          <cell r="FU301" t="str">
            <v/>
          </cell>
          <cell r="FV301" t="str">
            <v/>
          </cell>
          <cell r="FW301" t="str">
            <v/>
          </cell>
          <cell r="FX301" t="str">
            <v/>
          </cell>
          <cell r="FY301" t="str">
            <v/>
          </cell>
          <cell r="FZ301" t="str">
            <v/>
          </cell>
          <cell r="GA301" t="str">
            <v/>
          </cell>
          <cell r="GB301" t="str">
            <v/>
          </cell>
          <cell r="GC301" t="str">
            <v/>
          </cell>
          <cell r="GD301" t="str">
            <v/>
          </cell>
          <cell r="GE301" t="str">
            <v/>
          </cell>
          <cell r="GF301" t="str">
            <v/>
          </cell>
          <cell r="GG301" t="str">
            <v/>
          </cell>
          <cell r="GH301" t="str">
            <v/>
          </cell>
          <cell r="GI301" t="str">
            <v/>
          </cell>
          <cell r="GJ301" t="str">
            <v/>
          </cell>
          <cell r="GK301" t="str">
            <v/>
          </cell>
          <cell r="GL301" t="str">
            <v/>
          </cell>
          <cell r="GM301" t="str">
            <v/>
          </cell>
          <cell r="GN301" t="str">
            <v/>
          </cell>
        </row>
        <row r="302">
          <cell r="A302" t="str">
            <v>PS-GRE</v>
          </cell>
          <cell r="D302" t="str">
            <v>28/09/2026</v>
          </cell>
          <cell r="E302">
            <v>2</v>
          </cell>
          <cell r="F302">
            <v>0</v>
          </cell>
          <cell r="G302" t="str">
            <v>Lagoa Santa, MG - Brazil</v>
          </cell>
          <cell r="H302" t="str">
            <v>Scheduled</v>
          </cell>
          <cell r="I302" t="str">
            <v>2134</v>
          </cell>
          <cell r="J302" t="str">
            <v>1668</v>
          </cell>
          <cell r="K302" t="str">
            <v>10110</v>
          </cell>
          <cell r="L302" t="str">
            <v>9918</v>
          </cell>
          <cell r="M302" t="str">
            <v>10478</v>
          </cell>
          <cell r="N302" t="str">
            <v>9450</v>
          </cell>
          <cell r="O302" t="str">
            <v>2028</v>
          </cell>
          <cell r="P302" t="str">
            <v>1776</v>
          </cell>
          <cell r="Q302" t="str">
            <v>9386</v>
          </cell>
          <cell r="R302" t="str">
            <v>10532</v>
          </cell>
          <cell r="S302" t="str">
            <v>9908</v>
          </cell>
          <cell r="T302" t="str">
            <v>10124</v>
          </cell>
          <cell r="U302" t="str">
            <v>6</v>
          </cell>
          <cell r="V302" t="str">
            <v>6</v>
          </cell>
          <cell r="W302" t="str">
            <v>Down Lock, Nose Gear</v>
          </cell>
          <cell r="X302" t="str">
            <v>Down Lock, Main Gear</v>
          </cell>
          <cell r="Y302" t="str">
            <v>Plumb Bob</v>
          </cell>
          <cell r="Z302" t="str">
            <v/>
          </cell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  <cell r="AF302" t="str">
            <v/>
          </cell>
          <cell r="AG302" t="str">
            <v/>
          </cell>
          <cell r="AH302" t="str">
            <v/>
          </cell>
          <cell r="AI302" t="str">
            <v/>
          </cell>
          <cell r="AJ302" t="str">
            <v/>
          </cell>
          <cell r="AK302" t="str">
            <v>0,3</v>
          </cell>
          <cell r="AL302" t="str">
            <v>0,4</v>
          </cell>
          <cell r="AM302" t="str">
            <v>0,5</v>
          </cell>
          <cell r="AN302" t="str">
            <v/>
          </cell>
          <cell r="AO302" t="str">
            <v>0</v>
          </cell>
          <cell r="AP302" t="str">
            <v>0</v>
          </cell>
          <cell r="AQ302" t="str">
            <v>0</v>
          </cell>
          <cell r="AR302" t="str">
            <v>0</v>
          </cell>
          <cell r="AS302" t="str">
            <v>0</v>
          </cell>
          <cell r="AT302" t="str">
            <v>0</v>
          </cell>
          <cell r="AU302" t="str">
            <v>0</v>
          </cell>
          <cell r="AV302" t="str">
            <v>0</v>
          </cell>
          <cell r="AW302" t="str">
            <v>0</v>
          </cell>
          <cell r="AX302" t="str">
            <v>0</v>
          </cell>
          <cell r="AY302" t="str">
            <v>82</v>
          </cell>
          <cell r="AZ302" t="str">
            <v>702</v>
          </cell>
          <cell r="BA302" t="str">
            <v>685</v>
          </cell>
          <cell r="BB302" t="str">
            <v/>
          </cell>
          <cell r="BC302" t="str">
            <v>0</v>
          </cell>
          <cell r="BD302" t="str">
            <v>0</v>
          </cell>
          <cell r="BE302" t="str">
            <v>0</v>
          </cell>
          <cell r="BF302" t="str">
            <v>0</v>
          </cell>
          <cell r="BG302" t="str">
            <v>0</v>
          </cell>
          <cell r="BH302" t="str">
            <v>0</v>
          </cell>
          <cell r="BI302" t="str">
            <v>0</v>
          </cell>
          <cell r="BJ302" t="str">
            <v>0</v>
          </cell>
          <cell r="BK302" t="str">
            <v>0</v>
          </cell>
          <cell r="BL302" t="str">
            <v>0</v>
          </cell>
          <cell r="BM302" t="str">
            <v>Flaps 0 - 40° (Up when weighed)</v>
          </cell>
          <cell r="BN302" t="str">
            <v>Fuel, Drain, Unusable (5.6 Gal)</v>
          </cell>
          <cell r="BO302" t="str">
            <v>Lavatory Dry Supplies</v>
          </cell>
          <cell r="BP302" t="str">
            <v>Lavatory Dry Supplies</v>
          </cell>
          <cell r="BQ302" t="str">
            <v>Lavatory Pre-charge Fluid (6.0 Gal)</v>
          </cell>
          <cell r="BR302" t="str">
            <v>Water, Potable (62.6 Gal)</v>
          </cell>
          <cell r="BS302" t="str">
            <v/>
          </cell>
          <cell r="BT302" t="str">
            <v/>
          </cell>
          <cell r="BU302" t="str">
            <v/>
          </cell>
          <cell r="BV302" t="str">
            <v/>
          </cell>
          <cell r="BW302" t="str">
            <v/>
          </cell>
          <cell r="BX302" t="str">
            <v/>
          </cell>
          <cell r="BY302" t="str">
            <v/>
          </cell>
          <cell r="BZ302" t="str">
            <v/>
          </cell>
          <cell r="CA302" t="str">
            <v/>
          </cell>
          <cell r="CB302" t="str">
            <v>0</v>
          </cell>
          <cell r="CC302" t="str">
            <v>17,3</v>
          </cell>
          <cell r="CD302" t="str">
            <v>2</v>
          </cell>
          <cell r="CE302" t="str">
            <v>4</v>
          </cell>
          <cell r="CF302" t="str">
            <v>22,7</v>
          </cell>
          <cell r="CG302" t="str">
            <v>236,4</v>
          </cell>
          <cell r="CH302" t="str">
            <v/>
          </cell>
          <cell r="CI302" t="str">
            <v/>
          </cell>
          <cell r="CJ302" t="str">
            <v/>
          </cell>
          <cell r="CK302" t="str">
            <v/>
          </cell>
          <cell r="CL302" t="str">
            <v/>
          </cell>
          <cell r="CM302" t="str">
            <v/>
          </cell>
          <cell r="CN302" t="str">
            <v/>
          </cell>
          <cell r="CO302" t="str">
            <v/>
          </cell>
          <cell r="CP302" t="str">
            <v>0</v>
          </cell>
          <cell r="CQ302" t="str">
            <v>646</v>
          </cell>
          <cell r="CR302" t="str">
            <v>80</v>
          </cell>
          <cell r="CS302" t="str">
            <v>1138</v>
          </cell>
          <cell r="CT302" t="str">
            <v>1112</v>
          </cell>
          <cell r="CU302" t="str">
            <v>1150</v>
          </cell>
          <cell r="CV302" t="str">
            <v/>
          </cell>
          <cell r="CW302" t="str">
            <v/>
          </cell>
          <cell r="CX302" t="str">
            <v/>
          </cell>
          <cell r="CY302" t="str">
            <v/>
          </cell>
          <cell r="CZ302" t="str">
            <v/>
          </cell>
          <cell r="DA302" t="str">
            <v/>
          </cell>
          <cell r="DB302" t="str">
            <v/>
          </cell>
          <cell r="DC302" t="str">
            <v/>
          </cell>
          <cell r="DD302" t="str">
            <v/>
          </cell>
          <cell r="DE302" t="str">
            <v/>
          </cell>
          <cell r="DF302" t="str">
            <v/>
          </cell>
          <cell r="DH302" t="str">
            <v/>
          </cell>
          <cell r="DN302" t="str">
            <v>28/09/2026</v>
          </cell>
          <cell r="DQ302" t="str">
            <v>Danton</v>
          </cell>
          <cell r="DR302" t="str">
            <v>Euler</v>
          </cell>
          <cell r="DS302" t="str">
            <v/>
          </cell>
          <cell r="DT302" t="str">
            <v/>
          </cell>
          <cell r="DU302" t="str">
            <v>GOL</v>
          </cell>
          <cell r="DV302" t="str">
            <v>186 Pax + 10 Flight Crew</v>
          </cell>
          <cell r="DW302" t="str">
            <v>GLP-MAX8-001-GRE</v>
          </cell>
          <cell r="FL302" t="str">
            <v/>
          </cell>
          <cell r="FM302" t="str">
            <v/>
          </cell>
          <cell r="FN302" t="str">
            <v/>
          </cell>
          <cell r="FO302" t="str">
            <v/>
          </cell>
          <cell r="FP302" t="str">
            <v/>
          </cell>
          <cell r="FQ302" t="str">
            <v/>
          </cell>
          <cell r="FR302" t="str">
            <v/>
          </cell>
          <cell r="FS302" t="str">
            <v/>
          </cell>
          <cell r="FT302" t="str">
            <v/>
          </cell>
          <cell r="FU302" t="str">
            <v/>
          </cell>
          <cell r="FV302" t="str">
            <v/>
          </cell>
          <cell r="FW302" t="str">
            <v/>
          </cell>
          <cell r="FX302" t="str">
            <v/>
          </cell>
          <cell r="FY302" t="str">
            <v/>
          </cell>
          <cell r="FZ302" t="str">
            <v/>
          </cell>
          <cell r="GA302" t="str">
            <v/>
          </cell>
          <cell r="GB302" t="str">
            <v/>
          </cell>
          <cell r="GC302" t="str">
            <v/>
          </cell>
          <cell r="GD302" t="str">
            <v/>
          </cell>
          <cell r="GE302" t="str">
            <v/>
          </cell>
          <cell r="GF302" t="str">
            <v/>
          </cell>
          <cell r="GG302" t="str">
            <v/>
          </cell>
          <cell r="GH302" t="str">
            <v/>
          </cell>
          <cell r="GI302" t="str">
            <v/>
          </cell>
          <cell r="GJ302" t="str">
            <v/>
          </cell>
          <cell r="GK302" t="str">
            <v/>
          </cell>
          <cell r="GL302" t="str">
            <v/>
          </cell>
          <cell r="GM302" t="str">
            <v/>
          </cell>
          <cell r="GN302" t="str">
            <v/>
          </cell>
        </row>
        <row r="303">
          <cell r="E303">
            <v>0</v>
          </cell>
          <cell r="F303">
            <v>0</v>
          </cell>
          <cell r="DN303">
            <v>0</v>
          </cell>
        </row>
        <row r="304">
          <cell r="E304">
            <v>0</v>
          </cell>
          <cell r="F304">
            <v>0</v>
          </cell>
          <cell r="DN304">
            <v>0</v>
          </cell>
        </row>
        <row r="305">
          <cell r="E305">
            <v>0</v>
          </cell>
          <cell r="F305">
            <v>0</v>
          </cell>
          <cell r="DN305">
            <v>0</v>
          </cell>
        </row>
        <row r="306">
          <cell r="E306">
            <v>0</v>
          </cell>
          <cell r="F306">
            <v>0</v>
          </cell>
          <cell r="DN306">
            <v>0</v>
          </cell>
        </row>
        <row r="307">
          <cell r="E307">
            <v>0</v>
          </cell>
          <cell r="F307">
            <v>0</v>
          </cell>
          <cell r="DN307">
            <v>0</v>
          </cell>
        </row>
        <row r="308">
          <cell r="E308">
            <v>0</v>
          </cell>
          <cell r="F308">
            <v>0</v>
          </cell>
          <cell r="DN308">
            <v>0</v>
          </cell>
        </row>
        <row r="309">
          <cell r="E309">
            <v>0</v>
          </cell>
          <cell r="F309">
            <v>0</v>
          </cell>
          <cell r="DN309">
            <v>0</v>
          </cell>
        </row>
        <row r="310">
          <cell r="E310">
            <v>0</v>
          </cell>
          <cell r="F310">
            <v>0</v>
          </cell>
          <cell r="DN310">
            <v>0</v>
          </cell>
        </row>
        <row r="311">
          <cell r="E311">
            <v>0</v>
          </cell>
          <cell r="F311">
            <v>0</v>
          </cell>
          <cell r="DN311">
            <v>0</v>
          </cell>
        </row>
        <row r="312">
          <cell r="E312">
            <v>0</v>
          </cell>
          <cell r="F312">
            <v>0</v>
          </cell>
          <cell r="DN312">
            <v>0</v>
          </cell>
        </row>
        <row r="313">
          <cell r="E313">
            <v>0</v>
          </cell>
          <cell r="F313">
            <v>0</v>
          </cell>
          <cell r="DN313">
            <v>0</v>
          </cell>
        </row>
        <row r="314">
          <cell r="E314">
            <v>0</v>
          </cell>
          <cell r="F314">
            <v>0</v>
          </cell>
          <cell r="DN314">
            <v>0</v>
          </cell>
        </row>
        <row r="315">
          <cell r="E315">
            <v>0</v>
          </cell>
          <cell r="F315">
            <v>0</v>
          </cell>
          <cell r="DN315">
            <v>0</v>
          </cell>
        </row>
        <row r="316">
          <cell r="E316">
            <v>0</v>
          </cell>
          <cell r="F316">
            <v>0</v>
          </cell>
          <cell r="DN316">
            <v>0</v>
          </cell>
        </row>
        <row r="317">
          <cell r="E317">
            <v>0</v>
          </cell>
          <cell r="F317">
            <v>0</v>
          </cell>
          <cell r="DN317">
            <v>0</v>
          </cell>
        </row>
        <row r="318">
          <cell r="E318">
            <v>0</v>
          </cell>
          <cell r="F318">
            <v>0</v>
          </cell>
          <cell r="DN318">
            <v>0</v>
          </cell>
        </row>
        <row r="319">
          <cell r="E319">
            <v>0</v>
          </cell>
          <cell r="F319">
            <v>0</v>
          </cell>
          <cell r="DN319">
            <v>0</v>
          </cell>
        </row>
        <row r="320">
          <cell r="E320">
            <v>0</v>
          </cell>
          <cell r="F320">
            <v>0</v>
          </cell>
          <cell r="DN320">
            <v>0</v>
          </cell>
        </row>
        <row r="321">
          <cell r="E321">
            <v>0</v>
          </cell>
          <cell r="F321">
            <v>0</v>
          </cell>
          <cell r="DN321">
            <v>0</v>
          </cell>
        </row>
        <row r="322">
          <cell r="E322">
            <v>0</v>
          </cell>
          <cell r="F322">
            <v>0</v>
          </cell>
          <cell r="DN322">
            <v>0</v>
          </cell>
        </row>
        <row r="323">
          <cell r="E323">
            <v>0</v>
          </cell>
          <cell r="F323">
            <v>0</v>
          </cell>
          <cell r="DN323">
            <v>0</v>
          </cell>
        </row>
        <row r="324">
          <cell r="E324">
            <v>0</v>
          </cell>
          <cell r="F324">
            <v>0</v>
          </cell>
          <cell r="DN324">
            <v>0</v>
          </cell>
        </row>
        <row r="325">
          <cell r="E325">
            <v>0</v>
          </cell>
          <cell r="F325">
            <v>0</v>
          </cell>
          <cell r="DN325">
            <v>0</v>
          </cell>
        </row>
        <row r="326">
          <cell r="E326">
            <v>0</v>
          </cell>
          <cell r="F326">
            <v>0</v>
          </cell>
          <cell r="DN326">
            <v>0</v>
          </cell>
        </row>
        <row r="327">
          <cell r="E327">
            <v>0</v>
          </cell>
          <cell r="F327">
            <v>0</v>
          </cell>
          <cell r="DN327">
            <v>0</v>
          </cell>
        </row>
        <row r="328">
          <cell r="E328">
            <v>0</v>
          </cell>
          <cell r="F328">
            <v>0</v>
          </cell>
          <cell r="DN328">
            <v>0</v>
          </cell>
        </row>
        <row r="329">
          <cell r="E329">
            <v>0</v>
          </cell>
          <cell r="F329">
            <v>0</v>
          </cell>
          <cell r="DN329">
            <v>0</v>
          </cell>
        </row>
        <row r="330">
          <cell r="E330">
            <v>0</v>
          </cell>
          <cell r="F330">
            <v>0</v>
          </cell>
          <cell r="DN330">
            <v>0</v>
          </cell>
        </row>
        <row r="331">
          <cell r="E331">
            <v>0</v>
          </cell>
          <cell r="F331">
            <v>0</v>
          </cell>
          <cell r="DN331">
            <v>0</v>
          </cell>
        </row>
        <row r="332">
          <cell r="E332">
            <v>0</v>
          </cell>
          <cell r="F332">
            <v>0</v>
          </cell>
          <cell r="DN332">
            <v>0</v>
          </cell>
        </row>
        <row r="333">
          <cell r="E333">
            <v>0</v>
          </cell>
          <cell r="F333">
            <v>0</v>
          </cell>
          <cell r="DN333">
            <v>0</v>
          </cell>
        </row>
        <row r="334">
          <cell r="E334">
            <v>0</v>
          </cell>
          <cell r="F334">
            <v>0</v>
          </cell>
          <cell r="DN334">
            <v>0</v>
          </cell>
        </row>
        <row r="335">
          <cell r="E335">
            <v>0</v>
          </cell>
          <cell r="F335">
            <v>0</v>
          </cell>
          <cell r="DN335">
            <v>0</v>
          </cell>
        </row>
        <row r="336">
          <cell r="E336">
            <v>0</v>
          </cell>
          <cell r="F336">
            <v>0</v>
          </cell>
          <cell r="DN336">
            <v>0</v>
          </cell>
        </row>
        <row r="337">
          <cell r="E337">
            <v>0</v>
          </cell>
          <cell r="F337">
            <v>0</v>
          </cell>
          <cell r="DN337">
            <v>0</v>
          </cell>
        </row>
        <row r="338">
          <cell r="E338">
            <v>0</v>
          </cell>
          <cell r="F338">
            <v>0</v>
          </cell>
          <cell r="DN338">
            <v>0</v>
          </cell>
        </row>
        <row r="339">
          <cell r="E339">
            <v>0</v>
          </cell>
          <cell r="F339">
            <v>0</v>
          </cell>
          <cell r="DN339">
            <v>0</v>
          </cell>
        </row>
        <row r="340">
          <cell r="E340">
            <v>0</v>
          </cell>
          <cell r="F340">
            <v>0</v>
          </cell>
          <cell r="DN340">
            <v>0</v>
          </cell>
        </row>
        <row r="341">
          <cell r="E341">
            <v>0</v>
          </cell>
          <cell r="F341">
            <v>0</v>
          </cell>
          <cell r="DN341">
            <v>0</v>
          </cell>
        </row>
        <row r="342">
          <cell r="E342">
            <v>0</v>
          </cell>
          <cell r="F342">
            <v>0</v>
          </cell>
          <cell r="DN342">
            <v>0</v>
          </cell>
        </row>
        <row r="343">
          <cell r="E343">
            <v>0</v>
          </cell>
          <cell r="F343">
            <v>0</v>
          </cell>
          <cell r="DN343">
            <v>0</v>
          </cell>
        </row>
        <row r="344">
          <cell r="E344">
            <v>0</v>
          </cell>
          <cell r="F344">
            <v>0</v>
          </cell>
          <cell r="DN344">
            <v>0</v>
          </cell>
        </row>
        <row r="345">
          <cell r="E345">
            <v>0</v>
          </cell>
          <cell r="F345">
            <v>0</v>
          </cell>
          <cell r="DN345">
            <v>0</v>
          </cell>
        </row>
        <row r="346">
          <cell r="E346">
            <v>0</v>
          </cell>
          <cell r="F346">
            <v>0</v>
          </cell>
          <cell r="DN346">
            <v>0</v>
          </cell>
        </row>
        <row r="347">
          <cell r="E347">
            <v>0</v>
          </cell>
          <cell r="F347">
            <v>0</v>
          </cell>
          <cell r="DN347">
            <v>0</v>
          </cell>
        </row>
        <row r="348">
          <cell r="E348">
            <v>0</v>
          </cell>
          <cell r="F348">
            <v>0</v>
          </cell>
          <cell r="DN348">
            <v>0</v>
          </cell>
        </row>
        <row r="349">
          <cell r="E349">
            <v>0</v>
          </cell>
          <cell r="F349">
            <v>0</v>
          </cell>
          <cell r="DN349">
            <v>0</v>
          </cell>
        </row>
        <row r="350">
          <cell r="E350">
            <v>0</v>
          </cell>
          <cell r="F350">
            <v>0</v>
          </cell>
          <cell r="DN350">
            <v>0</v>
          </cell>
        </row>
        <row r="351">
          <cell r="E351">
            <v>0</v>
          </cell>
          <cell r="F351">
            <v>0</v>
          </cell>
          <cell r="DN351">
            <v>0</v>
          </cell>
        </row>
        <row r="352">
          <cell r="E352">
            <v>0</v>
          </cell>
          <cell r="F352">
            <v>0</v>
          </cell>
          <cell r="DN352">
            <v>0</v>
          </cell>
        </row>
        <row r="353">
          <cell r="E353">
            <v>0</v>
          </cell>
          <cell r="F353">
            <v>0</v>
          </cell>
          <cell r="DN353">
            <v>0</v>
          </cell>
        </row>
        <row r="354">
          <cell r="E354">
            <v>0</v>
          </cell>
          <cell r="F354">
            <v>0</v>
          </cell>
          <cell r="DN354">
            <v>0</v>
          </cell>
        </row>
        <row r="355">
          <cell r="E355">
            <v>0</v>
          </cell>
          <cell r="F355">
            <v>0</v>
          </cell>
          <cell r="DN355">
            <v>0</v>
          </cell>
        </row>
        <row r="356">
          <cell r="E356">
            <v>0</v>
          </cell>
          <cell r="F356">
            <v>0</v>
          </cell>
          <cell r="DN356">
            <v>0</v>
          </cell>
        </row>
        <row r="357">
          <cell r="E357">
            <v>0</v>
          </cell>
          <cell r="F357">
            <v>0</v>
          </cell>
          <cell r="DN357">
            <v>0</v>
          </cell>
        </row>
        <row r="358">
          <cell r="E358">
            <v>0</v>
          </cell>
          <cell r="F358">
            <v>0</v>
          </cell>
          <cell r="DN358">
            <v>0</v>
          </cell>
        </row>
        <row r="359">
          <cell r="E359">
            <v>0</v>
          </cell>
          <cell r="F359">
            <v>0</v>
          </cell>
          <cell r="DN359">
            <v>0</v>
          </cell>
        </row>
        <row r="360">
          <cell r="E360">
            <v>0</v>
          </cell>
          <cell r="F360">
            <v>0</v>
          </cell>
          <cell r="DN360">
            <v>0</v>
          </cell>
        </row>
        <row r="361">
          <cell r="E361">
            <v>0</v>
          </cell>
          <cell r="F361">
            <v>0</v>
          </cell>
          <cell r="DN361">
            <v>0</v>
          </cell>
        </row>
        <row r="362">
          <cell r="E362">
            <v>0</v>
          </cell>
          <cell r="F362">
            <v>0</v>
          </cell>
          <cell r="DN362">
            <v>0</v>
          </cell>
        </row>
        <row r="363">
          <cell r="E363">
            <v>0</v>
          </cell>
          <cell r="F363">
            <v>0</v>
          </cell>
          <cell r="DN363">
            <v>0</v>
          </cell>
        </row>
        <row r="364">
          <cell r="E364">
            <v>0</v>
          </cell>
          <cell r="F364">
            <v>0</v>
          </cell>
          <cell r="DN364">
            <v>0</v>
          </cell>
        </row>
        <row r="365">
          <cell r="E365">
            <v>0</v>
          </cell>
          <cell r="F365">
            <v>0</v>
          </cell>
          <cell r="DN365">
            <v>0</v>
          </cell>
        </row>
        <row r="366">
          <cell r="E366">
            <v>0</v>
          </cell>
          <cell r="F366">
            <v>0</v>
          </cell>
          <cell r="DN366">
            <v>0</v>
          </cell>
        </row>
        <row r="367">
          <cell r="E367">
            <v>0</v>
          </cell>
          <cell r="F367">
            <v>0</v>
          </cell>
          <cell r="DN367">
            <v>0</v>
          </cell>
        </row>
        <row r="368">
          <cell r="E368">
            <v>0</v>
          </cell>
          <cell r="F368">
            <v>0</v>
          </cell>
          <cell r="DN368">
            <v>0</v>
          </cell>
        </row>
        <row r="369">
          <cell r="E369">
            <v>0</v>
          </cell>
          <cell r="F369">
            <v>0</v>
          </cell>
          <cell r="DN369">
            <v>0</v>
          </cell>
        </row>
        <row r="370">
          <cell r="E370">
            <v>0</v>
          </cell>
          <cell r="F370">
            <v>0</v>
          </cell>
          <cell r="DN370">
            <v>0</v>
          </cell>
        </row>
        <row r="371">
          <cell r="E371">
            <v>0</v>
          </cell>
          <cell r="F371">
            <v>0</v>
          </cell>
          <cell r="DN371">
            <v>0</v>
          </cell>
        </row>
        <row r="372">
          <cell r="E372">
            <v>0</v>
          </cell>
          <cell r="F372">
            <v>0</v>
          </cell>
          <cell r="DN372">
            <v>0</v>
          </cell>
        </row>
        <row r="373">
          <cell r="E373">
            <v>0</v>
          </cell>
          <cell r="F373">
            <v>0</v>
          </cell>
          <cell r="DN373">
            <v>0</v>
          </cell>
        </row>
        <row r="374">
          <cell r="E374">
            <v>0</v>
          </cell>
          <cell r="F374">
            <v>0</v>
          </cell>
          <cell r="DN374">
            <v>0</v>
          </cell>
        </row>
        <row r="375">
          <cell r="E375">
            <v>0</v>
          </cell>
          <cell r="F375">
            <v>0</v>
          </cell>
          <cell r="DN375">
            <v>0</v>
          </cell>
        </row>
        <row r="376">
          <cell r="E376">
            <v>0</v>
          </cell>
          <cell r="F376">
            <v>0</v>
          </cell>
          <cell r="DN376">
            <v>0</v>
          </cell>
        </row>
        <row r="377">
          <cell r="E377">
            <v>0</v>
          </cell>
          <cell r="F377">
            <v>0</v>
          </cell>
          <cell r="DN377">
            <v>0</v>
          </cell>
        </row>
        <row r="378">
          <cell r="E378">
            <v>0</v>
          </cell>
          <cell r="F378">
            <v>0</v>
          </cell>
          <cell r="DN378">
            <v>0</v>
          </cell>
        </row>
        <row r="379">
          <cell r="E379">
            <v>0</v>
          </cell>
          <cell r="F379">
            <v>0</v>
          </cell>
          <cell r="DN379">
            <v>0</v>
          </cell>
        </row>
        <row r="380">
          <cell r="E380">
            <v>0</v>
          </cell>
          <cell r="F380">
            <v>0</v>
          </cell>
          <cell r="DN380">
            <v>0</v>
          </cell>
        </row>
        <row r="381">
          <cell r="E381">
            <v>0</v>
          </cell>
          <cell r="F381">
            <v>0</v>
          </cell>
          <cell r="DN381">
            <v>0</v>
          </cell>
        </row>
        <row r="382">
          <cell r="E382">
            <v>0</v>
          </cell>
          <cell r="F382">
            <v>0</v>
          </cell>
          <cell r="DN382">
            <v>0</v>
          </cell>
        </row>
        <row r="383">
          <cell r="E383">
            <v>0</v>
          </cell>
          <cell r="F383">
            <v>0</v>
          </cell>
          <cell r="DN383">
            <v>0</v>
          </cell>
        </row>
        <row r="384">
          <cell r="E384">
            <v>0</v>
          </cell>
          <cell r="F384">
            <v>0</v>
          </cell>
          <cell r="DN384">
            <v>0</v>
          </cell>
        </row>
        <row r="385">
          <cell r="E385">
            <v>0</v>
          </cell>
          <cell r="F385">
            <v>0</v>
          </cell>
          <cell r="DN385">
            <v>0</v>
          </cell>
        </row>
        <row r="386">
          <cell r="E386">
            <v>0</v>
          </cell>
          <cell r="F386">
            <v>0</v>
          </cell>
          <cell r="DN386">
            <v>0</v>
          </cell>
        </row>
        <row r="387">
          <cell r="E387">
            <v>0</v>
          </cell>
          <cell r="F387">
            <v>0</v>
          </cell>
          <cell r="DN387">
            <v>0</v>
          </cell>
        </row>
        <row r="388">
          <cell r="E388">
            <v>0</v>
          </cell>
          <cell r="F388">
            <v>0</v>
          </cell>
          <cell r="DN388">
            <v>0</v>
          </cell>
        </row>
        <row r="389">
          <cell r="E389">
            <v>0</v>
          </cell>
          <cell r="F389">
            <v>0</v>
          </cell>
          <cell r="DN389">
            <v>0</v>
          </cell>
        </row>
        <row r="390">
          <cell r="E390">
            <v>0</v>
          </cell>
          <cell r="F390">
            <v>0</v>
          </cell>
          <cell r="DN390">
            <v>0</v>
          </cell>
        </row>
        <row r="391">
          <cell r="E391">
            <v>0</v>
          </cell>
          <cell r="F391">
            <v>0</v>
          </cell>
          <cell r="DN391">
            <v>0</v>
          </cell>
        </row>
        <row r="392">
          <cell r="E392">
            <v>0</v>
          </cell>
          <cell r="F392">
            <v>0</v>
          </cell>
          <cell r="DN392">
            <v>0</v>
          </cell>
        </row>
        <row r="393">
          <cell r="E393">
            <v>0</v>
          </cell>
          <cell r="F393">
            <v>0</v>
          </cell>
          <cell r="DN393">
            <v>0</v>
          </cell>
        </row>
        <row r="394">
          <cell r="E394">
            <v>0</v>
          </cell>
          <cell r="F394">
            <v>0</v>
          </cell>
          <cell r="DN394">
            <v>0</v>
          </cell>
        </row>
        <row r="395">
          <cell r="E395">
            <v>0</v>
          </cell>
          <cell r="F395">
            <v>0</v>
          </cell>
          <cell r="DN395">
            <v>0</v>
          </cell>
        </row>
        <row r="396">
          <cell r="E396">
            <v>0</v>
          </cell>
          <cell r="F396">
            <v>0</v>
          </cell>
          <cell r="DN396">
            <v>0</v>
          </cell>
        </row>
        <row r="397">
          <cell r="E397">
            <v>0</v>
          </cell>
          <cell r="F397">
            <v>0</v>
          </cell>
          <cell r="DN397">
            <v>0</v>
          </cell>
        </row>
        <row r="398">
          <cell r="E398">
            <v>0</v>
          </cell>
          <cell r="F398">
            <v>0</v>
          </cell>
          <cell r="DN398">
            <v>0</v>
          </cell>
        </row>
        <row r="399">
          <cell r="E399">
            <v>0</v>
          </cell>
          <cell r="F399">
            <v>0</v>
          </cell>
          <cell r="DN399">
            <v>0</v>
          </cell>
        </row>
        <row r="400">
          <cell r="E400">
            <v>0</v>
          </cell>
          <cell r="F400">
            <v>0</v>
          </cell>
          <cell r="DN400">
            <v>0</v>
          </cell>
        </row>
        <row r="401">
          <cell r="E401">
            <v>0</v>
          </cell>
          <cell r="F401">
            <v>0</v>
          </cell>
          <cell r="DN401">
            <v>0</v>
          </cell>
        </row>
        <row r="402">
          <cell r="E402">
            <v>0</v>
          </cell>
          <cell r="F402">
            <v>0</v>
          </cell>
          <cell r="DN402">
            <v>0</v>
          </cell>
        </row>
        <row r="403">
          <cell r="E403">
            <v>0</v>
          </cell>
          <cell r="F403">
            <v>0</v>
          </cell>
          <cell r="DN403">
            <v>0</v>
          </cell>
        </row>
        <row r="404">
          <cell r="E404">
            <v>0</v>
          </cell>
          <cell r="F404">
            <v>0</v>
          </cell>
          <cell r="DN404">
            <v>0</v>
          </cell>
        </row>
        <row r="405">
          <cell r="E405">
            <v>0</v>
          </cell>
          <cell r="F405">
            <v>0</v>
          </cell>
          <cell r="DN405">
            <v>0</v>
          </cell>
        </row>
        <row r="406">
          <cell r="E406">
            <v>0</v>
          </cell>
          <cell r="F406">
            <v>0</v>
          </cell>
          <cell r="DN406">
            <v>0</v>
          </cell>
        </row>
        <row r="407">
          <cell r="E407">
            <v>0</v>
          </cell>
          <cell r="F407">
            <v>0</v>
          </cell>
          <cell r="DN407">
            <v>0</v>
          </cell>
        </row>
        <row r="408">
          <cell r="E408">
            <v>0</v>
          </cell>
          <cell r="F408">
            <v>0</v>
          </cell>
          <cell r="DN408">
            <v>0</v>
          </cell>
        </row>
        <row r="409">
          <cell r="E409">
            <v>0</v>
          </cell>
          <cell r="F409">
            <v>0</v>
          </cell>
          <cell r="DN409">
            <v>0</v>
          </cell>
        </row>
        <row r="410">
          <cell r="E410">
            <v>0</v>
          </cell>
          <cell r="F410">
            <v>0</v>
          </cell>
          <cell r="DN410">
            <v>0</v>
          </cell>
        </row>
        <row r="411">
          <cell r="E411">
            <v>0</v>
          </cell>
          <cell r="F411">
            <v>0</v>
          </cell>
          <cell r="DN411">
            <v>0</v>
          </cell>
        </row>
        <row r="412">
          <cell r="E412">
            <v>0</v>
          </cell>
          <cell r="F412">
            <v>0</v>
          </cell>
          <cell r="DN412">
            <v>0</v>
          </cell>
        </row>
        <row r="413">
          <cell r="E413">
            <v>0</v>
          </cell>
          <cell r="F413">
            <v>0</v>
          </cell>
          <cell r="DN413">
            <v>0</v>
          </cell>
        </row>
        <row r="414">
          <cell r="E414">
            <v>0</v>
          </cell>
          <cell r="F414">
            <v>0</v>
          </cell>
          <cell r="DN414">
            <v>0</v>
          </cell>
        </row>
        <row r="415">
          <cell r="E415">
            <v>0</v>
          </cell>
          <cell r="F415">
            <v>0</v>
          </cell>
          <cell r="DN415">
            <v>0</v>
          </cell>
        </row>
        <row r="416">
          <cell r="E416">
            <v>0</v>
          </cell>
          <cell r="F416">
            <v>0</v>
          </cell>
          <cell r="DN416">
            <v>0</v>
          </cell>
        </row>
        <row r="417">
          <cell r="E417">
            <v>0</v>
          </cell>
          <cell r="F417">
            <v>0</v>
          </cell>
          <cell r="DN417">
            <v>0</v>
          </cell>
        </row>
        <row r="418">
          <cell r="E418">
            <v>0</v>
          </cell>
          <cell r="F418">
            <v>0</v>
          </cell>
          <cell r="DN418">
            <v>0</v>
          </cell>
        </row>
        <row r="419">
          <cell r="E419">
            <v>0</v>
          </cell>
          <cell r="F419">
            <v>0</v>
          </cell>
          <cell r="DN419">
            <v>0</v>
          </cell>
        </row>
        <row r="420">
          <cell r="E420">
            <v>0</v>
          </cell>
          <cell r="F420">
            <v>0</v>
          </cell>
          <cell r="DN420">
            <v>0</v>
          </cell>
        </row>
        <row r="421">
          <cell r="E421">
            <v>0</v>
          </cell>
          <cell r="F421">
            <v>0</v>
          </cell>
          <cell r="DN421">
            <v>0</v>
          </cell>
        </row>
        <row r="422">
          <cell r="E422">
            <v>0</v>
          </cell>
          <cell r="F422">
            <v>0</v>
          </cell>
          <cell r="DN422">
            <v>0</v>
          </cell>
        </row>
        <row r="423">
          <cell r="E423">
            <v>0</v>
          </cell>
          <cell r="F423">
            <v>0</v>
          </cell>
          <cell r="DN423">
            <v>0</v>
          </cell>
        </row>
        <row r="424">
          <cell r="E424">
            <v>0</v>
          </cell>
          <cell r="F424">
            <v>0</v>
          </cell>
          <cell r="DN424">
            <v>0</v>
          </cell>
        </row>
        <row r="425">
          <cell r="E425">
            <v>0</v>
          </cell>
          <cell r="F425">
            <v>0</v>
          </cell>
          <cell r="DN425">
            <v>0</v>
          </cell>
        </row>
        <row r="426">
          <cell r="E426">
            <v>0</v>
          </cell>
          <cell r="F426">
            <v>0</v>
          </cell>
          <cell r="DN426">
            <v>0</v>
          </cell>
        </row>
        <row r="427">
          <cell r="E427">
            <v>0</v>
          </cell>
          <cell r="F427">
            <v>0</v>
          </cell>
          <cell r="DN427">
            <v>0</v>
          </cell>
        </row>
        <row r="428">
          <cell r="E428">
            <v>0</v>
          </cell>
          <cell r="F428">
            <v>0</v>
          </cell>
          <cell r="DN428">
            <v>0</v>
          </cell>
        </row>
        <row r="429">
          <cell r="E429">
            <v>0</v>
          </cell>
          <cell r="F429">
            <v>0</v>
          </cell>
          <cell r="DN429">
            <v>0</v>
          </cell>
        </row>
        <row r="430">
          <cell r="E430">
            <v>0</v>
          </cell>
          <cell r="F430">
            <v>0</v>
          </cell>
          <cell r="DN430">
            <v>0</v>
          </cell>
        </row>
        <row r="431">
          <cell r="E431">
            <v>0</v>
          </cell>
          <cell r="F431">
            <v>0</v>
          </cell>
          <cell r="DN431">
            <v>0</v>
          </cell>
        </row>
        <row r="432">
          <cell r="E432">
            <v>0</v>
          </cell>
          <cell r="F432">
            <v>0</v>
          </cell>
          <cell r="DN432">
            <v>0</v>
          </cell>
        </row>
        <row r="433">
          <cell r="E433">
            <v>0</v>
          </cell>
          <cell r="F433">
            <v>0</v>
          </cell>
          <cell r="DN433">
            <v>0</v>
          </cell>
        </row>
        <row r="434">
          <cell r="E434">
            <v>0</v>
          </cell>
          <cell r="F434">
            <v>0</v>
          </cell>
          <cell r="DN434">
            <v>0</v>
          </cell>
        </row>
        <row r="435">
          <cell r="E435">
            <v>0</v>
          </cell>
          <cell r="F435">
            <v>0</v>
          </cell>
          <cell r="DN435">
            <v>0</v>
          </cell>
        </row>
        <row r="436">
          <cell r="E436">
            <v>0</v>
          </cell>
          <cell r="F436">
            <v>0</v>
          </cell>
          <cell r="DN436">
            <v>0</v>
          </cell>
        </row>
        <row r="437">
          <cell r="E437">
            <v>0</v>
          </cell>
          <cell r="F437">
            <v>0</v>
          </cell>
          <cell r="DN437">
            <v>0</v>
          </cell>
        </row>
        <row r="438">
          <cell r="E438">
            <v>0</v>
          </cell>
          <cell r="F438">
            <v>0</v>
          </cell>
          <cell r="DN438">
            <v>0</v>
          </cell>
        </row>
        <row r="439">
          <cell r="E439">
            <v>0</v>
          </cell>
          <cell r="F439">
            <v>0</v>
          </cell>
          <cell r="DN439">
            <v>0</v>
          </cell>
        </row>
        <row r="440">
          <cell r="E440">
            <v>0</v>
          </cell>
          <cell r="F440">
            <v>0</v>
          </cell>
          <cell r="DN440">
            <v>0</v>
          </cell>
        </row>
        <row r="441">
          <cell r="E441">
            <v>0</v>
          </cell>
          <cell r="F441">
            <v>0</v>
          </cell>
          <cell r="DN441">
            <v>0</v>
          </cell>
        </row>
        <row r="442">
          <cell r="E442">
            <v>0</v>
          </cell>
          <cell r="F442">
            <v>0</v>
          </cell>
          <cell r="DN442">
            <v>0</v>
          </cell>
        </row>
        <row r="443">
          <cell r="E443">
            <v>0</v>
          </cell>
          <cell r="F443">
            <v>0</v>
          </cell>
          <cell r="DN443">
            <v>0</v>
          </cell>
        </row>
        <row r="444">
          <cell r="E444">
            <v>0</v>
          </cell>
          <cell r="F444">
            <v>0</v>
          </cell>
          <cell r="DN444">
            <v>0</v>
          </cell>
        </row>
        <row r="445">
          <cell r="E445">
            <v>0</v>
          </cell>
          <cell r="F445">
            <v>0</v>
          </cell>
          <cell r="DN445">
            <v>0</v>
          </cell>
        </row>
        <row r="446">
          <cell r="E446">
            <v>0</v>
          </cell>
          <cell r="F446">
            <v>0</v>
          </cell>
          <cell r="DN446">
            <v>0</v>
          </cell>
        </row>
        <row r="447">
          <cell r="E447">
            <v>0</v>
          </cell>
          <cell r="F447">
            <v>0</v>
          </cell>
          <cell r="DN447">
            <v>0</v>
          </cell>
        </row>
        <row r="448">
          <cell r="E448">
            <v>0</v>
          </cell>
          <cell r="F448">
            <v>0</v>
          </cell>
          <cell r="DN448">
            <v>0</v>
          </cell>
        </row>
        <row r="449">
          <cell r="E449">
            <v>0</v>
          </cell>
          <cell r="F449">
            <v>0</v>
          </cell>
          <cell r="DN449">
            <v>0</v>
          </cell>
        </row>
        <row r="450">
          <cell r="E450">
            <v>0</v>
          </cell>
          <cell r="F450">
            <v>0</v>
          </cell>
          <cell r="DN450">
            <v>0</v>
          </cell>
        </row>
        <row r="451">
          <cell r="E451">
            <v>0</v>
          </cell>
          <cell r="F451">
            <v>0</v>
          </cell>
          <cell r="DN451">
            <v>0</v>
          </cell>
        </row>
        <row r="452">
          <cell r="E452">
            <v>0</v>
          </cell>
          <cell r="F452">
            <v>0</v>
          </cell>
          <cell r="DN452">
            <v>0</v>
          </cell>
        </row>
        <row r="453">
          <cell r="E453">
            <v>0</v>
          </cell>
          <cell r="F453">
            <v>0</v>
          </cell>
          <cell r="DN453">
            <v>0</v>
          </cell>
        </row>
        <row r="454">
          <cell r="E454">
            <v>0</v>
          </cell>
          <cell r="F454">
            <v>0</v>
          </cell>
          <cell r="DN454">
            <v>0</v>
          </cell>
        </row>
        <row r="455">
          <cell r="E455">
            <v>0</v>
          </cell>
          <cell r="F455">
            <v>0</v>
          </cell>
          <cell r="DN455">
            <v>0</v>
          </cell>
        </row>
        <row r="456">
          <cell r="E456">
            <v>0</v>
          </cell>
          <cell r="F456">
            <v>0</v>
          </cell>
          <cell r="DN456">
            <v>0</v>
          </cell>
        </row>
        <row r="457">
          <cell r="E457">
            <v>0</v>
          </cell>
          <cell r="F457">
            <v>0</v>
          </cell>
          <cell r="DN457">
            <v>0</v>
          </cell>
        </row>
        <row r="458">
          <cell r="E458">
            <v>0</v>
          </cell>
          <cell r="F458">
            <v>0</v>
          </cell>
          <cell r="DN458">
            <v>0</v>
          </cell>
        </row>
        <row r="459">
          <cell r="E459">
            <v>0</v>
          </cell>
          <cell r="F459">
            <v>0</v>
          </cell>
          <cell r="DN459">
            <v>0</v>
          </cell>
        </row>
        <row r="460">
          <cell r="E460">
            <v>0</v>
          </cell>
          <cell r="F460">
            <v>0</v>
          </cell>
          <cell r="DN460">
            <v>0</v>
          </cell>
        </row>
        <row r="461">
          <cell r="E461">
            <v>0</v>
          </cell>
          <cell r="F461">
            <v>0</v>
          </cell>
          <cell r="DN461">
            <v>0</v>
          </cell>
        </row>
        <row r="462">
          <cell r="E462">
            <v>0</v>
          </cell>
          <cell r="F462">
            <v>0</v>
          </cell>
          <cell r="DN462">
            <v>0</v>
          </cell>
        </row>
        <row r="463">
          <cell r="E463">
            <v>0</v>
          </cell>
          <cell r="F463">
            <v>0</v>
          </cell>
          <cell r="DN463">
            <v>0</v>
          </cell>
        </row>
        <row r="464">
          <cell r="E464">
            <v>0</v>
          </cell>
          <cell r="F464">
            <v>0</v>
          </cell>
          <cell r="DN464">
            <v>0</v>
          </cell>
        </row>
        <row r="465">
          <cell r="E465">
            <v>0</v>
          </cell>
          <cell r="F465">
            <v>0</v>
          </cell>
          <cell r="DN465">
            <v>0</v>
          </cell>
        </row>
        <row r="466">
          <cell r="E466">
            <v>0</v>
          </cell>
          <cell r="F466">
            <v>0</v>
          </cell>
          <cell r="DN466">
            <v>0</v>
          </cell>
        </row>
        <row r="467">
          <cell r="E467">
            <v>0</v>
          </cell>
          <cell r="F467">
            <v>0</v>
          </cell>
          <cell r="DN467">
            <v>0</v>
          </cell>
        </row>
        <row r="468">
          <cell r="E468">
            <v>0</v>
          </cell>
          <cell r="F468">
            <v>0</v>
          </cell>
          <cell r="DN468">
            <v>0</v>
          </cell>
        </row>
        <row r="469">
          <cell r="E469">
            <v>0</v>
          </cell>
          <cell r="F469">
            <v>0</v>
          </cell>
          <cell r="DN469">
            <v>0</v>
          </cell>
        </row>
        <row r="470">
          <cell r="E470">
            <v>0</v>
          </cell>
          <cell r="F470">
            <v>0</v>
          </cell>
          <cell r="DN470">
            <v>0</v>
          </cell>
        </row>
        <row r="471">
          <cell r="E471">
            <v>0</v>
          </cell>
          <cell r="F471">
            <v>0</v>
          </cell>
          <cell r="DN471">
            <v>0</v>
          </cell>
        </row>
        <row r="472">
          <cell r="E472">
            <v>0</v>
          </cell>
          <cell r="F472">
            <v>0</v>
          </cell>
          <cell r="DN472">
            <v>0</v>
          </cell>
        </row>
        <row r="473">
          <cell r="E473">
            <v>0</v>
          </cell>
          <cell r="F473">
            <v>0</v>
          </cell>
          <cell r="DN473">
            <v>0</v>
          </cell>
        </row>
        <row r="474">
          <cell r="E474">
            <v>0</v>
          </cell>
          <cell r="F474">
            <v>0</v>
          </cell>
          <cell r="DN474">
            <v>0</v>
          </cell>
        </row>
        <row r="475">
          <cell r="E475">
            <v>0</v>
          </cell>
          <cell r="F475">
            <v>0</v>
          </cell>
          <cell r="DN475">
            <v>0</v>
          </cell>
        </row>
        <row r="476">
          <cell r="E476">
            <v>0</v>
          </cell>
          <cell r="F476">
            <v>0</v>
          </cell>
          <cell r="DN476">
            <v>0</v>
          </cell>
        </row>
        <row r="477">
          <cell r="E477">
            <v>0</v>
          </cell>
          <cell r="F477">
            <v>0</v>
          </cell>
          <cell r="DN477">
            <v>0</v>
          </cell>
        </row>
        <row r="478">
          <cell r="E478">
            <v>0</v>
          </cell>
          <cell r="F478">
            <v>0</v>
          </cell>
          <cell r="DN478">
            <v>0</v>
          </cell>
        </row>
        <row r="479">
          <cell r="E479">
            <v>0</v>
          </cell>
          <cell r="F479">
            <v>0</v>
          </cell>
          <cell r="DN479">
            <v>0</v>
          </cell>
        </row>
        <row r="480">
          <cell r="E480">
            <v>0</v>
          </cell>
          <cell r="F480">
            <v>0</v>
          </cell>
          <cell r="DN480">
            <v>0</v>
          </cell>
        </row>
        <row r="481">
          <cell r="E481">
            <v>0</v>
          </cell>
          <cell r="F481">
            <v>0</v>
          </cell>
          <cell r="DN481">
            <v>0</v>
          </cell>
        </row>
        <row r="482">
          <cell r="E482">
            <v>0</v>
          </cell>
          <cell r="F482">
            <v>0</v>
          </cell>
          <cell r="DN482">
            <v>0</v>
          </cell>
        </row>
        <row r="483">
          <cell r="E483">
            <v>0</v>
          </cell>
          <cell r="F483">
            <v>0</v>
          </cell>
          <cell r="DN483">
            <v>0</v>
          </cell>
        </row>
        <row r="484">
          <cell r="E484">
            <v>0</v>
          </cell>
          <cell r="F484">
            <v>0</v>
          </cell>
          <cell r="DN484">
            <v>0</v>
          </cell>
        </row>
        <row r="485">
          <cell r="E485">
            <v>0</v>
          </cell>
          <cell r="F485">
            <v>0</v>
          </cell>
          <cell r="DN485">
            <v>0</v>
          </cell>
        </row>
        <row r="486">
          <cell r="E486">
            <v>0</v>
          </cell>
          <cell r="F486">
            <v>0</v>
          </cell>
          <cell r="DN486">
            <v>0</v>
          </cell>
        </row>
        <row r="487">
          <cell r="E487">
            <v>0</v>
          </cell>
          <cell r="F487">
            <v>0</v>
          </cell>
          <cell r="DN487">
            <v>0</v>
          </cell>
        </row>
        <row r="488">
          <cell r="E488">
            <v>0</v>
          </cell>
          <cell r="F488">
            <v>0</v>
          </cell>
          <cell r="DN488">
            <v>0</v>
          </cell>
        </row>
        <row r="489">
          <cell r="E489">
            <v>0</v>
          </cell>
          <cell r="F489">
            <v>0</v>
          </cell>
          <cell r="DN489">
            <v>0</v>
          </cell>
        </row>
        <row r="490">
          <cell r="E490">
            <v>0</v>
          </cell>
          <cell r="F490">
            <v>0</v>
          </cell>
          <cell r="DN490">
            <v>0</v>
          </cell>
        </row>
        <row r="491">
          <cell r="E491">
            <v>0</v>
          </cell>
          <cell r="F491">
            <v>0</v>
          </cell>
          <cell r="DN491">
            <v>0</v>
          </cell>
        </row>
        <row r="492">
          <cell r="E492">
            <v>0</v>
          </cell>
          <cell r="F492">
            <v>0</v>
          </cell>
          <cell r="DN492">
            <v>0</v>
          </cell>
        </row>
        <row r="493">
          <cell r="E493">
            <v>0</v>
          </cell>
          <cell r="F493">
            <v>0</v>
          </cell>
          <cell r="DN493">
            <v>0</v>
          </cell>
        </row>
        <row r="494">
          <cell r="E494">
            <v>0</v>
          </cell>
          <cell r="F494">
            <v>0</v>
          </cell>
          <cell r="DN494">
            <v>0</v>
          </cell>
        </row>
        <row r="495">
          <cell r="E495">
            <v>0</v>
          </cell>
          <cell r="F495">
            <v>0</v>
          </cell>
          <cell r="DN495">
            <v>0</v>
          </cell>
        </row>
        <row r="496">
          <cell r="E496">
            <v>0</v>
          </cell>
          <cell r="F496">
            <v>0</v>
          </cell>
          <cell r="DN496">
            <v>0</v>
          </cell>
        </row>
        <row r="497">
          <cell r="E497">
            <v>0</v>
          </cell>
          <cell r="F497">
            <v>0</v>
          </cell>
          <cell r="DN497">
            <v>0</v>
          </cell>
        </row>
        <row r="498">
          <cell r="E498">
            <v>0</v>
          </cell>
          <cell r="F498">
            <v>0</v>
          </cell>
          <cell r="DN498">
            <v>0</v>
          </cell>
        </row>
        <row r="499">
          <cell r="E499">
            <v>0</v>
          </cell>
          <cell r="F499">
            <v>0</v>
          </cell>
          <cell r="DN499">
            <v>0</v>
          </cell>
        </row>
        <row r="500">
          <cell r="E500">
            <v>0</v>
          </cell>
          <cell r="F500">
            <v>0</v>
          </cell>
          <cell r="DN500">
            <v>0</v>
          </cell>
        </row>
        <row r="501">
          <cell r="E501">
            <v>0</v>
          </cell>
          <cell r="F501">
            <v>0</v>
          </cell>
          <cell r="DN501">
            <v>0</v>
          </cell>
        </row>
        <row r="502">
          <cell r="E502">
            <v>0</v>
          </cell>
          <cell r="F502">
            <v>0</v>
          </cell>
          <cell r="DN502">
            <v>0</v>
          </cell>
        </row>
        <row r="503">
          <cell r="E503">
            <v>0</v>
          </cell>
          <cell r="F503">
            <v>0</v>
          </cell>
          <cell r="DN503">
            <v>0</v>
          </cell>
        </row>
        <row r="504">
          <cell r="E504">
            <v>0</v>
          </cell>
          <cell r="F504">
            <v>0</v>
          </cell>
          <cell r="DN504">
            <v>0</v>
          </cell>
        </row>
        <row r="505">
          <cell r="E505">
            <v>0</v>
          </cell>
          <cell r="F505">
            <v>0</v>
          </cell>
          <cell r="DN505">
            <v>0</v>
          </cell>
        </row>
        <row r="506">
          <cell r="E506">
            <v>0</v>
          </cell>
          <cell r="F506">
            <v>0</v>
          </cell>
          <cell r="DN506">
            <v>0</v>
          </cell>
        </row>
        <row r="507">
          <cell r="E507">
            <v>0</v>
          </cell>
          <cell r="F507">
            <v>0</v>
          </cell>
          <cell r="DN507">
            <v>0</v>
          </cell>
        </row>
        <row r="508">
          <cell r="E508">
            <v>0</v>
          </cell>
          <cell r="F508">
            <v>0</v>
          </cell>
          <cell r="DN508">
            <v>0</v>
          </cell>
        </row>
        <row r="509">
          <cell r="E509">
            <v>0</v>
          </cell>
          <cell r="F509">
            <v>0</v>
          </cell>
          <cell r="DN509">
            <v>0</v>
          </cell>
        </row>
        <row r="510">
          <cell r="E510">
            <v>0</v>
          </cell>
          <cell r="F510">
            <v>0</v>
          </cell>
          <cell r="DN510">
            <v>0</v>
          </cell>
        </row>
        <row r="511">
          <cell r="E511">
            <v>0</v>
          </cell>
          <cell r="F511">
            <v>0</v>
          </cell>
          <cell r="DN511">
            <v>0</v>
          </cell>
        </row>
        <row r="512">
          <cell r="E512">
            <v>0</v>
          </cell>
          <cell r="F512">
            <v>0</v>
          </cell>
          <cell r="DN512">
            <v>0</v>
          </cell>
        </row>
        <row r="513">
          <cell r="E513">
            <v>0</v>
          </cell>
          <cell r="F513">
            <v>0</v>
          </cell>
          <cell r="DN513">
            <v>0</v>
          </cell>
        </row>
        <row r="514">
          <cell r="E514">
            <v>0</v>
          </cell>
          <cell r="F514">
            <v>0</v>
          </cell>
          <cell r="DN514">
            <v>0</v>
          </cell>
        </row>
        <row r="515">
          <cell r="E515">
            <v>0</v>
          </cell>
          <cell r="F515">
            <v>0</v>
          </cell>
          <cell r="DN515">
            <v>0</v>
          </cell>
        </row>
        <row r="516">
          <cell r="E516">
            <v>0</v>
          </cell>
          <cell r="F516">
            <v>0</v>
          </cell>
          <cell r="DN516">
            <v>0</v>
          </cell>
        </row>
        <row r="517">
          <cell r="E517">
            <v>0</v>
          </cell>
          <cell r="F517">
            <v>0</v>
          </cell>
          <cell r="DN517">
            <v>0</v>
          </cell>
        </row>
        <row r="518">
          <cell r="E518">
            <v>0</v>
          </cell>
          <cell r="F518">
            <v>0</v>
          </cell>
          <cell r="DN518">
            <v>0</v>
          </cell>
        </row>
        <row r="519">
          <cell r="E519">
            <v>0</v>
          </cell>
          <cell r="F519">
            <v>0</v>
          </cell>
          <cell r="DN519">
            <v>0</v>
          </cell>
        </row>
        <row r="520">
          <cell r="E520">
            <v>0</v>
          </cell>
          <cell r="F520">
            <v>0</v>
          </cell>
          <cell r="DN520">
            <v>0</v>
          </cell>
        </row>
        <row r="521">
          <cell r="E521">
            <v>0</v>
          </cell>
          <cell r="F521">
            <v>0</v>
          </cell>
          <cell r="DN521">
            <v>0</v>
          </cell>
        </row>
        <row r="522">
          <cell r="E522">
            <v>0</v>
          </cell>
          <cell r="F522">
            <v>0</v>
          </cell>
          <cell r="DN522">
            <v>0</v>
          </cell>
        </row>
        <row r="523">
          <cell r="E523">
            <v>0</v>
          </cell>
          <cell r="F523">
            <v>0</v>
          </cell>
          <cell r="DN523">
            <v>0</v>
          </cell>
        </row>
        <row r="524">
          <cell r="E524">
            <v>0</v>
          </cell>
          <cell r="F524">
            <v>0</v>
          </cell>
          <cell r="DN524">
            <v>0</v>
          </cell>
        </row>
        <row r="525">
          <cell r="E525">
            <v>0</v>
          </cell>
          <cell r="F525">
            <v>0</v>
          </cell>
          <cell r="DN525">
            <v>0</v>
          </cell>
        </row>
        <row r="526">
          <cell r="E526">
            <v>0</v>
          </cell>
          <cell r="F526">
            <v>0</v>
          </cell>
          <cell r="DN526">
            <v>0</v>
          </cell>
        </row>
        <row r="527">
          <cell r="E527">
            <v>0</v>
          </cell>
          <cell r="F527">
            <v>0</v>
          </cell>
          <cell r="DN527">
            <v>0</v>
          </cell>
        </row>
        <row r="528">
          <cell r="E528">
            <v>0</v>
          </cell>
          <cell r="F528">
            <v>0</v>
          </cell>
          <cell r="DN528">
            <v>0</v>
          </cell>
        </row>
        <row r="529">
          <cell r="E529">
            <v>0</v>
          </cell>
          <cell r="F529">
            <v>0</v>
          </cell>
          <cell r="DN529">
            <v>0</v>
          </cell>
        </row>
        <row r="530">
          <cell r="E530">
            <v>0</v>
          </cell>
          <cell r="F530">
            <v>0</v>
          </cell>
          <cell r="DN530">
            <v>0</v>
          </cell>
        </row>
        <row r="531">
          <cell r="E531">
            <v>0</v>
          </cell>
          <cell r="F531">
            <v>0</v>
          </cell>
          <cell r="DN531">
            <v>0</v>
          </cell>
        </row>
        <row r="532">
          <cell r="E532">
            <v>0</v>
          </cell>
          <cell r="F532">
            <v>0</v>
          </cell>
          <cell r="DN532">
            <v>0</v>
          </cell>
        </row>
        <row r="533">
          <cell r="E533">
            <v>0</v>
          </cell>
          <cell r="F533">
            <v>0</v>
          </cell>
          <cell r="DN533">
            <v>0</v>
          </cell>
        </row>
        <row r="534">
          <cell r="E534">
            <v>0</v>
          </cell>
          <cell r="F534">
            <v>0</v>
          </cell>
          <cell r="DN534">
            <v>0</v>
          </cell>
        </row>
        <row r="535">
          <cell r="E535">
            <v>0</v>
          </cell>
          <cell r="F535">
            <v>0</v>
          </cell>
          <cell r="DN535">
            <v>0</v>
          </cell>
        </row>
        <row r="536">
          <cell r="E536">
            <v>0</v>
          </cell>
          <cell r="F536">
            <v>0</v>
          </cell>
          <cell r="DN536">
            <v>0</v>
          </cell>
        </row>
        <row r="537">
          <cell r="E537">
            <v>0</v>
          </cell>
          <cell r="F537">
            <v>0</v>
          </cell>
          <cell r="DN537">
            <v>0</v>
          </cell>
        </row>
        <row r="538">
          <cell r="E538">
            <v>0</v>
          </cell>
          <cell r="F538">
            <v>0</v>
          </cell>
          <cell r="DN538">
            <v>0</v>
          </cell>
        </row>
        <row r="539">
          <cell r="E539">
            <v>0</v>
          </cell>
          <cell r="F539">
            <v>0</v>
          </cell>
          <cell r="DN539">
            <v>0</v>
          </cell>
        </row>
        <row r="540">
          <cell r="E540">
            <v>0</v>
          </cell>
          <cell r="F540">
            <v>0</v>
          </cell>
          <cell r="DN540">
            <v>0</v>
          </cell>
        </row>
        <row r="541">
          <cell r="E541">
            <v>0</v>
          </cell>
          <cell r="F541">
            <v>0</v>
          </cell>
          <cell r="DN541">
            <v>0</v>
          </cell>
        </row>
        <row r="542">
          <cell r="E542">
            <v>0</v>
          </cell>
          <cell r="F542">
            <v>0</v>
          </cell>
          <cell r="DN542">
            <v>0</v>
          </cell>
        </row>
        <row r="543">
          <cell r="E543">
            <v>0</v>
          </cell>
          <cell r="F543">
            <v>0</v>
          </cell>
          <cell r="DN543">
            <v>0</v>
          </cell>
        </row>
        <row r="544">
          <cell r="E544">
            <v>0</v>
          </cell>
          <cell r="F544">
            <v>0</v>
          </cell>
          <cell r="DN544">
            <v>0</v>
          </cell>
        </row>
        <row r="545">
          <cell r="E545">
            <v>0</v>
          </cell>
          <cell r="F545">
            <v>0</v>
          </cell>
          <cell r="DN545">
            <v>0</v>
          </cell>
        </row>
        <row r="546">
          <cell r="E546">
            <v>0</v>
          </cell>
          <cell r="F546">
            <v>0</v>
          </cell>
          <cell r="DN546">
            <v>0</v>
          </cell>
        </row>
        <row r="547">
          <cell r="E547">
            <v>0</v>
          </cell>
          <cell r="F547">
            <v>0</v>
          </cell>
          <cell r="DN547">
            <v>0</v>
          </cell>
        </row>
        <row r="548">
          <cell r="E548">
            <v>0</v>
          </cell>
          <cell r="F548">
            <v>0</v>
          </cell>
          <cell r="DN548">
            <v>0</v>
          </cell>
        </row>
        <row r="549">
          <cell r="E549">
            <v>0</v>
          </cell>
          <cell r="F549">
            <v>0</v>
          </cell>
          <cell r="DN549">
            <v>0</v>
          </cell>
        </row>
        <row r="550">
          <cell r="E550">
            <v>0</v>
          </cell>
          <cell r="F550">
            <v>0</v>
          </cell>
          <cell r="DN550">
            <v>0</v>
          </cell>
        </row>
        <row r="551">
          <cell r="E551">
            <v>0</v>
          </cell>
          <cell r="F551">
            <v>0</v>
          </cell>
          <cell r="DN551">
            <v>0</v>
          </cell>
        </row>
        <row r="552">
          <cell r="E552">
            <v>0</v>
          </cell>
          <cell r="F552">
            <v>0</v>
          </cell>
          <cell r="DN552">
            <v>0</v>
          </cell>
        </row>
        <row r="553">
          <cell r="E553">
            <v>0</v>
          </cell>
          <cell r="F553">
            <v>0</v>
          </cell>
          <cell r="DN553">
            <v>0</v>
          </cell>
        </row>
        <row r="554">
          <cell r="E554">
            <v>0</v>
          </cell>
          <cell r="F554">
            <v>0</v>
          </cell>
          <cell r="DN554">
            <v>0</v>
          </cell>
        </row>
        <row r="555">
          <cell r="E555">
            <v>0</v>
          </cell>
          <cell r="F555">
            <v>0</v>
          </cell>
          <cell r="DN555">
            <v>0</v>
          </cell>
        </row>
        <row r="556">
          <cell r="E556">
            <v>0</v>
          </cell>
          <cell r="F556">
            <v>0</v>
          </cell>
          <cell r="DN556">
            <v>0</v>
          </cell>
        </row>
        <row r="557">
          <cell r="E557">
            <v>0</v>
          </cell>
          <cell r="F557">
            <v>0</v>
          </cell>
          <cell r="DN557">
            <v>0</v>
          </cell>
        </row>
        <row r="558">
          <cell r="E558">
            <v>0</v>
          </cell>
          <cell r="F558">
            <v>0</v>
          </cell>
          <cell r="DN558">
            <v>0</v>
          </cell>
        </row>
        <row r="559">
          <cell r="E559">
            <v>0</v>
          </cell>
          <cell r="F559">
            <v>0</v>
          </cell>
          <cell r="DN559">
            <v>0</v>
          </cell>
        </row>
        <row r="560">
          <cell r="E560">
            <v>0</v>
          </cell>
          <cell r="F560">
            <v>0</v>
          </cell>
          <cell r="DN560">
            <v>0</v>
          </cell>
        </row>
        <row r="561">
          <cell r="E561">
            <v>0</v>
          </cell>
          <cell r="F561">
            <v>0</v>
          </cell>
          <cell r="DN561">
            <v>0</v>
          </cell>
        </row>
        <row r="562">
          <cell r="E562">
            <v>0</v>
          </cell>
          <cell r="F562">
            <v>0</v>
          </cell>
          <cell r="DN562">
            <v>0</v>
          </cell>
        </row>
        <row r="563">
          <cell r="E563">
            <v>0</v>
          </cell>
          <cell r="F563">
            <v>0</v>
          </cell>
          <cell r="DN563">
            <v>0</v>
          </cell>
        </row>
        <row r="564">
          <cell r="E564">
            <v>0</v>
          </cell>
          <cell r="F564">
            <v>0</v>
          </cell>
          <cell r="DN564">
            <v>0</v>
          </cell>
        </row>
        <row r="565">
          <cell r="E565">
            <v>0</v>
          </cell>
          <cell r="F565">
            <v>0</v>
          </cell>
          <cell r="DN565">
            <v>0</v>
          </cell>
        </row>
        <row r="566">
          <cell r="E566">
            <v>0</v>
          </cell>
          <cell r="F566">
            <v>0</v>
          </cell>
          <cell r="DN566">
            <v>0</v>
          </cell>
        </row>
        <row r="567">
          <cell r="E567">
            <v>0</v>
          </cell>
          <cell r="F567">
            <v>0</v>
          </cell>
          <cell r="DN567">
            <v>0</v>
          </cell>
        </row>
        <row r="568">
          <cell r="E568">
            <v>0</v>
          </cell>
          <cell r="F568">
            <v>0</v>
          </cell>
          <cell r="DN568">
            <v>0</v>
          </cell>
        </row>
        <row r="569">
          <cell r="E569">
            <v>0</v>
          </cell>
          <cell r="F569">
            <v>0</v>
          </cell>
          <cell r="DN569">
            <v>0</v>
          </cell>
        </row>
        <row r="570">
          <cell r="E570">
            <v>0</v>
          </cell>
          <cell r="F570">
            <v>0</v>
          </cell>
          <cell r="DN570">
            <v>0</v>
          </cell>
        </row>
        <row r="571">
          <cell r="E571">
            <v>0</v>
          </cell>
          <cell r="F571">
            <v>0</v>
          </cell>
          <cell r="DN571">
            <v>0</v>
          </cell>
        </row>
        <row r="572">
          <cell r="E572">
            <v>0</v>
          </cell>
          <cell r="F572">
            <v>0</v>
          </cell>
          <cell r="DN572">
            <v>0</v>
          </cell>
        </row>
        <row r="573">
          <cell r="E573">
            <v>0</v>
          </cell>
          <cell r="F573">
            <v>0</v>
          </cell>
          <cell r="DN573">
            <v>0</v>
          </cell>
        </row>
        <row r="574">
          <cell r="E574">
            <v>0</v>
          </cell>
          <cell r="F574">
            <v>0</v>
          </cell>
          <cell r="DN574">
            <v>0</v>
          </cell>
        </row>
        <row r="575">
          <cell r="E575">
            <v>0</v>
          </cell>
          <cell r="F575">
            <v>0</v>
          </cell>
          <cell r="DN575">
            <v>0</v>
          </cell>
        </row>
        <row r="576">
          <cell r="E576">
            <v>0</v>
          </cell>
          <cell r="F576">
            <v>0</v>
          </cell>
          <cell r="DN576">
            <v>0</v>
          </cell>
        </row>
        <row r="577">
          <cell r="E577">
            <v>0</v>
          </cell>
          <cell r="F577">
            <v>0</v>
          </cell>
          <cell r="DN577">
            <v>0</v>
          </cell>
        </row>
        <row r="578">
          <cell r="E578">
            <v>0</v>
          </cell>
          <cell r="F578">
            <v>0</v>
          </cell>
          <cell r="DN578">
            <v>0</v>
          </cell>
        </row>
        <row r="579">
          <cell r="E579">
            <v>0</v>
          </cell>
          <cell r="F579">
            <v>0</v>
          </cell>
          <cell r="DN579">
            <v>0</v>
          </cell>
        </row>
        <row r="580">
          <cell r="E580">
            <v>0</v>
          </cell>
          <cell r="F580">
            <v>0</v>
          </cell>
          <cell r="DN580">
            <v>0</v>
          </cell>
        </row>
        <row r="581">
          <cell r="E581">
            <v>0</v>
          </cell>
          <cell r="F581">
            <v>0</v>
          </cell>
          <cell r="DN581">
            <v>0</v>
          </cell>
        </row>
        <row r="582">
          <cell r="E582">
            <v>0</v>
          </cell>
          <cell r="F582">
            <v>0</v>
          </cell>
          <cell r="DN582">
            <v>0</v>
          </cell>
        </row>
        <row r="583">
          <cell r="E583">
            <v>0</v>
          </cell>
          <cell r="F583">
            <v>0</v>
          </cell>
          <cell r="DN583">
            <v>0</v>
          </cell>
        </row>
        <row r="584">
          <cell r="E584">
            <v>0</v>
          </cell>
          <cell r="F584">
            <v>0</v>
          </cell>
          <cell r="DN584">
            <v>0</v>
          </cell>
        </row>
        <row r="585">
          <cell r="E585">
            <v>0</v>
          </cell>
          <cell r="F585">
            <v>0</v>
          </cell>
          <cell r="DN585">
            <v>0</v>
          </cell>
        </row>
        <row r="586">
          <cell r="E586">
            <v>0</v>
          </cell>
          <cell r="F586">
            <v>0</v>
          </cell>
          <cell r="DN586">
            <v>0</v>
          </cell>
        </row>
        <row r="587">
          <cell r="E587">
            <v>0</v>
          </cell>
          <cell r="F587">
            <v>0</v>
          </cell>
          <cell r="DN587">
            <v>0</v>
          </cell>
        </row>
        <row r="588">
          <cell r="E588">
            <v>0</v>
          </cell>
          <cell r="F588">
            <v>0</v>
          </cell>
          <cell r="DN588">
            <v>0</v>
          </cell>
        </row>
        <row r="589">
          <cell r="E589">
            <v>0</v>
          </cell>
          <cell r="F589">
            <v>0</v>
          </cell>
          <cell r="DN589">
            <v>0</v>
          </cell>
        </row>
        <row r="590">
          <cell r="E590">
            <v>0</v>
          </cell>
          <cell r="F590">
            <v>0</v>
          </cell>
          <cell r="DN590">
            <v>0</v>
          </cell>
        </row>
        <row r="591">
          <cell r="E591">
            <v>0</v>
          </cell>
          <cell r="F591">
            <v>0</v>
          </cell>
          <cell r="DN591">
            <v>0</v>
          </cell>
        </row>
        <row r="592">
          <cell r="E592">
            <v>0</v>
          </cell>
          <cell r="F592">
            <v>0</v>
          </cell>
          <cell r="DN592">
            <v>0</v>
          </cell>
        </row>
        <row r="593">
          <cell r="E593">
            <v>0</v>
          </cell>
          <cell r="F593">
            <v>0</v>
          </cell>
          <cell r="DN593">
            <v>0</v>
          </cell>
        </row>
        <row r="594">
          <cell r="E594">
            <v>0</v>
          </cell>
          <cell r="F594">
            <v>0</v>
          </cell>
          <cell r="DN594">
            <v>0</v>
          </cell>
        </row>
        <row r="595">
          <cell r="E595">
            <v>0</v>
          </cell>
          <cell r="F595">
            <v>0</v>
          </cell>
          <cell r="DN595">
            <v>0</v>
          </cell>
        </row>
        <row r="596">
          <cell r="E596">
            <v>0</v>
          </cell>
          <cell r="F596">
            <v>0</v>
          </cell>
          <cell r="DN596">
            <v>0</v>
          </cell>
        </row>
        <row r="597">
          <cell r="E597">
            <v>0</v>
          </cell>
          <cell r="F597">
            <v>0</v>
          </cell>
          <cell r="DN597">
            <v>0</v>
          </cell>
        </row>
        <row r="598">
          <cell r="E598">
            <v>0</v>
          </cell>
          <cell r="F598">
            <v>0</v>
          </cell>
          <cell r="DN598">
            <v>0</v>
          </cell>
        </row>
        <row r="599">
          <cell r="E599">
            <v>0</v>
          </cell>
          <cell r="F599">
            <v>0</v>
          </cell>
          <cell r="DN599">
            <v>0</v>
          </cell>
        </row>
        <row r="600">
          <cell r="E600">
            <v>0</v>
          </cell>
          <cell r="F600">
            <v>0</v>
          </cell>
          <cell r="DN600">
            <v>0</v>
          </cell>
        </row>
        <row r="601">
          <cell r="E601">
            <v>0</v>
          </cell>
          <cell r="F601">
            <v>0</v>
          </cell>
          <cell r="DN601">
            <v>0</v>
          </cell>
        </row>
        <row r="602">
          <cell r="E602">
            <v>0</v>
          </cell>
          <cell r="F602">
            <v>0</v>
          </cell>
          <cell r="DN602">
            <v>0</v>
          </cell>
        </row>
        <row r="603">
          <cell r="E603">
            <v>0</v>
          </cell>
          <cell r="F603">
            <v>0</v>
          </cell>
          <cell r="DN603">
            <v>0</v>
          </cell>
        </row>
        <row r="604">
          <cell r="E604">
            <v>0</v>
          </cell>
          <cell r="F604">
            <v>0</v>
          </cell>
          <cell r="DN604">
            <v>0</v>
          </cell>
        </row>
        <row r="605">
          <cell r="E605">
            <v>0</v>
          </cell>
          <cell r="F605">
            <v>0</v>
          </cell>
          <cell r="DN605">
            <v>0</v>
          </cell>
        </row>
        <row r="606">
          <cell r="E606">
            <v>0</v>
          </cell>
          <cell r="F606">
            <v>0</v>
          </cell>
          <cell r="DN606">
            <v>0</v>
          </cell>
        </row>
        <row r="607">
          <cell r="E607">
            <v>0</v>
          </cell>
          <cell r="F607">
            <v>0</v>
          </cell>
          <cell r="DN607">
            <v>0</v>
          </cell>
        </row>
        <row r="608">
          <cell r="E608">
            <v>0</v>
          </cell>
          <cell r="F608">
            <v>0</v>
          </cell>
          <cell r="DN608">
            <v>0</v>
          </cell>
        </row>
        <row r="609">
          <cell r="E609">
            <v>0</v>
          </cell>
          <cell r="F609">
            <v>0</v>
          </cell>
          <cell r="DN609">
            <v>0</v>
          </cell>
        </row>
        <row r="610">
          <cell r="E610">
            <v>0</v>
          </cell>
          <cell r="F610">
            <v>0</v>
          </cell>
          <cell r="DN610">
            <v>0</v>
          </cell>
        </row>
        <row r="611">
          <cell r="E611">
            <v>0</v>
          </cell>
          <cell r="F611">
            <v>0</v>
          </cell>
          <cell r="DN611">
            <v>0</v>
          </cell>
        </row>
        <row r="612">
          <cell r="E612">
            <v>0</v>
          </cell>
          <cell r="F612">
            <v>0</v>
          </cell>
          <cell r="DN612">
            <v>0</v>
          </cell>
        </row>
        <row r="613">
          <cell r="E613">
            <v>0</v>
          </cell>
          <cell r="F613">
            <v>0</v>
          </cell>
          <cell r="DN613">
            <v>0</v>
          </cell>
        </row>
        <row r="614">
          <cell r="E614">
            <v>0</v>
          </cell>
          <cell r="F614">
            <v>0</v>
          </cell>
          <cell r="DN614">
            <v>0</v>
          </cell>
        </row>
        <row r="615">
          <cell r="E615">
            <v>0</v>
          </cell>
          <cell r="F615">
            <v>0</v>
          </cell>
          <cell r="DN615">
            <v>0</v>
          </cell>
        </row>
        <row r="616">
          <cell r="E616">
            <v>0</v>
          </cell>
          <cell r="F616">
            <v>0</v>
          </cell>
          <cell r="DN616">
            <v>0</v>
          </cell>
        </row>
        <row r="617">
          <cell r="E617">
            <v>0</v>
          </cell>
          <cell r="F617">
            <v>0</v>
          </cell>
          <cell r="DN617">
            <v>0</v>
          </cell>
        </row>
        <row r="618">
          <cell r="E618">
            <v>0</v>
          </cell>
          <cell r="F618">
            <v>0</v>
          </cell>
          <cell r="DN618">
            <v>0</v>
          </cell>
        </row>
        <row r="619">
          <cell r="E619">
            <v>0</v>
          </cell>
          <cell r="F619">
            <v>0</v>
          </cell>
          <cell r="DN619">
            <v>0</v>
          </cell>
        </row>
        <row r="620">
          <cell r="E620">
            <v>0</v>
          </cell>
          <cell r="F620">
            <v>0</v>
          </cell>
          <cell r="DN620">
            <v>0</v>
          </cell>
        </row>
        <row r="621">
          <cell r="E621">
            <v>0</v>
          </cell>
          <cell r="F621">
            <v>0</v>
          </cell>
          <cell r="DN621">
            <v>0</v>
          </cell>
        </row>
        <row r="622">
          <cell r="E622">
            <v>0</v>
          </cell>
          <cell r="F622">
            <v>0</v>
          </cell>
          <cell r="DN622">
            <v>0</v>
          </cell>
        </row>
        <row r="623">
          <cell r="E623">
            <v>0</v>
          </cell>
          <cell r="F623">
            <v>0</v>
          </cell>
          <cell r="DN623">
            <v>0</v>
          </cell>
        </row>
        <row r="624">
          <cell r="E624">
            <v>0</v>
          </cell>
          <cell r="F624">
            <v>0</v>
          </cell>
          <cell r="DN624">
            <v>0</v>
          </cell>
        </row>
        <row r="625">
          <cell r="E625">
            <v>0</v>
          </cell>
          <cell r="F625">
            <v>0</v>
          </cell>
          <cell r="DN625">
            <v>0</v>
          </cell>
        </row>
        <row r="626">
          <cell r="E626">
            <v>0</v>
          </cell>
          <cell r="F626">
            <v>0</v>
          </cell>
          <cell r="DN626">
            <v>0</v>
          </cell>
        </row>
        <row r="627">
          <cell r="E627">
            <v>0</v>
          </cell>
          <cell r="F627">
            <v>0</v>
          </cell>
          <cell r="DN627">
            <v>0</v>
          </cell>
        </row>
        <row r="628">
          <cell r="E628">
            <v>0</v>
          </cell>
          <cell r="F628">
            <v>0</v>
          </cell>
          <cell r="DN628">
            <v>0</v>
          </cell>
        </row>
        <row r="629">
          <cell r="E629">
            <v>0</v>
          </cell>
          <cell r="F629">
            <v>0</v>
          </cell>
          <cell r="DN629">
            <v>0</v>
          </cell>
        </row>
        <row r="630">
          <cell r="E630">
            <v>0</v>
          </cell>
          <cell r="F630">
            <v>0</v>
          </cell>
          <cell r="DN630">
            <v>0</v>
          </cell>
        </row>
        <row r="631">
          <cell r="E631">
            <v>0</v>
          </cell>
          <cell r="F631">
            <v>0</v>
          </cell>
          <cell r="DN631">
            <v>0</v>
          </cell>
        </row>
        <row r="632">
          <cell r="E632">
            <v>0</v>
          </cell>
          <cell r="F632">
            <v>0</v>
          </cell>
          <cell r="DN632">
            <v>0</v>
          </cell>
        </row>
        <row r="633">
          <cell r="E633">
            <v>0</v>
          </cell>
          <cell r="F633">
            <v>0</v>
          </cell>
          <cell r="DN633">
            <v>0</v>
          </cell>
        </row>
        <row r="634">
          <cell r="E634">
            <v>0</v>
          </cell>
          <cell r="F634">
            <v>0</v>
          </cell>
          <cell r="DN634">
            <v>0</v>
          </cell>
        </row>
        <row r="635">
          <cell r="E635">
            <v>0</v>
          </cell>
          <cell r="F635">
            <v>0</v>
          </cell>
          <cell r="DN635">
            <v>0</v>
          </cell>
        </row>
        <row r="636">
          <cell r="E636">
            <v>0</v>
          </cell>
          <cell r="F636">
            <v>0</v>
          </cell>
          <cell r="DN636">
            <v>0</v>
          </cell>
        </row>
        <row r="637">
          <cell r="E637">
            <v>0</v>
          </cell>
          <cell r="F637">
            <v>0</v>
          </cell>
          <cell r="DN637">
            <v>0</v>
          </cell>
        </row>
        <row r="638">
          <cell r="E638">
            <v>0</v>
          </cell>
          <cell r="F638">
            <v>0</v>
          </cell>
          <cell r="DN638">
            <v>0</v>
          </cell>
        </row>
        <row r="639">
          <cell r="E639">
            <v>0</v>
          </cell>
          <cell r="F639">
            <v>0</v>
          </cell>
          <cell r="DN639">
            <v>0</v>
          </cell>
        </row>
        <row r="640">
          <cell r="E640">
            <v>0</v>
          </cell>
          <cell r="F640">
            <v>0</v>
          </cell>
          <cell r="DN640">
            <v>0</v>
          </cell>
        </row>
        <row r="641">
          <cell r="E641">
            <v>0</v>
          </cell>
          <cell r="F641">
            <v>0</v>
          </cell>
          <cell r="DN641">
            <v>0</v>
          </cell>
        </row>
        <row r="642">
          <cell r="E642">
            <v>0</v>
          </cell>
          <cell r="F642">
            <v>0</v>
          </cell>
          <cell r="DN642">
            <v>0</v>
          </cell>
        </row>
        <row r="643">
          <cell r="E643">
            <v>0</v>
          </cell>
          <cell r="F643">
            <v>0</v>
          </cell>
          <cell r="DN643">
            <v>0</v>
          </cell>
        </row>
        <row r="644">
          <cell r="E644">
            <v>0</v>
          </cell>
          <cell r="F644">
            <v>0</v>
          </cell>
          <cell r="DN644">
            <v>0</v>
          </cell>
        </row>
        <row r="645">
          <cell r="E645">
            <v>0</v>
          </cell>
          <cell r="F645">
            <v>0</v>
          </cell>
          <cell r="DN645">
            <v>0</v>
          </cell>
        </row>
        <row r="646">
          <cell r="E646">
            <v>0</v>
          </cell>
          <cell r="F646">
            <v>0</v>
          </cell>
          <cell r="DN646">
            <v>0</v>
          </cell>
        </row>
        <row r="647">
          <cell r="E647">
            <v>0</v>
          </cell>
          <cell r="F647">
            <v>0</v>
          </cell>
          <cell r="DN647">
            <v>0</v>
          </cell>
        </row>
        <row r="648">
          <cell r="E648">
            <v>0</v>
          </cell>
          <cell r="F648">
            <v>0</v>
          </cell>
          <cell r="DN648">
            <v>0</v>
          </cell>
        </row>
        <row r="649">
          <cell r="E649">
            <v>0</v>
          </cell>
          <cell r="F649">
            <v>0</v>
          </cell>
          <cell r="DN649">
            <v>0</v>
          </cell>
        </row>
        <row r="650">
          <cell r="E650">
            <v>0</v>
          </cell>
          <cell r="F650">
            <v>0</v>
          </cell>
          <cell r="DN650">
            <v>0</v>
          </cell>
        </row>
        <row r="651">
          <cell r="E651">
            <v>0</v>
          </cell>
          <cell r="F651">
            <v>0</v>
          </cell>
          <cell r="DN651">
            <v>0</v>
          </cell>
        </row>
        <row r="652">
          <cell r="E652">
            <v>0</v>
          </cell>
          <cell r="F652">
            <v>0</v>
          </cell>
          <cell r="DN652">
            <v>0</v>
          </cell>
        </row>
        <row r="653">
          <cell r="E653">
            <v>0</v>
          </cell>
          <cell r="F653">
            <v>0</v>
          </cell>
          <cell r="DN653">
            <v>0</v>
          </cell>
        </row>
        <row r="654">
          <cell r="E654">
            <v>0</v>
          </cell>
          <cell r="F654">
            <v>0</v>
          </cell>
          <cell r="DN654">
            <v>0</v>
          </cell>
        </row>
        <row r="655">
          <cell r="E655">
            <v>0</v>
          </cell>
          <cell r="F655">
            <v>0</v>
          </cell>
          <cell r="DN655">
            <v>0</v>
          </cell>
        </row>
        <row r="656">
          <cell r="E656">
            <v>0</v>
          </cell>
          <cell r="F656">
            <v>0</v>
          </cell>
          <cell r="DN656">
            <v>0</v>
          </cell>
        </row>
        <row r="657">
          <cell r="E657">
            <v>0</v>
          </cell>
          <cell r="F657">
            <v>0</v>
          </cell>
          <cell r="DN657">
            <v>0</v>
          </cell>
        </row>
        <row r="658">
          <cell r="E658">
            <v>0</v>
          </cell>
          <cell r="F658">
            <v>0</v>
          </cell>
          <cell r="DN658">
            <v>0</v>
          </cell>
        </row>
        <row r="659">
          <cell r="E659">
            <v>0</v>
          </cell>
          <cell r="F659">
            <v>0</v>
          </cell>
          <cell r="DN659">
            <v>0</v>
          </cell>
        </row>
        <row r="660">
          <cell r="E660">
            <v>0</v>
          </cell>
          <cell r="F660">
            <v>0</v>
          </cell>
          <cell r="DN660">
            <v>0</v>
          </cell>
        </row>
        <row r="661">
          <cell r="E661">
            <v>0</v>
          </cell>
          <cell r="F661">
            <v>0</v>
          </cell>
          <cell r="DN661">
            <v>0</v>
          </cell>
        </row>
        <row r="662">
          <cell r="E662">
            <v>0</v>
          </cell>
          <cell r="F662">
            <v>0</v>
          </cell>
          <cell r="DN662">
            <v>0</v>
          </cell>
        </row>
        <row r="663">
          <cell r="E663">
            <v>0</v>
          </cell>
          <cell r="F663">
            <v>0</v>
          </cell>
          <cell r="DN663">
            <v>0</v>
          </cell>
        </row>
        <row r="664">
          <cell r="E664">
            <v>0</v>
          </cell>
          <cell r="F664">
            <v>0</v>
          </cell>
          <cell r="DN664">
            <v>0</v>
          </cell>
        </row>
        <row r="665">
          <cell r="E665">
            <v>0</v>
          </cell>
          <cell r="F665">
            <v>0</v>
          </cell>
          <cell r="DN665">
            <v>0</v>
          </cell>
        </row>
        <row r="666">
          <cell r="E666">
            <v>0</v>
          </cell>
          <cell r="F666">
            <v>0</v>
          </cell>
          <cell r="DN666">
            <v>0</v>
          </cell>
        </row>
        <row r="667">
          <cell r="E667">
            <v>0</v>
          </cell>
          <cell r="F667">
            <v>0</v>
          </cell>
          <cell r="DN667">
            <v>0</v>
          </cell>
        </row>
        <row r="668">
          <cell r="E668">
            <v>0</v>
          </cell>
          <cell r="F668">
            <v>0</v>
          </cell>
          <cell r="DN668">
            <v>0</v>
          </cell>
        </row>
        <row r="669">
          <cell r="E669">
            <v>0</v>
          </cell>
          <cell r="F669">
            <v>0</v>
          </cell>
          <cell r="DN669">
            <v>0</v>
          </cell>
        </row>
        <row r="670">
          <cell r="E670">
            <v>0</v>
          </cell>
          <cell r="F670">
            <v>0</v>
          </cell>
          <cell r="DN670">
            <v>0</v>
          </cell>
        </row>
        <row r="671">
          <cell r="E671">
            <v>0</v>
          </cell>
          <cell r="F671">
            <v>0</v>
          </cell>
          <cell r="DN671">
            <v>0</v>
          </cell>
        </row>
        <row r="672">
          <cell r="E672">
            <v>0</v>
          </cell>
          <cell r="F672">
            <v>0</v>
          </cell>
          <cell r="DN672">
            <v>0</v>
          </cell>
        </row>
        <row r="673">
          <cell r="E673">
            <v>0</v>
          </cell>
          <cell r="F673">
            <v>0</v>
          </cell>
          <cell r="DN673">
            <v>0</v>
          </cell>
        </row>
        <row r="674">
          <cell r="E674">
            <v>0</v>
          </cell>
          <cell r="F674">
            <v>0</v>
          </cell>
          <cell r="DN674">
            <v>0</v>
          </cell>
        </row>
        <row r="675">
          <cell r="E675">
            <v>0</v>
          </cell>
          <cell r="F675">
            <v>0</v>
          </cell>
          <cell r="DN675">
            <v>0</v>
          </cell>
        </row>
        <row r="676">
          <cell r="E676">
            <v>0</v>
          </cell>
          <cell r="F676">
            <v>0</v>
          </cell>
          <cell r="DN676">
            <v>0</v>
          </cell>
        </row>
        <row r="677">
          <cell r="E677">
            <v>0</v>
          </cell>
          <cell r="F677">
            <v>0</v>
          </cell>
          <cell r="DN677">
            <v>0</v>
          </cell>
        </row>
        <row r="678">
          <cell r="E678">
            <v>0</v>
          </cell>
          <cell r="F678">
            <v>0</v>
          </cell>
          <cell r="DN678">
            <v>0</v>
          </cell>
        </row>
        <row r="679">
          <cell r="E679">
            <v>0</v>
          </cell>
          <cell r="F679">
            <v>0</v>
          </cell>
          <cell r="DN679">
            <v>0</v>
          </cell>
        </row>
        <row r="680">
          <cell r="E680">
            <v>0</v>
          </cell>
          <cell r="F680">
            <v>0</v>
          </cell>
          <cell r="DN680">
            <v>0</v>
          </cell>
        </row>
        <row r="681">
          <cell r="E681">
            <v>0</v>
          </cell>
          <cell r="F681">
            <v>0</v>
          </cell>
          <cell r="DN681">
            <v>0</v>
          </cell>
        </row>
        <row r="682">
          <cell r="E682">
            <v>0</v>
          </cell>
          <cell r="F682">
            <v>0</v>
          </cell>
          <cell r="DN682">
            <v>0</v>
          </cell>
        </row>
        <row r="683">
          <cell r="E683">
            <v>0</v>
          </cell>
          <cell r="F683">
            <v>0</v>
          </cell>
          <cell r="DN683">
            <v>0</v>
          </cell>
        </row>
        <row r="684">
          <cell r="E684">
            <v>0</v>
          </cell>
          <cell r="F684">
            <v>0</v>
          </cell>
          <cell r="DN684">
            <v>0</v>
          </cell>
        </row>
        <row r="685">
          <cell r="E685">
            <v>0</v>
          </cell>
          <cell r="F685">
            <v>0</v>
          </cell>
          <cell r="DN685">
            <v>0</v>
          </cell>
        </row>
        <row r="686">
          <cell r="E686">
            <v>0</v>
          </cell>
          <cell r="F686">
            <v>0</v>
          </cell>
          <cell r="DN686">
            <v>0</v>
          </cell>
        </row>
        <row r="687">
          <cell r="E687">
            <v>0</v>
          </cell>
          <cell r="F687">
            <v>0</v>
          </cell>
          <cell r="DN687">
            <v>0</v>
          </cell>
        </row>
        <row r="688">
          <cell r="E688">
            <v>0</v>
          </cell>
          <cell r="F688">
            <v>0</v>
          </cell>
          <cell r="DN688">
            <v>0</v>
          </cell>
        </row>
        <row r="689">
          <cell r="E689">
            <v>0</v>
          </cell>
          <cell r="F689">
            <v>0</v>
          </cell>
          <cell r="DN689">
            <v>0</v>
          </cell>
        </row>
        <row r="690">
          <cell r="E690">
            <v>0</v>
          </cell>
          <cell r="F690">
            <v>0</v>
          </cell>
          <cell r="DN690">
            <v>0</v>
          </cell>
        </row>
        <row r="691">
          <cell r="E691">
            <v>0</v>
          </cell>
          <cell r="F691">
            <v>0</v>
          </cell>
          <cell r="DN691">
            <v>0</v>
          </cell>
        </row>
        <row r="692">
          <cell r="E692">
            <v>0</v>
          </cell>
          <cell r="F692">
            <v>0</v>
          </cell>
          <cell r="DN692">
            <v>0</v>
          </cell>
        </row>
        <row r="693">
          <cell r="E693">
            <v>0</v>
          </cell>
          <cell r="F693">
            <v>0</v>
          </cell>
          <cell r="DN693">
            <v>0</v>
          </cell>
        </row>
        <row r="694">
          <cell r="E694">
            <v>0</v>
          </cell>
          <cell r="F694">
            <v>0</v>
          </cell>
          <cell r="DN694">
            <v>0</v>
          </cell>
        </row>
        <row r="695">
          <cell r="E695">
            <v>0</v>
          </cell>
          <cell r="F695">
            <v>0</v>
          </cell>
          <cell r="DN695">
            <v>0</v>
          </cell>
        </row>
        <row r="696">
          <cell r="E696">
            <v>0</v>
          </cell>
          <cell r="F696">
            <v>0</v>
          </cell>
          <cell r="DN696">
            <v>0</v>
          </cell>
        </row>
        <row r="697">
          <cell r="E697">
            <v>0</v>
          </cell>
          <cell r="F697">
            <v>0</v>
          </cell>
          <cell r="DN697">
            <v>0</v>
          </cell>
        </row>
        <row r="698">
          <cell r="E698">
            <v>0</v>
          </cell>
          <cell r="F698">
            <v>0</v>
          </cell>
          <cell r="DN698">
            <v>0</v>
          </cell>
        </row>
        <row r="699">
          <cell r="E699">
            <v>0</v>
          </cell>
          <cell r="F699">
            <v>0</v>
          </cell>
          <cell r="DN699">
            <v>0</v>
          </cell>
        </row>
        <row r="700">
          <cell r="E700">
            <v>0</v>
          </cell>
          <cell r="F700">
            <v>0</v>
          </cell>
          <cell r="DN700">
            <v>0</v>
          </cell>
        </row>
        <row r="701">
          <cell r="E701">
            <v>0</v>
          </cell>
          <cell r="F701">
            <v>0</v>
          </cell>
          <cell r="DN701">
            <v>0</v>
          </cell>
        </row>
        <row r="702">
          <cell r="E702">
            <v>0</v>
          </cell>
          <cell r="F702">
            <v>0</v>
          </cell>
          <cell r="DN702">
            <v>0</v>
          </cell>
        </row>
        <row r="703">
          <cell r="E703">
            <v>0</v>
          </cell>
          <cell r="F703">
            <v>0</v>
          </cell>
          <cell r="DN703">
            <v>0</v>
          </cell>
        </row>
        <row r="704">
          <cell r="E704">
            <v>0</v>
          </cell>
          <cell r="F704">
            <v>0</v>
          </cell>
          <cell r="DN704">
            <v>0</v>
          </cell>
        </row>
        <row r="705">
          <cell r="E705">
            <v>0</v>
          </cell>
          <cell r="F705">
            <v>0</v>
          </cell>
          <cell r="DN705">
            <v>0</v>
          </cell>
        </row>
        <row r="706">
          <cell r="E706">
            <v>0</v>
          </cell>
          <cell r="F706">
            <v>0</v>
          </cell>
          <cell r="DN706">
            <v>0</v>
          </cell>
        </row>
        <row r="707">
          <cell r="E707">
            <v>0</v>
          </cell>
          <cell r="F707">
            <v>0</v>
          </cell>
          <cell r="DN707">
            <v>0</v>
          </cell>
        </row>
        <row r="708">
          <cell r="E708">
            <v>0</v>
          </cell>
          <cell r="F708">
            <v>0</v>
          </cell>
          <cell r="DN708">
            <v>0</v>
          </cell>
        </row>
        <row r="709">
          <cell r="E709">
            <v>0</v>
          </cell>
          <cell r="F709">
            <v>0</v>
          </cell>
          <cell r="DN709">
            <v>0</v>
          </cell>
        </row>
        <row r="710">
          <cell r="E710">
            <v>0</v>
          </cell>
          <cell r="F710">
            <v>0</v>
          </cell>
          <cell r="DN710">
            <v>0</v>
          </cell>
        </row>
        <row r="711">
          <cell r="E711">
            <v>0</v>
          </cell>
          <cell r="F711">
            <v>0</v>
          </cell>
          <cell r="DN711">
            <v>0</v>
          </cell>
        </row>
        <row r="712">
          <cell r="E712">
            <v>0</v>
          </cell>
          <cell r="F712">
            <v>0</v>
          </cell>
          <cell r="DN712">
            <v>0</v>
          </cell>
        </row>
        <row r="713">
          <cell r="E713">
            <v>0</v>
          </cell>
          <cell r="F713">
            <v>0</v>
          </cell>
          <cell r="DN713">
            <v>0</v>
          </cell>
        </row>
        <row r="714">
          <cell r="E714">
            <v>0</v>
          </cell>
          <cell r="F714">
            <v>0</v>
          </cell>
          <cell r="DN714">
            <v>0</v>
          </cell>
        </row>
        <row r="715">
          <cell r="E715">
            <v>0</v>
          </cell>
          <cell r="F715">
            <v>0</v>
          </cell>
          <cell r="DN715">
            <v>0</v>
          </cell>
        </row>
        <row r="716">
          <cell r="E716">
            <v>0</v>
          </cell>
          <cell r="F716">
            <v>0</v>
          </cell>
          <cell r="DN716">
            <v>0</v>
          </cell>
        </row>
        <row r="717">
          <cell r="E717">
            <v>0</v>
          </cell>
          <cell r="F717">
            <v>0</v>
          </cell>
          <cell r="DN717">
            <v>0</v>
          </cell>
        </row>
        <row r="718">
          <cell r="E718">
            <v>0</v>
          </cell>
          <cell r="F718">
            <v>0</v>
          </cell>
          <cell r="DN718">
            <v>0</v>
          </cell>
        </row>
        <row r="719">
          <cell r="E719">
            <v>0</v>
          </cell>
          <cell r="F719">
            <v>0</v>
          </cell>
          <cell r="DN719">
            <v>0</v>
          </cell>
        </row>
        <row r="720">
          <cell r="E720">
            <v>0</v>
          </cell>
          <cell r="F720">
            <v>0</v>
          </cell>
          <cell r="DN720">
            <v>0</v>
          </cell>
        </row>
        <row r="721">
          <cell r="E721">
            <v>0</v>
          </cell>
          <cell r="F721">
            <v>0</v>
          </cell>
          <cell r="DN721">
            <v>0</v>
          </cell>
        </row>
        <row r="722">
          <cell r="E722">
            <v>0</v>
          </cell>
          <cell r="F722">
            <v>0</v>
          </cell>
          <cell r="DN722">
            <v>0</v>
          </cell>
        </row>
        <row r="723">
          <cell r="E723">
            <v>0</v>
          </cell>
          <cell r="F723">
            <v>0</v>
          </cell>
          <cell r="DN723">
            <v>0</v>
          </cell>
        </row>
        <row r="724">
          <cell r="E724">
            <v>0</v>
          </cell>
          <cell r="F724">
            <v>0</v>
          </cell>
          <cell r="DN724">
            <v>0</v>
          </cell>
        </row>
        <row r="725">
          <cell r="E725">
            <v>0</v>
          </cell>
          <cell r="F725">
            <v>0</v>
          </cell>
          <cell r="DN725">
            <v>0</v>
          </cell>
        </row>
        <row r="726">
          <cell r="E726">
            <v>0</v>
          </cell>
          <cell r="F726">
            <v>0</v>
          </cell>
          <cell r="DN726">
            <v>0</v>
          </cell>
        </row>
        <row r="727">
          <cell r="E727">
            <v>0</v>
          </cell>
          <cell r="F727">
            <v>0</v>
          </cell>
          <cell r="DN727">
            <v>0</v>
          </cell>
        </row>
        <row r="728">
          <cell r="E728">
            <v>0</v>
          </cell>
          <cell r="F728">
            <v>0</v>
          </cell>
          <cell r="DN728">
            <v>0</v>
          </cell>
        </row>
        <row r="729">
          <cell r="E729">
            <v>0</v>
          </cell>
          <cell r="F729">
            <v>0</v>
          </cell>
          <cell r="DN729">
            <v>0</v>
          </cell>
        </row>
        <row r="730">
          <cell r="E730">
            <v>0</v>
          </cell>
          <cell r="F730">
            <v>0</v>
          </cell>
          <cell r="DN730">
            <v>0</v>
          </cell>
        </row>
        <row r="731">
          <cell r="E731">
            <v>0</v>
          </cell>
          <cell r="F731">
            <v>0</v>
          </cell>
          <cell r="DN731">
            <v>0</v>
          </cell>
        </row>
        <row r="732">
          <cell r="E732">
            <v>0</v>
          </cell>
          <cell r="F732">
            <v>0</v>
          </cell>
          <cell r="DN732">
            <v>0</v>
          </cell>
        </row>
        <row r="733">
          <cell r="E733">
            <v>0</v>
          </cell>
          <cell r="F733">
            <v>0</v>
          </cell>
          <cell r="DN733">
            <v>0</v>
          </cell>
        </row>
        <row r="734">
          <cell r="E734">
            <v>0</v>
          </cell>
          <cell r="F734">
            <v>0</v>
          </cell>
          <cell r="DN734">
            <v>0</v>
          </cell>
        </row>
        <row r="735">
          <cell r="E735">
            <v>0</v>
          </cell>
          <cell r="F735">
            <v>0</v>
          </cell>
          <cell r="DN735">
            <v>0</v>
          </cell>
        </row>
        <row r="736">
          <cell r="E736">
            <v>0</v>
          </cell>
          <cell r="F736">
            <v>0</v>
          </cell>
          <cell r="DN736">
            <v>0</v>
          </cell>
        </row>
        <row r="737">
          <cell r="E737">
            <v>0</v>
          </cell>
          <cell r="F737">
            <v>0</v>
          </cell>
          <cell r="DN737">
            <v>0</v>
          </cell>
        </row>
        <row r="738">
          <cell r="E738">
            <v>0</v>
          </cell>
          <cell r="F738">
            <v>0</v>
          </cell>
          <cell r="DN738">
            <v>0</v>
          </cell>
        </row>
        <row r="739">
          <cell r="E739">
            <v>0</v>
          </cell>
          <cell r="F739">
            <v>0</v>
          </cell>
          <cell r="DN739">
            <v>0</v>
          </cell>
        </row>
        <row r="740">
          <cell r="E740">
            <v>0</v>
          </cell>
          <cell r="F740">
            <v>0</v>
          </cell>
          <cell r="DN740">
            <v>0</v>
          </cell>
        </row>
        <row r="741">
          <cell r="E741">
            <v>0</v>
          </cell>
          <cell r="F741">
            <v>0</v>
          </cell>
          <cell r="DN741">
            <v>0</v>
          </cell>
        </row>
        <row r="742">
          <cell r="E742">
            <v>0</v>
          </cell>
          <cell r="F742">
            <v>0</v>
          </cell>
          <cell r="DN742">
            <v>0</v>
          </cell>
        </row>
        <row r="743">
          <cell r="E743">
            <v>0</v>
          </cell>
          <cell r="F743">
            <v>0</v>
          </cell>
          <cell r="DN743">
            <v>0</v>
          </cell>
        </row>
        <row r="744">
          <cell r="E744">
            <v>0</v>
          </cell>
          <cell r="F744">
            <v>0</v>
          </cell>
          <cell r="DN744">
            <v>0</v>
          </cell>
        </row>
        <row r="745">
          <cell r="E745">
            <v>0</v>
          </cell>
          <cell r="F745">
            <v>0</v>
          </cell>
          <cell r="DN745">
            <v>0</v>
          </cell>
        </row>
        <row r="746">
          <cell r="E746">
            <v>0</v>
          </cell>
          <cell r="F746">
            <v>0</v>
          </cell>
          <cell r="DN746">
            <v>0</v>
          </cell>
        </row>
        <row r="747">
          <cell r="E747">
            <v>0</v>
          </cell>
          <cell r="F747">
            <v>0</v>
          </cell>
          <cell r="DN747">
            <v>0</v>
          </cell>
        </row>
        <row r="748">
          <cell r="E748">
            <v>0</v>
          </cell>
          <cell r="F748">
            <v>0</v>
          </cell>
          <cell r="DN748">
            <v>0</v>
          </cell>
        </row>
        <row r="749">
          <cell r="E749">
            <v>0</v>
          </cell>
          <cell r="F749">
            <v>0</v>
          </cell>
          <cell r="DN749">
            <v>0</v>
          </cell>
        </row>
        <row r="750">
          <cell r="E750">
            <v>0</v>
          </cell>
          <cell r="F750">
            <v>0</v>
          </cell>
          <cell r="DN750">
            <v>0</v>
          </cell>
        </row>
        <row r="751">
          <cell r="E751">
            <v>0</v>
          </cell>
          <cell r="F751">
            <v>0</v>
          </cell>
          <cell r="DN751">
            <v>0</v>
          </cell>
        </row>
        <row r="752">
          <cell r="E752">
            <v>0</v>
          </cell>
          <cell r="F752">
            <v>0</v>
          </cell>
          <cell r="DN752">
            <v>0</v>
          </cell>
        </row>
        <row r="753">
          <cell r="E753">
            <v>0</v>
          </cell>
          <cell r="F753">
            <v>0</v>
          </cell>
          <cell r="DN753">
            <v>0</v>
          </cell>
        </row>
        <row r="754">
          <cell r="E754">
            <v>0</v>
          </cell>
          <cell r="F754">
            <v>0</v>
          </cell>
          <cell r="DN754">
            <v>0</v>
          </cell>
        </row>
        <row r="755">
          <cell r="E755">
            <v>0</v>
          </cell>
          <cell r="F755">
            <v>0</v>
          </cell>
          <cell r="DN755">
            <v>0</v>
          </cell>
        </row>
        <row r="756">
          <cell r="E756">
            <v>0</v>
          </cell>
          <cell r="F756">
            <v>0</v>
          </cell>
          <cell r="DN756">
            <v>0</v>
          </cell>
        </row>
        <row r="757">
          <cell r="E757">
            <v>0</v>
          </cell>
          <cell r="F757">
            <v>0</v>
          </cell>
          <cell r="DN757">
            <v>0</v>
          </cell>
        </row>
        <row r="758">
          <cell r="E758">
            <v>0</v>
          </cell>
          <cell r="F758">
            <v>0</v>
          </cell>
          <cell r="DN758">
            <v>0</v>
          </cell>
        </row>
        <row r="759">
          <cell r="E759">
            <v>0</v>
          </cell>
          <cell r="F759">
            <v>0</v>
          </cell>
          <cell r="DN759">
            <v>0</v>
          </cell>
        </row>
        <row r="760">
          <cell r="E760">
            <v>0</v>
          </cell>
          <cell r="F760">
            <v>0</v>
          </cell>
          <cell r="DN760">
            <v>0</v>
          </cell>
        </row>
        <row r="761">
          <cell r="E761">
            <v>0</v>
          </cell>
          <cell r="F761">
            <v>0</v>
          </cell>
          <cell r="DN761">
            <v>0</v>
          </cell>
        </row>
        <row r="762">
          <cell r="E762">
            <v>0</v>
          </cell>
          <cell r="F762">
            <v>0</v>
          </cell>
          <cell r="DN762">
            <v>0</v>
          </cell>
        </row>
        <row r="763">
          <cell r="E763">
            <v>0</v>
          </cell>
          <cell r="F763">
            <v>0</v>
          </cell>
          <cell r="DN763">
            <v>0</v>
          </cell>
        </row>
        <row r="764">
          <cell r="E764">
            <v>0</v>
          </cell>
          <cell r="F764">
            <v>0</v>
          </cell>
          <cell r="DN764">
            <v>0</v>
          </cell>
        </row>
        <row r="765">
          <cell r="E765">
            <v>0</v>
          </cell>
          <cell r="F765">
            <v>0</v>
          </cell>
          <cell r="DN765">
            <v>0</v>
          </cell>
        </row>
        <row r="766">
          <cell r="E766">
            <v>0</v>
          </cell>
          <cell r="F766">
            <v>0</v>
          </cell>
          <cell r="DN766">
            <v>0</v>
          </cell>
        </row>
        <row r="767">
          <cell r="E767">
            <v>0</v>
          </cell>
          <cell r="F767">
            <v>0</v>
          </cell>
          <cell r="DN767">
            <v>0</v>
          </cell>
        </row>
        <row r="768">
          <cell r="E768">
            <v>0</v>
          </cell>
          <cell r="F768">
            <v>0</v>
          </cell>
          <cell r="DN768">
            <v>0</v>
          </cell>
        </row>
        <row r="769">
          <cell r="E769">
            <v>0</v>
          </cell>
          <cell r="F769">
            <v>0</v>
          </cell>
          <cell r="DN769">
            <v>0</v>
          </cell>
        </row>
        <row r="770">
          <cell r="E770">
            <v>0</v>
          </cell>
          <cell r="F770">
            <v>0</v>
          </cell>
          <cell r="DN770">
            <v>0</v>
          </cell>
        </row>
        <row r="771">
          <cell r="E771">
            <v>0</v>
          </cell>
          <cell r="F771">
            <v>0</v>
          </cell>
          <cell r="DN771">
            <v>0</v>
          </cell>
        </row>
        <row r="772">
          <cell r="E772">
            <v>0</v>
          </cell>
          <cell r="F772">
            <v>0</v>
          </cell>
          <cell r="DN772">
            <v>0</v>
          </cell>
        </row>
        <row r="773">
          <cell r="E773">
            <v>0</v>
          </cell>
          <cell r="F773">
            <v>0</v>
          </cell>
          <cell r="DN773">
            <v>0</v>
          </cell>
        </row>
        <row r="774">
          <cell r="E774">
            <v>0</v>
          </cell>
          <cell r="F774">
            <v>0</v>
          </cell>
          <cell r="DN774">
            <v>0</v>
          </cell>
        </row>
        <row r="775">
          <cell r="E775">
            <v>0</v>
          </cell>
          <cell r="F775">
            <v>0</v>
          </cell>
          <cell r="DN775">
            <v>0</v>
          </cell>
        </row>
        <row r="776">
          <cell r="E776">
            <v>0</v>
          </cell>
          <cell r="F776">
            <v>0</v>
          </cell>
          <cell r="DN776">
            <v>0</v>
          </cell>
        </row>
        <row r="777">
          <cell r="E777">
            <v>0</v>
          </cell>
          <cell r="F777">
            <v>0</v>
          </cell>
          <cell r="DN777">
            <v>0</v>
          </cell>
        </row>
        <row r="778">
          <cell r="E778">
            <v>0</v>
          </cell>
          <cell r="F778">
            <v>0</v>
          </cell>
          <cell r="DN778">
            <v>0</v>
          </cell>
        </row>
        <row r="779">
          <cell r="E779">
            <v>0</v>
          </cell>
          <cell r="F779">
            <v>0</v>
          </cell>
          <cell r="DN779">
            <v>0</v>
          </cell>
        </row>
        <row r="780">
          <cell r="E780">
            <v>0</v>
          </cell>
          <cell r="F780">
            <v>0</v>
          </cell>
          <cell r="DN780">
            <v>0</v>
          </cell>
        </row>
        <row r="781">
          <cell r="E781">
            <v>0</v>
          </cell>
          <cell r="F781">
            <v>0</v>
          </cell>
          <cell r="DN781">
            <v>0</v>
          </cell>
        </row>
        <row r="782">
          <cell r="E782">
            <v>0</v>
          </cell>
          <cell r="F782">
            <v>0</v>
          </cell>
          <cell r="DN782">
            <v>0</v>
          </cell>
        </row>
        <row r="783">
          <cell r="E783">
            <v>0</v>
          </cell>
          <cell r="F783">
            <v>0</v>
          </cell>
          <cell r="DN783">
            <v>0</v>
          </cell>
        </row>
        <row r="784">
          <cell r="E784">
            <v>0</v>
          </cell>
          <cell r="F784">
            <v>0</v>
          </cell>
          <cell r="DN784">
            <v>0</v>
          </cell>
        </row>
        <row r="785">
          <cell r="E785">
            <v>0</v>
          </cell>
          <cell r="F785">
            <v>0</v>
          </cell>
          <cell r="DN785">
            <v>0</v>
          </cell>
        </row>
        <row r="786">
          <cell r="E786">
            <v>0</v>
          </cell>
          <cell r="F786">
            <v>0</v>
          </cell>
          <cell r="DN786">
            <v>0</v>
          </cell>
        </row>
        <row r="787">
          <cell r="E787">
            <v>0</v>
          </cell>
          <cell r="F787">
            <v>0</v>
          </cell>
          <cell r="DN787">
            <v>0</v>
          </cell>
        </row>
        <row r="788">
          <cell r="E788">
            <v>0</v>
          </cell>
          <cell r="F788">
            <v>0</v>
          </cell>
          <cell r="DN788">
            <v>0</v>
          </cell>
        </row>
        <row r="789">
          <cell r="E789">
            <v>0</v>
          </cell>
          <cell r="F789">
            <v>0</v>
          </cell>
          <cell r="DN789">
            <v>0</v>
          </cell>
        </row>
        <row r="790">
          <cell r="E790">
            <v>0</v>
          </cell>
          <cell r="F790">
            <v>0</v>
          </cell>
          <cell r="DN790">
            <v>0</v>
          </cell>
        </row>
        <row r="791">
          <cell r="E791">
            <v>0</v>
          </cell>
          <cell r="F791">
            <v>0</v>
          </cell>
          <cell r="DN791">
            <v>0</v>
          </cell>
        </row>
        <row r="792">
          <cell r="E792">
            <v>0</v>
          </cell>
          <cell r="F792">
            <v>0</v>
          </cell>
          <cell r="DN792">
            <v>0</v>
          </cell>
        </row>
        <row r="793">
          <cell r="E793">
            <v>0</v>
          </cell>
          <cell r="F793">
            <v>0</v>
          </cell>
          <cell r="DN793">
            <v>0</v>
          </cell>
        </row>
        <row r="794">
          <cell r="E794">
            <v>0</v>
          </cell>
          <cell r="F794">
            <v>0</v>
          </cell>
          <cell r="DN794">
            <v>0</v>
          </cell>
        </row>
        <row r="795">
          <cell r="E795">
            <v>0</v>
          </cell>
          <cell r="F795">
            <v>0</v>
          </cell>
          <cell r="DN795">
            <v>0</v>
          </cell>
        </row>
        <row r="796">
          <cell r="E796">
            <v>0</v>
          </cell>
          <cell r="F796">
            <v>0</v>
          </cell>
          <cell r="DN796">
            <v>0</v>
          </cell>
        </row>
        <row r="797">
          <cell r="E797">
            <v>0</v>
          </cell>
          <cell r="F797">
            <v>0</v>
          </cell>
          <cell r="DN797">
            <v>0</v>
          </cell>
        </row>
        <row r="798">
          <cell r="E798">
            <v>0</v>
          </cell>
          <cell r="F798">
            <v>0</v>
          </cell>
          <cell r="DN798">
            <v>0</v>
          </cell>
        </row>
        <row r="799">
          <cell r="E799">
            <v>0</v>
          </cell>
          <cell r="F799">
            <v>0</v>
          </cell>
          <cell r="DN799">
            <v>0</v>
          </cell>
        </row>
        <row r="800">
          <cell r="E800">
            <v>0</v>
          </cell>
          <cell r="F800">
            <v>0</v>
          </cell>
          <cell r="DN800">
            <v>0</v>
          </cell>
        </row>
        <row r="801">
          <cell r="E801">
            <v>0</v>
          </cell>
          <cell r="F801">
            <v>0</v>
          </cell>
          <cell r="DN801">
            <v>0</v>
          </cell>
        </row>
        <row r="802">
          <cell r="E802">
            <v>0</v>
          </cell>
          <cell r="F802">
            <v>0</v>
          </cell>
          <cell r="DN802">
            <v>0</v>
          </cell>
        </row>
        <row r="803">
          <cell r="E803">
            <v>0</v>
          </cell>
          <cell r="F803">
            <v>0</v>
          </cell>
          <cell r="DN803">
            <v>0</v>
          </cell>
        </row>
        <row r="804">
          <cell r="E804">
            <v>0</v>
          </cell>
          <cell r="F804">
            <v>0</v>
          </cell>
          <cell r="DN804">
            <v>0</v>
          </cell>
        </row>
        <row r="805">
          <cell r="E805">
            <v>0</v>
          </cell>
          <cell r="F805">
            <v>0</v>
          </cell>
          <cell r="DN805">
            <v>0</v>
          </cell>
        </row>
        <row r="806">
          <cell r="E806">
            <v>0</v>
          </cell>
          <cell r="F806">
            <v>0</v>
          </cell>
          <cell r="DN806">
            <v>0</v>
          </cell>
        </row>
        <row r="807">
          <cell r="E807">
            <v>0</v>
          </cell>
          <cell r="F807">
            <v>0</v>
          </cell>
          <cell r="DN807">
            <v>0</v>
          </cell>
        </row>
        <row r="808">
          <cell r="E808">
            <v>0</v>
          </cell>
          <cell r="F808">
            <v>0</v>
          </cell>
          <cell r="DN808">
            <v>0</v>
          </cell>
        </row>
        <row r="809">
          <cell r="E809">
            <v>0</v>
          </cell>
          <cell r="F809">
            <v>0</v>
          </cell>
          <cell r="DN809">
            <v>0</v>
          </cell>
        </row>
        <row r="810">
          <cell r="E810">
            <v>0</v>
          </cell>
          <cell r="F810">
            <v>0</v>
          </cell>
          <cell r="DN810">
            <v>0</v>
          </cell>
        </row>
        <row r="811">
          <cell r="E811">
            <v>0</v>
          </cell>
          <cell r="F811">
            <v>0</v>
          </cell>
          <cell r="DN811">
            <v>0</v>
          </cell>
        </row>
        <row r="812">
          <cell r="E812">
            <v>0</v>
          </cell>
          <cell r="F812">
            <v>0</v>
          </cell>
          <cell r="DN812">
            <v>0</v>
          </cell>
        </row>
        <row r="813">
          <cell r="E813">
            <v>0</v>
          </cell>
          <cell r="F813">
            <v>0</v>
          </cell>
          <cell r="DN813">
            <v>0</v>
          </cell>
        </row>
        <row r="814">
          <cell r="E814">
            <v>0</v>
          </cell>
          <cell r="F814">
            <v>0</v>
          </cell>
          <cell r="DN814">
            <v>0</v>
          </cell>
        </row>
        <row r="815">
          <cell r="E815">
            <v>0</v>
          </cell>
          <cell r="F815">
            <v>0</v>
          </cell>
          <cell r="DN815">
            <v>0</v>
          </cell>
        </row>
        <row r="816">
          <cell r="E816">
            <v>0</v>
          </cell>
          <cell r="F816">
            <v>0</v>
          </cell>
          <cell r="DN816">
            <v>0</v>
          </cell>
        </row>
        <row r="817">
          <cell r="E817">
            <v>0</v>
          </cell>
          <cell r="F817">
            <v>0</v>
          </cell>
          <cell r="DN817">
            <v>0</v>
          </cell>
        </row>
        <row r="818">
          <cell r="E818">
            <v>0</v>
          </cell>
          <cell r="F818">
            <v>0</v>
          </cell>
          <cell r="DN818">
            <v>0</v>
          </cell>
        </row>
        <row r="819">
          <cell r="E819">
            <v>0</v>
          </cell>
          <cell r="F819">
            <v>0</v>
          </cell>
          <cell r="DN819">
            <v>0</v>
          </cell>
        </row>
        <row r="820">
          <cell r="E820">
            <v>0</v>
          </cell>
          <cell r="F820">
            <v>0</v>
          </cell>
          <cell r="DN820">
            <v>0</v>
          </cell>
        </row>
        <row r="821">
          <cell r="E821">
            <v>0</v>
          </cell>
          <cell r="F821">
            <v>0</v>
          </cell>
          <cell r="DN821">
            <v>0</v>
          </cell>
        </row>
        <row r="822">
          <cell r="E822">
            <v>0</v>
          </cell>
          <cell r="F822">
            <v>0</v>
          </cell>
          <cell r="DN822">
            <v>0</v>
          </cell>
        </row>
        <row r="823">
          <cell r="E823">
            <v>0</v>
          </cell>
          <cell r="F823">
            <v>0</v>
          </cell>
          <cell r="DN823">
            <v>0</v>
          </cell>
        </row>
        <row r="824">
          <cell r="E824">
            <v>0</v>
          </cell>
          <cell r="F824">
            <v>0</v>
          </cell>
          <cell r="DN824">
            <v>0</v>
          </cell>
        </row>
        <row r="825">
          <cell r="E825">
            <v>0</v>
          </cell>
          <cell r="F825">
            <v>0</v>
          </cell>
          <cell r="DN825">
            <v>0</v>
          </cell>
        </row>
        <row r="826">
          <cell r="E826">
            <v>0</v>
          </cell>
          <cell r="F826">
            <v>0</v>
          </cell>
          <cell r="DN826">
            <v>0</v>
          </cell>
        </row>
        <row r="827">
          <cell r="E827">
            <v>0</v>
          </cell>
          <cell r="F827">
            <v>0</v>
          </cell>
          <cell r="DN827">
            <v>0</v>
          </cell>
        </row>
        <row r="828">
          <cell r="E828">
            <v>0</v>
          </cell>
          <cell r="F828">
            <v>0</v>
          </cell>
          <cell r="DN828">
            <v>0</v>
          </cell>
        </row>
        <row r="829">
          <cell r="E829">
            <v>0</v>
          </cell>
          <cell r="F829">
            <v>0</v>
          </cell>
          <cell r="DN829">
            <v>0</v>
          </cell>
        </row>
        <row r="830">
          <cell r="E830">
            <v>0</v>
          </cell>
          <cell r="F830">
            <v>0</v>
          </cell>
          <cell r="DN830">
            <v>0</v>
          </cell>
        </row>
        <row r="831">
          <cell r="E831">
            <v>0</v>
          </cell>
          <cell r="F831">
            <v>0</v>
          </cell>
          <cell r="DN831">
            <v>0</v>
          </cell>
        </row>
        <row r="832">
          <cell r="E832">
            <v>0</v>
          </cell>
          <cell r="F832">
            <v>0</v>
          </cell>
          <cell r="DN832">
            <v>0</v>
          </cell>
        </row>
        <row r="833">
          <cell r="E833">
            <v>0</v>
          </cell>
          <cell r="F833">
            <v>0</v>
          </cell>
          <cell r="DN833">
            <v>0</v>
          </cell>
        </row>
        <row r="834">
          <cell r="E834">
            <v>0</v>
          </cell>
          <cell r="F834">
            <v>0</v>
          </cell>
          <cell r="DN834">
            <v>0</v>
          </cell>
        </row>
        <row r="835">
          <cell r="E835">
            <v>0</v>
          </cell>
          <cell r="F835">
            <v>0</v>
          </cell>
          <cell r="DN835">
            <v>0</v>
          </cell>
        </row>
        <row r="836">
          <cell r="E836">
            <v>0</v>
          </cell>
          <cell r="F836">
            <v>0</v>
          </cell>
          <cell r="DN836">
            <v>0</v>
          </cell>
        </row>
        <row r="837">
          <cell r="E837">
            <v>0</v>
          </cell>
          <cell r="F837">
            <v>0</v>
          </cell>
          <cell r="DN837">
            <v>0</v>
          </cell>
        </row>
        <row r="838">
          <cell r="E838">
            <v>0</v>
          </cell>
          <cell r="F838">
            <v>0</v>
          </cell>
          <cell r="DN838">
            <v>0</v>
          </cell>
        </row>
        <row r="839">
          <cell r="E839">
            <v>0</v>
          </cell>
          <cell r="F839">
            <v>0</v>
          </cell>
          <cell r="DN839">
            <v>0</v>
          </cell>
        </row>
        <row r="840">
          <cell r="E840">
            <v>0</v>
          </cell>
          <cell r="F840">
            <v>0</v>
          </cell>
          <cell r="DN840">
            <v>0</v>
          </cell>
        </row>
        <row r="841">
          <cell r="E841">
            <v>0</v>
          </cell>
          <cell r="F841">
            <v>0</v>
          </cell>
          <cell r="DN841">
            <v>0</v>
          </cell>
        </row>
        <row r="842">
          <cell r="E842">
            <v>0</v>
          </cell>
          <cell r="F842">
            <v>0</v>
          </cell>
          <cell r="DN842">
            <v>0</v>
          </cell>
        </row>
        <row r="843">
          <cell r="E843">
            <v>0</v>
          </cell>
          <cell r="F843">
            <v>0</v>
          </cell>
          <cell r="DN843">
            <v>0</v>
          </cell>
        </row>
        <row r="844">
          <cell r="E844">
            <v>0</v>
          </cell>
          <cell r="F844">
            <v>0</v>
          </cell>
          <cell r="DN844">
            <v>0</v>
          </cell>
        </row>
        <row r="845">
          <cell r="E845">
            <v>0</v>
          </cell>
          <cell r="F845">
            <v>0</v>
          </cell>
          <cell r="DN845">
            <v>0</v>
          </cell>
        </row>
        <row r="846">
          <cell r="E846">
            <v>0</v>
          </cell>
          <cell r="F846">
            <v>0</v>
          </cell>
          <cell r="DN846">
            <v>0</v>
          </cell>
        </row>
        <row r="847">
          <cell r="E847">
            <v>0</v>
          </cell>
          <cell r="F847">
            <v>0</v>
          </cell>
          <cell r="DN847">
            <v>0</v>
          </cell>
        </row>
        <row r="848">
          <cell r="E848">
            <v>0</v>
          </cell>
          <cell r="F848">
            <v>0</v>
          </cell>
          <cell r="DN848">
            <v>0</v>
          </cell>
        </row>
        <row r="849">
          <cell r="E849">
            <v>0</v>
          </cell>
          <cell r="F849">
            <v>0</v>
          </cell>
          <cell r="DN849">
            <v>0</v>
          </cell>
        </row>
        <row r="850">
          <cell r="E850">
            <v>0</v>
          </cell>
          <cell r="F850">
            <v>0</v>
          </cell>
          <cell r="DN850">
            <v>0</v>
          </cell>
        </row>
        <row r="851">
          <cell r="E851">
            <v>0</v>
          </cell>
          <cell r="F851">
            <v>0</v>
          </cell>
          <cell r="DN851">
            <v>0</v>
          </cell>
        </row>
        <row r="852">
          <cell r="E852">
            <v>0</v>
          </cell>
          <cell r="F852">
            <v>0</v>
          </cell>
          <cell r="DN852">
            <v>0</v>
          </cell>
        </row>
        <row r="853">
          <cell r="E853">
            <v>0</v>
          </cell>
          <cell r="F853">
            <v>0</v>
          </cell>
          <cell r="DN853">
            <v>0</v>
          </cell>
        </row>
        <row r="854">
          <cell r="E854">
            <v>0</v>
          </cell>
          <cell r="F854">
            <v>0</v>
          </cell>
          <cell r="DN854">
            <v>0</v>
          </cell>
        </row>
        <row r="855">
          <cell r="E855">
            <v>0</v>
          </cell>
          <cell r="F855">
            <v>0</v>
          </cell>
          <cell r="DN855">
            <v>0</v>
          </cell>
        </row>
        <row r="856">
          <cell r="E856">
            <v>0</v>
          </cell>
          <cell r="F856">
            <v>0</v>
          </cell>
          <cell r="DN856">
            <v>0</v>
          </cell>
        </row>
        <row r="857">
          <cell r="E857">
            <v>0</v>
          </cell>
          <cell r="F857">
            <v>0</v>
          </cell>
          <cell r="DN857">
            <v>0</v>
          </cell>
        </row>
        <row r="858">
          <cell r="E858">
            <v>0</v>
          </cell>
          <cell r="F858">
            <v>0</v>
          </cell>
          <cell r="DN858">
            <v>0</v>
          </cell>
        </row>
        <row r="859">
          <cell r="E859">
            <v>0</v>
          </cell>
          <cell r="F859">
            <v>0</v>
          </cell>
          <cell r="DN859">
            <v>0</v>
          </cell>
        </row>
        <row r="860">
          <cell r="E860">
            <v>0</v>
          </cell>
          <cell r="F860">
            <v>0</v>
          </cell>
          <cell r="DN860">
            <v>0</v>
          </cell>
        </row>
        <row r="861">
          <cell r="E861">
            <v>0</v>
          </cell>
          <cell r="F861">
            <v>0</v>
          </cell>
          <cell r="DN861">
            <v>0</v>
          </cell>
        </row>
        <row r="862">
          <cell r="E862">
            <v>0</v>
          </cell>
          <cell r="F862">
            <v>0</v>
          </cell>
          <cell r="DN862">
            <v>0</v>
          </cell>
        </row>
        <row r="863">
          <cell r="E863">
            <v>0</v>
          </cell>
          <cell r="F863">
            <v>0</v>
          </cell>
          <cell r="DN863">
            <v>0</v>
          </cell>
        </row>
        <row r="864">
          <cell r="E864">
            <v>0</v>
          </cell>
          <cell r="F864">
            <v>0</v>
          </cell>
          <cell r="DN864">
            <v>0</v>
          </cell>
        </row>
        <row r="865">
          <cell r="E865">
            <v>0</v>
          </cell>
          <cell r="F865">
            <v>0</v>
          </cell>
          <cell r="DN865">
            <v>0</v>
          </cell>
        </row>
        <row r="866">
          <cell r="E866">
            <v>0</v>
          </cell>
          <cell r="F866">
            <v>0</v>
          </cell>
          <cell r="DN866">
            <v>0</v>
          </cell>
        </row>
        <row r="867">
          <cell r="E867">
            <v>0</v>
          </cell>
          <cell r="F867">
            <v>0</v>
          </cell>
          <cell r="DN867">
            <v>0</v>
          </cell>
        </row>
        <row r="868">
          <cell r="E868">
            <v>0</v>
          </cell>
          <cell r="F868">
            <v>0</v>
          </cell>
          <cell r="DN868">
            <v>0</v>
          </cell>
        </row>
        <row r="869">
          <cell r="E869">
            <v>0</v>
          </cell>
          <cell r="F869">
            <v>0</v>
          </cell>
          <cell r="DN869">
            <v>0</v>
          </cell>
        </row>
        <row r="870">
          <cell r="E870">
            <v>0</v>
          </cell>
          <cell r="F870">
            <v>0</v>
          </cell>
          <cell r="DN870">
            <v>0</v>
          </cell>
        </row>
        <row r="871">
          <cell r="E871">
            <v>0</v>
          </cell>
          <cell r="F871">
            <v>0</v>
          </cell>
          <cell r="DN871">
            <v>0</v>
          </cell>
        </row>
        <row r="872">
          <cell r="E872">
            <v>0</v>
          </cell>
          <cell r="F872">
            <v>0</v>
          </cell>
          <cell r="DN872">
            <v>0</v>
          </cell>
        </row>
        <row r="873">
          <cell r="E873">
            <v>0</v>
          </cell>
          <cell r="F873">
            <v>0</v>
          </cell>
          <cell r="DN873">
            <v>0</v>
          </cell>
        </row>
        <row r="874">
          <cell r="E874">
            <v>0</v>
          </cell>
          <cell r="F874">
            <v>0</v>
          </cell>
          <cell r="DN874">
            <v>0</v>
          </cell>
        </row>
        <row r="875">
          <cell r="E875">
            <v>0</v>
          </cell>
          <cell r="F875">
            <v>0</v>
          </cell>
          <cell r="DN875">
            <v>0</v>
          </cell>
        </row>
        <row r="876">
          <cell r="E876">
            <v>0</v>
          </cell>
          <cell r="F876">
            <v>0</v>
          </cell>
          <cell r="DN876">
            <v>0</v>
          </cell>
        </row>
        <row r="877">
          <cell r="E877">
            <v>0</v>
          </cell>
          <cell r="F877">
            <v>0</v>
          </cell>
          <cell r="DN877">
            <v>0</v>
          </cell>
        </row>
        <row r="878">
          <cell r="E878">
            <v>0</v>
          </cell>
          <cell r="F878">
            <v>0</v>
          </cell>
          <cell r="DN878">
            <v>0</v>
          </cell>
        </row>
        <row r="879">
          <cell r="E879">
            <v>0</v>
          </cell>
          <cell r="F879">
            <v>0</v>
          </cell>
          <cell r="DN879">
            <v>0</v>
          </cell>
        </row>
        <row r="880">
          <cell r="E880">
            <v>0</v>
          </cell>
          <cell r="F880">
            <v>0</v>
          </cell>
          <cell r="DN880">
            <v>0</v>
          </cell>
        </row>
        <row r="881">
          <cell r="E881">
            <v>0</v>
          </cell>
          <cell r="F881">
            <v>0</v>
          </cell>
          <cell r="DN881">
            <v>0</v>
          </cell>
        </row>
        <row r="882">
          <cell r="E882">
            <v>0</v>
          </cell>
          <cell r="F882">
            <v>0</v>
          </cell>
          <cell r="DN882">
            <v>0</v>
          </cell>
        </row>
        <row r="883">
          <cell r="E883">
            <v>0</v>
          </cell>
          <cell r="F883">
            <v>0</v>
          </cell>
          <cell r="DN883">
            <v>0</v>
          </cell>
        </row>
        <row r="884">
          <cell r="E884">
            <v>0</v>
          </cell>
          <cell r="F884">
            <v>0</v>
          </cell>
          <cell r="DN884">
            <v>0</v>
          </cell>
        </row>
        <row r="885">
          <cell r="E885">
            <v>0</v>
          </cell>
          <cell r="F885">
            <v>0</v>
          </cell>
          <cell r="DN885">
            <v>0</v>
          </cell>
        </row>
        <row r="886">
          <cell r="E886">
            <v>0</v>
          </cell>
          <cell r="F886">
            <v>0</v>
          </cell>
          <cell r="DN886">
            <v>0</v>
          </cell>
        </row>
        <row r="887">
          <cell r="E887">
            <v>0</v>
          </cell>
          <cell r="F887">
            <v>0</v>
          </cell>
          <cell r="DN887">
            <v>0</v>
          </cell>
        </row>
        <row r="888">
          <cell r="E888">
            <v>0</v>
          </cell>
          <cell r="F888">
            <v>0</v>
          </cell>
          <cell r="DN888">
            <v>0</v>
          </cell>
        </row>
        <row r="889">
          <cell r="E889">
            <v>0</v>
          </cell>
          <cell r="F889">
            <v>0</v>
          </cell>
          <cell r="DN889">
            <v>0</v>
          </cell>
        </row>
        <row r="890">
          <cell r="E890">
            <v>0</v>
          </cell>
          <cell r="F890">
            <v>0</v>
          </cell>
          <cell r="DN890">
            <v>0</v>
          </cell>
        </row>
        <row r="891">
          <cell r="E891">
            <v>0</v>
          </cell>
          <cell r="F891">
            <v>0</v>
          </cell>
          <cell r="DN891">
            <v>0</v>
          </cell>
        </row>
        <row r="892">
          <cell r="E892">
            <v>0</v>
          </cell>
          <cell r="F892">
            <v>0</v>
          </cell>
          <cell r="DN892">
            <v>0</v>
          </cell>
        </row>
        <row r="893">
          <cell r="E893">
            <v>0</v>
          </cell>
          <cell r="F893">
            <v>0</v>
          </cell>
          <cell r="DN893">
            <v>0</v>
          </cell>
        </row>
        <row r="894">
          <cell r="E894">
            <v>0</v>
          </cell>
          <cell r="F894">
            <v>0</v>
          </cell>
          <cell r="DN894">
            <v>0</v>
          </cell>
        </row>
        <row r="895">
          <cell r="E895">
            <v>0</v>
          </cell>
          <cell r="F895">
            <v>0</v>
          </cell>
          <cell r="DN895">
            <v>0</v>
          </cell>
        </row>
        <row r="896">
          <cell r="E896">
            <v>0</v>
          </cell>
          <cell r="F896">
            <v>0</v>
          </cell>
          <cell r="DN896">
            <v>0</v>
          </cell>
        </row>
        <row r="897">
          <cell r="E897">
            <v>0</v>
          </cell>
          <cell r="F897">
            <v>0</v>
          </cell>
          <cell r="DN897">
            <v>0</v>
          </cell>
        </row>
        <row r="898">
          <cell r="E898">
            <v>0</v>
          </cell>
          <cell r="F898">
            <v>0</v>
          </cell>
          <cell r="DN898">
            <v>0</v>
          </cell>
        </row>
        <row r="899">
          <cell r="E899">
            <v>0</v>
          </cell>
          <cell r="F899">
            <v>0</v>
          </cell>
          <cell r="DN899">
            <v>0</v>
          </cell>
        </row>
        <row r="900">
          <cell r="E900">
            <v>0</v>
          </cell>
          <cell r="F900">
            <v>0</v>
          </cell>
          <cell r="DN900">
            <v>0</v>
          </cell>
        </row>
        <row r="901">
          <cell r="E901">
            <v>0</v>
          </cell>
          <cell r="F901">
            <v>0</v>
          </cell>
          <cell r="DN901">
            <v>0</v>
          </cell>
        </row>
        <row r="902">
          <cell r="E902">
            <v>0</v>
          </cell>
          <cell r="F902">
            <v>0</v>
          </cell>
          <cell r="DN902">
            <v>0</v>
          </cell>
        </row>
        <row r="903">
          <cell r="E903">
            <v>0</v>
          </cell>
          <cell r="F903">
            <v>0</v>
          </cell>
          <cell r="DN903">
            <v>0</v>
          </cell>
        </row>
        <row r="904">
          <cell r="E904">
            <v>0</v>
          </cell>
          <cell r="F904">
            <v>0</v>
          </cell>
          <cell r="DN904">
            <v>0</v>
          </cell>
        </row>
        <row r="905">
          <cell r="E905">
            <v>0</v>
          </cell>
          <cell r="F905">
            <v>0</v>
          </cell>
          <cell r="DN905">
            <v>0</v>
          </cell>
        </row>
        <row r="906">
          <cell r="E906">
            <v>0</v>
          </cell>
          <cell r="F906">
            <v>0</v>
          </cell>
          <cell r="DN906">
            <v>0</v>
          </cell>
        </row>
        <row r="907">
          <cell r="E907">
            <v>0</v>
          </cell>
          <cell r="F907">
            <v>0</v>
          </cell>
          <cell r="DN907">
            <v>0</v>
          </cell>
        </row>
        <row r="908">
          <cell r="E908">
            <v>0</v>
          </cell>
          <cell r="F908">
            <v>0</v>
          </cell>
          <cell r="DN908">
            <v>0</v>
          </cell>
        </row>
        <row r="909">
          <cell r="E909">
            <v>0</v>
          </cell>
          <cell r="F909">
            <v>0</v>
          </cell>
          <cell r="DN909">
            <v>0</v>
          </cell>
        </row>
        <row r="910">
          <cell r="E910">
            <v>0</v>
          </cell>
          <cell r="F910">
            <v>0</v>
          </cell>
          <cell r="DN910">
            <v>0</v>
          </cell>
        </row>
        <row r="911">
          <cell r="E911">
            <v>0</v>
          </cell>
          <cell r="F911">
            <v>0</v>
          </cell>
          <cell r="DN911">
            <v>0</v>
          </cell>
        </row>
        <row r="912">
          <cell r="E912">
            <v>0</v>
          </cell>
          <cell r="F912">
            <v>0</v>
          </cell>
          <cell r="DN912">
            <v>0</v>
          </cell>
        </row>
        <row r="913">
          <cell r="E913">
            <v>0</v>
          </cell>
          <cell r="F913">
            <v>0</v>
          </cell>
          <cell r="DN913">
            <v>0</v>
          </cell>
        </row>
        <row r="914">
          <cell r="E914">
            <v>0</v>
          </cell>
          <cell r="F914">
            <v>0</v>
          </cell>
          <cell r="DN914">
            <v>0</v>
          </cell>
        </row>
        <row r="915">
          <cell r="E915">
            <v>0</v>
          </cell>
          <cell r="F915">
            <v>0</v>
          </cell>
          <cell r="DN915">
            <v>0</v>
          </cell>
        </row>
        <row r="916">
          <cell r="E916">
            <v>0</v>
          </cell>
          <cell r="F916">
            <v>0</v>
          </cell>
          <cell r="DN916">
            <v>0</v>
          </cell>
        </row>
        <row r="917">
          <cell r="E917">
            <v>0</v>
          </cell>
          <cell r="F917">
            <v>0</v>
          </cell>
          <cell r="DN917">
            <v>0</v>
          </cell>
        </row>
        <row r="918">
          <cell r="E918">
            <v>0</v>
          </cell>
          <cell r="F918">
            <v>0</v>
          </cell>
          <cell r="DN918">
            <v>0</v>
          </cell>
        </row>
        <row r="919">
          <cell r="E919">
            <v>0</v>
          </cell>
          <cell r="F919">
            <v>0</v>
          </cell>
          <cell r="DN919">
            <v>0</v>
          </cell>
        </row>
        <row r="920">
          <cell r="E920">
            <v>0</v>
          </cell>
          <cell r="F920">
            <v>0</v>
          </cell>
          <cell r="DN920">
            <v>0</v>
          </cell>
        </row>
        <row r="921">
          <cell r="E921">
            <v>0</v>
          </cell>
          <cell r="F921">
            <v>0</v>
          </cell>
          <cell r="DN921">
            <v>0</v>
          </cell>
        </row>
        <row r="922">
          <cell r="E922">
            <v>0</v>
          </cell>
          <cell r="F922">
            <v>0</v>
          </cell>
          <cell r="DN922">
            <v>0</v>
          </cell>
        </row>
        <row r="923">
          <cell r="E923">
            <v>0</v>
          </cell>
          <cell r="F923">
            <v>0</v>
          </cell>
          <cell r="DN923">
            <v>0</v>
          </cell>
        </row>
        <row r="924">
          <cell r="E924">
            <v>0</v>
          </cell>
          <cell r="F924">
            <v>0</v>
          </cell>
          <cell r="DN924">
            <v>0</v>
          </cell>
        </row>
        <row r="925">
          <cell r="E925">
            <v>0</v>
          </cell>
          <cell r="F925">
            <v>0</v>
          </cell>
          <cell r="DN925">
            <v>0</v>
          </cell>
        </row>
        <row r="926">
          <cell r="E926">
            <v>0</v>
          </cell>
          <cell r="F926">
            <v>0</v>
          </cell>
          <cell r="DN926">
            <v>0</v>
          </cell>
        </row>
        <row r="927">
          <cell r="E927">
            <v>0</v>
          </cell>
          <cell r="F927">
            <v>0</v>
          </cell>
          <cell r="DN927">
            <v>0</v>
          </cell>
        </row>
        <row r="928">
          <cell r="E928">
            <v>0</v>
          </cell>
          <cell r="F928">
            <v>0</v>
          </cell>
          <cell r="DN928">
            <v>0</v>
          </cell>
        </row>
        <row r="929">
          <cell r="E929">
            <v>0</v>
          </cell>
          <cell r="F929">
            <v>0</v>
          </cell>
          <cell r="DN929">
            <v>0</v>
          </cell>
        </row>
        <row r="930">
          <cell r="E930">
            <v>0</v>
          </cell>
          <cell r="F930">
            <v>0</v>
          </cell>
          <cell r="DN930">
            <v>0</v>
          </cell>
        </row>
        <row r="931">
          <cell r="E931">
            <v>0</v>
          </cell>
          <cell r="F931">
            <v>0</v>
          </cell>
          <cell r="DN931">
            <v>0</v>
          </cell>
        </row>
        <row r="932">
          <cell r="E932">
            <v>0</v>
          </cell>
          <cell r="F932">
            <v>0</v>
          </cell>
          <cell r="DN932">
            <v>0</v>
          </cell>
        </row>
        <row r="933">
          <cell r="E933">
            <v>0</v>
          </cell>
          <cell r="F933">
            <v>0</v>
          </cell>
          <cell r="DN933">
            <v>0</v>
          </cell>
        </row>
        <row r="934">
          <cell r="E934">
            <v>0</v>
          </cell>
          <cell r="F934">
            <v>0</v>
          </cell>
          <cell r="DN934">
            <v>0</v>
          </cell>
        </row>
        <row r="935">
          <cell r="E935">
            <v>0</v>
          </cell>
          <cell r="F935">
            <v>0</v>
          </cell>
          <cell r="DN935">
            <v>0</v>
          </cell>
        </row>
        <row r="936">
          <cell r="E936">
            <v>0</v>
          </cell>
          <cell r="F936">
            <v>0</v>
          </cell>
          <cell r="DN936">
            <v>0</v>
          </cell>
        </row>
        <row r="937">
          <cell r="E937">
            <v>0</v>
          </cell>
          <cell r="F937">
            <v>0</v>
          </cell>
          <cell r="DN937">
            <v>0</v>
          </cell>
        </row>
        <row r="938">
          <cell r="E938">
            <v>0</v>
          </cell>
          <cell r="F938">
            <v>0</v>
          </cell>
          <cell r="DN938">
            <v>0</v>
          </cell>
        </row>
        <row r="939">
          <cell r="E939">
            <v>0</v>
          </cell>
          <cell r="F939">
            <v>0</v>
          </cell>
          <cell r="DN939">
            <v>0</v>
          </cell>
        </row>
        <row r="940">
          <cell r="E940">
            <v>0</v>
          </cell>
          <cell r="F940">
            <v>0</v>
          </cell>
          <cell r="DN940">
            <v>0</v>
          </cell>
        </row>
        <row r="941">
          <cell r="E941">
            <v>0</v>
          </cell>
          <cell r="F941">
            <v>0</v>
          </cell>
          <cell r="DN941">
            <v>0</v>
          </cell>
        </row>
        <row r="942">
          <cell r="E942">
            <v>0</v>
          </cell>
          <cell r="F942">
            <v>0</v>
          </cell>
          <cell r="DN942">
            <v>0</v>
          </cell>
        </row>
        <row r="943">
          <cell r="E943">
            <v>0</v>
          </cell>
          <cell r="F943">
            <v>0</v>
          </cell>
          <cell r="DN943">
            <v>0</v>
          </cell>
        </row>
        <row r="944">
          <cell r="E944">
            <v>0</v>
          </cell>
          <cell r="F944">
            <v>0</v>
          </cell>
          <cell r="DN944">
            <v>0</v>
          </cell>
        </row>
        <row r="945">
          <cell r="E945">
            <v>0</v>
          </cell>
          <cell r="F945">
            <v>0</v>
          </cell>
          <cell r="DN945">
            <v>0</v>
          </cell>
        </row>
        <row r="946">
          <cell r="E946">
            <v>0</v>
          </cell>
          <cell r="F946">
            <v>0</v>
          </cell>
          <cell r="DN946">
            <v>0</v>
          </cell>
        </row>
        <row r="947">
          <cell r="E947">
            <v>0</v>
          </cell>
          <cell r="F947">
            <v>0</v>
          </cell>
          <cell r="DN947">
            <v>0</v>
          </cell>
        </row>
        <row r="948">
          <cell r="E948">
            <v>0</v>
          </cell>
          <cell r="F948">
            <v>0</v>
          </cell>
          <cell r="DN948">
            <v>0</v>
          </cell>
        </row>
        <row r="949">
          <cell r="E949">
            <v>0</v>
          </cell>
          <cell r="F949">
            <v>0</v>
          </cell>
          <cell r="DN949">
            <v>0</v>
          </cell>
        </row>
        <row r="950">
          <cell r="E950">
            <v>0</v>
          </cell>
          <cell r="F950">
            <v>0</v>
          </cell>
          <cell r="DN950">
            <v>0</v>
          </cell>
        </row>
        <row r="951">
          <cell r="E951">
            <v>0</v>
          </cell>
          <cell r="F951">
            <v>0</v>
          </cell>
          <cell r="DN951">
            <v>0</v>
          </cell>
        </row>
        <row r="952">
          <cell r="E952">
            <v>0</v>
          </cell>
          <cell r="F952">
            <v>0</v>
          </cell>
          <cell r="DN952">
            <v>0</v>
          </cell>
        </row>
        <row r="953">
          <cell r="E953">
            <v>0</v>
          </cell>
          <cell r="F953">
            <v>0</v>
          </cell>
          <cell r="DN953">
            <v>0</v>
          </cell>
        </row>
        <row r="954">
          <cell r="E954">
            <v>0</v>
          </cell>
          <cell r="F954">
            <v>0</v>
          </cell>
          <cell r="DN954">
            <v>0</v>
          </cell>
        </row>
        <row r="955">
          <cell r="E955">
            <v>0</v>
          </cell>
          <cell r="F955">
            <v>0</v>
          </cell>
          <cell r="DN955">
            <v>0</v>
          </cell>
        </row>
        <row r="956">
          <cell r="E956">
            <v>0</v>
          </cell>
          <cell r="F956">
            <v>0</v>
          </cell>
          <cell r="DN956">
            <v>0</v>
          </cell>
        </row>
        <row r="957">
          <cell r="E957">
            <v>0</v>
          </cell>
          <cell r="F957">
            <v>0</v>
          </cell>
          <cell r="DN957">
            <v>0</v>
          </cell>
        </row>
        <row r="958">
          <cell r="E958">
            <v>0</v>
          </cell>
          <cell r="F958">
            <v>0</v>
          </cell>
          <cell r="DN958">
            <v>0</v>
          </cell>
        </row>
        <row r="959">
          <cell r="E959">
            <v>0</v>
          </cell>
          <cell r="F959">
            <v>0</v>
          </cell>
          <cell r="DN959">
            <v>0</v>
          </cell>
        </row>
        <row r="960">
          <cell r="E960">
            <v>0</v>
          </cell>
          <cell r="F960">
            <v>0</v>
          </cell>
          <cell r="DN960">
            <v>0</v>
          </cell>
        </row>
        <row r="961">
          <cell r="E961">
            <v>0</v>
          </cell>
          <cell r="F961">
            <v>0</v>
          </cell>
          <cell r="DN961">
            <v>0</v>
          </cell>
        </row>
        <row r="962">
          <cell r="E962">
            <v>0</v>
          </cell>
          <cell r="F962">
            <v>0</v>
          </cell>
          <cell r="DN962">
            <v>0</v>
          </cell>
        </row>
        <row r="963">
          <cell r="E963">
            <v>0</v>
          </cell>
          <cell r="F963">
            <v>0</v>
          </cell>
          <cell r="DN963">
            <v>0</v>
          </cell>
        </row>
        <row r="964">
          <cell r="E964">
            <v>0</v>
          </cell>
          <cell r="F964">
            <v>0</v>
          </cell>
          <cell r="DN964">
            <v>0</v>
          </cell>
        </row>
        <row r="965">
          <cell r="E965">
            <v>0</v>
          </cell>
          <cell r="F965">
            <v>0</v>
          </cell>
          <cell r="DN965">
            <v>0</v>
          </cell>
        </row>
        <row r="966">
          <cell r="E966">
            <v>0</v>
          </cell>
          <cell r="F966">
            <v>0</v>
          </cell>
          <cell r="DN966">
            <v>0</v>
          </cell>
        </row>
        <row r="967">
          <cell r="E967">
            <v>0</v>
          </cell>
          <cell r="F967">
            <v>0</v>
          </cell>
          <cell r="DN967">
            <v>0</v>
          </cell>
        </row>
        <row r="968">
          <cell r="E968">
            <v>0</v>
          </cell>
          <cell r="F968">
            <v>0</v>
          </cell>
          <cell r="DN968">
            <v>0</v>
          </cell>
        </row>
        <row r="969">
          <cell r="E969">
            <v>0</v>
          </cell>
          <cell r="F969">
            <v>0</v>
          </cell>
          <cell r="DN969">
            <v>0</v>
          </cell>
        </row>
        <row r="970">
          <cell r="E970">
            <v>0</v>
          </cell>
          <cell r="F970">
            <v>0</v>
          </cell>
          <cell r="DN970">
            <v>0</v>
          </cell>
        </row>
        <row r="971">
          <cell r="E971">
            <v>0</v>
          </cell>
          <cell r="F971">
            <v>0</v>
          </cell>
          <cell r="DN971">
            <v>0</v>
          </cell>
        </row>
        <row r="972">
          <cell r="E972">
            <v>0</v>
          </cell>
          <cell r="F972">
            <v>0</v>
          </cell>
          <cell r="DN972">
            <v>0</v>
          </cell>
        </row>
        <row r="973">
          <cell r="E973">
            <v>0</v>
          </cell>
          <cell r="F973">
            <v>0</v>
          </cell>
          <cell r="DN973">
            <v>0</v>
          </cell>
        </row>
        <row r="974">
          <cell r="E974">
            <v>0</v>
          </cell>
          <cell r="F974">
            <v>0</v>
          </cell>
          <cell r="DN974">
            <v>0</v>
          </cell>
        </row>
        <row r="975">
          <cell r="E975">
            <v>0</v>
          </cell>
          <cell r="F975">
            <v>0</v>
          </cell>
          <cell r="DN975">
            <v>0</v>
          </cell>
        </row>
        <row r="976">
          <cell r="E976">
            <v>0</v>
          </cell>
          <cell r="F976">
            <v>0</v>
          </cell>
          <cell r="DN976">
            <v>0</v>
          </cell>
        </row>
        <row r="977">
          <cell r="E977">
            <v>0</v>
          </cell>
          <cell r="F977">
            <v>0</v>
          </cell>
          <cell r="DN977">
            <v>0</v>
          </cell>
        </row>
        <row r="978">
          <cell r="E978">
            <v>0</v>
          </cell>
          <cell r="F978">
            <v>0</v>
          </cell>
          <cell r="DN978">
            <v>0</v>
          </cell>
        </row>
        <row r="979">
          <cell r="E979">
            <v>0</v>
          </cell>
          <cell r="F979">
            <v>0</v>
          </cell>
          <cell r="DN979">
            <v>0</v>
          </cell>
        </row>
        <row r="980">
          <cell r="E980">
            <v>0</v>
          </cell>
          <cell r="F980">
            <v>0</v>
          </cell>
          <cell r="DN980">
            <v>0</v>
          </cell>
        </row>
        <row r="981">
          <cell r="E981">
            <v>0</v>
          </cell>
          <cell r="F981">
            <v>0</v>
          </cell>
          <cell r="DN981">
            <v>0</v>
          </cell>
        </row>
        <row r="982">
          <cell r="E982">
            <v>0</v>
          </cell>
          <cell r="F982">
            <v>0</v>
          </cell>
          <cell r="DN982">
            <v>0</v>
          </cell>
        </row>
        <row r="983">
          <cell r="E983">
            <v>0</v>
          </cell>
          <cell r="F983">
            <v>0</v>
          </cell>
          <cell r="DN983">
            <v>0</v>
          </cell>
        </row>
        <row r="984">
          <cell r="E984">
            <v>0</v>
          </cell>
          <cell r="F984">
            <v>0</v>
          </cell>
          <cell r="DN984">
            <v>0</v>
          </cell>
        </row>
        <row r="985">
          <cell r="E985">
            <v>0</v>
          </cell>
          <cell r="F985">
            <v>0</v>
          </cell>
          <cell r="DN985">
            <v>0</v>
          </cell>
        </row>
        <row r="986">
          <cell r="E986">
            <v>0</v>
          </cell>
          <cell r="F986">
            <v>0</v>
          </cell>
          <cell r="DN986">
            <v>0</v>
          </cell>
        </row>
        <row r="987">
          <cell r="E987">
            <v>0</v>
          </cell>
          <cell r="F987">
            <v>0</v>
          </cell>
          <cell r="DN987">
            <v>0</v>
          </cell>
        </row>
        <row r="988">
          <cell r="E988">
            <v>0</v>
          </cell>
          <cell r="F988">
            <v>0</v>
          </cell>
          <cell r="DN988">
            <v>0</v>
          </cell>
        </row>
        <row r="989">
          <cell r="E989">
            <v>0</v>
          </cell>
          <cell r="F989">
            <v>0</v>
          </cell>
          <cell r="DN989">
            <v>0</v>
          </cell>
        </row>
        <row r="990">
          <cell r="E990">
            <v>0</v>
          </cell>
          <cell r="F990">
            <v>0</v>
          </cell>
          <cell r="DN990">
            <v>0</v>
          </cell>
        </row>
        <row r="991">
          <cell r="E991">
            <v>0</v>
          </cell>
          <cell r="F991">
            <v>0</v>
          </cell>
          <cell r="DN991">
            <v>0</v>
          </cell>
        </row>
        <row r="992">
          <cell r="E992">
            <v>0</v>
          </cell>
          <cell r="F992">
            <v>0</v>
          </cell>
          <cell r="DN992">
            <v>0</v>
          </cell>
        </row>
        <row r="993">
          <cell r="E993">
            <v>0</v>
          </cell>
          <cell r="F993">
            <v>0</v>
          </cell>
          <cell r="DN993">
            <v>0</v>
          </cell>
        </row>
        <row r="994">
          <cell r="E994">
            <v>0</v>
          </cell>
          <cell r="F994">
            <v>0</v>
          </cell>
          <cell r="DN994">
            <v>0</v>
          </cell>
        </row>
        <row r="995">
          <cell r="E995">
            <v>0</v>
          </cell>
          <cell r="F995">
            <v>0</v>
          </cell>
          <cell r="DN995">
            <v>0</v>
          </cell>
        </row>
        <row r="996">
          <cell r="E996">
            <v>0</v>
          </cell>
          <cell r="F996">
            <v>0</v>
          </cell>
          <cell r="DN996">
            <v>0</v>
          </cell>
        </row>
        <row r="997">
          <cell r="E997">
            <v>0</v>
          </cell>
          <cell r="F997">
            <v>0</v>
          </cell>
          <cell r="DN997">
            <v>0</v>
          </cell>
        </row>
        <row r="998">
          <cell r="E998">
            <v>0</v>
          </cell>
          <cell r="F998">
            <v>0</v>
          </cell>
          <cell r="DN998">
            <v>0</v>
          </cell>
        </row>
        <row r="999">
          <cell r="E999">
            <v>0</v>
          </cell>
          <cell r="F999">
            <v>0</v>
          </cell>
          <cell r="DN999">
            <v>0</v>
          </cell>
        </row>
        <row r="1000">
          <cell r="E1000">
            <v>0</v>
          </cell>
          <cell r="F1000">
            <v>0</v>
          </cell>
          <cell r="DN1000">
            <v>0</v>
          </cell>
        </row>
        <row r="1001">
          <cell r="E1001">
            <v>0</v>
          </cell>
          <cell r="F1001">
            <v>0</v>
          </cell>
          <cell r="DN1001">
            <v>0</v>
          </cell>
        </row>
        <row r="1002">
          <cell r="E1002">
            <v>0</v>
          </cell>
          <cell r="F1002">
            <v>0</v>
          </cell>
          <cell r="DN1002">
            <v>0</v>
          </cell>
        </row>
        <row r="1003">
          <cell r="E1003">
            <v>0</v>
          </cell>
          <cell r="F1003">
            <v>0</v>
          </cell>
          <cell r="DN1003">
            <v>0</v>
          </cell>
        </row>
        <row r="1004">
          <cell r="E1004">
            <v>0</v>
          </cell>
          <cell r="F1004">
            <v>0</v>
          </cell>
          <cell r="DN1004">
            <v>0</v>
          </cell>
        </row>
        <row r="1005">
          <cell r="E1005">
            <v>0</v>
          </cell>
          <cell r="F1005">
            <v>0</v>
          </cell>
          <cell r="DN1005">
            <v>0</v>
          </cell>
        </row>
        <row r="1006">
          <cell r="E1006">
            <v>0</v>
          </cell>
          <cell r="F1006">
            <v>0</v>
          </cell>
          <cell r="DN1006">
            <v>0</v>
          </cell>
        </row>
        <row r="1007">
          <cell r="E1007">
            <v>0</v>
          </cell>
          <cell r="F1007">
            <v>0</v>
          </cell>
          <cell r="DN1007">
            <v>0</v>
          </cell>
        </row>
        <row r="1008">
          <cell r="E1008">
            <v>0</v>
          </cell>
          <cell r="F1008">
            <v>0</v>
          </cell>
          <cell r="DN1008">
            <v>0</v>
          </cell>
        </row>
        <row r="1009">
          <cell r="E1009">
            <v>0</v>
          </cell>
          <cell r="F1009">
            <v>0</v>
          </cell>
          <cell r="DN1009">
            <v>0</v>
          </cell>
        </row>
        <row r="1010">
          <cell r="E1010">
            <v>0</v>
          </cell>
          <cell r="F1010">
            <v>0</v>
          </cell>
          <cell r="DN1010">
            <v>0</v>
          </cell>
        </row>
        <row r="1011">
          <cell r="E1011">
            <v>0</v>
          </cell>
          <cell r="F1011">
            <v>0</v>
          </cell>
          <cell r="DN1011">
            <v>0</v>
          </cell>
        </row>
        <row r="1012">
          <cell r="E1012">
            <v>0</v>
          </cell>
          <cell r="F1012">
            <v>0</v>
          </cell>
          <cell r="DN1012">
            <v>0</v>
          </cell>
        </row>
        <row r="1013">
          <cell r="E1013">
            <v>0</v>
          </cell>
          <cell r="F1013">
            <v>0</v>
          </cell>
          <cell r="DN1013">
            <v>0</v>
          </cell>
        </row>
        <row r="1014">
          <cell r="E1014">
            <v>0</v>
          </cell>
          <cell r="F1014">
            <v>0</v>
          </cell>
          <cell r="DN1014">
            <v>0</v>
          </cell>
        </row>
        <row r="1015">
          <cell r="E1015">
            <v>0</v>
          </cell>
          <cell r="F1015">
            <v>0</v>
          </cell>
          <cell r="DN1015">
            <v>0</v>
          </cell>
        </row>
        <row r="1016">
          <cell r="E1016">
            <v>0</v>
          </cell>
          <cell r="F1016">
            <v>0</v>
          </cell>
          <cell r="DN1016">
            <v>0</v>
          </cell>
        </row>
        <row r="1017">
          <cell r="E1017">
            <v>0</v>
          </cell>
          <cell r="F1017">
            <v>0</v>
          </cell>
          <cell r="DN1017">
            <v>0</v>
          </cell>
        </row>
        <row r="1018">
          <cell r="E1018">
            <v>0</v>
          </cell>
          <cell r="F1018">
            <v>0</v>
          </cell>
          <cell r="DN1018">
            <v>0</v>
          </cell>
        </row>
        <row r="1019">
          <cell r="E1019">
            <v>0</v>
          </cell>
          <cell r="F1019">
            <v>0</v>
          </cell>
          <cell r="DN1019">
            <v>0</v>
          </cell>
        </row>
        <row r="1020">
          <cell r="E1020">
            <v>0</v>
          </cell>
          <cell r="F1020">
            <v>0</v>
          </cell>
          <cell r="DN1020">
            <v>0</v>
          </cell>
        </row>
        <row r="1021">
          <cell r="E1021">
            <v>0</v>
          </cell>
          <cell r="F1021">
            <v>0</v>
          </cell>
          <cell r="DN1021">
            <v>0</v>
          </cell>
        </row>
        <row r="1022">
          <cell r="E1022">
            <v>0</v>
          </cell>
          <cell r="F1022">
            <v>0</v>
          </cell>
          <cell r="DN1022">
            <v>0</v>
          </cell>
        </row>
        <row r="1023">
          <cell r="E1023">
            <v>0</v>
          </cell>
          <cell r="F1023">
            <v>0</v>
          </cell>
          <cell r="DN1023">
            <v>0</v>
          </cell>
        </row>
        <row r="1024">
          <cell r="E1024">
            <v>0</v>
          </cell>
          <cell r="F1024">
            <v>0</v>
          </cell>
          <cell r="DN1024">
            <v>0</v>
          </cell>
        </row>
        <row r="1025">
          <cell r="E1025">
            <v>0</v>
          </cell>
          <cell r="F1025">
            <v>0</v>
          </cell>
          <cell r="DN1025">
            <v>0</v>
          </cell>
        </row>
        <row r="1026">
          <cell r="E1026">
            <v>0</v>
          </cell>
          <cell r="F1026">
            <v>0</v>
          </cell>
          <cell r="DN1026">
            <v>0</v>
          </cell>
        </row>
        <row r="1027">
          <cell r="E1027">
            <v>0</v>
          </cell>
          <cell r="F1027">
            <v>0</v>
          </cell>
          <cell r="DN1027">
            <v>0</v>
          </cell>
        </row>
        <row r="1028">
          <cell r="E1028">
            <v>0</v>
          </cell>
          <cell r="F1028">
            <v>0</v>
          </cell>
          <cell r="DN1028">
            <v>0</v>
          </cell>
        </row>
        <row r="1029">
          <cell r="E1029">
            <v>0</v>
          </cell>
          <cell r="F1029">
            <v>0</v>
          </cell>
          <cell r="DN1029">
            <v>0</v>
          </cell>
        </row>
        <row r="1030">
          <cell r="E1030">
            <v>0</v>
          </cell>
          <cell r="F1030">
            <v>0</v>
          </cell>
          <cell r="DN1030">
            <v>0</v>
          </cell>
        </row>
        <row r="1031">
          <cell r="E1031">
            <v>0</v>
          </cell>
          <cell r="F1031">
            <v>0</v>
          </cell>
          <cell r="DN1031">
            <v>0</v>
          </cell>
        </row>
        <row r="1032">
          <cell r="E1032">
            <v>0</v>
          </cell>
          <cell r="F1032">
            <v>0</v>
          </cell>
          <cell r="DN1032">
            <v>0</v>
          </cell>
        </row>
        <row r="1033">
          <cell r="E1033">
            <v>0</v>
          </cell>
          <cell r="F1033">
            <v>0</v>
          </cell>
          <cell r="DN1033">
            <v>0</v>
          </cell>
        </row>
        <row r="1034">
          <cell r="E1034">
            <v>0</v>
          </cell>
          <cell r="F1034">
            <v>0</v>
          </cell>
          <cell r="DN1034">
            <v>0</v>
          </cell>
        </row>
        <row r="1035">
          <cell r="E1035">
            <v>0</v>
          </cell>
          <cell r="F1035">
            <v>0</v>
          </cell>
          <cell r="DN1035">
            <v>0</v>
          </cell>
        </row>
        <row r="1036">
          <cell r="E1036">
            <v>0</v>
          </cell>
          <cell r="F1036">
            <v>0</v>
          </cell>
          <cell r="DN1036">
            <v>0</v>
          </cell>
        </row>
        <row r="1037">
          <cell r="E1037">
            <v>0</v>
          </cell>
          <cell r="F1037">
            <v>0</v>
          </cell>
          <cell r="DN1037">
            <v>0</v>
          </cell>
        </row>
        <row r="1038">
          <cell r="E1038">
            <v>0</v>
          </cell>
          <cell r="F1038">
            <v>0</v>
          </cell>
          <cell r="DN1038">
            <v>0</v>
          </cell>
        </row>
        <row r="1039">
          <cell r="E1039">
            <v>0</v>
          </cell>
          <cell r="F1039">
            <v>0</v>
          </cell>
          <cell r="DN1039">
            <v>0</v>
          </cell>
        </row>
        <row r="1040">
          <cell r="E1040">
            <v>0</v>
          </cell>
          <cell r="F1040">
            <v>0</v>
          </cell>
          <cell r="DN1040">
            <v>0</v>
          </cell>
        </row>
        <row r="1041">
          <cell r="E1041">
            <v>0</v>
          </cell>
          <cell r="F1041">
            <v>0</v>
          </cell>
          <cell r="DN1041">
            <v>0</v>
          </cell>
        </row>
        <row r="1042">
          <cell r="E1042">
            <v>0</v>
          </cell>
          <cell r="F1042">
            <v>0</v>
          </cell>
          <cell r="DN1042">
            <v>0</v>
          </cell>
        </row>
        <row r="1043">
          <cell r="E1043">
            <v>0</v>
          </cell>
          <cell r="F1043">
            <v>0</v>
          </cell>
          <cell r="DN1043">
            <v>0</v>
          </cell>
        </row>
        <row r="1044">
          <cell r="E1044">
            <v>0</v>
          </cell>
          <cell r="F1044">
            <v>0</v>
          </cell>
          <cell r="DN1044">
            <v>0</v>
          </cell>
        </row>
        <row r="1045">
          <cell r="E1045">
            <v>0</v>
          </cell>
          <cell r="F1045">
            <v>0</v>
          </cell>
          <cell r="DN1045">
            <v>0</v>
          </cell>
        </row>
        <row r="1046">
          <cell r="E1046">
            <v>0</v>
          </cell>
          <cell r="F1046">
            <v>0</v>
          </cell>
          <cell r="DN1046">
            <v>0</v>
          </cell>
        </row>
        <row r="1047">
          <cell r="E1047">
            <v>0</v>
          </cell>
          <cell r="F1047">
            <v>0</v>
          </cell>
          <cell r="DN1047">
            <v>0</v>
          </cell>
        </row>
        <row r="1048">
          <cell r="E1048">
            <v>0</v>
          </cell>
          <cell r="F1048">
            <v>0</v>
          </cell>
          <cell r="DN1048">
            <v>0</v>
          </cell>
        </row>
        <row r="1049">
          <cell r="E1049">
            <v>0</v>
          </cell>
          <cell r="F1049">
            <v>0</v>
          </cell>
          <cell r="DN1049">
            <v>0</v>
          </cell>
        </row>
        <row r="1050">
          <cell r="E1050">
            <v>0</v>
          </cell>
          <cell r="F1050">
            <v>0</v>
          </cell>
          <cell r="DN1050">
            <v>0</v>
          </cell>
        </row>
        <row r="1051">
          <cell r="E1051">
            <v>0</v>
          </cell>
          <cell r="F1051">
            <v>0</v>
          </cell>
          <cell r="DN1051">
            <v>0</v>
          </cell>
        </row>
        <row r="1052">
          <cell r="E1052">
            <v>0</v>
          </cell>
          <cell r="F1052">
            <v>0</v>
          </cell>
          <cell r="DN1052">
            <v>0</v>
          </cell>
        </row>
        <row r="1053">
          <cell r="E1053">
            <v>0</v>
          </cell>
          <cell r="F1053">
            <v>0</v>
          </cell>
          <cell r="DN1053">
            <v>0</v>
          </cell>
        </row>
        <row r="1054">
          <cell r="E1054">
            <v>0</v>
          </cell>
          <cell r="F1054">
            <v>0</v>
          </cell>
          <cell r="DN1054">
            <v>0</v>
          </cell>
        </row>
        <row r="1055">
          <cell r="E1055">
            <v>0</v>
          </cell>
          <cell r="F1055">
            <v>0</v>
          </cell>
          <cell r="DN1055">
            <v>0</v>
          </cell>
        </row>
        <row r="1056">
          <cell r="E1056">
            <v>0</v>
          </cell>
          <cell r="F1056">
            <v>0</v>
          </cell>
          <cell r="DN1056">
            <v>0</v>
          </cell>
        </row>
        <row r="1057">
          <cell r="E1057">
            <v>0</v>
          </cell>
          <cell r="F1057">
            <v>0</v>
          </cell>
          <cell r="DN1057">
            <v>0</v>
          </cell>
        </row>
        <row r="1058">
          <cell r="E1058">
            <v>0</v>
          </cell>
          <cell r="F1058">
            <v>0</v>
          </cell>
          <cell r="DN1058">
            <v>0</v>
          </cell>
        </row>
        <row r="1059">
          <cell r="E1059">
            <v>0</v>
          </cell>
          <cell r="F1059">
            <v>0</v>
          </cell>
          <cell r="DN1059">
            <v>0</v>
          </cell>
        </row>
        <row r="1060">
          <cell r="E1060">
            <v>0</v>
          </cell>
          <cell r="F1060">
            <v>0</v>
          </cell>
          <cell r="DN1060">
            <v>0</v>
          </cell>
        </row>
        <row r="1061">
          <cell r="E1061">
            <v>0</v>
          </cell>
          <cell r="F1061">
            <v>0</v>
          </cell>
          <cell r="DN1061">
            <v>0</v>
          </cell>
        </row>
        <row r="1062">
          <cell r="E1062">
            <v>0</v>
          </cell>
          <cell r="F1062">
            <v>0</v>
          </cell>
          <cell r="DN1062">
            <v>0</v>
          </cell>
        </row>
        <row r="1063">
          <cell r="E1063">
            <v>0</v>
          </cell>
          <cell r="F1063">
            <v>0</v>
          </cell>
          <cell r="DN1063">
            <v>0</v>
          </cell>
        </row>
        <row r="1064">
          <cell r="E1064">
            <v>0</v>
          </cell>
          <cell r="F1064">
            <v>0</v>
          </cell>
          <cell r="DN1064">
            <v>0</v>
          </cell>
        </row>
        <row r="1065">
          <cell r="E1065">
            <v>0</v>
          </cell>
          <cell r="F1065">
            <v>0</v>
          </cell>
          <cell r="DN1065">
            <v>0</v>
          </cell>
        </row>
        <row r="1066">
          <cell r="E1066">
            <v>0</v>
          </cell>
          <cell r="F1066">
            <v>0</v>
          </cell>
          <cell r="DN1066">
            <v>0</v>
          </cell>
        </row>
        <row r="1067">
          <cell r="E1067">
            <v>0</v>
          </cell>
          <cell r="F1067">
            <v>0</v>
          </cell>
          <cell r="DN1067">
            <v>0</v>
          </cell>
        </row>
        <row r="1068">
          <cell r="E1068">
            <v>0</v>
          </cell>
          <cell r="F1068">
            <v>0</v>
          </cell>
          <cell r="DN1068">
            <v>0</v>
          </cell>
        </row>
        <row r="1069">
          <cell r="E1069">
            <v>0</v>
          </cell>
          <cell r="F1069">
            <v>0</v>
          </cell>
          <cell r="DN1069">
            <v>0</v>
          </cell>
        </row>
        <row r="1070">
          <cell r="E1070">
            <v>0</v>
          </cell>
          <cell r="F1070">
            <v>0</v>
          </cell>
          <cell r="DN1070">
            <v>0</v>
          </cell>
        </row>
        <row r="1071">
          <cell r="E1071">
            <v>0</v>
          </cell>
          <cell r="F1071">
            <v>0</v>
          </cell>
          <cell r="DN1071">
            <v>0</v>
          </cell>
        </row>
        <row r="1072">
          <cell r="E1072">
            <v>0</v>
          </cell>
          <cell r="F1072">
            <v>0</v>
          </cell>
          <cell r="DN1072">
            <v>0</v>
          </cell>
        </row>
        <row r="1073">
          <cell r="E1073">
            <v>0</v>
          </cell>
          <cell r="F1073">
            <v>0</v>
          </cell>
          <cell r="DN1073">
            <v>0</v>
          </cell>
        </row>
        <row r="1074">
          <cell r="E1074">
            <v>0</v>
          </cell>
          <cell r="F1074">
            <v>0</v>
          </cell>
          <cell r="DN1074">
            <v>0</v>
          </cell>
        </row>
        <row r="1075">
          <cell r="E1075">
            <v>0</v>
          </cell>
          <cell r="F1075">
            <v>0</v>
          </cell>
          <cell r="DN1075">
            <v>0</v>
          </cell>
        </row>
        <row r="1076">
          <cell r="E1076">
            <v>0</v>
          </cell>
          <cell r="F1076">
            <v>0</v>
          </cell>
          <cell r="DN1076">
            <v>0</v>
          </cell>
        </row>
        <row r="1077">
          <cell r="E1077">
            <v>0</v>
          </cell>
          <cell r="F1077">
            <v>0</v>
          </cell>
          <cell r="DN1077">
            <v>0</v>
          </cell>
        </row>
        <row r="1078">
          <cell r="E1078">
            <v>0</v>
          </cell>
          <cell r="F1078">
            <v>0</v>
          </cell>
          <cell r="DN1078">
            <v>0</v>
          </cell>
        </row>
        <row r="1079">
          <cell r="E1079">
            <v>0</v>
          </cell>
          <cell r="F1079">
            <v>0</v>
          </cell>
          <cell r="DN1079">
            <v>0</v>
          </cell>
        </row>
        <row r="1080">
          <cell r="E1080">
            <v>0</v>
          </cell>
          <cell r="F1080">
            <v>0</v>
          </cell>
          <cell r="DN1080">
            <v>0</v>
          </cell>
        </row>
        <row r="1081">
          <cell r="E1081">
            <v>0</v>
          </cell>
          <cell r="F1081">
            <v>0</v>
          </cell>
          <cell r="DN1081">
            <v>0</v>
          </cell>
        </row>
        <row r="1082">
          <cell r="E1082">
            <v>0</v>
          </cell>
          <cell r="F1082">
            <v>0</v>
          </cell>
          <cell r="DN1082">
            <v>0</v>
          </cell>
        </row>
        <row r="1083">
          <cell r="E1083">
            <v>0</v>
          </cell>
          <cell r="F1083">
            <v>0</v>
          </cell>
          <cell r="DN1083">
            <v>0</v>
          </cell>
        </row>
        <row r="1084">
          <cell r="E1084">
            <v>0</v>
          </cell>
          <cell r="F1084">
            <v>0</v>
          </cell>
          <cell r="DN1084">
            <v>0</v>
          </cell>
        </row>
        <row r="1085">
          <cell r="E1085">
            <v>0</v>
          </cell>
          <cell r="F1085">
            <v>0</v>
          </cell>
          <cell r="DN1085">
            <v>0</v>
          </cell>
        </row>
        <row r="1086">
          <cell r="E1086">
            <v>0</v>
          </cell>
          <cell r="F1086">
            <v>0</v>
          </cell>
          <cell r="DN1086">
            <v>0</v>
          </cell>
        </row>
        <row r="1087">
          <cell r="E1087">
            <v>0</v>
          </cell>
          <cell r="F1087">
            <v>0</v>
          </cell>
          <cell r="DN1087">
            <v>0</v>
          </cell>
        </row>
        <row r="1088">
          <cell r="E1088">
            <v>0</v>
          </cell>
          <cell r="F1088">
            <v>0</v>
          </cell>
          <cell r="DN1088">
            <v>0</v>
          </cell>
        </row>
        <row r="1089">
          <cell r="E1089">
            <v>0</v>
          </cell>
          <cell r="F1089">
            <v>0</v>
          </cell>
          <cell r="DN1089">
            <v>0</v>
          </cell>
        </row>
        <row r="1090">
          <cell r="E1090">
            <v>0</v>
          </cell>
          <cell r="F1090">
            <v>0</v>
          </cell>
          <cell r="DN1090">
            <v>0</v>
          </cell>
        </row>
        <row r="1091">
          <cell r="E1091">
            <v>0</v>
          </cell>
          <cell r="F1091">
            <v>0</v>
          </cell>
          <cell r="DN1091">
            <v>0</v>
          </cell>
        </row>
        <row r="1092">
          <cell r="E1092">
            <v>0</v>
          </cell>
          <cell r="F1092">
            <v>0</v>
          </cell>
          <cell r="DN1092">
            <v>0</v>
          </cell>
        </row>
        <row r="1093">
          <cell r="E1093">
            <v>0</v>
          </cell>
          <cell r="F1093">
            <v>0</v>
          </cell>
          <cell r="DN1093">
            <v>0</v>
          </cell>
        </row>
        <row r="1094">
          <cell r="E1094">
            <v>0</v>
          </cell>
          <cell r="F1094">
            <v>0</v>
          </cell>
          <cell r="DN1094">
            <v>0</v>
          </cell>
        </row>
        <row r="1095">
          <cell r="E1095">
            <v>0</v>
          </cell>
          <cell r="F1095">
            <v>0</v>
          </cell>
          <cell r="DN1095">
            <v>0</v>
          </cell>
        </row>
        <row r="1096">
          <cell r="E1096">
            <v>0</v>
          </cell>
          <cell r="F1096">
            <v>0</v>
          </cell>
          <cell r="DN1096">
            <v>0</v>
          </cell>
        </row>
        <row r="1097">
          <cell r="E1097">
            <v>0</v>
          </cell>
          <cell r="F1097">
            <v>0</v>
          </cell>
          <cell r="DN1097">
            <v>0</v>
          </cell>
        </row>
        <row r="1098">
          <cell r="E1098">
            <v>0</v>
          </cell>
          <cell r="F1098">
            <v>0</v>
          </cell>
          <cell r="DN1098">
            <v>0</v>
          </cell>
        </row>
        <row r="1099">
          <cell r="E1099">
            <v>0</v>
          </cell>
          <cell r="F1099">
            <v>0</v>
          </cell>
          <cell r="DN1099">
            <v>0</v>
          </cell>
        </row>
        <row r="1100">
          <cell r="E1100">
            <v>0</v>
          </cell>
          <cell r="F1100">
            <v>0</v>
          </cell>
          <cell r="DN1100">
            <v>0</v>
          </cell>
        </row>
        <row r="1101">
          <cell r="E1101">
            <v>0</v>
          </cell>
          <cell r="F1101">
            <v>0</v>
          </cell>
          <cell r="DN1101">
            <v>0</v>
          </cell>
        </row>
        <row r="1102">
          <cell r="E1102">
            <v>0</v>
          </cell>
          <cell r="F1102">
            <v>0</v>
          </cell>
          <cell r="DN1102">
            <v>0</v>
          </cell>
        </row>
        <row r="1103">
          <cell r="E1103">
            <v>0</v>
          </cell>
          <cell r="F1103">
            <v>0</v>
          </cell>
          <cell r="DN1103">
            <v>0</v>
          </cell>
        </row>
        <row r="1104">
          <cell r="E1104">
            <v>0</v>
          </cell>
          <cell r="F1104">
            <v>0</v>
          </cell>
          <cell r="DN1104">
            <v>0</v>
          </cell>
        </row>
        <row r="1105">
          <cell r="E1105">
            <v>0</v>
          </cell>
          <cell r="F1105">
            <v>0</v>
          </cell>
          <cell r="DN1105">
            <v>0</v>
          </cell>
        </row>
        <row r="1106">
          <cell r="E1106">
            <v>0</v>
          </cell>
          <cell r="F1106">
            <v>0</v>
          </cell>
          <cell r="DN1106">
            <v>0</v>
          </cell>
        </row>
        <row r="1107">
          <cell r="E1107">
            <v>0</v>
          </cell>
          <cell r="F1107">
            <v>0</v>
          </cell>
          <cell r="DN1107">
            <v>0</v>
          </cell>
        </row>
        <row r="1108">
          <cell r="E1108">
            <v>0</v>
          </cell>
          <cell r="F1108">
            <v>0</v>
          </cell>
          <cell r="DN1108">
            <v>0</v>
          </cell>
        </row>
        <row r="1109">
          <cell r="E1109">
            <v>0</v>
          </cell>
          <cell r="F1109">
            <v>0</v>
          </cell>
          <cell r="DN1109">
            <v>0</v>
          </cell>
        </row>
        <row r="1110">
          <cell r="E1110">
            <v>0</v>
          </cell>
          <cell r="F1110">
            <v>0</v>
          </cell>
          <cell r="DN1110">
            <v>0</v>
          </cell>
        </row>
        <row r="1111">
          <cell r="E1111">
            <v>0</v>
          </cell>
          <cell r="F1111">
            <v>0</v>
          </cell>
          <cell r="DN1111">
            <v>0</v>
          </cell>
        </row>
        <row r="1112">
          <cell r="E1112">
            <v>0</v>
          </cell>
          <cell r="F1112">
            <v>0</v>
          </cell>
          <cell r="DN1112">
            <v>0</v>
          </cell>
        </row>
        <row r="1113">
          <cell r="E1113">
            <v>0</v>
          </cell>
          <cell r="F1113">
            <v>0</v>
          </cell>
          <cell r="DN1113">
            <v>0</v>
          </cell>
        </row>
        <row r="1114">
          <cell r="E1114">
            <v>0</v>
          </cell>
          <cell r="F1114">
            <v>0</v>
          </cell>
          <cell r="DN1114">
            <v>0</v>
          </cell>
        </row>
        <row r="1115">
          <cell r="E1115">
            <v>0</v>
          </cell>
          <cell r="F1115">
            <v>0</v>
          </cell>
          <cell r="DN1115">
            <v>0</v>
          </cell>
        </row>
        <row r="1116">
          <cell r="E1116">
            <v>0</v>
          </cell>
          <cell r="F1116">
            <v>0</v>
          </cell>
          <cell r="DN1116">
            <v>0</v>
          </cell>
        </row>
        <row r="1117">
          <cell r="E1117">
            <v>0</v>
          </cell>
          <cell r="F1117">
            <v>0</v>
          </cell>
          <cell r="DN1117">
            <v>0</v>
          </cell>
        </row>
        <row r="1118">
          <cell r="E1118">
            <v>0</v>
          </cell>
          <cell r="F1118">
            <v>0</v>
          </cell>
          <cell r="DN1118">
            <v>0</v>
          </cell>
        </row>
        <row r="1119">
          <cell r="E1119">
            <v>0</v>
          </cell>
          <cell r="F1119">
            <v>0</v>
          </cell>
          <cell r="DN1119">
            <v>0</v>
          </cell>
        </row>
        <row r="1120">
          <cell r="E1120">
            <v>0</v>
          </cell>
          <cell r="F1120">
            <v>0</v>
          </cell>
          <cell r="DN1120">
            <v>0</v>
          </cell>
        </row>
        <row r="1121">
          <cell r="E1121">
            <v>0</v>
          </cell>
          <cell r="F1121">
            <v>0</v>
          </cell>
          <cell r="DN1121">
            <v>0</v>
          </cell>
        </row>
        <row r="1122">
          <cell r="E1122">
            <v>0</v>
          </cell>
          <cell r="F1122">
            <v>0</v>
          </cell>
          <cell r="DN1122">
            <v>0</v>
          </cell>
        </row>
        <row r="1123">
          <cell r="E1123">
            <v>0</v>
          </cell>
          <cell r="F1123">
            <v>0</v>
          </cell>
          <cell r="DN1123">
            <v>0</v>
          </cell>
        </row>
        <row r="1124">
          <cell r="E1124">
            <v>0</v>
          </cell>
          <cell r="F1124">
            <v>0</v>
          </cell>
          <cell r="DN1124">
            <v>0</v>
          </cell>
        </row>
        <row r="1125">
          <cell r="E1125">
            <v>0</v>
          </cell>
          <cell r="F1125">
            <v>0</v>
          </cell>
          <cell r="DN1125">
            <v>0</v>
          </cell>
        </row>
        <row r="1126">
          <cell r="E1126">
            <v>0</v>
          </cell>
          <cell r="F1126">
            <v>0</v>
          </cell>
          <cell r="DN1126">
            <v>0</v>
          </cell>
        </row>
        <row r="1127">
          <cell r="E1127">
            <v>0</v>
          </cell>
          <cell r="F1127">
            <v>0</v>
          </cell>
          <cell r="DN1127">
            <v>0</v>
          </cell>
        </row>
        <row r="1128">
          <cell r="E1128">
            <v>0</v>
          </cell>
          <cell r="F1128">
            <v>0</v>
          </cell>
          <cell r="DN1128">
            <v>0</v>
          </cell>
        </row>
        <row r="1129">
          <cell r="E1129">
            <v>0</v>
          </cell>
          <cell r="F1129">
            <v>0</v>
          </cell>
          <cell r="DN1129">
            <v>0</v>
          </cell>
        </row>
        <row r="1130">
          <cell r="E1130">
            <v>0</v>
          </cell>
          <cell r="F1130">
            <v>0</v>
          </cell>
          <cell r="DN1130">
            <v>0</v>
          </cell>
        </row>
        <row r="1131">
          <cell r="E1131">
            <v>0</v>
          </cell>
          <cell r="F1131">
            <v>0</v>
          </cell>
          <cell r="DN1131">
            <v>0</v>
          </cell>
        </row>
        <row r="1132">
          <cell r="E1132">
            <v>0</v>
          </cell>
          <cell r="F1132">
            <v>0</v>
          </cell>
          <cell r="DN1132">
            <v>0</v>
          </cell>
        </row>
        <row r="1133">
          <cell r="E1133">
            <v>0</v>
          </cell>
          <cell r="F1133">
            <v>0</v>
          </cell>
          <cell r="DN1133">
            <v>0</v>
          </cell>
        </row>
        <row r="1134">
          <cell r="E1134">
            <v>0</v>
          </cell>
          <cell r="F1134">
            <v>0</v>
          </cell>
          <cell r="DN1134">
            <v>0</v>
          </cell>
        </row>
        <row r="1135">
          <cell r="E1135">
            <v>0</v>
          </cell>
          <cell r="F1135">
            <v>0</v>
          </cell>
          <cell r="DN1135">
            <v>0</v>
          </cell>
        </row>
        <row r="1136">
          <cell r="E1136">
            <v>0</v>
          </cell>
          <cell r="F1136">
            <v>0</v>
          </cell>
          <cell r="DN1136">
            <v>0</v>
          </cell>
        </row>
        <row r="1137">
          <cell r="E1137">
            <v>0</v>
          </cell>
          <cell r="F1137">
            <v>0</v>
          </cell>
          <cell r="DN1137">
            <v>0</v>
          </cell>
        </row>
        <row r="1138">
          <cell r="E1138">
            <v>0</v>
          </cell>
          <cell r="F1138">
            <v>0</v>
          </cell>
          <cell r="DN1138">
            <v>0</v>
          </cell>
        </row>
        <row r="1139">
          <cell r="E1139">
            <v>0</v>
          </cell>
          <cell r="F1139">
            <v>0</v>
          </cell>
          <cell r="DN1139">
            <v>0</v>
          </cell>
        </row>
        <row r="1140">
          <cell r="E1140">
            <v>0</v>
          </cell>
          <cell r="F1140">
            <v>0</v>
          </cell>
          <cell r="DN1140">
            <v>0</v>
          </cell>
        </row>
        <row r="1141">
          <cell r="E1141">
            <v>0</v>
          </cell>
          <cell r="F1141">
            <v>0</v>
          </cell>
          <cell r="DN1141">
            <v>0</v>
          </cell>
        </row>
        <row r="1142">
          <cell r="E1142">
            <v>0</v>
          </cell>
          <cell r="F1142">
            <v>0</v>
          </cell>
          <cell r="DN1142">
            <v>0</v>
          </cell>
        </row>
        <row r="1143">
          <cell r="E1143">
            <v>0</v>
          </cell>
          <cell r="F1143">
            <v>0</v>
          </cell>
          <cell r="DN1143">
            <v>0</v>
          </cell>
        </row>
        <row r="1144">
          <cell r="E1144">
            <v>0</v>
          </cell>
          <cell r="F1144">
            <v>0</v>
          </cell>
          <cell r="DN1144">
            <v>0</v>
          </cell>
        </row>
        <row r="1145">
          <cell r="E1145">
            <v>0</v>
          </cell>
          <cell r="F1145">
            <v>0</v>
          </cell>
          <cell r="DN1145">
            <v>0</v>
          </cell>
        </row>
        <row r="1146">
          <cell r="E1146">
            <v>0</v>
          </cell>
          <cell r="F1146">
            <v>0</v>
          </cell>
          <cell r="DN1146">
            <v>0</v>
          </cell>
        </row>
        <row r="1147">
          <cell r="E1147">
            <v>0</v>
          </cell>
          <cell r="F1147">
            <v>0</v>
          </cell>
          <cell r="DN1147">
            <v>0</v>
          </cell>
        </row>
        <row r="1148">
          <cell r="E1148">
            <v>0</v>
          </cell>
          <cell r="F1148">
            <v>0</v>
          </cell>
          <cell r="DN1148">
            <v>0</v>
          </cell>
        </row>
        <row r="1149">
          <cell r="E1149">
            <v>0</v>
          </cell>
          <cell r="F1149">
            <v>0</v>
          </cell>
          <cell r="DN1149">
            <v>0</v>
          </cell>
        </row>
        <row r="1150">
          <cell r="E1150">
            <v>0</v>
          </cell>
          <cell r="F1150">
            <v>0</v>
          </cell>
          <cell r="DN1150">
            <v>0</v>
          </cell>
        </row>
        <row r="1151">
          <cell r="E1151">
            <v>0</v>
          </cell>
          <cell r="F1151">
            <v>0</v>
          </cell>
          <cell r="DN1151">
            <v>0</v>
          </cell>
        </row>
        <row r="1152">
          <cell r="E1152">
            <v>0</v>
          </cell>
          <cell r="F1152">
            <v>0</v>
          </cell>
          <cell r="DN1152">
            <v>0</v>
          </cell>
        </row>
        <row r="1153">
          <cell r="E1153">
            <v>0</v>
          </cell>
          <cell r="F1153">
            <v>0</v>
          </cell>
          <cell r="DN1153">
            <v>0</v>
          </cell>
        </row>
        <row r="1154">
          <cell r="E1154">
            <v>0</v>
          </cell>
          <cell r="F1154">
            <v>0</v>
          </cell>
          <cell r="DN1154">
            <v>0</v>
          </cell>
        </row>
        <row r="1155">
          <cell r="E1155">
            <v>0</v>
          </cell>
          <cell r="F1155">
            <v>0</v>
          </cell>
          <cell r="DN1155">
            <v>0</v>
          </cell>
        </row>
        <row r="1156">
          <cell r="E1156">
            <v>0</v>
          </cell>
          <cell r="F1156">
            <v>0</v>
          </cell>
          <cell r="DN1156">
            <v>0</v>
          </cell>
        </row>
        <row r="1157">
          <cell r="E1157">
            <v>0</v>
          </cell>
          <cell r="F1157">
            <v>0</v>
          </cell>
          <cell r="DN1157">
            <v>0</v>
          </cell>
        </row>
        <row r="1158">
          <cell r="E1158">
            <v>0</v>
          </cell>
          <cell r="F1158">
            <v>0</v>
          </cell>
          <cell r="DN1158">
            <v>0</v>
          </cell>
        </row>
        <row r="1159">
          <cell r="E1159">
            <v>0</v>
          </cell>
          <cell r="F1159">
            <v>0</v>
          </cell>
          <cell r="DN1159">
            <v>0</v>
          </cell>
        </row>
        <row r="1160">
          <cell r="E1160">
            <v>0</v>
          </cell>
          <cell r="F1160">
            <v>0</v>
          </cell>
          <cell r="DN1160">
            <v>0</v>
          </cell>
        </row>
        <row r="1161">
          <cell r="E1161">
            <v>0</v>
          </cell>
          <cell r="F1161">
            <v>0</v>
          </cell>
          <cell r="DN1161">
            <v>0</v>
          </cell>
        </row>
        <row r="1162">
          <cell r="E1162">
            <v>0</v>
          </cell>
          <cell r="F1162">
            <v>0</v>
          </cell>
          <cell r="DN1162">
            <v>0</v>
          </cell>
        </row>
        <row r="1163">
          <cell r="E1163">
            <v>0</v>
          </cell>
          <cell r="F1163">
            <v>0</v>
          </cell>
          <cell r="DN1163">
            <v>0</v>
          </cell>
        </row>
        <row r="1164">
          <cell r="E1164">
            <v>0</v>
          </cell>
          <cell r="F1164">
            <v>0</v>
          </cell>
          <cell r="DN1164">
            <v>0</v>
          </cell>
        </row>
        <row r="1165">
          <cell r="E1165">
            <v>0</v>
          </cell>
          <cell r="F1165">
            <v>0</v>
          </cell>
          <cell r="DN1165">
            <v>0</v>
          </cell>
        </row>
        <row r="1166">
          <cell r="E1166">
            <v>0</v>
          </cell>
          <cell r="F1166">
            <v>0</v>
          </cell>
          <cell r="DN1166">
            <v>0</v>
          </cell>
        </row>
        <row r="1167">
          <cell r="E1167">
            <v>0</v>
          </cell>
          <cell r="F1167">
            <v>0</v>
          </cell>
          <cell r="DN1167">
            <v>0</v>
          </cell>
        </row>
        <row r="1168">
          <cell r="E1168">
            <v>0</v>
          </cell>
          <cell r="F1168">
            <v>0</v>
          </cell>
          <cell r="DN1168">
            <v>0</v>
          </cell>
        </row>
        <row r="1169">
          <cell r="E1169">
            <v>0</v>
          </cell>
          <cell r="F1169">
            <v>0</v>
          </cell>
          <cell r="DN1169">
            <v>0</v>
          </cell>
        </row>
        <row r="1170">
          <cell r="E1170">
            <v>0</v>
          </cell>
          <cell r="F1170">
            <v>0</v>
          </cell>
          <cell r="DN1170">
            <v>0</v>
          </cell>
        </row>
        <row r="1171">
          <cell r="E1171">
            <v>0</v>
          </cell>
          <cell r="F1171">
            <v>0</v>
          </cell>
          <cell r="DN1171">
            <v>0</v>
          </cell>
        </row>
        <row r="1172">
          <cell r="E1172">
            <v>0</v>
          </cell>
          <cell r="F1172">
            <v>0</v>
          </cell>
          <cell r="DN1172">
            <v>0</v>
          </cell>
        </row>
        <row r="1173">
          <cell r="E1173">
            <v>0</v>
          </cell>
          <cell r="F1173">
            <v>0</v>
          </cell>
          <cell r="DN1173">
            <v>0</v>
          </cell>
        </row>
        <row r="1174">
          <cell r="E1174">
            <v>0</v>
          </cell>
          <cell r="F1174">
            <v>0</v>
          </cell>
          <cell r="DN1174">
            <v>0</v>
          </cell>
        </row>
        <row r="1175">
          <cell r="E1175">
            <v>0</v>
          </cell>
          <cell r="F1175">
            <v>0</v>
          </cell>
          <cell r="DN1175">
            <v>0</v>
          </cell>
        </row>
        <row r="1176">
          <cell r="E1176">
            <v>0</v>
          </cell>
          <cell r="F1176">
            <v>0</v>
          </cell>
          <cell r="DN1176">
            <v>0</v>
          </cell>
        </row>
        <row r="1177">
          <cell r="E1177">
            <v>0</v>
          </cell>
          <cell r="F1177">
            <v>0</v>
          </cell>
          <cell r="DN1177">
            <v>0</v>
          </cell>
        </row>
        <row r="1178">
          <cell r="E1178">
            <v>0</v>
          </cell>
          <cell r="F1178">
            <v>0</v>
          </cell>
          <cell r="DN1178">
            <v>0</v>
          </cell>
        </row>
        <row r="1179">
          <cell r="E1179">
            <v>0</v>
          </cell>
          <cell r="F1179">
            <v>0</v>
          </cell>
          <cell r="DN1179">
            <v>0</v>
          </cell>
        </row>
        <row r="1180">
          <cell r="E1180">
            <v>0</v>
          </cell>
          <cell r="F1180">
            <v>0</v>
          </cell>
          <cell r="DN1180">
            <v>0</v>
          </cell>
        </row>
        <row r="1181">
          <cell r="E1181">
            <v>0</v>
          </cell>
          <cell r="F1181">
            <v>0</v>
          </cell>
          <cell r="DN1181">
            <v>0</v>
          </cell>
        </row>
        <row r="1182">
          <cell r="E1182">
            <v>0</v>
          </cell>
          <cell r="F1182">
            <v>0</v>
          </cell>
          <cell r="DN1182">
            <v>0</v>
          </cell>
        </row>
        <row r="1183">
          <cell r="E1183">
            <v>0</v>
          </cell>
          <cell r="F1183">
            <v>0</v>
          </cell>
          <cell r="DN1183">
            <v>0</v>
          </cell>
        </row>
        <row r="1184">
          <cell r="E1184">
            <v>0</v>
          </cell>
          <cell r="F1184">
            <v>0</v>
          </cell>
          <cell r="DN1184">
            <v>0</v>
          </cell>
        </row>
        <row r="1185">
          <cell r="E1185">
            <v>0</v>
          </cell>
          <cell r="F1185">
            <v>0</v>
          </cell>
          <cell r="DN1185">
            <v>0</v>
          </cell>
        </row>
        <row r="1186">
          <cell r="E1186">
            <v>0</v>
          </cell>
          <cell r="F1186">
            <v>0</v>
          </cell>
          <cell r="DN1186">
            <v>0</v>
          </cell>
        </row>
        <row r="1187">
          <cell r="E1187">
            <v>0</v>
          </cell>
          <cell r="F1187">
            <v>0</v>
          </cell>
          <cell r="DN1187">
            <v>0</v>
          </cell>
        </row>
        <row r="1188">
          <cell r="E1188">
            <v>0</v>
          </cell>
          <cell r="F1188">
            <v>0</v>
          </cell>
          <cell r="DN1188">
            <v>0</v>
          </cell>
        </row>
        <row r="1189">
          <cell r="E1189">
            <v>0</v>
          </cell>
          <cell r="F1189">
            <v>0</v>
          </cell>
          <cell r="DN1189">
            <v>0</v>
          </cell>
        </row>
        <row r="1190">
          <cell r="E1190">
            <v>0</v>
          </cell>
          <cell r="F1190">
            <v>0</v>
          </cell>
          <cell r="DN1190">
            <v>0</v>
          </cell>
        </row>
        <row r="1191">
          <cell r="E1191">
            <v>0</v>
          </cell>
          <cell r="F1191">
            <v>0</v>
          </cell>
          <cell r="DN1191">
            <v>0</v>
          </cell>
        </row>
        <row r="1192">
          <cell r="E1192">
            <v>0</v>
          </cell>
          <cell r="F1192">
            <v>0</v>
          </cell>
          <cell r="DN1192">
            <v>0</v>
          </cell>
        </row>
        <row r="1193">
          <cell r="E1193">
            <v>0</v>
          </cell>
          <cell r="F1193">
            <v>0</v>
          </cell>
          <cell r="DN1193">
            <v>0</v>
          </cell>
        </row>
        <row r="1194">
          <cell r="E1194">
            <v>0</v>
          </cell>
          <cell r="F1194">
            <v>0</v>
          </cell>
          <cell r="DN1194">
            <v>0</v>
          </cell>
        </row>
        <row r="1195">
          <cell r="E1195">
            <v>0</v>
          </cell>
          <cell r="F1195">
            <v>0</v>
          </cell>
          <cell r="DN1195">
            <v>0</v>
          </cell>
        </row>
        <row r="1196">
          <cell r="E1196">
            <v>0</v>
          </cell>
          <cell r="F1196">
            <v>0</v>
          </cell>
          <cell r="DN1196">
            <v>0</v>
          </cell>
        </row>
        <row r="1197">
          <cell r="E1197">
            <v>0</v>
          </cell>
          <cell r="F1197">
            <v>0</v>
          </cell>
          <cell r="DN1197">
            <v>0</v>
          </cell>
        </row>
        <row r="1198">
          <cell r="E1198">
            <v>0</v>
          </cell>
          <cell r="F1198">
            <v>0</v>
          </cell>
          <cell r="DN1198">
            <v>0</v>
          </cell>
        </row>
        <row r="1199">
          <cell r="E1199">
            <v>0</v>
          </cell>
          <cell r="F1199">
            <v>0</v>
          </cell>
          <cell r="DN1199">
            <v>0</v>
          </cell>
        </row>
        <row r="1200">
          <cell r="E1200">
            <v>0</v>
          </cell>
          <cell r="F1200">
            <v>0</v>
          </cell>
          <cell r="DN1200">
            <v>0</v>
          </cell>
        </row>
        <row r="1201">
          <cell r="E1201">
            <v>0</v>
          </cell>
          <cell r="F1201">
            <v>0</v>
          </cell>
          <cell r="DN1201">
            <v>0</v>
          </cell>
        </row>
        <row r="1202">
          <cell r="E1202">
            <v>0</v>
          </cell>
          <cell r="F1202">
            <v>0</v>
          </cell>
          <cell r="DN1202">
            <v>0</v>
          </cell>
        </row>
        <row r="1203">
          <cell r="E1203">
            <v>0</v>
          </cell>
          <cell r="F1203">
            <v>0</v>
          </cell>
          <cell r="DN1203">
            <v>0</v>
          </cell>
        </row>
        <row r="1204">
          <cell r="E1204">
            <v>0</v>
          </cell>
          <cell r="F1204">
            <v>0</v>
          </cell>
          <cell r="DN1204">
            <v>0</v>
          </cell>
        </row>
        <row r="1205">
          <cell r="E1205">
            <v>0</v>
          </cell>
          <cell r="F1205">
            <v>0</v>
          </cell>
          <cell r="DN1205">
            <v>0</v>
          </cell>
        </row>
        <row r="1206">
          <cell r="E1206">
            <v>0</v>
          </cell>
          <cell r="F1206">
            <v>0</v>
          </cell>
          <cell r="DN1206">
            <v>0</v>
          </cell>
        </row>
        <row r="1207">
          <cell r="E1207">
            <v>0</v>
          </cell>
          <cell r="F1207">
            <v>0</v>
          </cell>
          <cell r="DN1207">
            <v>0</v>
          </cell>
        </row>
        <row r="1208">
          <cell r="E1208">
            <v>0</v>
          </cell>
          <cell r="F1208">
            <v>0</v>
          </cell>
          <cell r="DN1208">
            <v>0</v>
          </cell>
        </row>
        <row r="1209">
          <cell r="E1209">
            <v>0</v>
          </cell>
          <cell r="F1209">
            <v>0</v>
          </cell>
          <cell r="DN1209">
            <v>0</v>
          </cell>
        </row>
        <row r="1210">
          <cell r="E1210">
            <v>0</v>
          </cell>
          <cell r="F1210">
            <v>0</v>
          </cell>
          <cell r="DN1210">
            <v>0</v>
          </cell>
        </row>
        <row r="1211">
          <cell r="E1211">
            <v>0</v>
          </cell>
          <cell r="F1211">
            <v>0</v>
          </cell>
          <cell r="DN1211">
            <v>0</v>
          </cell>
        </row>
        <row r="1212">
          <cell r="E1212">
            <v>0</v>
          </cell>
          <cell r="F1212">
            <v>0</v>
          </cell>
          <cell r="DN1212">
            <v>0</v>
          </cell>
        </row>
        <row r="1213">
          <cell r="E1213">
            <v>0</v>
          </cell>
          <cell r="F1213">
            <v>0</v>
          </cell>
          <cell r="DN1213">
            <v>0</v>
          </cell>
        </row>
        <row r="1214">
          <cell r="E1214">
            <v>0</v>
          </cell>
          <cell r="F1214">
            <v>0</v>
          </cell>
          <cell r="DN1214">
            <v>0</v>
          </cell>
        </row>
        <row r="1215">
          <cell r="E1215">
            <v>0</v>
          </cell>
          <cell r="F1215">
            <v>0</v>
          </cell>
          <cell r="DN1215">
            <v>0</v>
          </cell>
        </row>
        <row r="1216">
          <cell r="E1216">
            <v>0</v>
          </cell>
          <cell r="F1216">
            <v>0</v>
          </cell>
          <cell r="DN1216">
            <v>0</v>
          </cell>
        </row>
        <row r="1217">
          <cell r="E1217">
            <v>0</v>
          </cell>
          <cell r="F1217">
            <v>0</v>
          </cell>
          <cell r="DN1217">
            <v>0</v>
          </cell>
        </row>
        <row r="1218">
          <cell r="E1218">
            <v>0</v>
          </cell>
          <cell r="F1218">
            <v>0</v>
          </cell>
          <cell r="DN1218">
            <v>0</v>
          </cell>
        </row>
        <row r="1219">
          <cell r="E1219">
            <v>0</v>
          </cell>
          <cell r="F1219">
            <v>0</v>
          </cell>
          <cell r="DN1219">
            <v>0</v>
          </cell>
        </row>
        <row r="1220">
          <cell r="E1220">
            <v>0</v>
          </cell>
          <cell r="F1220">
            <v>0</v>
          </cell>
          <cell r="DN1220">
            <v>0</v>
          </cell>
        </row>
        <row r="1221">
          <cell r="E1221">
            <v>0</v>
          </cell>
          <cell r="F1221">
            <v>0</v>
          </cell>
          <cell r="DN1221">
            <v>0</v>
          </cell>
        </row>
        <row r="1222">
          <cell r="E1222">
            <v>0</v>
          </cell>
          <cell r="F1222">
            <v>0</v>
          </cell>
          <cell r="DN1222">
            <v>0</v>
          </cell>
        </row>
        <row r="1223">
          <cell r="E1223">
            <v>0</v>
          </cell>
          <cell r="F1223">
            <v>0</v>
          </cell>
          <cell r="DN1223">
            <v>0</v>
          </cell>
        </row>
        <row r="1224">
          <cell r="E1224">
            <v>0</v>
          </cell>
          <cell r="F1224">
            <v>0</v>
          </cell>
          <cell r="DN1224">
            <v>0</v>
          </cell>
        </row>
        <row r="1225">
          <cell r="E1225">
            <v>0</v>
          </cell>
          <cell r="F1225">
            <v>0</v>
          </cell>
          <cell r="DN1225">
            <v>0</v>
          </cell>
        </row>
        <row r="1226">
          <cell r="E1226">
            <v>0</v>
          </cell>
          <cell r="F1226">
            <v>0</v>
          </cell>
          <cell r="DN1226">
            <v>0</v>
          </cell>
        </row>
        <row r="1227">
          <cell r="E1227">
            <v>0</v>
          </cell>
          <cell r="F1227">
            <v>0</v>
          </cell>
          <cell r="DN1227">
            <v>0</v>
          </cell>
        </row>
        <row r="1228">
          <cell r="E1228">
            <v>0</v>
          </cell>
          <cell r="F1228">
            <v>0</v>
          </cell>
          <cell r="DN1228">
            <v>0</v>
          </cell>
        </row>
        <row r="1229">
          <cell r="E1229">
            <v>0</v>
          </cell>
          <cell r="F1229">
            <v>0</v>
          </cell>
          <cell r="DN1229">
            <v>0</v>
          </cell>
        </row>
        <row r="1230">
          <cell r="E1230">
            <v>0</v>
          </cell>
          <cell r="F1230">
            <v>0</v>
          </cell>
          <cell r="DN1230">
            <v>0</v>
          </cell>
        </row>
        <row r="1231">
          <cell r="E1231">
            <v>0</v>
          </cell>
          <cell r="F1231">
            <v>0</v>
          </cell>
          <cell r="DN1231">
            <v>0</v>
          </cell>
        </row>
        <row r="1232">
          <cell r="E1232">
            <v>0</v>
          </cell>
          <cell r="F1232">
            <v>0</v>
          </cell>
          <cell r="DN1232">
            <v>0</v>
          </cell>
        </row>
        <row r="1233">
          <cell r="E1233">
            <v>0</v>
          </cell>
          <cell r="F1233">
            <v>0</v>
          </cell>
          <cell r="DN1233">
            <v>0</v>
          </cell>
        </row>
        <row r="1234">
          <cell r="E1234">
            <v>0</v>
          </cell>
          <cell r="F1234">
            <v>0</v>
          </cell>
          <cell r="DN1234">
            <v>0</v>
          </cell>
        </row>
        <row r="1235">
          <cell r="E1235">
            <v>0</v>
          </cell>
          <cell r="F1235">
            <v>0</v>
          </cell>
          <cell r="DN1235">
            <v>0</v>
          </cell>
        </row>
        <row r="1236">
          <cell r="E1236">
            <v>0</v>
          </cell>
          <cell r="F1236">
            <v>0</v>
          </cell>
          <cell r="DN1236">
            <v>0</v>
          </cell>
        </row>
        <row r="1237">
          <cell r="E1237">
            <v>0</v>
          </cell>
          <cell r="F1237">
            <v>0</v>
          </cell>
          <cell r="DN1237">
            <v>0</v>
          </cell>
        </row>
        <row r="1238">
          <cell r="E1238">
            <v>0</v>
          </cell>
          <cell r="F1238">
            <v>0</v>
          </cell>
          <cell r="DN1238">
            <v>0</v>
          </cell>
        </row>
        <row r="1239">
          <cell r="E1239">
            <v>0</v>
          </cell>
          <cell r="F1239">
            <v>0</v>
          </cell>
          <cell r="DN1239">
            <v>0</v>
          </cell>
        </row>
        <row r="1240">
          <cell r="E1240">
            <v>0</v>
          </cell>
          <cell r="F1240">
            <v>0</v>
          </cell>
          <cell r="DN1240">
            <v>0</v>
          </cell>
        </row>
        <row r="1241">
          <cell r="E1241">
            <v>0</v>
          </cell>
          <cell r="F1241">
            <v>0</v>
          </cell>
          <cell r="DN1241">
            <v>0</v>
          </cell>
        </row>
        <row r="1242">
          <cell r="E1242">
            <v>0</v>
          </cell>
          <cell r="F1242">
            <v>0</v>
          </cell>
          <cell r="DN1242">
            <v>0</v>
          </cell>
        </row>
        <row r="1243">
          <cell r="E1243">
            <v>0</v>
          </cell>
          <cell r="F1243">
            <v>0</v>
          </cell>
          <cell r="DN1243">
            <v>0</v>
          </cell>
        </row>
        <row r="1244">
          <cell r="E1244">
            <v>0</v>
          </cell>
          <cell r="F1244">
            <v>0</v>
          </cell>
          <cell r="DN1244">
            <v>0</v>
          </cell>
        </row>
        <row r="1245">
          <cell r="E1245">
            <v>0</v>
          </cell>
          <cell r="F1245">
            <v>0</v>
          </cell>
          <cell r="DN1245">
            <v>0</v>
          </cell>
        </row>
        <row r="1246">
          <cell r="E1246">
            <v>0</v>
          </cell>
          <cell r="F1246">
            <v>0</v>
          </cell>
          <cell r="DN1246">
            <v>0</v>
          </cell>
        </row>
        <row r="1247">
          <cell r="E1247">
            <v>0</v>
          </cell>
          <cell r="F1247">
            <v>0</v>
          </cell>
          <cell r="DN1247">
            <v>0</v>
          </cell>
        </row>
        <row r="1248">
          <cell r="E1248">
            <v>0</v>
          </cell>
          <cell r="F1248">
            <v>0</v>
          </cell>
          <cell r="DN1248">
            <v>0</v>
          </cell>
        </row>
        <row r="1249">
          <cell r="E1249">
            <v>0</v>
          </cell>
          <cell r="F1249">
            <v>0</v>
          </cell>
          <cell r="DN1249">
            <v>0</v>
          </cell>
        </row>
        <row r="1250">
          <cell r="E1250">
            <v>0</v>
          </cell>
          <cell r="F1250">
            <v>0</v>
          </cell>
          <cell r="DN1250">
            <v>0</v>
          </cell>
        </row>
        <row r="1251">
          <cell r="E1251">
            <v>0</v>
          </cell>
          <cell r="F1251">
            <v>0</v>
          </cell>
          <cell r="DN1251">
            <v>0</v>
          </cell>
        </row>
        <row r="1252">
          <cell r="E1252">
            <v>0</v>
          </cell>
          <cell r="F1252">
            <v>0</v>
          </cell>
          <cell r="DN1252">
            <v>0</v>
          </cell>
        </row>
        <row r="1253">
          <cell r="E1253">
            <v>0</v>
          </cell>
          <cell r="F1253">
            <v>0</v>
          </cell>
          <cell r="DN1253">
            <v>0</v>
          </cell>
        </row>
        <row r="1254">
          <cell r="E1254">
            <v>0</v>
          </cell>
          <cell r="F1254">
            <v>0</v>
          </cell>
          <cell r="DN1254">
            <v>0</v>
          </cell>
        </row>
        <row r="1255">
          <cell r="E1255">
            <v>0</v>
          </cell>
          <cell r="F1255">
            <v>0</v>
          </cell>
          <cell r="DN1255">
            <v>0</v>
          </cell>
        </row>
        <row r="1256">
          <cell r="E1256">
            <v>0</v>
          </cell>
          <cell r="F1256">
            <v>0</v>
          </cell>
          <cell r="DN1256">
            <v>0</v>
          </cell>
        </row>
        <row r="1257">
          <cell r="E1257">
            <v>0</v>
          </cell>
          <cell r="F1257">
            <v>0</v>
          </cell>
          <cell r="DN1257">
            <v>0</v>
          </cell>
        </row>
        <row r="1258">
          <cell r="E1258">
            <v>0</v>
          </cell>
          <cell r="F1258">
            <v>0</v>
          </cell>
          <cell r="DN1258">
            <v>0</v>
          </cell>
        </row>
        <row r="1259">
          <cell r="E1259">
            <v>0</v>
          </cell>
          <cell r="F1259">
            <v>0</v>
          </cell>
          <cell r="DN1259">
            <v>0</v>
          </cell>
        </row>
        <row r="1260">
          <cell r="E1260">
            <v>0</v>
          </cell>
          <cell r="F1260">
            <v>0</v>
          </cell>
          <cell r="DN1260">
            <v>0</v>
          </cell>
        </row>
        <row r="1261">
          <cell r="E1261">
            <v>0</v>
          </cell>
          <cell r="F1261">
            <v>0</v>
          </cell>
          <cell r="DN1261">
            <v>0</v>
          </cell>
        </row>
        <row r="1262">
          <cell r="E1262">
            <v>0</v>
          </cell>
          <cell r="F1262">
            <v>0</v>
          </cell>
          <cell r="DN1262">
            <v>0</v>
          </cell>
        </row>
        <row r="1263">
          <cell r="E1263">
            <v>0</v>
          </cell>
          <cell r="F1263">
            <v>0</v>
          </cell>
          <cell r="DN1263">
            <v>0</v>
          </cell>
        </row>
        <row r="1264">
          <cell r="E1264">
            <v>0</v>
          </cell>
          <cell r="F1264">
            <v>0</v>
          </cell>
          <cell r="DN1264">
            <v>0</v>
          </cell>
        </row>
        <row r="1265">
          <cell r="E1265">
            <v>0</v>
          </cell>
          <cell r="F1265">
            <v>0</v>
          </cell>
          <cell r="DN1265">
            <v>0</v>
          </cell>
        </row>
        <row r="1266">
          <cell r="E1266">
            <v>0</v>
          </cell>
          <cell r="F1266">
            <v>0</v>
          </cell>
          <cell r="DN1266">
            <v>0</v>
          </cell>
        </row>
        <row r="1267">
          <cell r="E1267">
            <v>0</v>
          </cell>
          <cell r="F1267">
            <v>0</v>
          </cell>
          <cell r="DN1267">
            <v>0</v>
          </cell>
        </row>
        <row r="1268">
          <cell r="E1268">
            <v>0</v>
          </cell>
          <cell r="F1268">
            <v>0</v>
          </cell>
          <cell r="DN1268">
            <v>0</v>
          </cell>
        </row>
        <row r="1269">
          <cell r="E1269">
            <v>0</v>
          </cell>
          <cell r="F1269">
            <v>0</v>
          </cell>
          <cell r="DN1269">
            <v>0</v>
          </cell>
        </row>
        <row r="1270">
          <cell r="E1270">
            <v>0</v>
          </cell>
          <cell r="F1270">
            <v>0</v>
          </cell>
          <cell r="DN1270">
            <v>0</v>
          </cell>
        </row>
        <row r="1271">
          <cell r="E1271">
            <v>0</v>
          </cell>
          <cell r="F1271">
            <v>0</v>
          </cell>
          <cell r="DN1271">
            <v>0</v>
          </cell>
        </row>
        <row r="1272">
          <cell r="E1272">
            <v>0</v>
          </cell>
          <cell r="F1272">
            <v>0</v>
          </cell>
          <cell r="DN1272">
            <v>0</v>
          </cell>
        </row>
        <row r="1273">
          <cell r="E1273">
            <v>0</v>
          </cell>
          <cell r="F1273">
            <v>0</v>
          </cell>
          <cell r="DN1273">
            <v>0</v>
          </cell>
        </row>
        <row r="1274">
          <cell r="E1274">
            <v>0</v>
          </cell>
          <cell r="F1274">
            <v>0</v>
          </cell>
          <cell r="DN1274">
            <v>0</v>
          </cell>
        </row>
        <row r="1275">
          <cell r="E1275">
            <v>0</v>
          </cell>
          <cell r="F1275">
            <v>0</v>
          </cell>
          <cell r="DN1275">
            <v>0</v>
          </cell>
        </row>
        <row r="1276">
          <cell r="E1276">
            <v>0</v>
          </cell>
          <cell r="F1276">
            <v>0</v>
          </cell>
          <cell r="DN1276">
            <v>0</v>
          </cell>
        </row>
        <row r="1277">
          <cell r="E1277">
            <v>0</v>
          </cell>
          <cell r="F1277">
            <v>0</v>
          </cell>
          <cell r="DN1277">
            <v>0</v>
          </cell>
        </row>
        <row r="1278">
          <cell r="E1278">
            <v>0</v>
          </cell>
          <cell r="F1278">
            <v>0</v>
          </cell>
          <cell r="DN1278">
            <v>0</v>
          </cell>
        </row>
        <row r="1279">
          <cell r="E1279">
            <v>0</v>
          </cell>
          <cell r="F1279">
            <v>0</v>
          </cell>
          <cell r="DN1279">
            <v>0</v>
          </cell>
        </row>
        <row r="1280">
          <cell r="E1280">
            <v>0</v>
          </cell>
          <cell r="F1280">
            <v>0</v>
          </cell>
          <cell r="DN1280">
            <v>0</v>
          </cell>
        </row>
        <row r="1281">
          <cell r="E1281">
            <v>0</v>
          </cell>
          <cell r="F1281">
            <v>0</v>
          </cell>
          <cell r="DN1281">
            <v>0</v>
          </cell>
        </row>
        <row r="1282">
          <cell r="E1282">
            <v>0</v>
          </cell>
          <cell r="F1282">
            <v>0</v>
          </cell>
          <cell r="DN1282">
            <v>0</v>
          </cell>
        </row>
        <row r="1283">
          <cell r="E1283">
            <v>0</v>
          </cell>
          <cell r="F1283">
            <v>0</v>
          </cell>
          <cell r="DN1283">
            <v>0</v>
          </cell>
        </row>
        <row r="1284">
          <cell r="E1284">
            <v>0</v>
          </cell>
          <cell r="F1284">
            <v>0</v>
          </cell>
          <cell r="DN1284">
            <v>0</v>
          </cell>
        </row>
        <row r="1285">
          <cell r="E1285">
            <v>0</v>
          </cell>
          <cell r="F1285">
            <v>0</v>
          </cell>
          <cell r="DN1285">
            <v>0</v>
          </cell>
        </row>
        <row r="1286">
          <cell r="E1286">
            <v>0</v>
          </cell>
          <cell r="F1286">
            <v>0</v>
          </cell>
          <cell r="DN1286">
            <v>0</v>
          </cell>
        </row>
        <row r="1287">
          <cell r="E1287">
            <v>0</v>
          </cell>
          <cell r="F1287">
            <v>0</v>
          </cell>
          <cell r="DN1287">
            <v>0</v>
          </cell>
        </row>
        <row r="1288">
          <cell r="E1288">
            <v>0</v>
          </cell>
          <cell r="F1288">
            <v>0</v>
          </cell>
          <cell r="DN1288">
            <v>0</v>
          </cell>
        </row>
        <row r="1289">
          <cell r="E1289">
            <v>0</v>
          </cell>
          <cell r="F1289">
            <v>0</v>
          </cell>
          <cell r="DN1289">
            <v>0</v>
          </cell>
        </row>
        <row r="1290">
          <cell r="E1290">
            <v>0</v>
          </cell>
          <cell r="F1290">
            <v>0</v>
          </cell>
          <cell r="DN1290">
            <v>0</v>
          </cell>
        </row>
        <row r="1291">
          <cell r="E1291">
            <v>0</v>
          </cell>
          <cell r="F1291">
            <v>0</v>
          </cell>
          <cell r="DN1291">
            <v>0</v>
          </cell>
        </row>
        <row r="1292">
          <cell r="E1292">
            <v>0</v>
          </cell>
          <cell r="F1292">
            <v>0</v>
          </cell>
          <cell r="DN1292">
            <v>0</v>
          </cell>
        </row>
        <row r="1293">
          <cell r="E1293">
            <v>0</v>
          </cell>
          <cell r="F1293">
            <v>0</v>
          </cell>
          <cell r="DN1293">
            <v>0</v>
          </cell>
        </row>
        <row r="1294">
          <cell r="E1294">
            <v>0</v>
          </cell>
          <cell r="F1294">
            <v>0</v>
          </cell>
          <cell r="DN1294">
            <v>0</v>
          </cell>
        </row>
        <row r="1295">
          <cell r="E1295">
            <v>0</v>
          </cell>
          <cell r="F1295">
            <v>0</v>
          </cell>
          <cell r="DN1295">
            <v>0</v>
          </cell>
        </row>
        <row r="1296">
          <cell r="E1296">
            <v>0</v>
          </cell>
          <cell r="F1296">
            <v>0</v>
          </cell>
          <cell r="DN1296">
            <v>0</v>
          </cell>
        </row>
        <row r="1297">
          <cell r="E1297">
            <v>0</v>
          </cell>
          <cell r="F1297">
            <v>0</v>
          </cell>
          <cell r="DN1297">
            <v>0</v>
          </cell>
        </row>
        <row r="1298">
          <cell r="E1298">
            <v>0</v>
          </cell>
          <cell r="F1298">
            <v>0</v>
          </cell>
          <cell r="DN1298">
            <v>0</v>
          </cell>
        </row>
        <row r="1299">
          <cell r="E1299">
            <v>0</v>
          </cell>
          <cell r="F1299">
            <v>0</v>
          </cell>
          <cell r="DN1299">
            <v>0</v>
          </cell>
        </row>
        <row r="1300">
          <cell r="E1300">
            <v>0</v>
          </cell>
          <cell r="F1300">
            <v>0</v>
          </cell>
          <cell r="DN1300">
            <v>0</v>
          </cell>
        </row>
        <row r="1301">
          <cell r="E1301">
            <v>0</v>
          </cell>
          <cell r="F1301">
            <v>0</v>
          </cell>
          <cell r="DN1301">
            <v>0</v>
          </cell>
        </row>
        <row r="1302">
          <cell r="E1302">
            <v>0</v>
          </cell>
          <cell r="F1302">
            <v>0</v>
          </cell>
          <cell r="DN1302">
            <v>0</v>
          </cell>
        </row>
        <row r="1303">
          <cell r="E1303">
            <v>0</v>
          </cell>
          <cell r="F1303">
            <v>0</v>
          </cell>
          <cell r="DN1303">
            <v>0</v>
          </cell>
        </row>
        <row r="1304">
          <cell r="E1304">
            <v>0</v>
          </cell>
          <cell r="F1304">
            <v>0</v>
          </cell>
          <cell r="DN1304">
            <v>0</v>
          </cell>
        </row>
        <row r="1305">
          <cell r="E1305">
            <v>0</v>
          </cell>
          <cell r="F1305">
            <v>0</v>
          </cell>
          <cell r="DN1305">
            <v>0</v>
          </cell>
        </row>
        <row r="1306">
          <cell r="E1306">
            <v>0</v>
          </cell>
          <cell r="F1306">
            <v>0</v>
          </cell>
          <cell r="DN1306">
            <v>0</v>
          </cell>
        </row>
        <row r="1307">
          <cell r="E1307">
            <v>0</v>
          </cell>
          <cell r="F1307">
            <v>0</v>
          </cell>
          <cell r="DN1307">
            <v>0</v>
          </cell>
        </row>
        <row r="1308">
          <cell r="E1308">
            <v>0</v>
          </cell>
          <cell r="F1308">
            <v>0</v>
          </cell>
          <cell r="DN1308">
            <v>0</v>
          </cell>
        </row>
        <row r="1309">
          <cell r="E1309">
            <v>0</v>
          </cell>
          <cell r="F1309">
            <v>0</v>
          </cell>
          <cell r="DN1309">
            <v>0</v>
          </cell>
        </row>
        <row r="1310">
          <cell r="E1310">
            <v>0</v>
          </cell>
          <cell r="F1310">
            <v>0</v>
          </cell>
          <cell r="DN1310">
            <v>0</v>
          </cell>
        </row>
        <row r="1311">
          <cell r="E1311">
            <v>0</v>
          </cell>
          <cell r="F1311">
            <v>0</v>
          </cell>
          <cell r="DN1311">
            <v>0</v>
          </cell>
        </row>
        <row r="1312">
          <cell r="E1312">
            <v>0</v>
          </cell>
          <cell r="F1312">
            <v>0</v>
          </cell>
          <cell r="DN1312">
            <v>0</v>
          </cell>
        </row>
        <row r="1313">
          <cell r="E1313">
            <v>0</v>
          </cell>
          <cell r="F1313">
            <v>0</v>
          </cell>
          <cell r="DN1313">
            <v>0</v>
          </cell>
        </row>
        <row r="1314">
          <cell r="E1314">
            <v>0</v>
          </cell>
          <cell r="F1314">
            <v>0</v>
          </cell>
          <cell r="DN1314">
            <v>0</v>
          </cell>
        </row>
        <row r="1315">
          <cell r="E1315">
            <v>0</v>
          </cell>
          <cell r="F1315">
            <v>0</v>
          </cell>
          <cell r="DN1315">
            <v>0</v>
          </cell>
        </row>
        <row r="1316">
          <cell r="E1316">
            <v>0</v>
          </cell>
          <cell r="F1316">
            <v>0</v>
          </cell>
          <cell r="DN1316">
            <v>0</v>
          </cell>
        </row>
        <row r="1317">
          <cell r="E1317">
            <v>0</v>
          </cell>
          <cell r="F1317">
            <v>0</v>
          </cell>
          <cell r="DN1317">
            <v>0</v>
          </cell>
        </row>
        <row r="1318">
          <cell r="E1318">
            <v>0</v>
          </cell>
          <cell r="F1318">
            <v>0</v>
          </cell>
          <cell r="DN1318">
            <v>0</v>
          </cell>
        </row>
        <row r="1319">
          <cell r="E1319">
            <v>0</v>
          </cell>
          <cell r="F1319">
            <v>0</v>
          </cell>
          <cell r="DN1319">
            <v>0</v>
          </cell>
        </row>
        <row r="1320">
          <cell r="E1320">
            <v>0</v>
          </cell>
          <cell r="F1320">
            <v>0</v>
          </cell>
          <cell r="DN1320">
            <v>0</v>
          </cell>
        </row>
        <row r="1321">
          <cell r="E1321">
            <v>0</v>
          </cell>
          <cell r="F1321">
            <v>0</v>
          </cell>
          <cell r="DN1321">
            <v>0</v>
          </cell>
        </row>
        <row r="1322">
          <cell r="E1322">
            <v>0</v>
          </cell>
          <cell r="F1322">
            <v>0</v>
          </cell>
          <cell r="DN1322">
            <v>0</v>
          </cell>
        </row>
        <row r="1323">
          <cell r="E1323">
            <v>0</v>
          </cell>
          <cell r="F1323">
            <v>0</v>
          </cell>
          <cell r="DN1323">
            <v>0</v>
          </cell>
        </row>
        <row r="1324">
          <cell r="E1324">
            <v>0</v>
          </cell>
          <cell r="F1324">
            <v>0</v>
          </cell>
          <cell r="DN1324">
            <v>0</v>
          </cell>
        </row>
        <row r="1325">
          <cell r="E1325">
            <v>0</v>
          </cell>
          <cell r="F1325">
            <v>0</v>
          </cell>
          <cell r="DN1325">
            <v>0</v>
          </cell>
        </row>
        <row r="1326">
          <cell r="E1326">
            <v>0</v>
          </cell>
          <cell r="F1326">
            <v>0</v>
          </cell>
          <cell r="DN1326">
            <v>0</v>
          </cell>
        </row>
        <row r="1327">
          <cell r="E1327">
            <v>0</v>
          </cell>
          <cell r="F1327">
            <v>0</v>
          </cell>
          <cell r="DN1327">
            <v>0</v>
          </cell>
        </row>
        <row r="1328">
          <cell r="E1328">
            <v>0</v>
          </cell>
          <cell r="F1328">
            <v>0</v>
          </cell>
          <cell r="DN1328">
            <v>0</v>
          </cell>
        </row>
        <row r="1329">
          <cell r="E1329">
            <v>0</v>
          </cell>
          <cell r="F1329">
            <v>0</v>
          </cell>
          <cell r="DN1329">
            <v>0</v>
          </cell>
        </row>
        <row r="1330">
          <cell r="E1330">
            <v>0</v>
          </cell>
          <cell r="F1330">
            <v>0</v>
          </cell>
          <cell r="DN1330">
            <v>0</v>
          </cell>
        </row>
        <row r="1331">
          <cell r="E1331">
            <v>0</v>
          </cell>
          <cell r="F1331">
            <v>0</v>
          </cell>
          <cell r="DN1331">
            <v>0</v>
          </cell>
        </row>
        <row r="1332">
          <cell r="E1332">
            <v>0</v>
          </cell>
          <cell r="F1332">
            <v>0</v>
          </cell>
          <cell r="DN1332">
            <v>0</v>
          </cell>
        </row>
        <row r="1333">
          <cell r="E1333">
            <v>0</v>
          </cell>
          <cell r="F1333">
            <v>0</v>
          </cell>
          <cell r="DN1333">
            <v>0</v>
          </cell>
        </row>
        <row r="1334">
          <cell r="E1334">
            <v>0</v>
          </cell>
          <cell r="F1334">
            <v>0</v>
          </cell>
          <cell r="DN1334">
            <v>0</v>
          </cell>
        </row>
        <row r="1335">
          <cell r="E1335">
            <v>0</v>
          </cell>
          <cell r="F1335">
            <v>0</v>
          </cell>
          <cell r="DN1335">
            <v>0</v>
          </cell>
        </row>
        <row r="1336">
          <cell r="E1336">
            <v>0</v>
          </cell>
          <cell r="F1336">
            <v>0</v>
          </cell>
          <cell r="DN1336">
            <v>0</v>
          </cell>
        </row>
        <row r="1337">
          <cell r="E1337">
            <v>0</v>
          </cell>
          <cell r="F1337">
            <v>0</v>
          </cell>
          <cell r="DN1337">
            <v>0</v>
          </cell>
        </row>
        <row r="1338">
          <cell r="E1338">
            <v>0</v>
          </cell>
          <cell r="F1338">
            <v>0</v>
          </cell>
          <cell r="DN1338">
            <v>0</v>
          </cell>
        </row>
        <row r="1339">
          <cell r="E1339">
            <v>0</v>
          </cell>
          <cell r="F1339">
            <v>0</v>
          </cell>
          <cell r="DN1339">
            <v>0</v>
          </cell>
        </row>
        <row r="1340">
          <cell r="E1340">
            <v>0</v>
          </cell>
          <cell r="F1340">
            <v>0</v>
          </cell>
          <cell r="DN1340">
            <v>0</v>
          </cell>
        </row>
        <row r="1341">
          <cell r="E1341">
            <v>0</v>
          </cell>
          <cell r="F1341">
            <v>0</v>
          </cell>
          <cell r="DN1341">
            <v>0</v>
          </cell>
        </row>
        <row r="1342">
          <cell r="E1342">
            <v>0</v>
          </cell>
          <cell r="F1342">
            <v>0</v>
          </cell>
          <cell r="DN1342">
            <v>0</v>
          </cell>
        </row>
        <row r="1343">
          <cell r="E1343">
            <v>0</v>
          </cell>
          <cell r="F1343">
            <v>0</v>
          </cell>
          <cell r="DN1343">
            <v>0</v>
          </cell>
        </row>
        <row r="1344">
          <cell r="E1344">
            <v>0</v>
          </cell>
          <cell r="F1344">
            <v>0</v>
          </cell>
          <cell r="DN1344">
            <v>0</v>
          </cell>
        </row>
        <row r="1345">
          <cell r="E1345">
            <v>0</v>
          </cell>
          <cell r="F1345">
            <v>0</v>
          </cell>
          <cell r="DN1345">
            <v>0</v>
          </cell>
        </row>
        <row r="1346">
          <cell r="E1346">
            <v>0</v>
          </cell>
          <cell r="F1346">
            <v>0</v>
          </cell>
          <cell r="DN1346">
            <v>0</v>
          </cell>
        </row>
        <row r="1347">
          <cell r="E1347">
            <v>0</v>
          </cell>
          <cell r="F1347">
            <v>0</v>
          </cell>
          <cell r="DN1347">
            <v>0</v>
          </cell>
        </row>
        <row r="1348">
          <cell r="E1348">
            <v>0</v>
          </cell>
          <cell r="F1348">
            <v>0</v>
          </cell>
          <cell r="DN1348">
            <v>0</v>
          </cell>
        </row>
        <row r="1349">
          <cell r="E1349">
            <v>0</v>
          </cell>
          <cell r="F1349">
            <v>0</v>
          </cell>
          <cell r="DN1349">
            <v>0</v>
          </cell>
        </row>
        <row r="1350">
          <cell r="E1350">
            <v>0</v>
          </cell>
          <cell r="F1350">
            <v>0</v>
          </cell>
          <cell r="DN1350">
            <v>0</v>
          </cell>
        </row>
        <row r="1351">
          <cell r="E1351">
            <v>0</v>
          </cell>
          <cell r="F1351">
            <v>0</v>
          </cell>
          <cell r="DN1351">
            <v>0</v>
          </cell>
        </row>
        <row r="1352">
          <cell r="E1352">
            <v>0</v>
          </cell>
          <cell r="F1352">
            <v>0</v>
          </cell>
          <cell r="DN1352">
            <v>0</v>
          </cell>
        </row>
        <row r="1353">
          <cell r="E1353">
            <v>0</v>
          </cell>
          <cell r="F1353">
            <v>0</v>
          </cell>
          <cell r="DN1353">
            <v>0</v>
          </cell>
        </row>
        <row r="1354">
          <cell r="E1354">
            <v>0</v>
          </cell>
          <cell r="F1354">
            <v>0</v>
          </cell>
          <cell r="DN1354">
            <v>0</v>
          </cell>
        </row>
        <row r="1355">
          <cell r="E1355">
            <v>0</v>
          </cell>
          <cell r="F1355">
            <v>0</v>
          </cell>
          <cell r="DN1355">
            <v>0</v>
          </cell>
        </row>
        <row r="1356">
          <cell r="E1356">
            <v>0</v>
          </cell>
          <cell r="F1356">
            <v>0</v>
          </cell>
          <cell r="DN1356">
            <v>0</v>
          </cell>
        </row>
        <row r="1357">
          <cell r="E1357">
            <v>0</v>
          </cell>
          <cell r="F1357">
            <v>0</v>
          </cell>
          <cell r="DN1357">
            <v>0</v>
          </cell>
        </row>
        <row r="1358">
          <cell r="E1358">
            <v>0</v>
          </cell>
          <cell r="F1358">
            <v>0</v>
          </cell>
          <cell r="DN1358">
            <v>0</v>
          </cell>
        </row>
        <row r="1359">
          <cell r="E1359">
            <v>0</v>
          </cell>
          <cell r="F1359">
            <v>0</v>
          </cell>
          <cell r="DN1359">
            <v>0</v>
          </cell>
        </row>
        <row r="1360">
          <cell r="E1360">
            <v>0</v>
          </cell>
          <cell r="F1360">
            <v>0</v>
          </cell>
          <cell r="DN1360">
            <v>0</v>
          </cell>
        </row>
        <row r="1361">
          <cell r="E1361">
            <v>0</v>
          </cell>
          <cell r="F1361">
            <v>0</v>
          </cell>
          <cell r="DN1361">
            <v>0</v>
          </cell>
        </row>
        <row r="1362">
          <cell r="E1362">
            <v>0</v>
          </cell>
          <cell r="F1362">
            <v>0</v>
          </cell>
          <cell r="DN1362">
            <v>0</v>
          </cell>
        </row>
        <row r="1363">
          <cell r="E1363">
            <v>0</v>
          </cell>
          <cell r="F1363">
            <v>0</v>
          </cell>
          <cell r="DN1363">
            <v>0</v>
          </cell>
        </row>
        <row r="1364">
          <cell r="E1364">
            <v>0</v>
          </cell>
          <cell r="F1364">
            <v>0</v>
          </cell>
          <cell r="DN1364">
            <v>0</v>
          </cell>
        </row>
        <row r="1365">
          <cell r="E1365">
            <v>0</v>
          </cell>
          <cell r="F1365">
            <v>0</v>
          </cell>
          <cell r="DN1365">
            <v>0</v>
          </cell>
        </row>
        <row r="1366">
          <cell r="E1366">
            <v>0</v>
          </cell>
          <cell r="F1366">
            <v>0</v>
          </cell>
          <cell r="DN1366">
            <v>0</v>
          </cell>
        </row>
        <row r="1367">
          <cell r="E1367">
            <v>0</v>
          </cell>
          <cell r="F1367">
            <v>0</v>
          </cell>
          <cell r="DN1367">
            <v>0</v>
          </cell>
        </row>
        <row r="1368">
          <cell r="E1368">
            <v>0</v>
          </cell>
          <cell r="F1368">
            <v>0</v>
          </cell>
          <cell r="DN1368">
            <v>0</v>
          </cell>
        </row>
        <row r="1369">
          <cell r="E1369">
            <v>0</v>
          </cell>
          <cell r="F1369">
            <v>0</v>
          </cell>
          <cell r="DN1369">
            <v>0</v>
          </cell>
        </row>
        <row r="1370">
          <cell r="E1370">
            <v>0</v>
          </cell>
          <cell r="F1370">
            <v>0</v>
          </cell>
          <cell r="DN1370">
            <v>0</v>
          </cell>
        </row>
        <row r="1371">
          <cell r="E1371">
            <v>0</v>
          </cell>
          <cell r="F1371">
            <v>0</v>
          </cell>
          <cell r="DN1371">
            <v>0</v>
          </cell>
        </row>
        <row r="1372">
          <cell r="E1372">
            <v>0</v>
          </cell>
          <cell r="F1372">
            <v>0</v>
          </cell>
          <cell r="DN1372">
            <v>0</v>
          </cell>
        </row>
        <row r="1373">
          <cell r="E1373">
            <v>0</v>
          </cell>
          <cell r="F1373">
            <v>0</v>
          </cell>
          <cell r="DN1373">
            <v>0</v>
          </cell>
        </row>
        <row r="1374">
          <cell r="E1374">
            <v>0</v>
          </cell>
          <cell r="F1374">
            <v>0</v>
          </cell>
          <cell r="DN1374">
            <v>0</v>
          </cell>
        </row>
        <row r="1375">
          <cell r="E1375">
            <v>0</v>
          </cell>
          <cell r="F1375">
            <v>0</v>
          </cell>
          <cell r="DN1375">
            <v>0</v>
          </cell>
        </row>
        <row r="1376">
          <cell r="E1376">
            <v>0</v>
          </cell>
          <cell r="F1376">
            <v>0</v>
          </cell>
          <cell r="DN1376">
            <v>0</v>
          </cell>
        </row>
        <row r="1377">
          <cell r="E1377">
            <v>0</v>
          </cell>
          <cell r="F1377">
            <v>0</v>
          </cell>
          <cell r="DN1377">
            <v>0</v>
          </cell>
        </row>
        <row r="1378">
          <cell r="E1378">
            <v>0</v>
          </cell>
          <cell r="F1378">
            <v>0</v>
          </cell>
          <cell r="DN1378">
            <v>0</v>
          </cell>
        </row>
        <row r="1379">
          <cell r="E1379">
            <v>0</v>
          </cell>
          <cell r="F1379">
            <v>0</v>
          </cell>
          <cell r="DN1379">
            <v>0</v>
          </cell>
        </row>
        <row r="1380">
          <cell r="E1380">
            <v>0</v>
          </cell>
          <cell r="F1380">
            <v>0</v>
          </cell>
          <cell r="DN1380">
            <v>0</v>
          </cell>
        </row>
        <row r="1381">
          <cell r="E1381">
            <v>0</v>
          </cell>
          <cell r="F1381">
            <v>0</v>
          </cell>
          <cell r="DN1381">
            <v>0</v>
          </cell>
        </row>
        <row r="1382">
          <cell r="E1382">
            <v>0</v>
          </cell>
          <cell r="F1382">
            <v>0</v>
          </cell>
          <cell r="DN1382">
            <v>0</v>
          </cell>
        </row>
        <row r="1383">
          <cell r="E1383">
            <v>0</v>
          </cell>
          <cell r="F1383">
            <v>0</v>
          </cell>
          <cell r="DN1383">
            <v>0</v>
          </cell>
        </row>
        <row r="1384">
          <cell r="E1384">
            <v>0</v>
          </cell>
          <cell r="F1384">
            <v>0</v>
          </cell>
          <cell r="DN1384">
            <v>0</v>
          </cell>
        </row>
        <row r="1385">
          <cell r="E1385">
            <v>0</v>
          </cell>
          <cell r="F1385">
            <v>0</v>
          </cell>
          <cell r="DN1385">
            <v>0</v>
          </cell>
        </row>
        <row r="1386">
          <cell r="E1386">
            <v>0</v>
          </cell>
          <cell r="F1386">
            <v>0</v>
          </cell>
          <cell r="DN1386">
            <v>0</v>
          </cell>
        </row>
        <row r="1387">
          <cell r="E1387">
            <v>0</v>
          </cell>
          <cell r="F1387">
            <v>0</v>
          </cell>
          <cell r="DN1387">
            <v>0</v>
          </cell>
        </row>
        <row r="1388">
          <cell r="E1388">
            <v>0</v>
          </cell>
          <cell r="F1388">
            <v>0</v>
          </cell>
          <cell r="DN1388">
            <v>0</v>
          </cell>
        </row>
        <row r="1389">
          <cell r="E1389">
            <v>0</v>
          </cell>
          <cell r="F1389">
            <v>0</v>
          </cell>
          <cell r="DN1389">
            <v>0</v>
          </cell>
        </row>
        <row r="1390">
          <cell r="E1390">
            <v>0</v>
          </cell>
          <cell r="F1390">
            <v>0</v>
          </cell>
          <cell r="DN1390">
            <v>0</v>
          </cell>
        </row>
        <row r="1391">
          <cell r="E1391">
            <v>0</v>
          </cell>
          <cell r="F1391">
            <v>0</v>
          </cell>
          <cell r="DN1391">
            <v>0</v>
          </cell>
        </row>
        <row r="1392">
          <cell r="E1392">
            <v>0</v>
          </cell>
          <cell r="F1392">
            <v>0</v>
          </cell>
          <cell r="DN1392">
            <v>0</v>
          </cell>
        </row>
        <row r="1393">
          <cell r="E1393">
            <v>0</v>
          </cell>
          <cell r="F1393">
            <v>0</v>
          </cell>
          <cell r="DN1393">
            <v>0</v>
          </cell>
        </row>
        <row r="1394">
          <cell r="E1394">
            <v>0</v>
          </cell>
          <cell r="F1394">
            <v>0</v>
          </cell>
          <cell r="DN1394">
            <v>0</v>
          </cell>
        </row>
        <row r="1395">
          <cell r="E1395">
            <v>0</v>
          </cell>
          <cell r="F1395">
            <v>0</v>
          </cell>
          <cell r="DN1395">
            <v>0</v>
          </cell>
        </row>
        <row r="1396">
          <cell r="E1396">
            <v>0</v>
          </cell>
          <cell r="F1396">
            <v>0</v>
          </cell>
          <cell r="DN1396">
            <v>0</v>
          </cell>
        </row>
        <row r="1397">
          <cell r="E1397">
            <v>0</v>
          </cell>
          <cell r="F1397">
            <v>0</v>
          </cell>
          <cell r="DN1397">
            <v>0</v>
          </cell>
        </row>
        <row r="1398">
          <cell r="E1398">
            <v>0</v>
          </cell>
          <cell r="F1398">
            <v>0</v>
          </cell>
          <cell r="DN1398">
            <v>0</v>
          </cell>
        </row>
        <row r="1399">
          <cell r="E1399">
            <v>0</v>
          </cell>
          <cell r="F1399">
            <v>0</v>
          </cell>
          <cell r="DN1399">
            <v>0</v>
          </cell>
        </row>
        <row r="1400">
          <cell r="E1400">
            <v>0</v>
          </cell>
          <cell r="F1400">
            <v>0</v>
          </cell>
          <cell r="DN1400">
            <v>0</v>
          </cell>
        </row>
        <row r="1401">
          <cell r="E1401">
            <v>0</v>
          </cell>
          <cell r="F1401">
            <v>0</v>
          </cell>
          <cell r="DN1401">
            <v>0</v>
          </cell>
        </row>
        <row r="1402">
          <cell r="E1402">
            <v>0</v>
          </cell>
          <cell r="F1402">
            <v>0</v>
          </cell>
          <cell r="DN1402">
            <v>0</v>
          </cell>
        </row>
        <row r="1403">
          <cell r="E1403">
            <v>0</v>
          </cell>
          <cell r="F1403">
            <v>0</v>
          </cell>
          <cell r="DN1403">
            <v>0</v>
          </cell>
        </row>
        <row r="1404">
          <cell r="E1404">
            <v>0</v>
          </cell>
          <cell r="F1404">
            <v>0</v>
          </cell>
          <cell r="DN1404">
            <v>0</v>
          </cell>
        </row>
        <row r="1405">
          <cell r="E1405">
            <v>0</v>
          </cell>
          <cell r="F1405">
            <v>0</v>
          </cell>
          <cell r="DN1405">
            <v>0</v>
          </cell>
        </row>
        <row r="1406">
          <cell r="E1406">
            <v>0</v>
          </cell>
          <cell r="F1406">
            <v>0</v>
          </cell>
          <cell r="DN1406">
            <v>0</v>
          </cell>
        </row>
        <row r="1407">
          <cell r="E1407">
            <v>0</v>
          </cell>
          <cell r="F1407">
            <v>0</v>
          </cell>
          <cell r="DN1407">
            <v>0</v>
          </cell>
        </row>
        <row r="1408">
          <cell r="E1408">
            <v>0</v>
          </cell>
          <cell r="F1408">
            <v>0</v>
          </cell>
          <cell r="DN1408">
            <v>0</v>
          </cell>
        </row>
        <row r="1409">
          <cell r="E1409">
            <v>0</v>
          </cell>
          <cell r="F1409">
            <v>0</v>
          </cell>
          <cell r="DN1409">
            <v>0</v>
          </cell>
        </row>
        <row r="1410">
          <cell r="E1410">
            <v>0</v>
          </cell>
          <cell r="F1410">
            <v>0</v>
          </cell>
          <cell r="DN1410">
            <v>0</v>
          </cell>
        </row>
        <row r="1411">
          <cell r="E1411">
            <v>0</v>
          </cell>
          <cell r="F1411">
            <v>0</v>
          </cell>
          <cell r="DN1411">
            <v>0</v>
          </cell>
        </row>
        <row r="1412">
          <cell r="E1412">
            <v>0</v>
          </cell>
          <cell r="F1412">
            <v>0</v>
          </cell>
          <cell r="DN1412">
            <v>0</v>
          </cell>
        </row>
        <row r="1413">
          <cell r="E1413">
            <v>0</v>
          </cell>
          <cell r="F1413">
            <v>0</v>
          </cell>
          <cell r="DN1413">
            <v>0</v>
          </cell>
        </row>
        <row r="1414">
          <cell r="E1414">
            <v>0</v>
          </cell>
          <cell r="F1414">
            <v>0</v>
          </cell>
          <cell r="DN1414">
            <v>0</v>
          </cell>
        </row>
        <row r="1415">
          <cell r="E1415">
            <v>0</v>
          </cell>
          <cell r="F1415">
            <v>0</v>
          </cell>
          <cell r="DN1415">
            <v>0</v>
          </cell>
        </row>
        <row r="1416">
          <cell r="E1416">
            <v>0</v>
          </cell>
          <cell r="F1416">
            <v>0</v>
          </cell>
          <cell r="DN1416">
            <v>0</v>
          </cell>
        </row>
        <row r="1417">
          <cell r="E1417">
            <v>0</v>
          </cell>
          <cell r="F1417">
            <v>0</v>
          </cell>
          <cell r="DN1417">
            <v>0</v>
          </cell>
        </row>
        <row r="1418">
          <cell r="E1418">
            <v>0</v>
          </cell>
          <cell r="F1418">
            <v>0</v>
          </cell>
          <cell r="DN1418">
            <v>0</v>
          </cell>
        </row>
        <row r="1419">
          <cell r="E1419">
            <v>0</v>
          </cell>
          <cell r="F1419">
            <v>0</v>
          </cell>
          <cell r="DN1419">
            <v>0</v>
          </cell>
        </row>
        <row r="1420">
          <cell r="E1420">
            <v>0</v>
          </cell>
          <cell r="F1420">
            <v>0</v>
          </cell>
          <cell r="DN1420">
            <v>0</v>
          </cell>
        </row>
        <row r="1421">
          <cell r="E1421">
            <v>0</v>
          </cell>
          <cell r="F1421">
            <v>0</v>
          </cell>
          <cell r="DN1421">
            <v>0</v>
          </cell>
        </row>
        <row r="1422">
          <cell r="E1422">
            <v>0</v>
          </cell>
          <cell r="F1422">
            <v>0</v>
          </cell>
          <cell r="DN1422">
            <v>0</v>
          </cell>
        </row>
        <row r="1423">
          <cell r="E1423">
            <v>0</v>
          </cell>
          <cell r="F1423">
            <v>0</v>
          </cell>
          <cell r="DN1423">
            <v>0</v>
          </cell>
        </row>
        <row r="1424">
          <cell r="E1424">
            <v>0</v>
          </cell>
          <cell r="F1424">
            <v>0</v>
          </cell>
          <cell r="DN1424">
            <v>0</v>
          </cell>
        </row>
        <row r="1425">
          <cell r="E1425">
            <v>0</v>
          </cell>
          <cell r="F1425">
            <v>0</v>
          </cell>
          <cell r="DN1425">
            <v>0</v>
          </cell>
        </row>
        <row r="1426">
          <cell r="E1426">
            <v>0</v>
          </cell>
          <cell r="F1426">
            <v>0</v>
          </cell>
          <cell r="DN1426">
            <v>0</v>
          </cell>
        </row>
        <row r="1427">
          <cell r="E1427">
            <v>0</v>
          </cell>
          <cell r="F1427">
            <v>0</v>
          </cell>
          <cell r="DN1427">
            <v>0</v>
          </cell>
        </row>
        <row r="1428">
          <cell r="E1428">
            <v>0</v>
          </cell>
          <cell r="F1428">
            <v>0</v>
          </cell>
          <cell r="DN1428">
            <v>0</v>
          </cell>
        </row>
        <row r="1429">
          <cell r="E1429">
            <v>0</v>
          </cell>
          <cell r="F1429">
            <v>0</v>
          </cell>
          <cell r="DN1429">
            <v>0</v>
          </cell>
        </row>
        <row r="1430">
          <cell r="E1430">
            <v>0</v>
          </cell>
          <cell r="F1430">
            <v>0</v>
          </cell>
          <cell r="DN1430">
            <v>0</v>
          </cell>
        </row>
        <row r="1431">
          <cell r="E1431">
            <v>0</v>
          </cell>
          <cell r="F1431">
            <v>0</v>
          </cell>
          <cell r="DN1431">
            <v>0</v>
          </cell>
        </row>
        <row r="1432">
          <cell r="E1432">
            <v>0</v>
          </cell>
          <cell r="F1432">
            <v>0</v>
          </cell>
          <cell r="DN1432">
            <v>0</v>
          </cell>
        </row>
        <row r="1433">
          <cell r="E1433">
            <v>0</v>
          </cell>
          <cell r="F1433">
            <v>0</v>
          </cell>
          <cell r="DN1433">
            <v>0</v>
          </cell>
        </row>
        <row r="1434">
          <cell r="E1434">
            <v>0</v>
          </cell>
          <cell r="F1434">
            <v>0</v>
          </cell>
          <cell r="DN1434">
            <v>0</v>
          </cell>
        </row>
        <row r="1435">
          <cell r="E1435">
            <v>0</v>
          </cell>
          <cell r="F1435">
            <v>0</v>
          </cell>
          <cell r="DN1435">
            <v>0</v>
          </cell>
        </row>
        <row r="1436">
          <cell r="E1436">
            <v>0</v>
          </cell>
          <cell r="F1436">
            <v>0</v>
          </cell>
          <cell r="DN1436">
            <v>0</v>
          </cell>
        </row>
        <row r="1437">
          <cell r="E1437">
            <v>0</v>
          </cell>
          <cell r="F1437">
            <v>0</v>
          </cell>
          <cell r="DN1437">
            <v>0</v>
          </cell>
        </row>
        <row r="1438">
          <cell r="E1438">
            <v>0</v>
          </cell>
          <cell r="F1438">
            <v>0</v>
          </cell>
          <cell r="DN1438">
            <v>0</v>
          </cell>
        </row>
        <row r="1439">
          <cell r="E1439">
            <v>0</v>
          </cell>
          <cell r="F1439">
            <v>0</v>
          </cell>
          <cell r="DN1439">
            <v>0</v>
          </cell>
        </row>
        <row r="1440">
          <cell r="E1440">
            <v>0</v>
          </cell>
          <cell r="F1440">
            <v>0</v>
          </cell>
          <cell r="DN1440">
            <v>0</v>
          </cell>
        </row>
        <row r="1441">
          <cell r="E1441">
            <v>0</v>
          </cell>
          <cell r="F1441">
            <v>0</v>
          </cell>
          <cell r="DN1441">
            <v>0</v>
          </cell>
        </row>
        <row r="1442">
          <cell r="E1442">
            <v>0</v>
          </cell>
          <cell r="F1442">
            <v>0</v>
          </cell>
          <cell r="DN1442">
            <v>0</v>
          </cell>
        </row>
        <row r="1443">
          <cell r="E1443">
            <v>0</v>
          </cell>
          <cell r="F1443">
            <v>0</v>
          </cell>
          <cell r="DN1443">
            <v>0</v>
          </cell>
        </row>
        <row r="1444">
          <cell r="E1444">
            <v>0</v>
          </cell>
          <cell r="F1444">
            <v>0</v>
          </cell>
          <cell r="DN1444">
            <v>0</v>
          </cell>
        </row>
        <row r="1445">
          <cell r="E1445">
            <v>0</v>
          </cell>
          <cell r="F1445">
            <v>0</v>
          </cell>
          <cell r="DN1445">
            <v>0</v>
          </cell>
        </row>
        <row r="1446">
          <cell r="E1446">
            <v>0</v>
          </cell>
          <cell r="F1446">
            <v>0</v>
          </cell>
          <cell r="DN1446">
            <v>0</v>
          </cell>
        </row>
        <row r="1447">
          <cell r="E1447">
            <v>0</v>
          </cell>
          <cell r="F1447">
            <v>0</v>
          </cell>
          <cell r="DN1447">
            <v>0</v>
          </cell>
        </row>
        <row r="1448">
          <cell r="E1448">
            <v>0</v>
          </cell>
          <cell r="F1448">
            <v>0</v>
          </cell>
          <cell r="DN1448">
            <v>0</v>
          </cell>
        </row>
        <row r="1449">
          <cell r="E1449">
            <v>0</v>
          </cell>
          <cell r="F1449">
            <v>0</v>
          </cell>
          <cell r="DN1449">
            <v>0</v>
          </cell>
        </row>
        <row r="1450">
          <cell r="E1450">
            <v>0</v>
          </cell>
          <cell r="F1450">
            <v>0</v>
          </cell>
          <cell r="DN1450">
            <v>0</v>
          </cell>
        </row>
        <row r="1451">
          <cell r="E1451">
            <v>0</v>
          </cell>
          <cell r="F1451">
            <v>0</v>
          </cell>
          <cell r="DN1451">
            <v>0</v>
          </cell>
        </row>
        <row r="1452">
          <cell r="E1452">
            <v>0</v>
          </cell>
          <cell r="F1452">
            <v>0</v>
          </cell>
          <cell r="DN1452">
            <v>0</v>
          </cell>
        </row>
        <row r="1453">
          <cell r="E1453">
            <v>0</v>
          </cell>
          <cell r="F1453">
            <v>0</v>
          </cell>
          <cell r="DN1453">
            <v>0</v>
          </cell>
        </row>
        <row r="1454">
          <cell r="E1454">
            <v>0</v>
          </cell>
          <cell r="F1454">
            <v>0</v>
          </cell>
          <cell r="DN1454">
            <v>0</v>
          </cell>
        </row>
        <row r="1455">
          <cell r="E1455">
            <v>0</v>
          </cell>
          <cell r="F1455">
            <v>0</v>
          </cell>
          <cell r="DN1455">
            <v>0</v>
          </cell>
        </row>
        <row r="1456">
          <cell r="E1456">
            <v>0</v>
          </cell>
          <cell r="F1456">
            <v>0</v>
          </cell>
          <cell r="DN1456">
            <v>0</v>
          </cell>
        </row>
        <row r="1457">
          <cell r="E1457">
            <v>0</v>
          </cell>
          <cell r="F1457">
            <v>0</v>
          </cell>
          <cell r="DN1457">
            <v>0</v>
          </cell>
        </row>
        <row r="1458">
          <cell r="E1458">
            <v>0</v>
          </cell>
          <cell r="F1458">
            <v>0</v>
          </cell>
          <cell r="DN1458">
            <v>0</v>
          </cell>
        </row>
        <row r="1459">
          <cell r="E1459">
            <v>0</v>
          </cell>
          <cell r="F1459">
            <v>0</v>
          </cell>
          <cell r="DN1459">
            <v>0</v>
          </cell>
        </row>
        <row r="1460">
          <cell r="E1460">
            <v>0</v>
          </cell>
          <cell r="F1460">
            <v>0</v>
          </cell>
          <cell r="DN1460">
            <v>0</v>
          </cell>
        </row>
        <row r="1461">
          <cell r="E1461">
            <v>0</v>
          </cell>
          <cell r="F1461">
            <v>0</v>
          </cell>
          <cell r="DN1461">
            <v>0</v>
          </cell>
        </row>
        <row r="1462">
          <cell r="E1462">
            <v>0</v>
          </cell>
          <cell r="F1462">
            <v>0</v>
          </cell>
          <cell r="DN1462">
            <v>0</v>
          </cell>
        </row>
        <row r="1463">
          <cell r="E1463">
            <v>0</v>
          </cell>
          <cell r="F1463">
            <v>0</v>
          </cell>
          <cell r="DN1463">
            <v>0</v>
          </cell>
        </row>
        <row r="1464">
          <cell r="E1464">
            <v>0</v>
          </cell>
          <cell r="F1464">
            <v>0</v>
          </cell>
          <cell r="DN1464">
            <v>0</v>
          </cell>
        </row>
        <row r="1465">
          <cell r="E1465">
            <v>0</v>
          </cell>
          <cell r="F1465">
            <v>0</v>
          </cell>
          <cell r="DN1465">
            <v>0</v>
          </cell>
        </row>
        <row r="1466">
          <cell r="E1466">
            <v>0</v>
          </cell>
          <cell r="F1466">
            <v>0</v>
          </cell>
          <cell r="DN1466">
            <v>0</v>
          </cell>
        </row>
        <row r="1467">
          <cell r="E1467">
            <v>0</v>
          </cell>
          <cell r="F1467">
            <v>0</v>
          </cell>
          <cell r="DN1467">
            <v>0</v>
          </cell>
        </row>
        <row r="1468">
          <cell r="E1468">
            <v>0</v>
          </cell>
          <cell r="F1468">
            <v>0</v>
          </cell>
          <cell r="DN1468">
            <v>0</v>
          </cell>
        </row>
        <row r="1469">
          <cell r="E1469">
            <v>0</v>
          </cell>
          <cell r="F1469">
            <v>0</v>
          </cell>
          <cell r="DN1469">
            <v>0</v>
          </cell>
        </row>
        <row r="1470">
          <cell r="E1470">
            <v>0</v>
          </cell>
          <cell r="F1470">
            <v>0</v>
          </cell>
          <cell r="DN1470">
            <v>0</v>
          </cell>
        </row>
        <row r="1471">
          <cell r="E1471">
            <v>0</v>
          </cell>
          <cell r="F1471">
            <v>0</v>
          </cell>
          <cell r="DN1471">
            <v>0</v>
          </cell>
        </row>
        <row r="1472">
          <cell r="E1472">
            <v>0</v>
          </cell>
          <cell r="F1472">
            <v>0</v>
          </cell>
          <cell r="DN1472">
            <v>0</v>
          </cell>
        </row>
        <row r="1473">
          <cell r="E1473">
            <v>0</v>
          </cell>
          <cell r="F1473">
            <v>0</v>
          </cell>
          <cell r="DN1473">
            <v>0</v>
          </cell>
        </row>
        <row r="1474">
          <cell r="E1474">
            <v>0</v>
          </cell>
          <cell r="F1474">
            <v>0</v>
          </cell>
          <cell r="DN1474">
            <v>0</v>
          </cell>
        </row>
        <row r="1475">
          <cell r="E1475">
            <v>0</v>
          </cell>
          <cell r="F1475">
            <v>0</v>
          </cell>
          <cell r="DN1475">
            <v>0</v>
          </cell>
        </row>
        <row r="1476">
          <cell r="E1476">
            <v>0</v>
          </cell>
          <cell r="F1476">
            <v>0</v>
          </cell>
          <cell r="DN1476">
            <v>0</v>
          </cell>
        </row>
        <row r="1477">
          <cell r="E1477">
            <v>0</v>
          </cell>
          <cell r="F1477">
            <v>0</v>
          </cell>
          <cell r="DN1477">
            <v>0</v>
          </cell>
        </row>
        <row r="1478">
          <cell r="E1478">
            <v>0</v>
          </cell>
          <cell r="F1478">
            <v>0</v>
          </cell>
          <cell r="DN1478">
            <v>0</v>
          </cell>
        </row>
        <row r="1479">
          <cell r="E1479">
            <v>0</v>
          </cell>
          <cell r="F1479">
            <v>0</v>
          </cell>
          <cell r="DN1479">
            <v>0</v>
          </cell>
        </row>
        <row r="1480">
          <cell r="E1480">
            <v>0</v>
          </cell>
          <cell r="F1480">
            <v>0</v>
          </cell>
          <cell r="DN1480">
            <v>0</v>
          </cell>
        </row>
        <row r="1481">
          <cell r="E1481">
            <v>0</v>
          </cell>
          <cell r="F1481">
            <v>0</v>
          </cell>
          <cell r="DN1481">
            <v>0</v>
          </cell>
        </row>
        <row r="1482">
          <cell r="E1482">
            <v>0</v>
          </cell>
          <cell r="F1482">
            <v>0</v>
          </cell>
          <cell r="DN1482">
            <v>0</v>
          </cell>
        </row>
        <row r="1483">
          <cell r="E1483">
            <v>0</v>
          </cell>
          <cell r="F1483">
            <v>0</v>
          </cell>
          <cell r="DN1483">
            <v>0</v>
          </cell>
        </row>
        <row r="1484">
          <cell r="E1484">
            <v>0</v>
          </cell>
          <cell r="F1484">
            <v>0</v>
          </cell>
          <cell r="DN1484">
            <v>0</v>
          </cell>
        </row>
        <row r="1485">
          <cell r="E1485">
            <v>0</v>
          </cell>
          <cell r="F1485">
            <v>0</v>
          </cell>
          <cell r="DN1485">
            <v>0</v>
          </cell>
        </row>
        <row r="1486">
          <cell r="E1486">
            <v>0</v>
          </cell>
          <cell r="F1486">
            <v>0</v>
          </cell>
          <cell r="DN1486">
            <v>0</v>
          </cell>
        </row>
        <row r="1487">
          <cell r="E1487">
            <v>0</v>
          </cell>
          <cell r="F1487">
            <v>0</v>
          </cell>
          <cell r="DN1487">
            <v>0</v>
          </cell>
        </row>
        <row r="1488">
          <cell r="E1488">
            <v>0</v>
          </cell>
          <cell r="F1488">
            <v>0</v>
          </cell>
          <cell r="DN1488">
            <v>0</v>
          </cell>
        </row>
        <row r="1489">
          <cell r="E1489">
            <v>0</v>
          </cell>
          <cell r="F1489">
            <v>0</v>
          </cell>
          <cell r="DN1489">
            <v>0</v>
          </cell>
        </row>
        <row r="1490">
          <cell r="E1490">
            <v>0</v>
          </cell>
          <cell r="F1490">
            <v>0</v>
          </cell>
          <cell r="DN1490">
            <v>0</v>
          </cell>
        </row>
        <row r="1491">
          <cell r="E1491">
            <v>0</v>
          </cell>
          <cell r="F1491">
            <v>0</v>
          </cell>
          <cell r="DN1491">
            <v>0</v>
          </cell>
        </row>
        <row r="1492">
          <cell r="E1492">
            <v>0</v>
          </cell>
          <cell r="F1492">
            <v>0</v>
          </cell>
          <cell r="DN1492">
            <v>0</v>
          </cell>
        </row>
        <row r="1493">
          <cell r="E1493">
            <v>0</v>
          </cell>
          <cell r="F1493">
            <v>0</v>
          </cell>
          <cell r="DN1493">
            <v>0</v>
          </cell>
        </row>
        <row r="1494">
          <cell r="E1494">
            <v>0</v>
          </cell>
          <cell r="F1494">
            <v>0</v>
          </cell>
          <cell r="DN1494">
            <v>0</v>
          </cell>
        </row>
        <row r="1495">
          <cell r="E1495">
            <v>0</v>
          </cell>
          <cell r="F1495">
            <v>0</v>
          </cell>
          <cell r="DN1495">
            <v>0</v>
          </cell>
        </row>
        <row r="1496">
          <cell r="E1496">
            <v>0</v>
          </cell>
          <cell r="F1496">
            <v>0</v>
          </cell>
          <cell r="DN1496">
            <v>0</v>
          </cell>
        </row>
        <row r="1497">
          <cell r="E1497">
            <v>0</v>
          </cell>
          <cell r="F1497">
            <v>0</v>
          </cell>
          <cell r="DN1497">
            <v>0</v>
          </cell>
        </row>
        <row r="1498">
          <cell r="E1498">
            <v>0</v>
          </cell>
          <cell r="F1498">
            <v>0</v>
          </cell>
          <cell r="DN1498">
            <v>0</v>
          </cell>
        </row>
        <row r="1499">
          <cell r="E1499">
            <v>0</v>
          </cell>
          <cell r="F1499">
            <v>0</v>
          </cell>
          <cell r="DN1499">
            <v>0</v>
          </cell>
        </row>
        <row r="1500">
          <cell r="E1500">
            <v>0</v>
          </cell>
          <cell r="F1500">
            <v>0</v>
          </cell>
          <cell r="DN1500">
            <v>0</v>
          </cell>
        </row>
        <row r="1501">
          <cell r="E1501">
            <v>0</v>
          </cell>
          <cell r="F1501">
            <v>0</v>
          </cell>
          <cell r="DN1501">
            <v>0</v>
          </cell>
        </row>
        <row r="1502">
          <cell r="E1502">
            <v>0</v>
          </cell>
          <cell r="F1502">
            <v>0</v>
          </cell>
          <cell r="DN1502">
            <v>0</v>
          </cell>
        </row>
        <row r="1503">
          <cell r="E1503">
            <v>0</v>
          </cell>
          <cell r="F1503">
            <v>0</v>
          </cell>
          <cell r="DN1503">
            <v>0</v>
          </cell>
        </row>
        <row r="1504">
          <cell r="E1504">
            <v>0</v>
          </cell>
          <cell r="F1504">
            <v>0</v>
          </cell>
          <cell r="DN1504">
            <v>0</v>
          </cell>
        </row>
        <row r="1505">
          <cell r="E1505">
            <v>0</v>
          </cell>
          <cell r="F1505">
            <v>0</v>
          </cell>
          <cell r="DN1505">
            <v>0</v>
          </cell>
        </row>
        <row r="1506">
          <cell r="E1506">
            <v>0</v>
          </cell>
          <cell r="F1506">
            <v>0</v>
          </cell>
          <cell r="DN1506">
            <v>0</v>
          </cell>
        </row>
        <row r="1507">
          <cell r="E1507">
            <v>0</v>
          </cell>
          <cell r="F1507">
            <v>0</v>
          </cell>
          <cell r="DN1507">
            <v>0</v>
          </cell>
        </row>
        <row r="1508">
          <cell r="E1508">
            <v>0</v>
          </cell>
          <cell r="F1508">
            <v>0</v>
          </cell>
          <cell r="DN1508">
            <v>0</v>
          </cell>
        </row>
        <row r="1509">
          <cell r="E1509">
            <v>0</v>
          </cell>
          <cell r="F1509">
            <v>0</v>
          </cell>
          <cell r="DN1509">
            <v>0</v>
          </cell>
        </row>
        <row r="1510">
          <cell r="E1510">
            <v>0</v>
          </cell>
          <cell r="F1510">
            <v>0</v>
          </cell>
          <cell r="DN1510">
            <v>0</v>
          </cell>
        </row>
        <row r="1511">
          <cell r="E1511">
            <v>0</v>
          </cell>
          <cell r="F1511">
            <v>0</v>
          </cell>
          <cell r="DN1511">
            <v>0</v>
          </cell>
        </row>
        <row r="1512">
          <cell r="E1512">
            <v>0</v>
          </cell>
          <cell r="F1512">
            <v>0</v>
          </cell>
          <cell r="DN1512">
            <v>0</v>
          </cell>
        </row>
        <row r="1513">
          <cell r="E1513">
            <v>0</v>
          </cell>
          <cell r="F1513">
            <v>0</v>
          </cell>
          <cell r="DN1513">
            <v>0</v>
          </cell>
        </row>
        <row r="1514">
          <cell r="E1514">
            <v>0</v>
          </cell>
          <cell r="F1514">
            <v>0</v>
          </cell>
          <cell r="DN1514">
            <v>0</v>
          </cell>
        </row>
        <row r="1515">
          <cell r="E1515">
            <v>0</v>
          </cell>
          <cell r="F1515">
            <v>0</v>
          </cell>
          <cell r="DN1515">
            <v>0</v>
          </cell>
        </row>
        <row r="1516">
          <cell r="E1516">
            <v>0</v>
          </cell>
          <cell r="F1516">
            <v>0</v>
          </cell>
          <cell r="DN1516">
            <v>0</v>
          </cell>
        </row>
        <row r="1517">
          <cell r="E1517">
            <v>0</v>
          </cell>
          <cell r="F1517">
            <v>0</v>
          </cell>
          <cell r="DN1517">
            <v>0</v>
          </cell>
        </row>
        <row r="1518">
          <cell r="E1518">
            <v>0</v>
          </cell>
          <cell r="F1518">
            <v>0</v>
          </cell>
          <cell r="DN1518">
            <v>0</v>
          </cell>
        </row>
        <row r="1519">
          <cell r="E1519">
            <v>0</v>
          </cell>
          <cell r="F1519">
            <v>0</v>
          </cell>
          <cell r="DN1519">
            <v>0</v>
          </cell>
        </row>
        <row r="1520">
          <cell r="E1520">
            <v>0</v>
          </cell>
          <cell r="F1520">
            <v>0</v>
          </cell>
          <cell r="DN1520">
            <v>0</v>
          </cell>
        </row>
        <row r="1521">
          <cell r="E1521">
            <v>0</v>
          </cell>
          <cell r="F1521">
            <v>0</v>
          </cell>
          <cell r="DN1521">
            <v>0</v>
          </cell>
        </row>
        <row r="1522">
          <cell r="E1522">
            <v>0</v>
          </cell>
          <cell r="F1522">
            <v>0</v>
          </cell>
          <cell r="DN1522">
            <v>0</v>
          </cell>
        </row>
        <row r="1523">
          <cell r="E1523">
            <v>0</v>
          </cell>
          <cell r="F1523">
            <v>0</v>
          </cell>
          <cell r="DN1523">
            <v>0</v>
          </cell>
        </row>
        <row r="1524">
          <cell r="E1524">
            <v>0</v>
          </cell>
          <cell r="F1524">
            <v>0</v>
          </cell>
          <cell r="DN1524">
            <v>0</v>
          </cell>
        </row>
        <row r="1525">
          <cell r="E1525">
            <v>0</v>
          </cell>
          <cell r="F1525">
            <v>0</v>
          </cell>
          <cell r="DN1525">
            <v>0</v>
          </cell>
        </row>
        <row r="1526">
          <cell r="E1526">
            <v>0</v>
          </cell>
          <cell r="F1526">
            <v>0</v>
          </cell>
          <cell r="DN1526">
            <v>0</v>
          </cell>
        </row>
        <row r="1527">
          <cell r="E1527">
            <v>0</v>
          </cell>
          <cell r="F1527">
            <v>0</v>
          </cell>
          <cell r="DN1527">
            <v>0</v>
          </cell>
        </row>
        <row r="1528">
          <cell r="E1528">
            <v>0</v>
          </cell>
          <cell r="F1528">
            <v>0</v>
          </cell>
          <cell r="DN1528">
            <v>0</v>
          </cell>
        </row>
        <row r="1529">
          <cell r="E1529">
            <v>0</v>
          </cell>
          <cell r="F1529">
            <v>0</v>
          </cell>
          <cell r="DN1529">
            <v>0</v>
          </cell>
        </row>
        <row r="1530">
          <cell r="E1530">
            <v>0</v>
          </cell>
          <cell r="F1530">
            <v>0</v>
          </cell>
          <cell r="DN1530">
            <v>0</v>
          </cell>
        </row>
        <row r="1531">
          <cell r="E1531">
            <v>0</v>
          </cell>
          <cell r="F1531">
            <v>0</v>
          </cell>
          <cell r="DN1531">
            <v>0</v>
          </cell>
        </row>
        <row r="1532">
          <cell r="E1532">
            <v>0</v>
          </cell>
          <cell r="F1532">
            <v>0</v>
          </cell>
          <cell r="DN1532">
            <v>0</v>
          </cell>
        </row>
        <row r="1533">
          <cell r="E1533">
            <v>0</v>
          </cell>
          <cell r="F1533">
            <v>0</v>
          </cell>
          <cell r="DN1533">
            <v>0</v>
          </cell>
        </row>
        <row r="1534">
          <cell r="E1534">
            <v>0</v>
          </cell>
          <cell r="F1534">
            <v>0</v>
          </cell>
          <cell r="DN1534">
            <v>0</v>
          </cell>
        </row>
        <row r="1535">
          <cell r="E1535">
            <v>0</v>
          </cell>
          <cell r="F1535">
            <v>0</v>
          </cell>
          <cell r="DN1535">
            <v>0</v>
          </cell>
        </row>
        <row r="1536">
          <cell r="E1536">
            <v>0</v>
          </cell>
          <cell r="F1536">
            <v>0</v>
          </cell>
          <cell r="DN1536">
            <v>0</v>
          </cell>
        </row>
        <row r="1537">
          <cell r="E1537">
            <v>0</v>
          </cell>
          <cell r="F1537">
            <v>0</v>
          </cell>
          <cell r="DN1537">
            <v>0</v>
          </cell>
        </row>
        <row r="1538">
          <cell r="E1538">
            <v>0</v>
          </cell>
          <cell r="F1538">
            <v>0</v>
          </cell>
          <cell r="DN1538">
            <v>0</v>
          </cell>
        </row>
        <row r="1539">
          <cell r="E1539">
            <v>0</v>
          </cell>
          <cell r="F1539">
            <v>0</v>
          </cell>
          <cell r="DN1539">
            <v>0</v>
          </cell>
        </row>
        <row r="1540">
          <cell r="E1540">
            <v>0</v>
          </cell>
          <cell r="F1540">
            <v>0</v>
          </cell>
          <cell r="DN1540">
            <v>0</v>
          </cell>
        </row>
        <row r="1541">
          <cell r="E1541">
            <v>0</v>
          </cell>
          <cell r="F1541">
            <v>0</v>
          </cell>
          <cell r="DN1541">
            <v>0</v>
          </cell>
        </row>
        <row r="1542">
          <cell r="E1542">
            <v>0</v>
          </cell>
          <cell r="F1542">
            <v>0</v>
          </cell>
          <cell r="DN1542">
            <v>0</v>
          </cell>
        </row>
        <row r="1543">
          <cell r="E1543">
            <v>0</v>
          </cell>
          <cell r="F1543">
            <v>0</v>
          </cell>
          <cell r="DN1543">
            <v>0</v>
          </cell>
        </row>
        <row r="1544">
          <cell r="E1544">
            <v>0</v>
          </cell>
          <cell r="F1544">
            <v>0</v>
          </cell>
          <cell r="DN1544">
            <v>0</v>
          </cell>
        </row>
        <row r="1545">
          <cell r="E1545">
            <v>0</v>
          </cell>
          <cell r="F1545">
            <v>0</v>
          </cell>
          <cell r="DN1545">
            <v>0</v>
          </cell>
        </row>
        <row r="1546">
          <cell r="E1546">
            <v>0</v>
          </cell>
          <cell r="F1546">
            <v>0</v>
          </cell>
          <cell r="DN1546">
            <v>0</v>
          </cell>
        </row>
        <row r="1547">
          <cell r="E1547">
            <v>0</v>
          </cell>
          <cell r="F1547">
            <v>0</v>
          </cell>
          <cell r="DN1547">
            <v>0</v>
          </cell>
        </row>
        <row r="1548">
          <cell r="E1548">
            <v>0</v>
          </cell>
          <cell r="F1548">
            <v>0</v>
          </cell>
          <cell r="DN1548">
            <v>0</v>
          </cell>
        </row>
        <row r="1549">
          <cell r="E1549">
            <v>0</v>
          </cell>
          <cell r="F1549">
            <v>0</v>
          </cell>
          <cell r="DN1549">
            <v>0</v>
          </cell>
        </row>
        <row r="1550">
          <cell r="E1550">
            <v>0</v>
          </cell>
          <cell r="F1550">
            <v>0</v>
          </cell>
          <cell r="DN1550">
            <v>0</v>
          </cell>
        </row>
        <row r="1551">
          <cell r="E1551">
            <v>0</v>
          </cell>
          <cell r="F1551">
            <v>0</v>
          </cell>
          <cell r="DN1551">
            <v>0</v>
          </cell>
        </row>
        <row r="1552">
          <cell r="E1552">
            <v>0</v>
          </cell>
          <cell r="F1552">
            <v>0</v>
          </cell>
          <cell r="DN1552">
            <v>0</v>
          </cell>
        </row>
        <row r="1553">
          <cell r="E1553">
            <v>0</v>
          </cell>
          <cell r="F1553">
            <v>0</v>
          </cell>
          <cell r="DN1553">
            <v>0</v>
          </cell>
        </row>
        <row r="1554">
          <cell r="E1554">
            <v>0</v>
          </cell>
          <cell r="F1554">
            <v>0</v>
          </cell>
          <cell r="DN1554">
            <v>0</v>
          </cell>
        </row>
        <row r="1555">
          <cell r="E1555">
            <v>0</v>
          </cell>
          <cell r="F1555">
            <v>0</v>
          </cell>
          <cell r="DN1555">
            <v>0</v>
          </cell>
        </row>
        <row r="1556">
          <cell r="E1556">
            <v>0</v>
          </cell>
          <cell r="F1556">
            <v>0</v>
          </cell>
          <cell r="DN1556">
            <v>0</v>
          </cell>
        </row>
        <row r="1557">
          <cell r="E1557">
            <v>0</v>
          </cell>
          <cell r="F1557">
            <v>0</v>
          </cell>
          <cell r="DN1557">
            <v>0</v>
          </cell>
        </row>
        <row r="1558">
          <cell r="E1558">
            <v>0</v>
          </cell>
          <cell r="F1558">
            <v>0</v>
          </cell>
          <cell r="DN1558">
            <v>0</v>
          </cell>
        </row>
        <row r="1559">
          <cell r="E1559">
            <v>0</v>
          </cell>
          <cell r="F1559">
            <v>0</v>
          </cell>
          <cell r="DN1559">
            <v>0</v>
          </cell>
        </row>
        <row r="1560">
          <cell r="E1560">
            <v>0</v>
          </cell>
          <cell r="F1560">
            <v>0</v>
          </cell>
          <cell r="DN1560">
            <v>0</v>
          </cell>
        </row>
        <row r="1561">
          <cell r="E1561">
            <v>0</v>
          </cell>
          <cell r="F1561">
            <v>0</v>
          </cell>
          <cell r="DN1561">
            <v>0</v>
          </cell>
        </row>
        <row r="1562">
          <cell r="E1562">
            <v>0</v>
          </cell>
          <cell r="F1562">
            <v>0</v>
          </cell>
          <cell r="DN1562">
            <v>0</v>
          </cell>
        </row>
        <row r="1563">
          <cell r="E1563">
            <v>0</v>
          </cell>
          <cell r="F1563">
            <v>0</v>
          </cell>
          <cell r="DN1563">
            <v>0</v>
          </cell>
        </row>
        <row r="1564">
          <cell r="E1564">
            <v>0</v>
          </cell>
          <cell r="F1564">
            <v>0</v>
          </cell>
          <cell r="DN1564">
            <v>0</v>
          </cell>
        </row>
        <row r="1565">
          <cell r="E1565">
            <v>0</v>
          </cell>
          <cell r="F1565">
            <v>0</v>
          </cell>
          <cell r="DN1565">
            <v>0</v>
          </cell>
        </row>
        <row r="1566">
          <cell r="E1566">
            <v>0</v>
          </cell>
          <cell r="F1566">
            <v>0</v>
          </cell>
          <cell r="DN1566">
            <v>0</v>
          </cell>
        </row>
        <row r="1567">
          <cell r="E1567">
            <v>0</v>
          </cell>
          <cell r="F1567">
            <v>0</v>
          </cell>
          <cell r="DN1567">
            <v>0</v>
          </cell>
        </row>
        <row r="1568">
          <cell r="E1568">
            <v>0</v>
          </cell>
          <cell r="F1568">
            <v>0</v>
          </cell>
          <cell r="DN1568">
            <v>0</v>
          </cell>
        </row>
        <row r="1569">
          <cell r="E1569">
            <v>0</v>
          </cell>
          <cell r="F1569">
            <v>0</v>
          </cell>
          <cell r="DN1569">
            <v>0</v>
          </cell>
        </row>
        <row r="1570">
          <cell r="E1570">
            <v>0</v>
          </cell>
          <cell r="F1570">
            <v>0</v>
          </cell>
          <cell r="DN1570">
            <v>0</v>
          </cell>
        </row>
        <row r="1571">
          <cell r="E1571">
            <v>0</v>
          </cell>
          <cell r="F1571">
            <v>0</v>
          </cell>
          <cell r="DN1571">
            <v>0</v>
          </cell>
        </row>
        <row r="1572">
          <cell r="E1572">
            <v>0</v>
          </cell>
          <cell r="F1572">
            <v>0</v>
          </cell>
          <cell r="DN1572">
            <v>0</v>
          </cell>
        </row>
        <row r="1573">
          <cell r="E1573">
            <v>0</v>
          </cell>
          <cell r="F1573">
            <v>0</v>
          </cell>
          <cell r="DN1573">
            <v>0</v>
          </cell>
        </row>
        <row r="1574">
          <cell r="E1574">
            <v>0</v>
          </cell>
          <cell r="F1574">
            <v>0</v>
          </cell>
          <cell r="DN1574">
            <v>0</v>
          </cell>
        </row>
        <row r="1575">
          <cell r="E1575">
            <v>0</v>
          </cell>
          <cell r="F1575">
            <v>0</v>
          </cell>
          <cell r="DN1575">
            <v>0</v>
          </cell>
        </row>
        <row r="1576">
          <cell r="E1576">
            <v>0</v>
          </cell>
          <cell r="F1576">
            <v>0</v>
          </cell>
          <cell r="DN1576">
            <v>0</v>
          </cell>
        </row>
        <row r="1577">
          <cell r="E1577">
            <v>0</v>
          </cell>
          <cell r="F1577">
            <v>0</v>
          </cell>
          <cell r="DN1577">
            <v>0</v>
          </cell>
        </row>
        <row r="1578">
          <cell r="E1578">
            <v>0</v>
          </cell>
          <cell r="F1578">
            <v>0</v>
          </cell>
          <cell r="DN1578">
            <v>0</v>
          </cell>
        </row>
        <row r="1579">
          <cell r="E1579">
            <v>0</v>
          </cell>
          <cell r="F1579">
            <v>0</v>
          </cell>
          <cell r="DN1579">
            <v>0</v>
          </cell>
        </row>
        <row r="1580">
          <cell r="E1580">
            <v>0</v>
          </cell>
          <cell r="F1580">
            <v>0</v>
          </cell>
          <cell r="DN1580">
            <v>0</v>
          </cell>
        </row>
        <row r="1581">
          <cell r="E1581">
            <v>0</v>
          </cell>
          <cell r="F1581">
            <v>0</v>
          </cell>
          <cell r="DN1581">
            <v>0</v>
          </cell>
        </row>
        <row r="1582">
          <cell r="E1582">
            <v>0</v>
          </cell>
          <cell r="F1582">
            <v>0</v>
          </cell>
          <cell r="DN1582">
            <v>0</v>
          </cell>
        </row>
        <row r="1583">
          <cell r="E1583">
            <v>0</v>
          </cell>
          <cell r="F1583">
            <v>0</v>
          </cell>
          <cell r="DN1583">
            <v>0</v>
          </cell>
        </row>
        <row r="1584">
          <cell r="E1584">
            <v>0</v>
          </cell>
          <cell r="F1584">
            <v>0</v>
          </cell>
          <cell r="DN1584">
            <v>0</v>
          </cell>
        </row>
        <row r="1585">
          <cell r="E1585">
            <v>0</v>
          </cell>
          <cell r="F1585">
            <v>0</v>
          </cell>
          <cell r="DN1585">
            <v>0</v>
          </cell>
        </row>
        <row r="1586">
          <cell r="E1586">
            <v>0</v>
          </cell>
          <cell r="F1586">
            <v>0</v>
          </cell>
          <cell r="DN1586">
            <v>0</v>
          </cell>
        </row>
        <row r="1587">
          <cell r="E1587">
            <v>0</v>
          </cell>
          <cell r="F1587">
            <v>0</v>
          </cell>
          <cell r="DN1587">
            <v>0</v>
          </cell>
        </row>
        <row r="1588">
          <cell r="E1588">
            <v>0</v>
          </cell>
          <cell r="F1588">
            <v>0</v>
          </cell>
          <cell r="DN1588">
            <v>0</v>
          </cell>
        </row>
        <row r="1589">
          <cell r="E1589">
            <v>0</v>
          </cell>
          <cell r="F1589">
            <v>0</v>
          </cell>
          <cell r="DN1589">
            <v>0</v>
          </cell>
        </row>
        <row r="1590">
          <cell r="E1590">
            <v>0</v>
          </cell>
          <cell r="F1590">
            <v>0</v>
          </cell>
          <cell r="DN1590">
            <v>0</v>
          </cell>
        </row>
        <row r="1591">
          <cell r="E1591">
            <v>0</v>
          </cell>
          <cell r="F1591">
            <v>0</v>
          </cell>
          <cell r="DN1591">
            <v>0</v>
          </cell>
        </row>
        <row r="1592">
          <cell r="E1592">
            <v>0</v>
          </cell>
          <cell r="F1592">
            <v>0</v>
          </cell>
          <cell r="DN1592">
            <v>0</v>
          </cell>
        </row>
        <row r="1593">
          <cell r="E1593">
            <v>0</v>
          </cell>
          <cell r="F1593">
            <v>0</v>
          </cell>
          <cell r="DN1593">
            <v>0</v>
          </cell>
        </row>
        <row r="1594">
          <cell r="E1594">
            <v>0</v>
          </cell>
          <cell r="F1594">
            <v>0</v>
          </cell>
          <cell r="DN1594">
            <v>0</v>
          </cell>
        </row>
        <row r="1595">
          <cell r="E1595">
            <v>0</v>
          </cell>
          <cell r="F1595">
            <v>0</v>
          </cell>
          <cell r="DN1595">
            <v>0</v>
          </cell>
        </row>
        <row r="1596">
          <cell r="E1596">
            <v>0</v>
          </cell>
          <cell r="F1596">
            <v>0</v>
          </cell>
          <cell r="DN1596">
            <v>0</v>
          </cell>
        </row>
        <row r="1597">
          <cell r="E1597">
            <v>0</v>
          </cell>
          <cell r="F1597">
            <v>0</v>
          </cell>
          <cell r="DN1597">
            <v>0</v>
          </cell>
        </row>
        <row r="1598">
          <cell r="E1598">
            <v>0</v>
          </cell>
          <cell r="F1598">
            <v>0</v>
          </cell>
          <cell r="DN1598">
            <v>0</v>
          </cell>
        </row>
        <row r="1599">
          <cell r="E1599">
            <v>0</v>
          </cell>
          <cell r="F1599">
            <v>0</v>
          </cell>
          <cell r="DN1599">
            <v>0</v>
          </cell>
        </row>
        <row r="1600">
          <cell r="E1600">
            <v>0</v>
          </cell>
          <cell r="F1600">
            <v>0</v>
          </cell>
          <cell r="DN1600">
            <v>0</v>
          </cell>
        </row>
        <row r="1601">
          <cell r="E1601">
            <v>0</v>
          </cell>
          <cell r="F1601">
            <v>0</v>
          </cell>
          <cell r="DN1601">
            <v>0</v>
          </cell>
        </row>
        <row r="1602">
          <cell r="E1602">
            <v>0</v>
          </cell>
          <cell r="F1602">
            <v>0</v>
          </cell>
          <cell r="DN1602">
            <v>0</v>
          </cell>
        </row>
        <row r="1603">
          <cell r="E1603">
            <v>0</v>
          </cell>
          <cell r="F1603">
            <v>0</v>
          </cell>
          <cell r="DN1603">
            <v>0</v>
          </cell>
        </row>
        <row r="1604">
          <cell r="E1604">
            <v>0</v>
          </cell>
          <cell r="F1604">
            <v>0</v>
          </cell>
          <cell r="DN1604">
            <v>0</v>
          </cell>
        </row>
        <row r="1605">
          <cell r="E1605">
            <v>0</v>
          </cell>
          <cell r="F1605">
            <v>0</v>
          </cell>
          <cell r="DN1605">
            <v>0</v>
          </cell>
        </row>
        <row r="1606">
          <cell r="E1606">
            <v>0</v>
          </cell>
          <cell r="F1606">
            <v>0</v>
          </cell>
          <cell r="DN1606">
            <v>0</v>
          </cell>
        </row>
        <row r="1607">
          <cell r="E1607">
            <v>0</v>
          </cell>
          <cell r="F1607">
            <v>0</v>
          </cell>
          <cell r="DN1607">
            <v>0</v>
          </cell>
        </row>
        <row r="1608">
          <cell r="E1608">
            <v>0</v>
          </cell>
          <cell r="F1608">
            <v>0</v>
          </cell>
          <cell r="DN1608">
            <v>0</v>
          </cell>
        </row>
        <row r="1609">
          <cell r="E1609">
            <v>0</v>
          </cell>
          <cell r="F1609">
            <v>0</v>
          </cell>
          <cell r="DN1609">
            <v>0</v>
          </cell>
        </row>
        <row r="1610">
          <cell r="E1610">
            <v>0</v>
          </cell>
          <cell r="F1610">
            <v>0</v>
          </cell>
          <cell r="DN1610">
            <v>0</v>
          </cell>
        </row>
        <row r="1611">
          <cell r="E1611">
            <v>0</v>
          </cell>
          <cell r="F1611">
            <v>0</v>
          </cell>
          <cell r="DN1611">
            <v>0</v>
          </cell>
        </row>
        <row r="1612">
          <cell r="E1612">
            <v>0</v>
          </cell>
          <cell r="F1612">
            <v>0</v>
          </cell>
          <cell r="DN1612">
            <v>0</v>
          </cell>
        </row>
        <row r="1613">
          <cell r="E1613">
            <v>0</v>
          </cell>
          <cell r="F1613">
            <v>0</v>
          </cell>
          <cell r="DN1613">
            <v>0</v>
          </cell>
        </row>
        <row r="1614">
          <cell r="E1614">
            <v>0</v>
          </cell>
          <cell r="F1614">
            <v>0</v>
          </cell>
          <cell r="DN1614">
            <v>0</v>
          </cell>
        </row>
        <row r="1615">
          <cell r="E1615">
            <v>0</v>
          </cell>
          <cell r="F1615">
            <v>0</v>
          </cell>
          <cell r="DN1615">
            <v>0</v>
          </cell>
        </row>
        <row r="1616">
          <cell r="E1616">
            <v>0</v>
          </cell>
          <cell r="F1616">
            <v>0</v>
          </cell>
          <cell r="DN1616">
            <v>0</v>
          </cell>
        </row>
        <row r="1617">
          <cell r="E1617">
            <v>0</v>
          </cell>
          <cell r="F1617">
            <v>0</v>
          </cell>
          <cell r="DN1617">
            <v>0</v>
          </cell>
        </row>
        <row r="1618">
          <cell r="E1618">
            <v>0</v>
          </cell>
          <cell r="F1618">
            <v>0</v>
          </cell>
          <cell r="DN1618">
            <v>0</v>
          </cell>
        </row>
        <row r="1619">
          <cell r="E1619">
            <v>0</v>
          </cell>
          <cell r="F1619">
            <v>0</v>
          </cell>
          <cell r="DN1619">
            <v>0</v>
          </cell>
        </row>
        <row r="1620">
          <cell r="E1620">
            <v>0</v>
          </cell>
          <cell r="F1620">
            <v>0</v>
          </cell>
          <cell r="DN1620">
            <v>0</v>
          </cell>
        </row>
        <row r="1621">
          <cell r="E1621">
            <v>0</v>
          </cell>
          <cell r="F1621">
            <v>0</v>
          </cell>
          <cell r="DN1621">
            <v>0</v>
          </cell>
        </row>
        <row r="1622">
          <cell r="E1622">
            <v>0</v>
          </cell>
          <cell r="F1622">
            <v>0</v>
          </cell>
          <cell r="DN1622">
            <v>0</v>
          </cell>
        </row>
        <row r="1623">
          <cell r="E1623">
            <v>0</v>
          </cell>
          <cell r="F1623">
            <v>0</v>
          </cell>
          <cell r="DN1623">
            <v>0</v>
          </cell>
        </row>
        <row r="1624">
          <cell r="E1624">
            <v>0</v>
          </cell>
          <cell r="F1624">
            <v>0</v>
          </cell>
          <cell r="DN1624">
            <v>0</v>
          </cell>
        </row>
        <row r="1625">
          <cell r="E1625">
            <v>0</v>
          </cell>
          <cell r="F1625">
            <v>0</v>
          </cell>
          <cell r="DN1625">
            <v>0</v>
          </cell>
        </row>
        <row r="1626">
          <cell r="E1626">
            <v>0</v>
          </cell>
          <cell r="F1626">
            <v>0</v>
          </cell>
          <cell r="DN1626">
            <v>0</v>
          </cell>
        </row>
        <row r="1627">
          <cell r="E1627">
            <v>0</v>
          </cell>
          <cell r="F1627">
            <v>0</v>
          </cell>
          <cell r="DN1627">
            <v>0</v>
          </cell>
        </row>
        <row r="1628">
          <cell r="E1628">
            <v>0</v>
          </cell>
          <cell r="F1628">
            <v>0</v>
          </cell>
          <cell r="DN1628">
            <v>0</v>
          </cell>
        </row>
        <row r="1629">
          <cell r="E1629">
            <v>0</v>
          </cell>
          <cell r="F1629">
            <v>0</v>
          </cell>
          <cell r="DN1629">
            <v>0</v>
          </cell>
        </row>
        <row r="1630">
          <cell r="E1630">
            <v>0</v>
          </cell>
          <cell r="F1630">
            <v>0</v>
          </cell>
          <cell r="DN1630">
            <v>0</v>
          </cell>
        </row>
        <row r="1631">
          <cell r="E1631">
            <v>0</v>
          </cell>
          <cell r="F1631">
            <v>0</v>
          </cell>
          <cell r="DN1631">
            <v>0</v>
          </cell>
        </row>
        <row r="1632">
          <cell r="E1632">
            <v>0</v>
          </cell>
          <cell r="F1632">
            <v>0</v>
          </cell>
          <cell r="DN1632">
            <v>0</v>
          </cell>
        </row>
        <row r="1633">
          <cell r="E1633">
            <v>0</v>
          </cell>
          <cell r="F1633">
            <v>0</v>
          </cell>
          <cell r="DN1633">
            <v>0</v>
          </cell>
        </row>
        <row r="1634">
          <cell r="E1634">
            <v>0</v>
          </cell>
          <cell r="F1634">
            <v>0</v>
          </cell>
          <cell r="DN1634">
            <v>0</v>
          </cell>
        </row>
        <row r="1635">
          <cell r="E1635">
            <v>0</v>
          </cell>
          <cell r="F1635">
            <v>0</v>
          </cell>
          <cell r="DN1635">
            <v>0</v>
          </cell>
        </row>
        <row r="1636">
          <cell r="E1636">
            <v>0</v>
          </cell>
          <cell r="F1636">
            <v>0</v>
          </cell>
          <cell r="DN1636">
            <v>0</v>
          </cell>
        </row>
        <row r="1637">
          <cell r="E1637">
            <v>0</v>
          </cell>
          <cell r="F1637">
            <v>0</v>
          </cell>
          <cell r="DN1637">
            <v>0</v>
          </cell>
        </row>
        <row r="1638">
          <cell r="E1638">
            <v>0</v>
          </cell>
          <cell r="F1638">
            <v>0</v>
          </cell>
          <cell r="DN1638">
            <v>0</v>
          </cell>
        </row>
        <row r="1639">
          <cell r="E1639">
            <v>0</v>
          </cell>
          <cell r="F1639">
            <v>0</v>
          </cell>
          <cell r="DN1639">
            <v>0</v>
          </cell>
        </row>
        <row r="1640">
          <cell r="E1640">
            <v>0</v>
          </cell>
          <cell r="F1640">
            <v>0</v>
          </cell>
          <cell r="DN1640">
            <v>0</v>
          </cell>
        </row>
        <row r="1641">
          <cell r="E1641">
            <v>0</v>
          </cell>
          <cell r="F1641">
            <v>0</v>
          </cell>
          <cell r="DN1641">
            <v>0</v>
          </cell>
        </row>
        <row r="1642">
          <cell r="E1642">
            <v>0</v>
          </cell>
          <cell r="F1642">
            <v>0</v>
          </cell>
          <cell r="DN1642">
            <v>0</v>
          </cell>
        </row>
        <row r="1643">
          <cell r="E1643">
            <v>0</v>
          </cell>
          <cell r="F1643">
            <v>0</v>
          </cell>
          <cell r="DN1643">
            <v>0</v>
          </cell>
        </row>
        <row r="1644">
          <cell r="E1644">
            <v>0</v>
          </cell>
          <cell r="F1644">
            <v>0</v>
          </cell>
          <cell r="DN1644">
            <v>0</v>
          </cell>
        </row>
        <row r="1645">
          <cell r="E1645">
            <v>0</v>
          </cell>
          <cell r="F1645">
            <v>0</v>
          </cell>
          <cell r="DN1645">
            <v>0</v>
          </cell>
        </row>
        <row r="1646">
          <cell r="E1646">
            <v>0</v>
          </cell>
          <cell r="F1646">
            <v>0</v>
          </cell>
          <cell r="DN1646">
            <v>0</v>
          </cell>
        </row>
        <row r="1647">
          <cell r="E1647">
            <v>0</v>
          </cell>
          <cell r="F1647">
            <v>0</v>
          </cell>
          <cell r="DN1647">
            <v>0</v>
          </cell>
        </row>
        <row r="1648">
          <cell r="E1648">
            <v>0</v>
          </cell>
          <cell r="F1648">
            <v>0</v>
          </cell>
          <cell r="DN1648">
            <v>0</v>
          </cell>
        </row>
        <row r="1649">
          <cell r="E1649">
            <v>0</v>
          </cell>
          <cell r="F1649">
            <v>0</v>
          </cell>
          <cell r="DN1649">
            <v>0</v>
          </cell>
        </row>
        <row r="1650">
          <cell r="E1650">
            <v>0</v>
          </cell>
          <cell r="F1650">
            <v>0</v>
          </cell>
          <cell r="DN1650">
            <v>0</v>
          </cell>
        </row>
        <row r="1651">
          <cell r="E1651">
            <v>0</v>
          </cell>
          <cell r="F1651">
            <v>0</v>
          </cell>
          <cell r="DN1651">
            <v>0</v>
          </cell>
        </row>
        <row r="1652">
          <cell r="E1652">
            <v>0</v>
          </cell>
          <cell r="F1652">
            <v>0</v>
          </cell>
          <cell r="DN1652">
            <v>0</v>
          </cell>
        </row>
        <row r="1653">
          <cell r="E1653">
            <v>0</v>
          </cell>
          <cell r="F1653">
            <v>0</v>
          </cell>
          <cell r="DN1653">
            <v>0</v>
          </cell>
        </row>
        <row r="1654">
          <cell r="E1654">
            <v>0</v>
          </cell>
          <cell r="F1654">
            <v>0</v>
          </cell>
          <cell r="DN1654">
            <v>0</v>
          </cell>
        </row>
        <row r="1655">
          <cell r="E1655">
            <v>0</v>
          </cell>
          <cell r="F1655">
            <v>0</v>
          </cell>
          <cell r="DN1655">
            <v>0</v>
          </cell>
        </row>
        <row r="1656">
          <cell r="E1656">
            <v>0</v>
          </cell>
          <cell r="F1656">
            <v>0</v>
          </cell>
          <cell r="DN1656">
            <v>0</v>
          </cell>
        </row>
        <row r="1657">
          <cell r="E1657">
            <v>0</v>
          </cell>
          <cell r="F1657">
            <v>0</v>
          </cell>
          <cell r="DN1657">
            <v>0</v>
          </cell>
        </row>
        <row r="1658">
          <cell r="E1658">
            <v>0</v>
          </cell>
          <cell r="F1658">
            <v>0</v>
          </cell>
          <cell r="DN1658">
            <v>0</v>
          </cell>
        </row>
        <row r="1659">
          <cell r="E1659">
            <v>0</v>
          </cell>
          <cell r="F1659">
            <v>0</v>
          </cell>
          <cell r="DN1659">
            <v>0</v>
          </cell>
        </row>
        <row r="1660">
          <cell r="E1660">
            <v>0</v>
          </cell>
          <cell r="F1660">
            <v>0</v>
          </cell>
          <cell r="DN1660">
            <v>0</v>
          </cell>
        </row>
        <row r="1661">
          <cell r="E1661">
            <v>0</v>
          </cell>
          <cell r="F1661">
            <v>0</v>
          </cell>
          <cell r="DN1661">
            <v>0</v>
          </cell>
        </row>
        <row r="1662">
          <cell r="E1662">
            <v>0</v>
          </cell>
          <cell r="F1662">
            <v>0</v>
          </cell>
          <cell r="DN1662">
            <v>0</v>
          </cell>
        </row>
        <row r="1663">
          <cell r="E1663">
            <v>0</v>
          </cell>
          <cell r="F1663">
            <v>0</v>
          </cell>
          <cell r="DN1663">
            <v>0</v>
          </cell>
        </row>
        <row r="1664">
          <cell r="E1664">
            <v>0</v>
          </cell>
          <cell r="F1664">
            <v>0</v>
          </cell>
          <cell r="DN1664">
            <v>0</v>
          </cell>
        </row>
        <row r="1665">
          <cell r="E1665">
            <v>0</v>
          </cell>
          <cell r="F1665">
            <v>0</v>
          </cell>
          <cell r="DN1665">
            <v>0</v>
          </cell>
        </row>
        <row r="1666">
          <cell r="E1666">
            <v>0</v>
          </cell>
          <cell r="F1666">
            <v>0</v>
          </cell>
          <cell r="DN1666">
            <v>0</v>
          </cell>
        </row>
        <row r="1667">
          <cell r="E1667">
            <v>0</v>
          </cell>
          <cell r="F1667">
            <v>0</v>
          </cell>
          <cell r="DN1667">
            <v>0</v>
          </cell>
        </row>
        <row r="1668">
          <cell r="E1668">
            <v>0</v>
          </cell>
          <cell r="F1668">
            <v>0</v>
          </cell>
          <cell r="DN1668">
            <v>0</v>
          </cell>
        </row>
        <row r="1669">
          <cell r="E1669">
            <v>0</v>
          </cell>
          <cell r="F1669">
            <v>0</v>
          </cell>
          <cell r="DN1669">
            <v>0</v>
          </cell>
        </row>
        <row r="1670">
          <cell r="E1670">
            <v>0</v>
          </cell>
          <cell r="F1670">
            <v>0</v>
          </cell>
          <cell r="DN1670">
            <v>0</v>
          </cell>
        </row>
        <row r="1671">
          <cell r="E1671">
            <v>0</v>
          </cell>
          <cell r="F1671">
            <v>0</v>
          </cell>
          <cell r="DN1671">
            <v>0</v>
          </cell>
        </row>
        <row r="1672">
          <cell r="E1672">
            <v>0</v>
          </cell>
          <cell r="F1672">
            <v>0</v>
          </cell>
          <cell r="DN1672">
            <v>0</v>
          </cell>
        </row>
        <row r="1673">
          <cell r="E1673">
            <v>0</v>
          </cell>
          <cell r="F1673">
            <v>0</v>
          </cell>
          <cell r="DN1673">
            <v>0</v>
          </cell>
        </row>
        <row r="1674">
          <cell r="E1674">
            <v>0</v>
          </cell>
          <cell r="F1674">
            <v>0</v>
          </cell>
          <cell r="DN1674">
            <v>0</v>
          </cell>
        </row>
        <row r="1675">
          <cell r="E1675">
            <v>0</v>
          </cell>
          <cell r="F1675">
            <v>0</v>
          </cell>
          <cell r="DN1675">
            <v>0</v>
          </cell>
        </row>
        <row r="1676">
          <cell r="E1676">
            <v>0</v>
          </cell>
          <cell r="F1676">
            <v>0</v>
          </cell>
          <cell r="DN1676">
            <v>0</v>
          </cell>
        </row>
        <row r="1677">
          <cell r="E1677">
            <v>0</v>
          </cell>
          <cell r="F1677">
            <v>0</v>
          </cell>
          <cell r="DN1677">
            <v>0</v>
          </cell>
        </row>
        <row r="1678">
          <cell r="E1678">
            <v>0</v>
          </cell>
          <cell r="F1678">
            <v>0</v>
          </cell>
          <cell r="DN1678">
            <v>0</v>
          </cell>
        </row>
        <row r="1679">
          <cell r="E1679">
            <v>0</v>
          </cell>
          <cell r="F1679">
            <v>0</v>
          </cell>
          <cell r="DN1679">
            <v>0</v>
          </cell>
        </row>
        <row r="1680">
          <cell r="E1680">
            <v>0</v>
          </cell>
          <cell r="F1680">
            <v>0</v>
          </cell>
          <cell r="DN1680">
            <v>0</v>
          </cell>
        </row>
        <row r="1681">
          <cell r="E1681">
            <v>0</v>
          </cell>
          <cell r="F1681">
            <v>0</v>
          </cell>
          <cell r="DN1681">
            <v>0</v>
          </cell>
        </row>
        <row r="1682">
          <cell r="E1682">
            <v>0</v>
          </cell>
          <cell r="F1682">
            <v>0</v>
          </cell>
          <cell r="DN1682">
            <v>0</v>
          </cell>
        </row>
        <row r="1683">
          <cell r="E1683">
            <v>0</v>
          </cell>
          <cell r="F1683">
            <v>0</v>
          </cell>
          <cell r="DN1683">
            <v>0</v>
          </cell>
        </row>
        <row r="1684">
          <cell r="E1684">
            <v>0</v>
          </cell>
          <cell r="F1684">
            <v>0</v>
          </cell>
          <cell r="DN1684">
            <v>0</v>
          </cell>
        </row>
        <row r="1685">
          <cell r="E1685">
            <v>0</v>
          </cell>
          <cell r="F1685">
            <v>0</v>
          </cell>
          <cell r="DN1685">
            <v>0</v>
          </cell>
        </row>
        <row r="1686">
          <cell r="E1686">
            <v>0</v>
          </cell>
          <cell r="F1686">
            <v>0</v>
          </cell>
          <cell r="DN1686">
            <v>0</v>
          </cell>
        </row>
        <row r="1687">
          <cell r="E1687">
            <v>0</v>
          </cell>
          <cell r="F1687">
            <v>0</v>
          </cell>
          <cell r="DN1687">
            <v>0</v>
          </cell>
        </row>
        <row r="1688">
          <cell r="E1688">
            <v>0</v>
          </cell>
          <cell r="F1688">
            <v>0</v>
          </cell>
          <cell r="DN1688">
            <v>0</v>
          </cell>
        </row>
        <row r="1689">
          <cell r="E1689">
            <v>0</v>
          </cell>
          <cell r="F1689">
            <v>0</v>
          </cell>
          <cell r="DN1689">
            <v>0</v>
          </cell>
        </row>
        <row r="1690">
          <cell r="E1690">
            <v>0</v>
          </cell>
          <cell r="F1690">
            <v>0</v>
          </cell>
          <cell r="DN1690">
            <v>0</v>
          </cell>
        </row>
        <row r="1691">
          <cell r="E1691">
            <v>0</v>
          </cell>
          <cell r="F1691">
            <v>0</v>
          </cell>
          <cell r="DN1691">
            <v>0</v>
          </cell>
        </row>
        <row r="1692">
          <cell r="E1692">
            <v>0</v>
          </cell>
          <cell r="F1692">
            <v>0</v>
          </cell>
          <cell r="DN1692">
            <v>0</v>
          </cell>
        </row>
        <row r="1693">
          <cell r="E1693">
            <v>0</v>
          </cell>
          <cell r="F1693">
            <v>0</v>
          </cell>
          <cell r="DN1693">
            <v>0</v>
          </cell>
        </row>
        <row r="1694">
          <cell r="E1694">
            <v>0</v>
          </cell>
          <cell r="F1694">
            <v>0</v>
          </cell>
          <cell r="DN1694">
            <v>0</v>
          </cell>
        </row>
        <row r="1695">
          <cell r="E1695">
            <v>0</v>
          </cell>
          <cell r="F1695">
            <v>0</v>
          </cell>
          <cell r="DN1695">
            <v>0</v>
          </cell>
        </row>
        <row r="1696">
          <cell r="E1696">
            <v>0</v>
          </cell>
          <cell r="F1696">
            <v>0</v>
          </cell>
          <cell r="DN1696">
            <v>0</v>
          </cell>
        </row>
        <row r="1697">
          <cell r="E1697">
            <v>0</v>
          </cell>
          <cell r="F1697">
            <v>0</v>
          </cell>
          <cell r="DN1697">
            <v>0</v>
          </cell>
        </row>
        <row r="1698">
          <cell r="E1698">
            <v>0</v>
          </cell>
          <cell r="F1698">
            <v>0</v>
          </cell>
          <cell r="DN1698">
            <v>0</v>
          </cell>
        </row>
        <row r="1699">
          <cell r="E1699">
            <v>0</v>
          </cell>
          <cell r="F1699">
            <v>0</v>
          </cell>
          <cell r="DN1699">
            <v>0</v>
          </cell>
        </row>
        <row r="1700">
          <cell r="E1700">
            <v>0</v>
          </cell>
          <cell r="F1700">
            <v>0</v>
          </cell>
          <cell r="DN1700">
            <v>0</v>
          </cell>
        </row>
        <row r="1701">
          <cell r="E1701">
            <v>0</v>
          </cell>
          <cell r="F1701">
            <v>0</v>
          </cell>
          <cell r="DN1701">
            <v>0</v>
          </cell>
        </row>
        <row r="1702">
          <cell r="E1702">
            <v>0</v>
          </cell>
          <cell r="F1702">
            <v>0</v>
          </cell>
          <cell r="DN1702">
            <v>0</v>
          </cell>
        </row>
        <row r="1703">
          <cell r="E1703">
            <v>0</v>
          </cell>
          <cell r="F1703">
            <v>0</v>
          </cell>
          <cell r="DN1703">
            <v>0</v>
          </cell>
        </row>
        <row r="1704">
          <cell r="E1704">
            <v>0</v>
          </cell>
          <cell r="F1704">
            <v>0</v>
          </cell>
          <cell r="DN1704">
            <v>0</v>
          </cell>
        </row>
        <row r="1705">
          <cell r="E1705">
            <v>0</v>
          </cell>
          <cell r="F1705">
            <v>0</v>
          </cell>
          <cell r="DN1705">
            <v>0</v>
          </cell>
        </row>
        <row r="1706">
          <cell r="E1706">
            <v>0</v>
          </cell>
          <cell r="F1706">
            <v>0</v>
          </cell>
          <cell r="DN1706">
            <v>0</v>
          </cell>
        </row>
        <row r="1707">
          <cell r="E1707">
            <v>0</v>
          </cell>
          <cell r="F1707">
            <v>0</v>
          </cell>
          <cell r="DN1707">
            <v>0</v>
          </cell>
        </row>
        <row r="1708">
          <cell r="E1708">
            <v>0</v>
          </cell>
          <cell r="F1708">
            <v>0</v>
          </cell>
          <cell r="DN1708">
            <v>0</v>
          </cell>
        </row>
        <row r="1709">
          <cell r="E1709">
            <v>0</v>
          </cell>
          <cell r="F1709">
            <v>0</v>
          </cell>
          <cell r="DN1709">
            <v>0</v>
          </cell>
        </row>
        <row r="1710">
          <cell r="E1710">
            <v>0</v>
          </cell>
          <cell r="F1710">
            <v>0</v>
          </cell>
          <cell r="DN1710">
            <v>0</v>
          </cell>
        </row>
        <row r="1711">
          <cell r="E1711">
            <v>0</v>
          </cell>
          <cell r="F1711">
            <v>0</v>
          </cell>
          <cell r="DN1711">
            <v>0</v>
          </cell>
        </row>
        <row r="1712">
          <cell r="E1712">
            <v>0</v>
          </cell>
          <cell r="F1712">
            <v>0</v>
          </cell>
          <cell r="DN1712">
            <v>0</v>
          </cell>
        </row>
        <row r="1713">
          <cell r="E1713">
            <v>0</v>
          </cell>
          <cell r="F1713">
            <v>0</v>
          </cell>
          <cell r="DN1713">
            <v>0</v>
          </cell>
        </row>
        <row r="1714">
          <cell r="E1714">
            <v>0</v>
          </cell>
          <cell r="F1714">
            <v>0</v>
          </cell>
          <cell r="DN1714">
            <v>0</v>
          </cell>
        </row>
        <row r="1715">
          <cell r="E1715">
            <v>0</v>
          </cell>
          <cell r="F1715">
            <v>0</v>
          </cell>
          <cell r="DN1715">
            <v>0</v>
          </cell>
        </row>
        <row r="1716">
          <cell r="E1716">
            <v>0</v>
          </cell>
          <cell r="F1716">
            <v>0</v>
          </cell>
          <cell r="DN1716">
            <v>0</v>
          </cell>
        </row>
        <row r="1717">
          <cell r="E1717">
            <v>0</v>
          </cell>
          <cell r="F1717">
            <v>0</v>
          </cell>
          <cell r="DN1717">
            <v>0</v>
          </cell>
        </row>
        <row r="1718">
          <cell r="E1718">
            <v>0</v>
          </cell>
          <cell r="F1718">
            <v>0</v>
          </cell>
          <cell r="DN1718">
            <v>0</v>
          </cell>
        </row>
        <row r="1719">
          <cell r="E1719">
            <v>0</v>
          </cell>
          <cell r="F1719">
            <v>0</v>
          </cell>
          <cell r="DN1719">
            <v>0</v>
          </cell>
        </row>
        <row r="1720">
          <cell r="E1720">
            <v>0</v>
          </cell>
          <cell r="F1720">
            <v>0</v>
          </cell>
          <cell r="DN1720">
            <v>0</v>
          </cell>
        </row>
        <row r="1721">
          <cell r="E1721">
            <v>0</v>
          </cell>
          <cell r="F1721">
            <v>0</v>
          </cell>
          <cell r="DN1721">
            <v>0</v>
          </cell>
        </row>
        <row r="1722">
          <cell r="E1722">
            <v>0</v>
          </cell>
          <cell r="F1722">
            <v>0</v>
          </cell>
          <cell r="DN1722">
            <v>0</v>
          </cell>
        </row>
        <row r="1723">
          <cell r="E1723">
            <v>0</v>
          </cell>
          <cell r="F1723">
            <v>0</v>
          </cell>
          <cell r="DN1723">
            <v>0</v>
          </cell>
        </row>
        <row r="1724">
          <cell r="E1724">
            <v>0</v>
          </cell>
          <cell r="F1724">
            <v>0</v>
          </cell>
          <cell r="DN1724">
            <v>0</v>
          </cell>
        </row>
        <row r="1725">
          <cell r="E1725">
            <v>0</v>
          </cell>
          <cell r="F1725">
            <v>0</v>
          </cell>
          <cell r="DN1725">
            <v>0</v>
          </cell>
        </row>
        <row r="1726">
          <cell r="E1726">
            <v>0</v>
          </cell>
          <cell r="F1726">
            <v>0</v>
          </cell>
          <cell r="DN1726">
            <v>0</v>
          </cell>
        </row>
        <row r="1727">
          <cell r="E1727">
            <v>0</v>
          </cell>
          <cell r="F1727">
            <v>0</v>
          </cell>
          <cell r="DN1727">
            <v>0</v>
          </cell>
        </row>
        <row r="1728">
          <cell r="E1728">
            <v>0</v>
          </cell>
          <cell r="F1728">
            <v>0</v>
          </cell>
          <cell r="DN1728">
            <v>0</v>
          </cell>
        </row>
        <row r="1729">
          <cell r="E1729">
            <v>0</v>
          </cell>
          <cell r="F1729">
            <v>0</v>
          </cell>
          <cell r="DN1729">
            <v>0</v>
          </cell>
        </row>
        <row r="1730">
          <cell r="E1730">
            <v>0</v>
          </cell>
          <cell r="F1730">
            <v>0</v>
          </cell>
          <cell r="DN1730">
            <v>0</v>
          </cell>
        </row>
        <row r="1731">
          <cell r="E1731">
            <v>0</v>
          </cell>
          <cell r="F1731">
            <v>0</v>
          </cell>
          <cell r="DN1731">
            <v>0</v>
          </cell>
        </row>
        <row r="1732">
          <cell r="E1732">
            <v>0</v>
          </cell>
          <cell r="F1732">
            <v>0</v>
          </cell>
          <cell r="DN1732">
            <v>0</v>
          </cell>
        </row>
        <row r="1733">
          <cell r="E1733">
            <v>0</v>
          </cell>
          <cell r="F1733">
            <v>0</v>
          </cell>
          <cell r="DN1733">
            <v>0</v>
          </cell>
        </row>
        <row r="1734">
          <cell r="E1734">
            <v>0</v>
          </cell>
          <cell r="F1734">
            <v>0</v>
          </cell>
          <cell r="DN1734">
            <v>0</v>
          </cell>
        </row>
        <row r="1735">
          <cell r="E1735">
            <v>0</v>
          </cell>
          <cell r="F1735">
            <v>0</v>
          </cell>
          <cell r="DN1735">
            <v>0</v>
          </cell>
        </row>
        <row r="1736">
          <cell r="E1736">
            <v>0</v>
          </cell>
          <cell r="F1736">
            <v>0</v>
          </cell>
          <cell r="DN1736">
            <v>0</v>
          </cell>
        </row>
        <row r="1737">
          <cell r="E1737">
            <v>0</v>
          </cell>
          <cell r="F1737">
            <v>0</v>
          </cell>
          <cell r="DN1737">
            <v>0</v>
          </cell>
        </row>
        <row r="1738">
          <cell r="E1738">
            <v>0</v>
          </cell>
          <cell r="F1738">
            <v>0</v>
          </cell>
          <cell r="DN1738">
            <v>0</v>
          </cell>
        </row>
        <row r="1739">
          <cell r="E1739">
            <v>0</v>
          </cell>
          <cell r="F1739">
            <v>0</v>
          </cell>
          <cell r="DN1739">
            <v>0</v>
          </cell>
        </row>
        <row r="1740">
          <cell r="E1740">
            <v>0</v>
          </cell>
          <cell r="F1740">
            <v>0</v>
          </cell>
          <cell r="DN1740">
            <v>0</v>
          </cell>
        </row>
        <row r="1741">
          <cell r="E1741">
            <v>0</v>
          </cell>
          <cell r="F1741">
            <v>0</v>
          </cell>
          <cell r="DN1741">
            <v>0</v>
          </cell>
        </row>
        <row r="1742">
          <cell r="E1742">
            <v>0</v>
          </cell>
          <cell r="F1742">
            <v>0</v>
          </cell>
          <cell r="DN1742">
            <v>0</v>
          </cell>
        </row>
        <row r="1743">
          <cell r="E1743">
            <v>0</v>
          </cell>
          <cell r="F1743">
            <v>0</v>
          </cell>
          <cell r="DN1743">
            <v>0</v>
          </cell>
        </row>
        <row r="1744">
          <cell r="E1744">
            <v>0</v>
          </cell>
          <cell r="F1744">
            <v>0</v>
          </cell>
          <cell r="DN1744">
            <v>0</v>
          </cell>
        </row>
        <row r="1745">
          <cell r="E1745">
            <v>0</v>
          </cell>
          <cell r="F1745">
            <v>0</v>
          </cell>
          <cell r="DN1745">
            <v>0</v>
          </cell>
        </row>
        <row r="1746">
          <cell r="E1746">
            <v>0</v>
          </cell>
          <cell r="F1746">
            <v>0</v>
          </cell>
          <cell r="DN1746">
            <v>0</v>
          </cell>
        </row>
        <row r="1747">
          <cell r="E1747">
            <v>0</v>
          </cell>
          <cell r="F1747">
            <v>0</v>
          </cell>
          <cell r="DN1747">
            <v>0</v>
          </cell>
        </row>
        <row r="1748">
          <cell r="E1748">
            <v>0</v>
          </cell>
          <cell r="F1748">
            <v>0</v>
          </cell>
          <cell r="DN1748">
            <v>0</v>
          </cell>
        </row>
        <row r="1749">
          <cell r="E1749">
            <v>0</v>
          </cell>
          <cell r="F1749">
            <v>0</v>
          </cell>
          <cell r="DN1749">
            <v>0</v>
          </cell>
        </row>
        <row r="1750">
          <cell r="E1750">
            <v>0</v>
          </cell>
          <cell r="F1750">
            <v>0</v>
          </cell>
          <cell r="DN1750">
            <v>0</v>
          </cell>
        </row>
        <row r="1751">
          <cell r="E1751">
            <v>0</v>
          </cell>
          <cell r="F1751">
            <v>0</v>
          </cell>
          <cell r="DN1751">
            <v>0</v>
          </cell>
        </row>
        <row r="1752">
          <cell r="E1752">
            <v>0</v>
          </cell>
          <cell r="F1752">
            <v>0</v>
          </cell>
          <cell r="DN1752">
            <v>0</v>
          </cell>
        </row>
        <row r="1753">
          <cell r="E1753">
            <v>0</v>
          </cell>
          <cell r="F1753">
            <v>0</v>
          </cell>
          <cell r="DN1753">
            <v>0</v>
          </cell>
        </row>
        <row r="1754">
          <cell r="E1754">
            <v>0</v>
          </cell>
          <cell r="F1754">
            <v>0</v>
          </cell>
          <cell r="DN1754">
            <v>0</v>
          </cell>
        </row>
        <row r="1755">
          <cell r="E1755">
            <v>0</v>
          </cell>
          <cell r="F1755">
            <v>0</v>
          </cell>
          <cell r="DN1755">
            <v>0</v>
          </cell>
        </row>
        <row r="1756">
          <cell r="E1756">
            <v>0</v>
          </cell>
          <cell r="F1756">
            <v>0</v>
          </cell>
          <cell r="DN1756">
            <v>0</v>
          </cell>
        </row>
        <row r="1757">
          <cell r="E1757">
            <v>0</v>
          </cell>
          <cell r="F1757">
            <v>0</v>
          </cell>
          <cell r="DN1757">
            <v>0</v>
          </cell>
        </row>
        <row r="1758">
          <cell r="E1758">
            <v>0</v>
          </cell>
          <cell r="F1758">
            <v>0</v>
          </cell>
          <cell r="DN1758">
            <v>0</v>
          </cell>
        </row>
        <row r="1759">
          <cell r="E1759">
            <v>0</v>
          </cell>
          <cell r="F1759">
            <v>0</v>
          </cell>
          <cell r="DN1759">
            <v>0</v>
          </cell>
        </row>
        <row r="1760">
          <cell r="E1760">
            <v>0</v>
          </cell>
          <cell r="F1760">
            <v>0</v>
          </cell>
          <cell r="DN1760">
            <v>0</v>
          </cell>
        </row>
        <row r="1761">
          <cell r="E1761">
            <v>0</v>
          </cell>
          <cell r="F1761">
            <v>0</v>
          </cell>
          <cell r="DN1761">
            <v>0</v>
          </cell>
        </row>
        <row r="1762">
          <cell r="E1762">
            <v>0</v>
          </cell>
          <cell r="F1762">
            <v>0</v>
          </cell>
          <cell r="DN1762">
            <v>0</v>
          </cell>
        </row>
        <row r="1763">
          <cell r="E1763">
            <v>0</v>
          </cell>
          <cell r="F1763">
            <v>0</v>
          </cell>
          <cell r="DN1763">
            <v>0</v>
          </cell>
        </row>
        <row r="1764">
          <cell r="E1764">
            <v>0</v>
          </cell>
          <cell r="F1764">
            <v>0</v>
          </cell>
          <cell r="DN1764">
            <v>0</v>
          </cell>
        </row>
        <row r="1765">
          <cell r="E1765">
            <v>0</v>
          </cell>
          <cell r="F1765">
            <v>0</v>
          </cell>
          <cell r="DN1765">
            <v>0</v>
          </cell>
        </row>
        <row r="1766">
          <cell r="E1766">
            <v>0</v>
          </cell>
          <cell r="F1766">
            <v>0</v>
          </cell>
          <cell r="DN1766">
            <v>0</v>
          </cell>
        </row>
        <row r="1767">
          <cell r="E1767">
            <v>0</v>
          </cell>
          <cell r="F1767">
            <v>0</v>
          </cell>
          <cell r="DN1767">
            <v>0</v>
          </cell>
        </row>
        <row r="1768">
          <cell r="E1768">
            <v>0</v>
          </cell>
          <cell r="F1768">
            <v>0</v>
          </cell>
          <cell r="DN1768">
            <v>0</v>
          </cell>
        </row>
        <row r="1769">
          <cell r="E1769">
            <v>0</v>
          </cell>
          <cell r="F1769">
            <v>0</v>
          </cell>
          <cell r="DN1769">
            <v>0</v>
          </cell>
        </row>
        <row r="1770">
          <cell r="E1770">
            <v>0</v>
          </cell>
          <cell r="F1770">
            <v>0</v>
          </cell>
          <cell r="DN1770">
            <v>0</v>
          </cell>
        </row>
        <row r="1771">
          <cell r="E1771">
            <v>0</v>
          </cell>
          <cell r="F1771">
            <v>0</v>
          </cell>
          <cell r="DN1771">
            <v>0</v>
          </cell>
        </row>
        <row r="1772">
          <cell r="E1772">
            <v>0</v>
          </cell>
          <cell r="F1772">
            <v>0</v>
          </cell>
          <cell r="DN1772">
            <v>0</v>
          </cell>
        </row>
        <row r="1773">
          <cell r="E1773">
            <v>0</v>
          </cell>
          <cell r="F1773">
            <v>0</v>
          </cell>
          <cell r="DN1773">
            <v>0</v>
          </cell>
        </row>
        <row r="1774">
          <cell r="E1774">
            <v>0</v>
          </cell>
          <cell r="F1774">
            <v>0</v>
          </cell>
          <cell r="DN1774">
            <v>0</v>
          </cell>
        </row>
        <row r="1775">
          <cell r="E1775">
            <v>0</v>
          </cell>
          <cell r="F1775">
            <v>0</v>
          </cell>
          <cell r="DN1775">
            <v>0</v>
          </cell>
        </row>
        <row r="1776">
          <cell r="E1776">
            <v>0</v>
          </cell>
          <cell r="F1776">
            <v>0</v>
          </cell>
          <cell r="DN1776">
            <v>0</v>
          </cell>
        </row>
        <row r="1777">
          <cell r="E1777">
            <v>0</v>
          </cell>
          <cell r="F1777">
            <v>0</v>
          </cell>
          <cell r="DN1777">
            <v>0</v>
          </cell>
        </row>
        <row r="1778">
          <cell r="E1778">
            <v>0</v>
          </cell>
          <cell r="F1778">
            <v>0</v>
          </cell>
          <cell r="DN1778">
            <v>0</v>
          </cell>
        </row>
        <row r="1779">
          <cell r="E1779">
            <v>0</v>
          </cell>
          <cell r="F1779">
            <v>0</v>
          </cell>
          <cell r="DN1779">
            <v>0</v>
          </cell>
        </row>
        <row r="1780">
          <cell r="E1780">
            <v>0</v>
          </cell>
          <cell r="F1780">
            <v>0</v>
          </cell>
          <cell r="DN1780">
            <v>0</v>
          </cell>
        </row>
        <row r="1781">
          <cell r="E1781">
            <v>0</v>
          </cell>
          <cell r="F1781">
            <v>0</v>
          </cell>
          <cell r="DN1781">
            <v>0</v>
          </cell>
        </row>
        <row r="1782">
          <cell r="E1782">
            <v>0</v>
          </cell>
          <cell r="F1782">
            <v>0</v>
          </cell>
          <cell r="DN1782">
            <v>0</v>
          </cell>
        </row>
        <row r="1783">
          <cell r="E1783">
            <v>0</v>
          </cell>
          <cell r="F1783">
            <v>0</v>
          </cell>
          <cell r="DN1783">
            <v>0</v>
          </cell>
        </row>
        <row r="1784">
          <cell r="E1784">
            <v>0</v>
          </cell>
          <cell r="F1784">
            <v>0</v>
          </cell>
          <cell r="DN1784">
            <v>0</v>
          </cell>
        </row>
        <row r="1785">
          <cell r="E1785">
            <v>0</v>
          </cell>
          <cell r="F1785">
            <v>0</v>
          </cell>
          <cell r="DN1785">
            <v>0</v>
          </cell>
        </row>
        <row r="1786">
          <cell r="E1786">
            <v>0</v>
          </cell>
          <cell r="F1786">
            <v>0</v>
          </cell>
          <cell r="DN1786">
            <v>0</v>
          </cell>
        </row>
        <row r="1787">
          <cell r="E1787">
            <v>0</v>
          </cell>
          <cell r="F1787">
            <v>0</v>
          </cell>
          <cell r="DN1787">
            <v>0</v>
          </cell>
        </row>
        <row r="1788">
          <cell r="E1788">
            <v>0</v>
          </cell>
          <cell r="F1788">
            <v>0</v>
          </cell>
          <cell r="DN1788">
            <v>0</v>
          </cell>
        </row>
        <row r="1789">
          <cell r="E1789">
            <v>0</v>
          </cell>
          <cell r="F1789">
            <v>0</v>
          </cell>
          <cell r="DN1789">
            <v>0</v>
          </cell>
        </row>
        <row r="1790">
          <cell r="E1790">
            <v>0</v>
          </cell>
          <cell r="F1790">
            <v>0</v>
          </cell>
          <cell r="DN1790">
            <v>0</v>
          </cell>
        </row>
        <row r="1791">
          <cell r="E1791">
            <v>0</v>
          </cell>
          <cell r="F1791">
            <v>0</v>
          </cell>
          <cell r="DN1791">
            <v>0</v>
          </cell>
        </row>
        <row r="1792">
          <cell r="E1792">
            <v>0</v>
          </cell>
          <cell r="F1792">
            <v>0</v>
          </cell>
          <cell r="DN1792">
            <v>0</v>
          </cell>
        </row>
        <row r="1793">
          <cell r="E1793">
            <v>0</v>
          </cell>
          <cell r="F1793">
            <v>0</v>
          </cell>
          <cell r="DN1793">
            <v>0</v>
          </cell>
        </row>
        <row r="1794">
          <cell r="E1794">
            <v>0</v>
          </cell>
          <cell r="F1794">
            <v>0</v>
          </cell>
          <cell r="DN1794">
            <v>0</v>
          </cell>
        </row>
        <row r="1795">
          <cell r="E1795">
            <v>0</v>
          </cell>
          <cell r="F1795">
            <v>0</v>
          </cell>
          <cell r="DN1795">
            <v>0</v>
          </cell>
        </row>
        <row r="1796">
          <cell r="E1796">
            <v>0</v>
          </cell>
          <cell r="F1796">
            <v>0</v>
          </cell>
          <cell r="DN1796">
            <v>0</v>
          </cell>
        </row>
        <row r="1797">
          <cell r="E1797">
            <v>0</v>
          </cell>
          <cell r="F1797">
            <v>0</v>
          </cell>
          <cell r="DN1797">
            <v>0</v>
          </cell>
        </row>
        <row r="1798">
          <cell r="E1798">
            <v>0</v>
          </cell>
          <cell r="F1798">
            <v>0</v>
          </cell>
          <cell r="DN1798">
            <v>0</v>
          </cell>
        </row>
        <row r="1799">
          <cell r="E1799">
            <v>0</v>
          </cell>
          <cell r="F1799">
            <v>0</v>
          </cell>
          <cell r="DN1799">
            <v>0</v>
          </cell>
        </row>
        <row r="1800">
          <cell r="E1800">
            <v>0</v>
          </cell>
          <cell r="F1800">
            <v>0</v>
          </cell>
          <cell r="DN1800">
            <v>0</v>
          </cell>
        </row>
        <row r="1801">
          <cell r="E1801">
            <v>0</v>
          </cell>
          <cell r="F1801">
            <v>0</v>
          </cell>
          <cell r="DN1801">
            <v>0</v>
          </cell>
        </row>
        <row r="1802">
          <cell r="E1802">
            <v>0</v>
          </cell>
          <cell r="F1802">
            <v>0</v>
          </cell>
          <cell r="DN1802">
            <v>0</v>
          </cell>
        </row>
        <row r="1803">
          <cell r="E1803">
            <v>0</v>
          </cell>
          <cell r="F1803">
            <v>0</v>
          </cell>
          <cell r="DN1803">
            <v>0</v>
          </cell>
        </row>
        <row r="1804">
          <cell r="E1804">
            <v>0</v>
          </cell>
          <cell r="F1804">
            <v>0</v>
          </cell>
          <cell r="DN1804">
            <v>0</v>
          </cell>
        </row>
        <row r="1805">
          <cell r="E1805">
            <v>0</v>
          </cell>
          <cell r="F1805">
            <v>0</v>
          </cell>
          <cell r="DN1805">
            <v>0</v>
          </cell>
        </row>
        <row r="1806">
          <cell r="E1806">
            <v>0</v>
          </cell>
          <cell r="F1806">
            <v>0</v>
          </cell>
          <cell r="DN1806">
            <v>0</v>
          </cell>
        </row>
        <row r="1807">
          <cell r="E1807">
            <v>0</v>
          </cell>
          <cell r="F1807">
            <v>0</v>
          </cell>
          <cell r="DN1807">
            <v>0</v>
          </cell>
        </row>
        <row r="1808">
          <cell r="E1808">
            <v>0</v>
          </cell>
          <cell r="F1808">
            <v>0</v>
          </cell>
          <cell r="DN1808">
            <v>0</v>
          </cell>
        </row>
        <row r="1809">
          <cell r="E1809">
            <v>0</v>
          </cell>
          <cell r="F1809">
            <v>0</v>
          </cell>
          <cell r="DN1809">
            <v>0</v>
          </cell>
        </row>
        <row r="1810">
          <cell r="E1810">
            <v>0</v>
          </cell>
          <cell r="F1810">
            <v>0</v>
          </cell>
          <cell r="DN1810">
            <v>0</v>
          </cell>
        </row>
        <row r="1811">
          <cell r="E1811">
            <v>0</v>
          </cell>
          <cell r="F1811">
            <v>0</v>
          </cell>
          <cell r="DN1811">
            <v>0</v>
          </cell>
        </row>
        <row r="1812">
          <cell r="E1812">
            <v>0</v>
          </cell>
          <cell r="F1812">
            <v>0</v>
          </cell>
          <cell r="DN1812">
            <v>0</v>
          </cell>
        </row>
        <row r="1813">
          <cell r="E1813">
            <v>0</v>
          </cell>
          <cell r="F1813">
            <v>0</v>
          </cell>
          <cell r="DN1813">
            <v>0</v>
          </cell>
        </row>
        <row r="1814">
          <cell r="E1814">
            <v>0</v>
          </cell>
          <cell r="F1814">
            <v>0</v>
          </cell>
          <cell r="DN1814">
            <v>0</v>
          </cell>
        </row>
        <row r="1815">
          <cell r="E1815">
            <v>0</v>
          </cell>
          <cell r="F1815">
            <v>0</v>
          </cell>
          <cell r="DN1815">
            <v>0</v>
          </cell>
        </row>
        <row r="1816">
          <cell r="E1816">
            <v>0</v>
          </cell>
          <cell r="F1816">
            <v>0</v>
          </cell>
          <cell r="DN1816">
            <v>0</v>
          </cell>
        </row>
        <row r="1817">
          <cell r="E1817">
            <v>0</v>
          </cell>
          <cell r="F1817">
            <v>0</v>
          </cell>
          <cell r="DN1817">
            <v>0</v>
          </cell>
        </row>
        <row r="1818">
          <cell r="E1818">
            <v>0</v>
          </cell>
          <cell r="F1818">
            <v>0</v>
          </cell>
          <cell r="DN1818">
            <v>0</v>
          </cell>
        </row>
        <row r="1819">
          <cell r="E1819">
            <v>0</v>
          </cell>
          <cell r="F1819">
            <v>0</v>
          </cell>
          <cell r="DN1819">
            <v>0</v>
          </cell>
        </row>
        <row r="1820">
          <cell r="E1820">
            <v>0</v>
          </cell>
          <cell r="F1820">
            <v>0</v>
          </cell>
          <cell r="DN1820">
            <v>0</v>
          </cell>
        </row>
        <row r="1821">
          <cell r="E1821">
            <v>0</v>
          </cell>
          <cell r="F1821">
            <v>0</v>
          </cell>
          <cell r="DN1821">
            <v>0</v>
          </cell>
        </row>
        <row r="1822">
          <cell r="E1822">
            <v>0</v>
          </cell>
          <cell r="F1822">
            <v>0</v>
          </cell>
          <cell r="DN1822">
            <v>0</v>
          </cell>
        </row>
        <row r="1823">
          <cell r="E1823">
            <v>0</v>
          </cell>
          <cell r="F1823">
            <v>0</v>
          </cell>
          <cell r="DN1823">
            <v>0</v>
          </cell>
        </row>
        <row r="1824">
          <cell r="E1824">
            <v>0</v>
          </cell>
          <cell r="F1824">
            <v>0</v>
          </cell>
          <cell r="DN1824">
            <v>0</v>
          </cell>
        </row>
        <row r="1825">
          <cell r="E1825">
            <v>0</v>
          </cell>
          <cell r="F1825">
            <v>0</v>
          </cell>
          <cell r="DN1825">
            <v>0</v>
          </cell>
        </row>
        <row r="1826">
          <cell r="E1826">
            <v>0</v>
          </cell>
          <cell r="F1826">
            <v>0</v>
          </cell>
          <cell r="DN1826">
            <v>0</v>
          </cell>
        </row>
        <row r="1827">
          <cell r="E1827">
            <v>0</v>
          </cell>
          <cell r="F1827">
            <v>0</v>
          </cell>
          <cell r="DN1827">
            <v>0</v>
          </cell>
        </row>
        <row r="1828">
          <cell r="E1828">
            <v>0</v>
          </cell>
          <cell r="F1828">
            <v>0</v>
          </cell>
          <cell r="DN1828">
            <v>0</v>
          </cell>
        </row>
        <row r="1829">
          <cell r="E1829">
            <v>0</v>
          </cell>
          <cell r="F1829">
            <v>0</v>
          </cell>
          <cell r="DN1829">
            <v>0</v>
          </cell>
        </row>
        <row r="1830">
          <cell r="E1830">
            <v>0</v>
          </cell>
          <cell r="F1830">
            <v>0</v>
          </cell>
          <cell r="DN1830">
            <v>0</v>
          </cell>
        </row>
        <row r="1831">
          <cell r="E1831">
            <v>0</v>
          </cell>
          <cell r="F1831">
            <v>0</v>
          </cell>
          <cell r="DN1831">
            <v>0</v>
          </cell>
        </row>
        <row r="1832">
          <cell r="E1832">
            <v>0</v>
          </cell>
          <cell r="F1832">
            <v>0</v>
          </cell>
          <cell r="DN1832">
            <v>0</v>
          </cell>
        </row>
        <row r="1833">
          <cell r="E1833">
            <v>0</v>
          </cell>
          <cell r="F1833">
            <v>0</v>
          </cell>
          <cell r="DN1833">
            <v>0</v>
          </cell>
        </row>
        <row r="1834">
          <cell r="E1834">
            <v>0</v>
          </cell>
          <cell r="F1834">
            <v>0</v>
          </cell>
          <cell r="DN1834">
            <v>0</v>
          </cell>
        </row>
        <row r="1835">
          <cell r="E1835">
            <v>0</v>
          </cell>
          <cell r="F1835">
            <v>0</v>
          </cell>
          <cell r="DN1835">
            <v>0</v>
          </cell>
        </row>
        <row r="1836">
          <cell r="E1836">
            <v>0</v>
          </cell>
          <cell r="F1836">
            <v>0</v>
          </cell>
          <cell r="DN1836">
            <v>0</v>
          </cell>
        </row>
        <row r="1837">
          <cell r="E1837">
            <v>0</v>
          </cell>
          <cell r="F1837">
            <v>0</v>
          </cell>
          <cell r="DN1837">
            <v>0</v>
          </cell>
        </row>
        <row r="1838">
          <cell r="E1838">
            <v>0</v>
          </cell>
          <cell r="F1838">
            <v>0</v>
          </cell>
          <cell r="DN1838">
            <v>0</v>
          </cell>
        </row>
        <row r="1839">
          <cell r="E1839">
            <v>0</v>
          </cell>
          <cell r="F1839">
            <v>0</v>
          </cell>
          <cell r="DN1839">
            <v>0</v>
          </cell>
        </row>
        <row r="1840">
          <cell r="E1840">
            <v>0</v>
          </cell>
          <cell r="F1840">
            <v>0</v>
          </cell>
          <cell r="DN1840">
            <v>0</v>
          </cell>
        </row>
        <row r="1841">
          <cell r="E1841">
            <v>0</v>
          </cell>
          <cell r="F1841">
            <v>0</v>
          </cell>
          <cell r="DN1841">
            <v>0</v>
          </cell>
        </row>
        <row r="1842">
          <cell r="E1842">
            <v>0</v>
          </cell>
          <cell r="F1842">
            <v>0</v>
          </cell>
          <cell r="DN1842">
            <v>0</v>
          </cell>
        </row>
        <row r="1843">
          <cell r="E1843">
            <v>0</v>
          </cell>
          <cell r="F1843">
            <v>0</v>
          </cell>
          <cell r="DN1843">
            <v>0</v>
          </cell>
        </row>
        <row r="1844">
          <cell r="E1844">
            <v>0</v>
          </cell>
          <cell r="F1844">
            <v>0</v>
          </cell>
          <cell r="DN1844">
            <v>0</v>
          </cell>
        </row>
        <row r="1845">
          <cell r="E1845">
            <v>0</v>
          </cell>
          <cell r="F1845">
            <v>0</v>
          </cell>
          <cell r="DN1845">
            <v>0</v>
          </cell>
        </row>
        <row r="1846">
          <cell r="E1846">
            <v>0</v>
          </cell>
          <cell r="F1846">
            <v>0</v>
          </cell>
          <cell r="DN1846">
            <v>0</v>
          </cell>
        </row>
        <row r="1847">
          <cell r="E1847">
            <v>0</v>
          </cell>
          <cell r="F1847">
            <v>0</v>
          </cell>
          <cell r="DN1847">
            <v>0</v>
          </cell>
        </row>
        <row r="1848">
          <cell r="E1848">
            <v>0</v>
          </cell>
          <cell r="F1848">
            <v>0</v>
          </cell>
          <cell r="DN1848">
            <v>0</v>
          </cell>
        </row>
        <row r="1849">
          <cell r="E1849">
            <v>0</v>
          </cell>
          <cell r="F1849">
            <v>0</v>
          </cell>
          <cell r="DN1849">
            <v>0</v>
          </cell>
        </row>
        <row r="1850">
          <cell r="E1850">
            <v>0</v>
          </cell>
          <cell r="F1850">
            <v>0</v>
          </cell>
          <cell r="DN1850">
            <v>0</v>
          </cell>
        </row>
        <row r="1851">
          <cell r="E1851">
            <v>0</v>
          </cell>
          <cell r="F1851">
            <v>0</v>
          </cell>
          <cell r="DN1851">
            <v>0</v>
          </cell>
        </row>
        <row r="1852">
          <cell r="E1852">
            <v>0</v>
          </cell>
          <cell r="F1852">
            <v>0</v>
          </cell>
          <cell r="DN1852">
            <v>0</v>
          </cell>
        </row>
        <row r="1853">
          <cell r="E1853">
            <v>0</v>
          </cell>
          <cell r="F1853">
            <v>0</v>
          </cell>
          <cell r="DN1853">
            <v>0</v>
          </cell>
        </row>
        <row r="1854">
          <cell r="E1854">
            <v>0</v>
          </cell>
          <cell r="F1854">
            <v>0</v>
          </cell>
          <cell r="DN1854">
            <v>0</v>
          </cell>
        </row>
        <row r="1855">
          <cell r="E1855">
            <v>0</v>
          </cell>
          <cell r="F1855">
            <v>0</v>
          </cell>
          <cell r="DN1855">
            <v>0</v>
          </cell>
        </row>
        <row r="1856">
          <cell r="E1856">
            <v>0</v>
          </cell>
          <cell r="F1856">
            <v>0</v>
          </cell>
          <cell r="DN1856">
            <v>0</v>
          </cell>
        </row>
        <row r="1857">
          <cell r="E1857">
            <v>0</v>
          </cell>
          <cell r="F1857">
            <v>0</v>
          </cell>
          <cell r="DN1857">
            <v>0</v>
          </cell>
        </row>
        <row r="1858">
          <cell r="E1858">
            <v>0</v>
          </cell>
          <cell r="F1858">
            <v>0</v>
          </cell>
          <cell r="DN1858">
            <v>0</v>
          </cell>
        </row>
        <row r="1859">
          <cell r="E1859">
            <v>0</v>
          </cell>
          <cell r="F1859">
            <v>0</v>
          </cell>
          <cell r="DN1859">
            <v>0</v>
          </cell>
        </row>
        <row r="1860">
          <cell r="E1860">
            <v>0</v>
          </cell>
          <cell r="F1860">
            <v>0</v>
          </cell>
          <cell r="DN1860">
            <v>0</v>
          </cell>
        </row>
        <row r="1861">
          <cell r="E1861">
            <v>0</v>
          </cell>
          <cell r="F1861">
            <v>0</v>
          </cell>
          <cell r="DN1861">
            <v>0</v>
          </cell>
        </row>
        <row r="1862">
          <cell r="E1862">
            <v>0</v>
          </cell>
          <cell r="F1862">
            <v>0</v>
          </cell>
          <cell r="DN1862">
            <v>0</v>
          </cell>
        </row>
        <row r="1863">
          <cell r="E1863">
            <v>0</v>
          </cell>
          <cell r="F1863">
            <v>0</v>
          </cell>
          <cell r="DN1863">
            <v>0</v>
          </cell>
        </row>
        <row r="1864">
          <cell r="E1864">
            <v>0</v>
          </cell>
          <cell r="F1864">
            <v>0</v>
          </cell>
          <cell r="DN1864">
            <v>0</v>
          </cell>
        </row>
        <row r="1865">
          <cell r="E1865">
            <v>0</v>
          </cell>
          <cell r="F1865">
            <v>0</v>
          </cell>
          <cell r="DN1865">
            <v>0</v>
          </cell>
        </row>
        <row r="1866">
          <cell r="E1866">
            <v>0</v>
          </cell>
          <cell r="F1866">
            <v>0</v>
          </cell>
          <cell r="DN1866">
            <v>0</v>
          </cell>
        </row>
        <row r="1867">
          <cell r="E1867">
            <v>0</v>
          </cell>
          <cell r="F1867">
            <v>0</v>
          </cell>
          <cell r="DN1867">
            <v>0</v>
          </cell>
        </row>
        <row r="1868">
          <cell r="E1868">
            <v>0</v>
          </cell>
          <cell r="F1868">
            <v>0</v>
          </cell>
          <cell r="DN1868">
            <v>0</v>
          </cell>
        </row>
        <row r="1869">
          <cell r="E1869">
            <v>0</v>
          </cell>
          <cell r="F1869">
            <v>0</v>
          </cell>
          <cell r="DN1869">
            <v>0</v>
          </cell>
        </row>
        <row r="1870">
          <cell r="E1870">
            <v>0</v>
          </cell>
          <cell r="F1870">
            <v>0</v>
          </cell>
          <cell r="DN1870">
            <v>0</v>
          </cell>
        </row>
        <row r="1871">
          <cell r="E1871">
            <v>0</v>
          </cell>
          <cell r="F1871">
            <v>0</v>
          </cell>
          <cell r="DN1871">
            <v>0</v>
          </cell>
        </row>
        <row r="1872">
          <cell r="E1872">
            <v>0</v>
          </cell>
          <cell r="F1872">
            <v>0</v>
          </cell>
          <cell r="DN1872">
            <v>0</v>
          </cell>
        </row>
        <row r="1873">
          <cell r="E1873">
            <v>0</v>
          </cell>
          <cell r="F1873">
            <v>0</v>
          </cell>
          <cell r="DN1873">
            <v>0</v>
          </cell>
        </row>
        <row r="1874">
          <cell r="E1874">
            <v>0</v>
          </cell>
          <cell r="F1874">
            <v>0</v>
          </cell>
          <cell r="DN1874">
            <v>0</v>
          </cell>
        </row>
        <row r="1875">
          <cell r="E1875">
            <v>0</v>
          </cell>
          <cell r="F1875">
            <v>0</v>
          </cell>
          <cell r="DN1875">
            <v>0</v>
          </cell>
        </row>
        <row r="1876">
          <cell r="E1876">
            <v>0</v>
          </cell>
          <cell r="F1876">
            <v>0</v>
          </cell>
          <cell r="DN1876">
            <v>0</v>
          </cell>
        </row>
        <row r="1877">
          <cell r="E1877">
            <v>0</v>
          </cell>
          <cell r="F1877">
            <v>0</v>
          </cell>
          <cell r="DN1877">
            <v>0</v>
          </cell>
        </row>
        <row r="1878">
          <cell r="E1878">
            <v>0</v>
          </cell>
          <cell r="F1878">
            <v>0</v>
          </cell>
          <cell r="DN1878">
            <v>0</v>
          </cell>
        </row>
        <row r="1879">
          <cell r="E1879">
            <v>0</v>
          </cell>
          <cell r="F1879">
            <v>0</v>
          </cell>
          <cell r="DN1879">
            <v>0</v>
          </cell>
        </row>
        <row r="1880">
          <cell r="E1880">
            <v>0</v>
          </cell>
          <cell r="F1880">
            <v>0</v>
          </cell>
          <cell r="DN1880">
            <v>0</v>
          </cell>
        </row>
        <row r="1881">
          <cell r="E1881">
            <v>0</v>
          </cell>
          <cell r="F1881">
            <v>0</v>
          </cell>
          <cell r="DN1881">
            <v>0</v>
          </cell>
        </row>
        <row r="1882">
          <cell r="E1882">
            <v>0</v>
          </cell>
          <cell r="F1882">
            <v>0</v>
          </cell>
          <cell r="DN1882">
            <v>0</v>
          </cell>
        </row>
        <row r="1883">
          <cell r="E1883">
            <v>0</v>
          </cell>
          <cell r="F1883">
            <v>0</v>
          </cell>
          <cell r="DN1883">
            <v>0</v>
          </cell>
        </row>
        <row r="1884">
          <cell r="E1884">
            <v>0</v>
          </cell>
          <cell r="F1884">
            <v>0</v>
          </cell>
          <cell r="DN1884">
            <v>0</v>
          </cell>
        </row>
        <row r="1885">
          <cell r="E1885">
            <v>0</v>
          </cell>
          <cell r="F1885">
            <v>0</v>
          </cell>
          <cell r="DN1885">
            <v>0</v>
          </cell>
        </row>
        <row r="1886">
          <cell r="E1886">
            <v>0</v>
          </cell>
          <cell r="F1886">
            <v>0</v>
          </cell>
          <cell r="DN1886">
            <v>0</v>
          </cell>
        </row>
        <row r="1887">
          <cell r="E1887">
            <v>0</v>
          </cell>
          <cell r="F1887">
            <v>0</v>
          </cell>
          <cell r="DN1887">
            <v>0</v>
          </cell>
        </row>
        <row r="1888">
          <cell r="E1888">
            <v>0</v>
          </cell>
          <cell r="F1888">
            <v>0</v>
          </cell>
          <cell r="DN1888">
            <v>0</v>
          </cell>
        </row>
        <row r="1889">
          <cell r="E1889">
            <v>0</v>
          </cell>
          <cell r="F1889">
            <v>0</v>
          </cell>
          <cell r="DN1889">
            <v>0</v>
          </cell>
        </row>
        <row r="1890">
          <cell r="E1890">
            <v>0</v>
          </cell>
          <cell r="F1890">
            <v>0</v>
          </cell>
          <cell r="DN1890">
            <v>0</v>
          </cell>
        </row>
        <row r="1891">
          <cell r="E1891">
            <v>0</v>
          </cell>
          <cell r="F1891">
            <v>0</v>
          </cell>
          <cell r="DN1891">
            <v>0</v>
          </cell>
        </row>
        <row r="1892">
          <cell r="E1892">
            <v>0</v>
          </cell>
          <cell r="F1892">
            <v>0</v>
          </cell>
          <cell r="DN1892">
            <v>0</v>
          </cell>
        </row>
        <row r="1893">
          <cell r="E1893">
            <v>0</v>
          </cell>
          <cell r="F1893">
            <v>0</v>
          </cell>
          <cell r="DN1893">
            <v>0</v>
          </cell>
        </row>
        <row r="1894">
          <cell r="E1894">
            <v>0</v>
          </cell>
          <cell r="F1894">
            <v>0</v>
          </cell>
          <cell r="DN1894">
            <v>0</v>
          </cell>
        </row>
        <row r="1895">
          <cell r="E1895">
            <v>0</v>
          </cell>
          <cell r="F1895">
            <v>0</v>
          </cell>
          <cell r="DN1895">
            <v>0</v>
          </cell>
        </row>
        <row r="1896">
          <cell r="E1896">
            <v>0</v>
          </cell>
          <cell r="F1896">
            <v>0</v>
          </cell>
          <cell r="DN1896">
            <v>0</v>
          </cell>
        </row>
        <row r="1897">
          <cell r="E1897">
            <v>0</v>
          </cell>
          <cell r="F1897">
            <v>0</v>
          </cell>
          <cell r="DN1897">
            <v>0</v>
          </cell>
        </row>
        <row r="1898">
          <cell r="E1898">
            <v>0</v>
          </cell>
          <cell r="F1898">
            <v>0</v>
          </cell>
          <cell r="DN1898">
            <v>0</v>
          </cell>
        </row>
        <row r="1899">
          <cell r="E1899">
            <v>0</v>
          </cell>
          <cell r="F1899">
            <v>0</v>
          </cell>
          <cell r="DN1899">
            <v>0</v>
          </cell>
        </row>
        <row r="1900">
          <cell r="E1900">
            <v>0</v>
          </cell>
          <cell r="F1900">
            <v>0</v>
          </cell>
          <cell r="DN1900">
            <v>0</v>
          </cell>
        </row>
        <row r="1901">
          <cell r="E1901">
            <v>0</v>
          </cell>
          <cell r="F1901">
            <v>0</v>
          </cell>
          <cell r="DN1901">
            <v>0</v>
          </cell>
        </row>
        <row r="1902">
          <cell r="E1902">
            <v>0</v>
          </cell>
          <cell r="F1902">
            <v>0</v>
          </cell>
          <cell r="DN1902">
            <v>0</v>
          </cell>
        </row>
        <row r="1903">
          <cell r="E1903">
            <v>0</v>
          </cell>
          <cell r="F1903">
            <v>0</v>
          </cell>
          <cell r="DN1903">
            <v>0</v>
          </cell>
        </row>
        <row r="1904">
          <cell r="E1904">
            <v>0</v>
          </cell>
          <cell r="F1904">
            <v>0</v>
          </cell>
          <cell r="DN1904">
            <v>0</v>
          </cell>
        </row>
        <row r="1905">
          <cell r="E1905">
            <v>0</v>
          </cell>
          <cell r="F1905">
            <v>0</v>
          </cell>
          <cell r="DN1905">
            <v>0</v>
          </cell>
        </row>
        <row r="1906">
          <cell r="E1906">
            <v>0</v>
          </cell>
          <cell r="F1906">
            <v>0</v>
          </cell>
          <cell r="DN1906">
            <v>0</v>
          </cell>
        </row>
        <row r="1907">
          <cell r="E1907">
            <v>0</v>
          </cell>
          <cell r="F1907">
            <v>0</v>
          </cell>
          <cell r="DN1907">
            <v>0</v>
          </cell>
        </row>
        <row r="1908">
          <cell r="E1908">
            <v>0</v>
          </cell>
          <cell r="F1908">
            <v>0</v>
          </cell>
          <cell r="DN1908">
            <v>0</v>
          </cell>
        </row>
        <row r="1909">
          <cell r="E1909">
            <v>0</v>
          </cell>
          <cell r="F1909">
            <v>0</v>
          </cell>
          <cell r="DN1909">
            <v>0</v>
          </cell>
        </row>
        <row r="1910">
          <cell r="E1910">
            <v>0</v>
          </cell>
          <cell r="F1910">
            <v>0</v>
          </cell>
          <cell r="DN1910">
            <v>0</v>
          </cell>
        </row>
        <row r="1911">
          <cell r="E1911">
            <v>0</v>
          </cell>
          <cell r="F1911">
            <v>0</v>
          </cell>
          <cell r="DN1911">
            <v>0</v>
          </cell>
        </row>
        <row r="1912">
          <cell r="E1912">
            <v>0</v>
          </cell>
          <cell r="F1912">
            <v>0</v>
          </cell>
          <cell r="DN1912">
            <v>0</v>
          </cell>
        </row>
        <row r="1913">
          <cell r="E1913">
            <v>0</v>
          </cell>
          <cell r="F1913">
            <v>0</v>
          </cell>
          <cell r="DN1913">
            <v>0</v>
          </cell>
        </row>
        <row r="1914">
          <cell r="E1914">
            <v>0</v>
          </cell>
          <cell r="F1914">
            <v>0</v>
          </cell>
          <cell r="DN1914">
            <v>0</v>
          </cell>
        </row>
        <row r="1915">
          <cell r="E1915">
            <v>0</v>
          </cell>
          <cell r="F1915">
            <v>0</v>
          </cell>
          <cell r="DN1915">
            <v>0</v>
          </cell>
        </row>
        <row r="1916">
          <cell r="E1916">
            <v>0</v>
          </cell>
          <cell r="F1916">
            <v>0</v>
          </cell>
          <cell r="DN1916">
            <v>0</v>
          </cell>
        </row>
        <row r="1917">
          <cell r="E1917">
            <v>0</v>
          </cell>
          <cell r="F1917">
            <v>0</v>
          </cell>
          <cell r="DN1917">
            <v>0</v>
          </cell>
        </row>
        <row r="1918">
          <cell r="E1918">
            <v>0</v>
          </cell>
          <cell r="F1918">
            <v>0</v>
          </cell>
          <cell r="DN1918">
            <v>0</v>
          </cell>
        </row>
        <row r="1919">
          <cell r="E1919">
            <v>0</v>
          </cell>
          <cell r="F1919">
            <v>0</v>
          </cell>
          <cell r="DN1919">
            <v>0</v>
          </cell>
        </row>
        <row r="1920">
          <cell r="E1920">
            <v>0</v>
          </cell>
          <cell r="F1920">
            <v>0</v>
          </cell>
          <cell r="DN1920">
            <v>0</v>
          </cell>
        </row>
        <row r="1921">
          <cell r="E1921">
            <v>0</v>
          </cell>
          <cell r="F1921">
            <v>0</v>
          </cell>
          <cell r="DN1921">
            <v>0</v>
          </cell>
        </row>
        <row r="1922">
          <cell r="E1922">
            <v>0</v>
          </cell>
          <cell r="F1922">
            <v>0</v>
          </cell>
          <cell r="DN1922">
            <v>0</v>
          </cell>
        </row>
        <row r="1923">
          <cell r="E1923">
            <v>0</v>
          </cell>
          <cell r="F1923">
            <v>0</v>
          </cell>
          <cell r="DN1923">
            <v>0</v>
          </cell>
        </row>
        <row r="1924">
          <cell r="E1924">
            <v>0</v>
          </cell>
          <cell r="F1924">
            <v>0</v>
          </cell>
          <cell r="DN1924">
            <v>0</v>
          </cell>
        </row>
        <row r="1925">
          <cell r="E1925">
            <v>0</v>
          </cell>
          <cell r="F1925">
            <v>0</v>
          </cell>
          <cell r="DN1925">
            <v>0</v>
          </cell>
        </row>
        <row r="1926">
          <cell r="E1926">
            <v>0</v>
          </cell>
          <cell r="F1926">
            <v>0</v>
          </cell>
          <cell r="DN1926">
            <v>0</v>
          </cell>
        </row>
        <row r="1927">
          <cell r="E1927">
            <v>0</v>
          </cell>
          <cell r="F1927">
            <v>0</v>
          </cell>
          <cell r="DN1927">
            <v>0</v>
          </cell>
        </row>
        <row r="1928">
          <cell r="E1928">
            <v>0</v>
          </cell>
          <cell r="F1928">
            <v>0</v>
          </cell>
          <cell r="DN1928">
            <v>0</v>
          </cell>
        </row>
        <row r="1929">
          <cell r="E1929">
            <v>0</v>
          </cell>
          <cell r="F1929">
            <v>0</v>
          </cell>
          <cell r="DN1929">
            <v>0</v>
          </cell>
        </row>
        <row r="1930">
          <cell r="E1930">
            <v>0</v>
          </cell>
          <cell r="F1930">
            <v>0</v>
          </cell>
          <cell r="DN1930">
            <v>0</v>
          </cell>
        </row>
        <row r="1931">
          <cell r="E1931">
            <v>0</v>
          </cell>
          <cell r="F1931">
            <v>0</v>
          </cell>
          <cell r="DN1931">
            <v>0</v>
          </cell>
        </row>
        <row r="1932">
          <cell r="E1932">
            <v>0</v>
          </cell>
          <cell r="F1932">
            <v>0</v>
          </cell>
          <cell r="DN1932">
            <v>0</v>
          </cell>
        </row>
        <row r="1933">
          <cell r="E1933">
            <v>0</v>
          </cell>
          <cell r="F1933">
            <v>0</v>
          </cell>
          <cell r="DN1933">
            <v>0</v>
          </cell>
        </row>
        <row r="1934">
          <cell r="E1934">
            <v>0</v>
          </cell>
          <cell r="F1934">
            <v>0</v>
          </cell>
          <cell r="DN1934">
            <v>0</v>
          </cell>
        </row>
        <row r="1935">
          <cell r="E1935">
            <v>0</v>
          </cell>
          <cell r="F1935">
            <v>0</v>
          </cell>
          <cell r="DN1935">
            <v>0</v>
          </cell>
        </row>
        <row r="1936">
          <cell r="E1936">
            <v>0</v>
          </cell>
          <cell r="F1936">
            <v>0</v>
          </cell>
          <cell r="DN1936">
            <v>0</v>
          </cell>
        </row>
        <row r="1937">
          <cell r="E1937">
            <v>0</v>
          </cell>
          <cell r="F1937">
            <v>0</v>
          </cell>
          <cell r="DN1937">
            <v>0</v>
          </cell>
        </row>
        <row r="1938">
          <cell r="E1938">
            <v>0</v>
          </cell>
          <cell r="F1938">
            <v>0</v>
          </cell>
          <cell r="DN1938">
            <v>0</v>
          </cell>
        </row>
        <row r="1939">
          <cell r="E1939">
            <v>0</v>
          </cell>
          <cell r="F1939">
            <v>0</v>
          </cell>
          <cell r="DN1939">
            <v>0</v>
          </cell>
        </row>
        <row r="1940">
          <cell r="E1940">
            <v>0</v>
          </cell>
          <cell r="F1940">
            <v>0</v>
          </cell>
          <cell r="DN1940">
            <v>0</v>
          </cell>
        </row>
        <row r="1941">
          <cell r="E1941">
            <v>0</v>
          </cell>
          <cell r="F1941">
            <v>0</v>
          </cell>
          <cell r="DN1941">
            <v>0</v>
          </cell>
        </row>
        <row r="1942">
          <cell r="E1942">
            <v>0</v>
          </cell>
          <cell r="F1942">
            <v>0</v>
          </cell>
          <cell r="DN1942">
            <v>0</v>
          </cell>
        </row>
        <row r="1943">
          <cell r="E1943">
            <v>0</v>
          </cell>
          <cell r="F1943">
            <v>0</v>
          </cell>
          <cell r="DN1943">
            <v>0</v>
          </cell>
        </row>
        <row r="1944">
          <cell r="E1944">
            <v>0</v>
          </cell>
          <cell r="F1944">
            <v>0</v>
          </cell>
          <cell r="DN1944">
            <v>0</v>
          </cell>
        </row>
        <row r="1945">
          <cell r="E1945">
            <v>0</v>
          </cell>
          <cell r="F1945">
            <v>0</v>
          </cell>
          <cell r="DN1945">
            <v>0</v>
          </cell>
        </row>
        <row r="1946">
          <cell r="E1946">
            <v>0</v>
          </cell>
          <cell r="F1946">
            <v>0</v>
          </cell>
          <cell r="DN1946">
            <v>0</v>
          </cell>
        </row>
        <row r="1947">
          <cell r="E1947">
            <v>0</v>
          </cell>
          <cell r="F1947">
            <v>0</v>
          </cell>
          <cell r="DN1947">
            <v>0</v>
          </cell>
        </row>
        <row r="1948">
          <cell r="E1948">
            <v>0</v>
          </cell>
          <cell r="F1948">
            <v>0</v>
          </cell>
          <cell r="DN1948">
            <v>0</v>
          </cell>
        </row>
        <row r="1949">
          <cell r="E1949">
            <v>0</v>
          </cell>
          <cell r="F1949">
            <v>0</v>
          </cell>
          <cell r="DN1949">
            <v>0</v>
          </cell>
        </row>
        <row r="1950">
          <cell r="E1950">
            <v>0</v>
          </cell>
          <cell r="F1950">
            <v>0</v>
          </cell>
          <cell r="DN1950">
            <v>0</v>
          </cell>
        </row>
        <row r="1951">
          <cell r="E1951">
            <v>0</v>
          </cell>
          <cell r="F1951">
            <v>0</v>
          </cell>
          <cell r="DN1951">
            <v>0</v>
          </cell>
        </row>
        <row r="1952">
          <cell r="E1952">
            <v>0</v>
          </cell>
          <cell r="F1952">
            <v>0</v>
          </cell>
          <cell r="DN1952">
            <v>0</v>
          </cell>
        </row>
        <row r="1953">
          <cell r="E1953">
            <v>0</v>
          </cell>
          <cell r="F1953">
            <v>0</v>
          </cell>
          <cell r="DN1953">
            <v>0</v>
          </cell>
        </row>
        <row r="1954">
          <cell r="E1954">
            <v>0</v>
          </cell>
          <cell r="F1954">
            <v>0</v>
          </cell>
          <cell r="DN1954">
            <v>0</v>
          </cell>
        </row>
        <row r="1955">
          <cell r="E1955">
            <v>0</v>
          </cell>
          <cell r="F1955">
            <v>0</v>
          </cell>
          <cell r="DN1955">
            <v>0</v>
          </cell>
        </row>
        <row r="1956">
          <cell r="E1956">
            <v>0</v>
          </cell>
          <cell r="F1956">
            <v>0</v>
          </cell>
          <cell r="DN1956">
            <v>0</v>
          </cell>
        </row>
        <row r="1957">
          <cell r="E1957">
            <v>0</v>
          </cell>
          <cell r="F1957">
            <v>0</v>
          </cell>
          <cell r="DN1957">
            <v>0</v>
          </cell>
        </row>
        <row r="1958">
          <cell r="E1958">
            <v>0</v>
          </cell>
          <cell r="F1958">
            <v>0</v>
          </cell>
          <cell r="DN1958">
            <v>0</v>
          </cell>
        </row>
        <row r="1959">
          <cell r="E1959">
            <v>0</v>
          </cell>
          <cell r="F1959">
            <v>0</v>
          </cell>
          <cell r="DN1959">
            <v>0</v>
          </cell>
        </row>
        <row r="1960">
          <cell r="E1960">
            <v>0</v>
          </cell>
          <cell r="F1960">
            <v>0</v>
          </cell>
          <cell r="DN1960">
            <v>0</v>
          </cell>
        </row>
        <row r="1961">
          <cell r="E1961">
            <v>0</v>
          </cell>
          <cell r="F1961">
            <v>0</v>
          </cell>
          <cell r="DN1961">
            <v>0</v>
          </cell>
        </row>
        <row r="1962">
          <cell r="E1962">
            <v>0</v>
          </cell>
          <cell r="F1962">
            <v>0</v>
          </cell>
          <cell r="DN1962">
            <v>0</v>
          </cell>
        </row>
        <row r="1963">
          <cell r="E1963">
            <v>0</v>
          </cell>
          <cell r="F1963">
            <v>0</v>
          </cell>
          <cell r="DN1963">
            <v>0</v>
          </cell>
        </row>
        <row r="1964">
          <cell r="E1964">
            <v>0</v>
          </cell>
          <cell r="F1964">
            <v>0</v>
          </cell>
          <cell r="DN1964">
            <v>0</v>
          </cell>
        </row>
        <row r="1965">
          <cell r="E1965">
            <v>0</v>
          </cell>
          <cell r="F1965">
            <v>0</v>
          </cell>
          <cell r="DN1965">
            <v>0</v>
          </cell>
        </row>
        <row r="1966">
          <cell r="E1966">
            <v>0</v>
          </cell>
          <cell r="F1966">
            <v>0</v>
          </cell>
          <cell r="DN1966">
            <v>0</v>
          </cell>
        </row>
        <row r="1967">
          <cell r="E1967">
            <v>0</v>
          </cell>
          <cell r="F1967">
            <v>0</v>
          </cell>
          <cell r="DN1967">
            <v>0</v>
          </cell>
        </row>
        <row r="1968">
          <cell r="E1968">
            <v>0</v>
          </cell>
          <cell r="F1968">
            <v>0</v>
          </cell>
          <cell r="DN1968">
            <v>0</v>
          </cell>
        </row>
        <row r="1969">
          <cell r="E1969">
            <v>0</v>
          </cell>
          <cell r="F1969">
            <v>0</v>
          </cell>
          <cell r="DN1969">
            <v>0</v>
          </cell>
        </row>
        <row r="1970">
          <cell r="E1970">
            <v>0</v>
          </cell>
          <cell r="F1970">
            <v>0</v>
          </cell>
          <cell r="DN1970">
            <v>0</v>
          </cell>
        </row>
        <row r="1971">
          <cell r="E1971">
            <v>0</v>
          </cell>
          <cell r="F1971">
            <v>0</v>
          </cell>
          <cell r="DN1971">
            <v>0</v>
          </cell>
        </row>
        <row r="1972">
          <cell r="E1972">
            <v>0</v>
          </cell>
          <cell r="F1972">
            <v>0</v>
          </cell>
          <cell r="DN1972">
            <v>0</v>
          </cell>
        </row>
        <row r="1973">
          <cell r="E1973">
            <v>0</v>
          </cell>
          <cell r="F1973">
            <v>0</v>
          </cell>
          <cell r="DN1973">
            <v>0</v>
          </cell>
        </row>
        <row r="1974">
          <cell r="E1974">
            <v>0</v>
          </cell>
          <cell r="F1974">
            <v>0</v>
          </cell>
          <cell r="DN1974">
            <v>0</v>
          </cell>
        </row>
        <row r="1975">
          <cell r="E1975">
            <v>0</v>
          </cell>
          <cell r="F1975">
            <v>0</v>
          </cell>
          <cell r="DN1975">
            <v>0</v>
          </cell>
        </row>
        <row r="1976">
          <cell r="E1976">
            <v>0</v>
          </cell>
          <cell r="F1976">
            <v>0</v>
          </cell>
          <cell r="DN1976">
            <v>0</v>
          </cell>
        </row>
        <row r="1977">
          <cell r="E1977">
            <v>0</v>
          </cell>
          <cell r="F1977">
            <v>0</v>
          </cell>
          <cell r="DN1977">
            <v>0</v>
          </cell>
        </row>
        <row r="1978">
          <cell r="E1978">
            <v>0</v>
          </cell>
          <cell r="F1978">
            <v>0</v>
          </cell>
          <cell r="DN1978">
            <v>0</v>
          </cell>
        </row>
        <row r="1979">
          <cell r="E1979">
            <v>0</v>
          </cell>
          <cell r="F1979">
            <v>0</v>
          </cell>
          <cell r="DN1979">
            <v>0</v>
          </cell>
        </row>
        <row r="1980">
          <cell r="E1980">
            <v>0</v>
          </cell>
          <cell r="F1980">
            <v>0</v>
          </cell>
          <cell r="DN1980">
            <v>0</v>
          </cell>
        </row>
        <row r="1981">
          <cell r="E1981">
            <v>0</v>
          </cell>
          <cell r="F1981">
            <v>0</v>
          </cell>
          <cell r="DN1981">
            <v>0</v>
          </cell>
        </row>
        <row r="1982">
          <cell r="E1982">
            <v>0</v>
          </cell>
          <cell r="F1982">
            <v>0</v>
          </cell>
          <cell r="DN1982">
            <v>0</v>
          </cell>
        </row>
        <row r="1983">
          <cell r="E1983">
            <v>0</v>
          </cell>
          <cell r="F1983">
            <v>0</v>
          </cell>
          <cell r="DN1983">
            <v>0</v>
          </cell>
        </row>
        <row r="1984">
          <cell r="E1984">
            <v>0</v>
          </cell>
          <cell r="F1984">
            <v>0</v>
          </cell>
          <cell r="DN1984">
            <v>0</v>
          </cell>
        </row>
        <row r="1985">
          <cell r="E1985">
            <v>0</v>
          </cell>
          <cell r="F1985">
            <v>0</v>
          </cell>
          <cell r="DN1985">
            <v>0</v>
          </cell>
        </row>
        <row r="1986">
          <cell r="E1986">
            <v>0</v>
          </cell>
          <cell r="F1986">
            <v>0</v>
          </cell>
          <cell r="DN1986">
            <v>0</v>
          </cell>
        </row>
        <row r="1987">
          <cell r="E1987">
            <v>0</v>
          </cell>
          <cell r="F1987">
            <v>0</v>
          </cell>
          <cell r="DN1987">
            <v>0</v>
          </cell>
        </row>
        <row r="1988">
          <cell r="E1988">
            <v>0</v>
          </cell>
          <cell r="F1988">
            <v>0</v>
          </cell>
          <cell r="DN1988">
            <v>0</v>
          </cell>
        </row>
        <row r="1989">
          <cell r="E1989">
            <v>0</v>
          </cell>
          <cell r="F1989">
            <v>0</v>
          </cell>
          <cell r="DN1989">
            <v>0</v>
          </cell>
        </row>
        <row r="1990">
          <cell r="E1990">
            <v>0</v>
          </cell>
          <cell r="F1990">
            <v>0</v>
          </cell>
          <cell r="DN1990">
            <v>0</v>
          </cell>
        </row>
        <row r="1991">
          <cell r="E1991">
            <v>0</v>
          </cell>
          <cell r="F1991">
            <v>0</v>
          </cell>
          <cell r="DN1991">
            <v>0</v>
          </cell>
        </row>
        <row r="1992">
          <cell r="E1992">
            <v>0</v>
          </cell>
          <cell r="F1992">
            <v>0</v>
          </cell>
          <cell r="DN1992">
            <v>0</v>
          </cell>
        </row>
        <row r="1993">
          <cell r="E1993">
            <v>0</v>
          </cell>
          <cell r="F1993">
            <v>0</v>
          </cell>
          <cell r="DN1993">
            <v>0</v>
          </cell>
        </row>
        <row r="1994">
          <cell r="E1994">
            <v>0</v>
          </cell>
          <cell r="F1994">
            <v>0</v>
          </cell>
          <cell r="DN1994">
            <v>0</v>
          </cell>
        </row>
        <row r="1995">
          <cell r="E1995">
            <v>0</v>
          </cell>
          <cell r="F1995">
            <v>0</v>
          </cell>
          <cell r="DN1995">
            <v>0</v>
          </cell>
        </row>
        <row r="1996">
          <cell r="E1996">
            <v>0</v>
          </cell>
          <cell r="F1996">
            <v>0</v>
          </cell>
          <cell r="DN1996">
            <v>0</v>
          </cell>
        </row>
        <row r="1997">
          <cell r="E1997">
            <v>0</v>
          </cell>
          <cell r="F1997">
            <v>0</v>
          </cell>
          <cell r="DN1997">
            <v>0</v>
          </cell>
        </row>
        <row r="1998">
          <cell r="E1998">
            <v>0</v>
          </cell>
          <cell r="F1998">
            <v>0</v>
          </cell>
          <cell r="DN1998">
            <v>0</v>
          </cell>
        </row>
        <row r="1999">
          <cell r="E1999">
            <v>0</v>
          </cell>
          <cell r="F1999">
            <v>0</v>
          </cell>
          <cell r="DN1999">
            <v>0</v>
          </cell>
        </row>
        <row r="2000">
          <cell r="E2000">
            <v>0</v>
          </cell>
          <cell r="F2000">
            <v>0</v>
          </cell>
          <cell r="DN2000">
            <v>0</v>
          </cell>
        </row>
        <row r="2001">
          <cell r="E2001">
            <v>0</v>
          </cell>
          <cell r="F2001">
            <v>0</v>
          </cell>
          <cell r="DN2001">
            <v>0</v>
          </cell>
        </row>
        <row r="2002">
          <cell r="E2002">
            <v>0</v>
          </cell>
          <cell r="F2002">
            <v>0</v>
          </cell>
          <cell r="DN2002">
            <v>0</v>
          </cell>
        </row>
        <row r="2003">
          <cell r="E2003">
            <v>0</v>
          </cell>
          <cell r="F2003">
            <v>0</v>
          </cell>
          <cell r="DN2003">
            <v>0</v>
          </cell>
        </row>
        <row r="2004">
          <cell r="E2004">
            <v>0</v>
          </cell>
          <cell r="F2004">
            <v>0</v>
          </cell>
          <cell r="DN2004">
            <v>0</v>
          </cell>
        </row>
        <row r="2005">
          <cell r="E2005">
            <v>0</v>
          </cell>
          <cell r="F2005">
            <v>0</v>
          </cell>
          <cell r="DN2005">
            <v>0</v>
          </cell>
        </row>
        <row r="2006">
          <cell r="E2006">
            <v>0</v>
          </cell>
          <cell r="F2006">
            <v>0</v>
          </cell>
          <cell r="DN2006">
            <v>0</v>
          </cell>
        </row>
        <row r="2007">
          <cell r="E2007">
            <v>0</v>
          </cell>
          <cell r="F2007">
            <v>0</v>
          </cell>
          <cell r="DN2007">
            <v>0</v>
          </cell>
        </row>
        <row r="2008">
          <cell r="E2008">
            <v>0</v>
          </cell>
          <cell r="F2008">
            <v>0</v>
          </cell>
          <cell r="DN2008">
            <v>0</v>
          </cell>
        </row>
        <row r="2009">
          <cell r="E2009">
            <v>0</v>
          </cell>
          <cell r="F2009">
            <v>0</v>
          </cell>
          <cell r="DN2009">
            <v>0</v>
          </cell>
        </row>
        <row r="2010">
          <cell r="E2010">
            <v>0</v>
          </cell>
          <cell r="F2010">
            <v>0</v>
          </cell>
          <cell r="DN2010">
            <v>0</v>
          </cell>
        </row>
        <row r="2011">
          <cell r="E2011">
            <v>0</v>
          </cell>
          <cell r="F2011">
            <v>0</v>
          </cell>
          <cell r="DN2011">
            <v>0</v>
          </cell>
        </row>
        <row r="2012">
          <cell r="E2012">
            <v>0</v>
          </cell>
          <cell r="F2012">
            <v>0</v>
          </cell>
          <cell r="DN2012">
            <v>0</v>
          </cell>
        </row>
        <row r="2013">
          <cell r="E2013">
            <v>0</v>
          </cell>
          <cell r="F2013">
            <v>0</v>
          </cell>
          <cell r="DN2013">
            <v>0</v>
          </cell>
        </row>
        <row r="2014">
          <cell r="E2014">
            <v>0</v>
          </cell>
          <cell r="F2014">
            <v>0</v>
          </cell>
          <cell r="DN2014">
            <v>0</v>
          </cell>
        </row>
        <row r="2015">
          <cell r="E2015">
            <v>0</v>
          </cell>
          <cell r="F2015">
            <v>0</v>
          </cell>
          <cell r="DN2015">
            <v>0</v>
          </cell>
        </row>
        <row r="2016">
          <cell r="E2016">
            <v>0</v>
          </cell>
          <cell r="F2016">
            <v>0</v>
          </cell>
          <cell r="DN2016">
            <v>0</v>
          </cell>
        </row>
        <row r="2017">
          <cell r="E2017">
            <v>0</v>
          </cell>
          <cell r="F2017">
            <v>0</v>
          </cell>
          <cell r="DN2017">
            <v>0</v>
          </cell>
        </row>
        <row r="2018">
          <cell r="E2018">
            <v>0</v>
          </cell>
          <cell r="F2018">
            <v>0</v>
          </cell>
          <cell r="DN2018">
            <v>0</v>
          </cell>
        </row>
        <row r="2019">
          <cell r="E2019">
            <v>0</v>
          </cell>
          <cell r="F2019">
            <v>0</v>
          </cell>
          <cell r="DN2019">
            <v>0</v>
          </cell>
        </row>
        <row r="2020">
          <cell r="E2020">
            <v>0</v>
          </cell>
          <cell r="F2020">
            <v>0</v>
          </cell>
          <cell r="DN2020">
            <v>0</v>
          </cell>
        </row>
        <row r="2021">
          <cell r="E2021">
            <v>0</v>
          </cell>
          <cell r="F2021">
            <v>0</v>
          </cell>
          <cell r="DN2021">
            <v>0</v>
          </cell>
        </row>
        <row r="2022">
          <cell r="E2022">
            <v>0</v>
          </cell>
          <cell r="F2022">
            <v>0</v>
          </cell>
          <cell r="DN2022">
            <v>0</v>
          </cell>
        </row>
        <row r="2023">
          <cell r="E2023">
            <v>0</v>
          </cell>
          <cell r="F2023">
            <v>0</v>
          </cell>
          <cell r="DN2023">
            <v>0</v>
          </cell>
        </row>
        <row r="2024">
          <cell r="E2024">
            <v>0</v>
          </cell>
          <cell r="F2024">
            <v>0</v>
          </cell>
          <cell r="DN2024">
            <v>0</v>
          </cell>
        </row>
        <row r="2025">
          <cell r="E2025">
            <v>0</v>
          </cell>
          <cell r="F2025">
            <v>0</v>
          </cell>
          <cell r="DN2025">
            <v>0</v>
          </cell>
        </row>
        <row r="2026">
          <cell r="E2026">
            <v>0</v>
          </cell>
          <cell r="F2026">
            <v>0</v>
          </cell>
          <cell r="DN2026">
            <v>0</v>
          </cell>
        </row>
        <row r="2027">
          <cell r="E2027">
            <v>0</v>
          </cell>
          <cell r="F2027">
            <v>0</v>
          </cell>
          <cell r="DN2027">
            <v>0</v>
          </cell>
        </row>
        <row r="2028">
          <cell r="E2028">
            <v>0</v>
          </cell>
          <cell r="F2028">
            <v>0</v>
          </cell>
          <cell r="DN2028">
            <v>0</v>
          </cell>
        </row>
        <row r="2029">
          <cell r="E2029">
            <v>0</v>
          </cell>
          <cell r="F2029">
            <v>0</v>
          </cell>
          <cell r="DN2029">
            <v>0</v>
          </cell>
        </row>
        <row r="2030">
          <cell r="E2030">
            <v>0</v>
          </cell>
          <cell r="F2030">
            <v>0</v>
          </cell>
          <cell r="DN2030">
            <v>0</v>
          </cell>
        </row>
        <row r="2031">
          <cell r="E2031">
            <v>0</v>
          </cell>
          <cell r="F2031">
            <v>0</v>
          </cell>
          <cell r="DN2031">
            <v>0</v>
          </cell>
        </row>
        <row r="2032">
          <cell r="E2032">
            <v>0</v>
          </cell>
          <cell r="F2032">
            <v>0</v>
          </cell>
          <cell r="DN2032">
            <v>0</v>
          </cell>
        </row>
        <row r="2033">
          <cell r="E2033">
            <v>0</v>
          </cell>
          <cell r="F2033">
            <v>0</v>
          </cell>
          <cell r="DN2033">
            <v>0</v>
          </cell>
        </row>
        <row r="2034">
          <cell r="E2034">
            <v>0</v>
          </cell>
          <cell r="F2034">
            <v>0</v>
          </cell>
          <cell r="DN2034">
            <v>0</v>
          </cell>
        </row>
        <row r="2035">
          <cell r="E2035">
            <v>0</v>
          </cell>
          <cell r="F2035">
            <v>0</v>
          </cell>
          <cell r="DN2035">
            <v>0</v>
          </cell>
        </row>
        <row r="2036">
          <cell r="E2036">
            <v>0</v>
          </cell>
          <cell r="F2036">
            <v>0</v>
          </cell>
          <cell r="DN2036">
            <v>0</v>
          </cell>
        </row>
        <row r="2037">
          <cell r="E2037">
            <v>0</v>
          </cell>
          <cell r="F2037">
            <v>0</v>
          </cell>
          <cell r="DN2037">
            <v>0</v>
          </cell>
        </row>
        <row r="2038">
          <cell r="E2038">
            <v>0</v>
          </cell>
          <cell r="F2038">
            <v>0</v>
          </cell>
          <cell r="DN2038">
            <v>0</v>
          </cell>
        </row>
        <row r="2039">
          <cell r="E2039">
            <v>0</v>
          </cell>
          <cell r="F2039">
            <v>0</v>
          </cell>
          <cell r="DN2039">
            <v>0</v>
          </cell>
        </row>
        <row r="2040">
          <cell r="E2040">
            <v>0</v>
          </cell>
          <cell r="F2040">
            <v>0</v>
          </cell>
          <cell r="DN2040">
            <v>0</v>
          </cell>
        </row>
        <row r="2041">
          <cell r="E2041">
            <v>0</v>
          </cell>
          <cell r="F2041">
            <v>0</v>
          </cell>
          <cell r="DN2041">
            <v>0</v>
          </cell>
        </row>
        <row r="2042">
          <cell r="E2042">
            <v>0</v>
          </cell>
          <cell r="F2042">
            <v>0</v>
          </cell>
          <cell r="DN2042">
            <v>0</v>
          </cell>
        </row>
        <row r="2043">
          <cell r="E2043">
            <v>0</v>
          </cell>
          <cell r="F2043">
            <v>0</v>
          </cell>
          <cell r="DN2043">
            <v>0</v>
          </cell>
        </row>
        <row r="2044">
          <cell r="E2044">
            <v>0</v>
          </cell>
          <cell r="F2044">
            <v>0</v>
          </cell>
          <cell r="DN2044">
            <v>0</v>
          </cell>
        </row>
        <row r="2045">
          <cell r="E2045">
            <v>0</v>
          </cell>
          <cell r="F2045">
            <v>0</v>
          </cell>
          <cell r="DN2045">
            <v>0</v>
          </cell>
        </row>
        <row r="2046">
          <cell r="E2046">
            <v>0</v>
          </cell>
          <cell r="F2046">
            <v>0</v>
          </cell>
          <cell r="DN2046">
            <v>0</v>
          </cell>
        </row>
        <row r="2047">
          <cell r="E2047">
            <v>0</v>
          </cell>
          <cell r="F2047">
            <v>0</v>
          </cell>
          <cell r="AX2047" t="str">
            <v>49</v>
          </cell>
          <cell r="DN2047">
            <v>0</v>
          </cell>
        </row>
        <row r="2048">
          <cell r="A2048" t="str">
            <v>1</v>
          </cell>
          <cell r="D2048" t="str">
            <v>4</v>
          </cell>
          <cell r="E2048">
            <v>2</v>
          </cell>
          <cell r="F2048">
            <v>3</v>
          </cell>
          <cell r="G2048" t="str">
            <v>7</v>
          </cell>
          <cell r="H2048" t="str">
            <v>8</v>
          </cell>
          <cell r="I2048" t="str">
            <v>9</v>
          </cell>
          <cell r="J2048" t="str">
            <v>10</v>
          </cell>
          <cell r="K2048" t="str">
            <v>11</v>
          </cell>
          <cell r="L2048" t="str">
            <v>12</v>
          </cell>
          <cell r="M2048" t="str">
            <v>13</v>
          </cell>
          <cell r="N2048" t="str">
            <v>14</v>
          </cell>
          <cell r="O2048" t="str">
            <v>15</v>
          </cell>
          <cell r="P2048" t="str">
            <v>16</v>
          </cell>
          <cell r="Q2048" t="str">
            <v>17</v>
          </cell>
          <cell r="R2048" t="str">
            <v>18</v>
          </cell>
          <cell r="S2048" t="str">
            <v>19</v>
          </cell>
          <cell r="T2048" t="str">
            <v>20</v>
          </cell>
          <cell r="U2048" t="str">
            <v>21</v>
          </cell>
          <cell r="V2048" t="str">
            <v>22</v>
          </cell>
          <cell r="W2048" t="str">
            <v>23</v>
          </cell>
          <cell r="X2048" t="str">
            <v>24</v>
          </cell>
          <cell r="Y2048" t="str">
            <v>25</v>
          </cell>
          <cell r="Z2048" t="str">
            <v>26</v>
          </cell>
          <cell r="AA2048" t="str">
            <v>27</v>
          </cell>
          <cell r="AB2048" t="str">
            <v>28</v>
          </cell>
          <cell r="AC2048" t="str">
            <v>29</v>
          </cell>
          <cell r="AD2048" t="str">
            <v>30</v>
          </cell>
          <cell r="AE2048" t="str">
            <v>31</v>
          </cell>
          <cell r="AF2048" t="str">
            <v>32</v>
          </cell>
          <cell r="AG2048" t="str">
            <v>33</v>
          </cell>
          <cell r="AH2048" t="str">
            <v>34</v>
          </cell>
          <cell r="AI2048" t="str">
            <v>35</v>
          </cell>
          <cell r="AJ2048" t="str">
            <v>36</v>
          </cell>
          <cell r="AK2048" t="str">
            <v>37</v>
          </cell>
          <cell r="AL2048" t="str">
            <v>38</v>
          </cell>
          <cell r="AM2048" t="str">
            <v>39</v>
          </cell>
          <cell r="AN2048" t="str">
            <v>40</v>
          </cell>
          <cell r="AO2048" t="str">
            <v>41</v>
          </cell>
          <cell r="AP2048" t="str">
            <v>42</v>
          </cell>
          <cell r="AQ2048" t="str">
            <v>43</v>
          </cell>
          <cell r="AR2048" t="str">
            <v>44</v>
          </cell>
          <cell r="AS2048" t="str">
            <v>45</v>
          </cell>
          <cell r="AT2048" t="str">
            <v>46</v>
          </cell>
          <cell r="AU2048" t="str">
            <v>47</v>
          </cell>
          <cell r="AV2048" t="str">
            <v>48</v>
          </cell>
          <cell r="AW2048" t="str">
            <v>49</v>
          </cell>
          <cell r="AX2048" t="str">
            <v>50</v>
          </cell>
          <cell r="AY2048" t="str">
            <v>51</v>
          </cell>
          <cell r="AZ2048" t="str">
            <v>52</v>
          </cell>
          <cell r="BA2048" t="str">
            <v>53</v>
          </cell>
          <cell r="BB2048" t="str">
            <v>54</v>
          </cell>
          <cell r="BC2048" t="str">
            <v>55</v>
          </cell>
          <cell r="BD2048" t="str">
            <v>56</v>
          </cell>
          <cell r="BE2048" t="str">
            <v>57</v>
          </cell>
          <cell r="BF2048" t="str">
            <v>58</v>
          </cell>
          <cell r="BG2048" t="str">
            <v>59</v>
          </cell>
          <cell r="BH2048" t="str">
            <v>60</v>
          </cell>
          <cell r="BI2048" t="str">
            <v>61</v>
          </cell>
          <cell r="BJ2048" t="str">
            <v>62</v>
          </cell>
          <cell r="BK2048" t="str">
            <v>63</v>
          </cell>
          <cell r="BL2048" t="str">
            <v>64</v>
          </cell>
          <cell r="DN2048" t="str">
            <v>4</v>
          </cell>
        </row>
        <row r="2049">
          <cell r="E2049">
            <v>0</v>
          </cell>
          <cell r="F2049">
            <v>0</v>
          </cell>
          <cell r="DN2049">
            <v>0</v>
          </cell>
        </row>
        <row r="2050">
          <cell r="E2050">
            <v>0</v>
          </cell>
          <cell r="F2050">
            <v>0</v>
          </cell>
          <cell r="DN2050">
            <v>0</v>
          </cell>
        </row>
        <row r="2051">
          <cell r="E2051">
            <v>0</v>
          </cell>
          <cell r="F2051">
            <v>0</v>
          </cell>
          <cell r="DN2051">
            <v>0</v>
          </cell>
        </row>
        <row r="2052">
          <cell r="E2052">
            <v>0</v>
          </cell>
          <cell r="F2052">
            <v>0</v>
          </cell>
          <cell r="DN2052">
            <v>0</v>
          </cell>
        </row>
        <row r="2053">
          <cell r="E2053">
            <v>0</v>
          </cell>
          <cell r="F2053">
            <v>0</v>
          </cell>
          <cell r="DN2053">
            <v>0</v>
          </cell>
        </row>
        <row r="2054">
          <cell r="E2054">
            <v>0</v>
          </cell>
          <cell r="F2054">
            <v>0</v>
          </cell>
          <cell r="DN2054">
            <v>0</v>
          </cell>
        </row>
        <row r="2055">
          <cell r="E2055">
            <v>0</v>
          </cell>
          <cell r="F2055">
            <v>0</v>
          </cell>
          <cell r="DN2055">
            <v>0</v>
          </cell>
        </row>
        <row r="2056">
          <cell r="E2056">
            <v>0</v>
          </cell>
          <cell r="F2056">
            <v>0</v>
          </cell>
          <cell r="DN2056">
            <v>0</v>
          </cell>
        </row>
        <row r="2057">
          <cell r="E2057">
            <v>0</v>
          </cell>
          <cell r="F2057">
            <v>0</v>
          </cell>
          <cell r="DN2057">
            <v>0</v>
          </cell>
        </row>
        <row r="2058">
          <cell r="E2058">
            <v>0</v>
          </cell>
          <cell r="F2058">
            <v>0</v>
          </cell>
          <cell r="DN2058">
            <v>0</v>
          </cell>
        </row>
        <row r="2059">
          <cell r="E2059">
            <v>0</v>
          </cell>
          <cell r="F2059">
            <v>0</v>
          </cell>
          <cell r="DN2059">
            <v>0</v>
          </cell>
        </row>
        <row r="2060">
          <cell r="E2060">
            <v>0</v>
          </cell>
          <cell r="F2060">
            <v>0</v>
          </cell>
          <cell r="DN2060">
            <v>0</v>
          </cell>
        </row>
        <row r="2061">
          <cell r="E2061">
            <v>0</v>
          </cell>
          <cell r="F2061">
            <v>0</v>
          </cell>
          <cell r="DN2061">
            <v>0</v>
          </cell>
        </row>
        <row r="2062">
          <cell r="E2062">
            <v>0</v>
          </cell>
          <cell r="F2062">
            <v>0</v>
          </cell>
          <cell r="DN2062">
            <v>0</v>
          </cell>
        </row>
        <row r="2063">
          <cell r="E2063">
            <v>0</v>
          </cell>
          <cell r="F2063">
            <v>0</v>
          </cell>
          <cell r="DN2063">
            <v>0</v>
          </cell>
        </row>
        <row r="2064">
          <cell r="E2064">
            <v>0</v>
          </cell>
          <cell r="F2064">
            <v>0</v>
          </cell>
          <cell r="DN2064">
            <v>0</v>
          </cell>
        </row>
        <row r="2065">
          <cell r="E2065">
            <v>0</v>
          </cell>
          <cell r="F2065">
            <v>0</v>
          </cell>
          <cell r="DN2065">
            <v>0</v>
          </cell>
        </row>
        <row r="2066">
          <cell r="E2066">
            <v>0</v>
          </cell>
          <cell r="F2066">
            <v>0</v>
          </cell>
          <cell r="DN2066">
            <v>0</v>
          </cell>
        </row>
        <row r="2067">
          <cell r="E2067">
            <v>0</v>
          </cell>
          <cell r="F2067">
            <v>0</v>
          </cell>
          <cell r="DN2067">
            <v>0</v>
          </cell>
        </row>
        <row r="2068">
          <cell r="E2068">
            <v>0</v>
          </cell>
          <cell r="F2068">
            <v>0</v>
          </cell>
          <cell r="DN2068">
            <v>0</v>
          </cell>
        </row>
        <row r="2069">
          <cell r="E2069">
            <v>0</v>
          </cell>
          <cell r="F2069">
            <v>0</v>
          </cell>
          <cell r="DN2069">
            <v>0</v>
          </cell>
        </row>
        <row r="2070">
          <cell r="E2070">
            <v>0</v>
          </cell>
          <cell r="F2070">
            <v>0</v>
          </cell>
          <cell r="DN2070">
            <v>0</v>
          </cell>
        </row>
        <row r="2071">
          <cell r="E2071">
            <v>0</v>
          </cell>
          <cell r="F2071">
            <v>0</v>
          </cell>
          <cell r="DN2071">
            <v>0</v>
          </cell>
        </row>
        <row r="2072">
          <cell r="E2072">
            <v>0</v>
          </cell>
          <cell r="F2072">
            <v>0</v>
          </cell>
          <cell r="DN2072">
            <v>0</v>
          </cell>
        </row>
        <row r="2073">
          <cell r="E2073">
            <v>0</v>
          </cell>
          <cell r="F2073">
            <v>0</v>
          </cell>
          <cell r="DN2073">
            <v>0</v>
          </cell>
        </row>
        <row r="2074">
          <cell r="E2074">
            <v>0</v>
          </cell>
          <cell r="F2074">
            <v>0</v>
          </cell>
          <cell r="DN2074">
            <v>0</v>
          </cell>
        </row>
        <row r="2075">
          <cell r="E2075">
            <v>0</v>
          </cell>
          <cell r="F2075">
            <v>0</v>
          </cell>
          <cell r="DN2075">
            <v>0</v>
          </cell>
        </row>
        <row r="2076">
          <cell r="E2076">
            <v>0</v>
          </cell>
          <cell r="F2076">
            <v>0</v>
          </cell>
          <cell r="DN2076">
            <v>0</v>
          </cell>
        </row>
        <row r="2077">
          <cell r="E2077">
            <v>0</v>
          </cell>
          <cell r="F2077">
            <v>0</v>
          </cell>
          <cell r="DN2077">
            <v>0</v>
          </cell>
        </row>
        <row r="2078">
          <cell r="E2078">
            <v>0</v>
          </cell>
          <cell r="F2078">
            <v>0</v>
          </cell>
          <cell r="DN2078">
            <v>0</v>
          </cell>
        </row>
        <row r="2079">
          <cell r="E2079">
            <v>0</v>
          </cell>
          <cell r="F2079">
            <v>0</v>
          </cell>
          <cell r="DN2079">
            <v>0</v>
          </cell>
        </row>
        <row r="2080">
          <cell r="E2080">
            <v>0</v>
          </cell>
          <cell r="F2080">
            <v>0</v>
          </cell>
          <cell r="DN2080">
            <v>0</v>
          </cell>
        </row>
        <row r="2081">
          <cell r="E2081">
            <v>0</v>
          </cell>
          <cell r="F2081">
            <v>0</v>
          </cell>
          <cell r="DN2081">
            <v>0</v>
          </cell>
        </row>
        <row r="2082">
          <cell r="E2082">
            <v>0</v>
          </cell>
          <cell r="F2082">
            <v>0</v>
          </cell>
          <cell r="DN2082">
            <v>0</v>
          </cell>
        </row>
        <row r="2083">
          <cell r="E2083">
            <v>0</v>
          </cell>
          <cell r="F2083">
            <v>0</v>
          </cell>
          <cell r="DN2083">
            <v>0</v>
          </cell>
        </row>
        <row r="2084">
          <cell r="E2084">
            <v>0</v>
          </cell>
          <cell r="F2084">
            <v>0</v>
          </cell>
          <cell r="DN2084">
            <v>0</v>
          </cell>
        </row>
        <row r="2085">
          <cell r="E2085">
            <v>0</v>
          </cell>
          <cell r="F2085">
            <v>0</v>
          </cell>
          <cell r="DN2085">
            <v>0</v>
          </cell>
        </row>
        <row r="2086">
          <cell r="E2086">
            <v>0</v>
          </cell>
          <cell r="F2086">
            <v>0</v>
          </cell>
          <cell r="DN2086">
            <v>0</v>
          </cell>
        </row>
        <row r="2087">
          <cell r="E2087">
            <v>0</v>
          </cell>
          <cell r="F2087">
            <v>0</v>
          </cell>
          <cell r="DN2087">
            <v>0</v>
          </cell>
        </row>
        <row r="2088">
          <cell r="E2088">
            <v>0</v>
          </cell>
          <cell r="F2088">
            <v>0</v>
          </cell>
          <cell r="DN2088">
            <v>0</v>
          </cell>
        </row>
        <row r="2089">
          <cell r="E2089">
            <v>0</v>
          </cell>
          <cell r="F2089">
            <v>0</v>
          </cell>
          <cell r="DN2089">
            <v>0</v>
          </cell>
        </row>
        <row r="2090">
          <cell r="E2090">
            <v>0</v>
          </cell>
          <cell r="F2090">
            <v>0</v>
          </cell>
          <cell r="DN2090">
            <v>0</v>
          </cell>
        </row>
        <row r="2091">
          <cell r="E2091">
            <v>0</v>
          </cell>
          <cell r="F2091">
            <v>0</v>
          </cell>
          <cell r="DN2091">
            <v>0</v>
          </cell>
        </row>
        <row r="2092">
          <cell r="E2092">
            <v>0</v>
          </cell>
          <cell r="F2092">
            <v>0</v>
          </cell>
          <cell r="DN2092">
            <v>0</v>
          </cell>
        </row>
        <row r="2093">
          <cell r="E2093">
            <v>0</v>
          </cell>
          <cell r="F2093">
            <v>0</v>
          </cell>
          <cell r="DN2093">
            <v>0</v>
          </cell>
        </row>
        <row r="2094">
          <cell r="E2094">
            <v>0</v>
          </cell>
          <cell r="F2094">
            <v>0</v>
          </cell>
          <cell r="DN2094">
            <v>0</v>
          </cell>
        </row>
        <row r="2095">
          <cell r="E2095">
            <v>0</v>
          </cell>
          <cell r="F2095">
            <v>0</v>
          </cell>
          <cell r="DN2095">
            <v>0</v>
          </cell>
        </row>
        <row r="2096">
          <cell r="E2096">
            <v>0</v>
          </cell>
          <cell r="F2096">
            <v>0</v>
          </cell>
          <cell r="DN2096">
            <v>0</v>
          </cell>
        </row>
        <row r="2097">
          <cell r="E2097">
            <v>0</v>
          </cell>
          <cell r="F2097">
            <v>0</v>
          </cell>
          <cell r="DN2097">
            <v>0</v>
          </cell>
        </row>
        <row r="2098">
          <cell r="E2098">
            <v>0</v>
          </cell>
          <cell r="F2098">
            <v>0</v>
          </cell>
          <cell r="DN2098">
            <v>0</v>
          </cell>
        </row>
        <row r="2099">
          <cell r="E2099">
            <v>0</v>
          </cell>
          <cell r="F2099">
            <v>0</v>
          </cell>
          <cell r="DN2099">
            <v>0</v>
          </cell>
        </row>
        <row r="2100">
          <cell r="E2100">
            <v>0</v>
          </cell>
          <cell r="F2100">
            <v>0</v>
          </cell>
          <cell r="DN2100">
            <v>0</v>
          </cell>
        </row>
        <row r="2101">
          <cell r="E2101">
            <v>0</v>
          </cell>
          <cell r="F2101">
            <v>0</v>
          </cell>
          <cell r="DN2101">
            <v>0</v>
          </cell>
        </row>
        <row r="2102">
          <cell r="E2102">
            <v>0</v>
          </cell>
          <cell r="F2102">
            <v>0</v>
          </cell>
          <cell r="DN2102">
            <v>0</v>
          </cell>
        </row>
        <row r="2103">
          <cell r="E2103">
            <v>0</v>
          </cell>
          <cell r="F2103">
            <v>0</v>
          </cell>
          <cell r="DN2103">
            <v>0</v>
          </cell>
        </row>
        <row r="2104">
          <cell r="E2104">
            <v>0</v>
          </cell>
          <cell r="F2104">
            <v>0</v>
          </cell>
          <cell r="DN2104">
            <v>0</v>
          </cell>
        </row>
        <row r="2105">
          <cell r="E2105">
            <v>0</v>
          </cell>
          <cell r="F2105">
            <v>0</v>
          </cell>
          <cell r="DN2105">
            <v>0</v>
          </cell>
        </row>
        <row r="2106">
          <cell r="E2106">
            <v>0</v>
          </cell>
          <cell r="F2106">
            <v>0</v>
          </cell>
          <cell r="DN2106">
            <v>0</v>
          </cell>
        </row>
        <row r="2107">
          <cell r="E2107">
            <v>0</v>
          </cell>
          <cell r="F2107">
            <v>0</v>
          </cell>
          <cell r="DN2107">
            <v>0</v>
          </cell>
        </row>
        <row r="2108">
          <cell r="E2108">
            <v>0</v>
          </cell>
          <cell r="F2108">
            <v>0</v>
          </cell>
          <cell r="DN2108">
            <v>0</v>
          </cell>
        </row>
        <row r="2109">
          <cell r="E2109">
            <v>0</v>
          </cell>
          <cell r="F2109">
            <v>0</v>
          </cell>
          <cell r="DN2109">
            <v>0</v>
          </cell>
        </row>
        <row r="2110">
          <cell r="E2110">
            <v>0</v>
          </cell>
          <cell r="F2110">
            <v>0</v>
          </cell>
          <cell r="DN2110">
            <v>0</v>
          </cell>
        </row>
        <row r="2111">
          <cell r="E2111">
            <v>0</v>
          </cell>
          <cell r="F2111">
            <v>0</v>
          </cell>
          <cell r="DN2111">
            <v>0</v>
          </cell>
        </row>
        <row r="2112">
          <cell r="E2112">
            <v>0</v>
          </cell>
          <cell r="F2112">
            <v>0</v>
          </cell>
          <cell r="DN2112">
            <v>0</v>
          </cell>
        </row>
        <row r="2113">
          <cell r="E2113">
            <v>0</v>
          </cell>
          <cell r="F2113">
            <v>0</v>
          </cell>
          <cell r="DN2113">
            <v>0</v>
          </cell>
        </row>
        <row r="2114">
          <cell r="E2114">
            <v>0</v>
          </cell>
          <cell r="F2114">
            <v>0</v>
          </cell>
          <cell r="DN2114">
            <v>0</v>
          </cell>
        </row>
        <row r="2115">
          <cell r="E2115">
            <v>0</v>
          </cell>
          <cell r="F2115">
            <v>0</v>
          </cell>
          <cell r="DN2115">
            <v>0</v>
          </cell>
        </row>
        <row r="2116">
          <cell r="E2116">
            <v>0</v>
          </cell>
          <cell r="F2116">
            <v>0</v>
          </cell>
          <cell r="DN2116">
            <v>0</v>
          </cell>
        </row>
        <row r="2117">
          <cell r="E2117">
            <v>0</v>
          </cell>
          <cell r="F2117">
            <v>0</v>
          </cell>
          <cell r="DN2117">
            <v>0</v>
          </cell>
        </row>
        <row r="2118">
          <cell r="E2118">
            <v>0</v>
          </cell>
          <cell r="F2118">
            <v>0</v>
          </cell>
          <cell r="DN2118">
            <v>0</v>
          </cell>
        </row>
        <row r="2119">
          <cell r="E2119">
            <v>0</v>
          </cell>
          <cell r="F2119">
            <v>0</v>
          </cell>
          <cell r="DN2119">
            <v>0</v>
          </cell>
        </row>
        <row r="2120">
          <cell r="E2120">
            <v>0</v>
          </cell>
          <cell r="F2120">
            <v>0</v>
          </cell>
          <cell r="DN2120">
            <v>0</v>
          </cell>
        </row>
        <row r="2121">
          <cell r="E2121">
            <v>0</v>
          </cell>
          <cell r="F2121">
            <v>0</v>
          </cell>
          <cell r="DN2121">
            <v>0</v>
          </cell>
        </row>
        <row r="2122">
          <cell r="E2122">
            <v>0</v>
          </cell>
          <cell r="F2122">
            <v>0</v>
          </cell>
          <cell r="DN2122">
            <v>0</v>
          </cell>
        </row>
        <row r="2123">
          <cell r="E2123">
            <v>0</v>
          </cell>
          <cell r="F2123">
            <v>0</v>
          </cell>
          <cell r="DN2123">
            <v>0</v>
          </cell>
        </row>
        <row r="2124">
          <cell r="E2124">
            <v>0</v>
          </cell>
          <cell r="F2124">
            <v>0</v>
          </cell>
          <cell r="DN2124">
            <v>0</v>
          </cell>
        </row>
        <row r="2125">
          <cell r="E2125">
            <v>0</v>
          </cell>
          <cell r="F2125">
            <v>0</v>
          </cell>
          <cell r="DN2125">
            <v>0</v>
          </cell>
        </row>
        <row r="2126">
          <cell r="E2126">
            <v>0</v>
          </cell>
          <cell r="F2126">
            <v>0</v>
          </cell>
          <cell r="DN2126">
            <v>0</v>
          </cell>
        </row>
        <row r="2127">
          <cell r="E2127">
            <v>0</v>
          </cell>
          <cell r="F2127">
            <v>0</v>
          </cell>
          <cell r="DN2127">
            <v>0</v>
          </cell>
        </row>
        <row r="2128">
          <cell r="E2128">
            <v>0</v>
          </cell>
          <cell r="F2128">
            <v>0</v>
          </cell>
          <cell r="DN2128">
            <v>0</v>
          </cell>
        </row>
        <row r="2129">
          <cell r="E2129">
            <v>0</v>
          </cell>
          <cell r="F2129">
            <v>0</v>
          </cell>
          <cell r="DN2129">
            <v>0</v>
          </cell>
        </row>
        <row r="2130">
          <cell r="E2130">
            <v>0</v>
          </cell>
          <cell r="F2130">
            <v>0</v>
          </cell>
          <cell r="DN2130">
            <v>0</v>
          </cell>
        </row>
        <row r="2131">
          <cell r="E2131">
            <v>0</v>
          </cell>
          <cell r="F2131">
            <v>0</v>
          </cell>
          <cell r="DN2131">
            <v>0</v>
          </cell>
        </row>
        <row r="2132">
          <cell r="E2132">
            <v>0</v>
          </cell>
          <cell r="F2132">
            <v>0</v>
          </cell>
          <cell r="DN2132">
            <v>0</v>
          </cell>
        </row>
        <row r="2133">
          <cell r="E2133">
            <v>0</v>
          </cell>
          <cell r="F2133">
            <v>0</v>
          </cell>
          <cell r="DN2133">
            <v>0</v>
          </cell>
        </row>
        <row r="2134">
          <cell r="E2134">
            <v>0</v>
          </cell>
          <cell r="F2134">
            <v>0</v>
          </cell>
          <cell r="DN2134">
            <v>0</v>
          </cell>
        </row>
        <row r="2135">
          <cell r="E2135">
            <v>0</v>
          </cell>
          <cell r="F2135">
            <v>0</v>
          </cell>
          <cell r="DN2135">
            <v>0</v>
          </cell>
        </row>
        <row r="2136">
          <cell r="E2136">
            <v>0</v>
          </cell>
          <cell r="F2136">
            <v>0</v>
          </cell>
          <cell r="DN2136">
            <v>0</v>
          </cell>
        </row>
        <row r="2137">
          <cell r="E2137">
            <v>0</v>
          </cell>
          <cell r="F2137">
            <v>0</v>
          </cell>
          <cell r="DN2137">
            <v>0</v>
          </cell>
        </row>
        <row r="2138">
          <cell r="E2138">
            <v>0</v>
          </cell>
          <cell r="F2138">
            <v>0</v>
          </cell>
          <cell r="DN2138">
            <v>0</v>
          </cell>
        </row>
        <row r="2139">
          <cell r="E2139">
            <v>0</v>
          </cell>
          <cell r="F2139">
            <v>0</v>
          </cell>
          <cell r="DN2139">
            <v>0</v>
          </cell>
        </row>
        <row r="2140">
          <cell r="E2140">
            <v>0</v>
          </cell>
          <cell r="F2140">
            <v>0</v>
          </cell>
          <cell r="DN2140">
            <v>0</v>
          </cell>
        </row>
        <row r="2141">
          <cell r="E2141">
            <v>0</v>
          </cell>
          <cell r="F2141">
            <v>0</v>
          </cell>
          <cell r="DN2141">
            <v>0</v>
          </cell>
        </row>
        <row r="2142">
          <cell r="E2142">
            <v>0</v>
          </cell>
          <cell r="F2142">
            <v>0</v>
          </cell>
          <cell r="DN2142">
            <v>0</v>
          </cell>
        </row>
        <row r="2143">
          <cell r="E2143">
            <v>0</v>
          </cell>
          <cell r="F2143">
            <v>0</v>
          </cell>
          <cell r="DN2143">
            <v>0</v>
          </cell>
        </row>
        <row r="2144">
          <cell r="E2144">
            <v>0</v>
          </cell>
          <cell r="F2144">
            <v>0</v>
          </cell>
          <cell r="DN2144">
            <v>0</v>
          </cell>
        </row>
        <row r="2145">
          <cell r="E2145">
            <v>0</v>
          </cell>
          <cell r="F2145">
            <v>0</v>
          </cell>
          <cell r="DN2145">
            <v>0</v>
          </cell>
        </row>
        <row r="2146">
          <cell r="E2146">
            <v>0</v>
          </cell>
          <cell r="F2146">
            <v>0</v>
          </cell>
          <cell r="DN2146">
            <v>0</v>
          </cell>
        </row>
        <row r="2147">
          <cell r="E2147">
            <v>0</v>
          </cell>
          <cell r="F2147">
            <v>0</v>
          </cell>
          <cell r="DN2147">
            <v>0</v>
          </cell>
        </row>
        <row r="2148">
          <cell r="E2148">
            <v>0</v>
          </cell>
          <cell r="F2148">
            <v>0</v>
          </cell>
          <cell r="DN2148">
            <v>0</v>
          </cell>
        </row>
        <row r="2149">
          <cell r="E2149">
            <v>0</v>
          </cell>
          <cell r="F2149">
            <v>0</v>
          </cell>
          <cell r="DN2149">
            <v>0</v>
          </cell>
        </row>
        <row r="2150">
          <cell r="E2150">
            <v>0</v>
          </cell>
          <cell r="F2150">
            <v>0</v>
          </cell>
          <cell r="DN2150">
            <v>0</v>
          </cell>
        </row>
        <row r="2151">
          <cell r="E2151">
            <v>0</v>
          </cell>
          <cell r="F2151">
            <v>0</v>
          </cell>
          <cell r="DN2151">
            <v>0</v>
          </cell>
        </row>
        <row r="2152">
          <cell r="E2152">
            <v>0</v>
          </cell>
          <cell r="F2152">
            <v>0</v>
          </cell>
          <cell r="DN2152">
            <v>0</v>
          </cell>
        </row>
        <row r="2153">
          <cell r="E2153">
            <v>0</v>
          </cell>
          <cell r="F2153">
            <v>0</v>
          </cell>
          <cell r="DN2153">
            <v>0</v>
          </cell>
        </row>
        <row r="2154">
          <cell r="E2154">
            <v>0</v>
          </cell>
          <cell r="F2154">
            <v>0</v>
          </cell>
          <cell r="DN2154">
            <v>0</v>
          </cell>
        </row>
        <row r="2155">
          <cell r="E2155">
            <v>0</v>
          </cell>
          <cell r="F2155">
            <v>0</v>
          </cell>
          <cell r="DN2155">
            <v>0</v>
          </cell>
        </row>
        <row r="2156">
          <cell r="E2156">
            <v>0</v>
          </cell>
          <cell r="F2156">
            <v>0</v>
          </cell>
          <cell r="DN2156">
            <v>0</v>
          </cell>
        </row>
        <row r="2157">
          <cell r="E2157">
            <v>0</v>
          </cell>
          <cell r="F2157">
            <v>0</v>
          </cell>
          <cell r="DN2157">
            <v>0</v>
          </cell>
        </row>
        <row r="2158">
          <cell r="E2158">
            <v>0</v>
          </cell>
          <cell r="F2158">
            <v>0</v>
          </cell>
          <cell r="DN2158">
            <v>0</v>
          </cell>
        </row>
        <row r="2159">
          <cell r="E2159">
            <v>0</v>
          </cell>
          <cell r="F2159">
            <v>0</v>
          </cell>
          <cell r="DN2159">
            <v>0</v>
          </cell>
        </row>
        <row r="2160">
          <cell r="E2160">
            <v>0</v>
          </cell>
          <cell r="F2160">
            <v>0</v>
          </cell>
          <cell r="DN2160">
            <v>0</v>
          </cell>
        </row>
        <row r="2161">
          <cell r="E2161">
            <v>0</v>
          </cell>
          <cell r="F2161">
            <v>0</v>
          </cell>
          <cell r="DN2161">
            <v>0</v>
          </cell>
        </row>
        <row r="2162">
          <cell r="E2162">
            <v>0</v>
          </cell>
          <cell r="F2162">
            <v>0</v>
          </cell>
          <cell r="DN2162">
            <v>0</v>
          </cell>
        </row>
        <row r="2163">
          <cell r="E2163">
            <v>0</v>
          </cell>
          <cell r="F2163">
            <v>0</v>
          </cell>
          <cell r="DN2163">
            <v>0</v>
          </cell>
        </row>
        <row r="2164">
          <cell r="E2164">
            <v>0</v>
          </cell>
          <cell r="F2164">
            <v>0</v>
          </cell>
          <cell r="DN2164">
            <v>0</v>
          </cell>
        </row>
        <row r="2165">
          <cell r="E2165">
            <v>0</v>
          </cell>
          <cell r="F2165">
            <v>0</v>
          </cell>
          <cell r="DN2165">
            <v>0</v>
          </cell>
        </row>
        <row r="2166">
          <cell r="E2166">
            <v>0</v>
          </cell>
          <cell r="F2166">
            <v>0</v>
          </cell>
          <cell r="DN2166">
            <v>0</v>
          </cell>
        </row>
        <row r="2167">
          <cell r="E2167">
            <v>0</v>
          </cell>
          <cell r="F2167">
            <v>0</v>
          </cell>
          <cell r="DN2167">
            <v>0</v>
          </cell>
        </row>
        <row r="2168">
          <cell r="E2168">
            <v>0</v>
          </cell>
          <cell r="F2168">
            <v>0</v>
          </cell>
          <cell r="DN2168">
            <v>0</v>
          </cell>
        </row>
        <row r="2169">
          <cell r="E2169">
            <v>0</v>
          </cell>
          <cell r="F2169">
            <v>0</v>
          </cell>
          <cell r="DN2169">
            <v>0</v>
          </cell>
        </row>
        <row r="2170">
          <cell r="E2170">
            <v>0</v>
          </cell>
          <cell r="F2170">
            <v>0</v>
          </cell>
          <cell r="DN2170">
            <v>0</v>
          </cell>
        </row>
        <row r="2171">
          <cell r="E2171">
            <v>0</v>
          </cell>
          <cell r="F2171">
            <v>0</v>
          </cell>
          <cell r="DN2171">
            <v>0</v>
          </cell>
        </row>
        <row r="2172">
          <cell r="E2172">
            <v>0</v>
          </cell>
          <cell r="F2172">
            <v>0</v>
          </cell>
          <cell r="DN2172">
            <v>0</v>
          </cell>
        </row>
        <row r="2173">
          <cell r="E2173">
            <v>0</v>
          </cell>
          <cell r="F2173">
            <v>0</v>
          </cell>
          <cell r="DN2173">
            <v>0</v>
          </cell>
        </row>
        <row r="2174">
          <cell r="E2174">
            <v>0</v>
          </cell>
          <cell r="F2174">
            <v>0</v>
          </cell>
          <cell r="DN2174">
            <v>0</v>
          </cell>
        </row>
        <row r="2175">
          <cell r="E2175">
            <v>0</v>
          </cell>
          <cell r="F2175">
            <v>0</v>
          </cell>
          <cell r="DN2175">
            <v>0</v>
          </cell>
        </row>
        <row r="2176">
          <cell r="E2176">
            <v>0</v>
          </cell>
          <cell r="F2176">
            <v>0</v>
          </cell>
          <cell r="DN2176">
            <v>0</v>
          </cell>
        </row>
        <row r="2177">
          <cell r="E2177">
            <v>0</v>
          </cell>
          <cell r="F2177">
            <v>0</v>
          </cell>
          <cell r="DN2177">
            <v>0</v>
          </cell>
        </row>
        <row r="2178">
          <cell r="E2178">
            <v>0</v>
          </cell>
          <cell r="F2178">
            <v>0</v>
          </cell>
          <cell r="DN2178">
            <v>0</v>
          </cell>
        </row>
        <row r="2179">
          <cell r="E2179">
            <v>0</v>
          </cell>
          <cell r="F2179">
            <v>0</v>
          </cell>
          <cell r="DN2179">
            <v>0</v>
          </cell>
        </row>
        <row r="2180">
          <cell r="E2180">
            <v>0</v>
          </cell>
          <cell r="F2180">
            <v>0</v>
          </cell>
          <cell r="DN2180">
            <v>0</v>
          </cell>
        </row>
        <row r="2181">
          <cell r="E2181">
            <v>0</v>
          </cell>
          <cell r="F2181">
            <v>0</v>
          </cell>
          <cell r="DN2181">
            <v>0</v>
          </cell>
        </row>
        <row r="2182">
          <cell r="E2182">
            <v>0</v>
          </cell>
          <cell r="F2182">
            <v>0</v>
          </cell>
          <cell r="DN2182">
            <v>0</v>
          </cell>
        </row>
        <row r="2183">
          <cell r="E2183">
            <v>0</v>
          </cell>
          <cell r="F2183">
            <v>0</v>
          </cell>
          <cell r="DN2183">
            <v>0</v>
          </cell>
        </row>
        <row r="2184">
          <cell r="E2184">
            <v>0</v>
          </cell>
          <cell r="F2184">
            <v>0</v>
          </cell>
          <cell r="DN2184">
            <v>0</v>
          </cell>
        </row>
        <row r="2185">
          <cell r="E2185">
            <v>0</v>
          </cell>
          <cell r="F2185">
            <v>0</v>
          </cell>
          <cell r="DN2185">
            <v>0</v>
          </cell>
        </row>
        <row r="2186">
          <cell r="E2186">
            <v>0</v>
          </cell>
          <cell r="F2186">
            <v>0</v>
          </cell>
          <cell r="DN2186">
            <v>0</v>
          </cell>
        </row>
        <row r="2187">
          <cell r="E2187">
            <v>0</v>
          </cell>
          <cell r="F2187">
            <v>0</v>
          </cell>
          <cell r="DN2187">
            <v>0</v>
          </cell>
        </row>
        <row r="2188">
          <cell r="E2188">
            <v>0</v>
          </cell>
          <cell r="F2188">
            <v>0</v>
          </cell>
          <cell r="DN2188">
            <v>0</v>
          </cell>
        </row>
        <row r="2189">
          <cell r="E2189">
            <v>0</v>
          </cell>
          <cell r="F2189">
            <v>0</v>
          </cell>
          <cell r="DN2189">
            <v>0</v>
          </cell>
        </row>
        <row r="2190">
          <cell r="E2190">
            <v>0</v>
          </cell>
          <cell r="F2190">
            <v>0</v>
          </cell>
          <cell r="DN2190">
            <v>0</v>
          </cell>
        </row>
        <row r="2191">
          <cell r="E2191">
            <v>0</v>
          </cell>
          <cell r="F2191">
            <v>0</v>
          </cell>
          <cell r="DN2191">
            <v>0</v>
          </cell>
        </row>
        <row r="2192">
          <cell r="E2192">
            <v>0</v>
          </cell>
          <cell r="F2192">
            <v>0</v>
          </cell>
          <cell r="DN2192">
            <v>0</v>
          </cell>
        </row>
        <row r="2193">
          <cell r="E2193">
            <v>0</v>
          </cell>
          <cell r="F2193">
            <v>0</v>
          </cell>
          <cell r="DN2193">
            <v>0</v>
          </cell>
        </row>
        <row r="2194">
          <cell r="E2194">
            <v>0</v>
          </cell>
          <cell r="F2194">
            <v>0</v>
          </cell>
          <cell r="DN2194">
            <v>0</v>
          </cell>
        </row>
        <row r="2195">
          <cell r="E2195">
            <v>0</v>
          </cell>
          <cell r="F2195">
            <v>0</v>
          </cell>
          <cell r="DN2195">
            <v>0</v>
          </cell>
        </row>
        <row r="2196">
          <cell r="E2196">
            <v>0</v>
          </cell>
          <cell r="F2196">
            <v>0</v>
          </cell>
          <cell r="DN2196">
            <v>0</v>
          </cell>
        </row>
        <row r="2197">
          <cell r="E2197">
            <v>0</v>
          </cell>
          <cell r="F2197">
            <v>0</v>
          </cell>
          <cell r="DN2197">
            <v>0</v>
          </cell>
        </row>
        <row r="2198">
          <cell r="E2198">
            <v>0</v>
          </cell>
          <cell r="F2198">
            <v>0</v>
          </cell>
          <cell r="DN2198">
            <v>0</v>
          </cell>
        </row>
        <row r="2199">
          <cell r="E2199">
            <v>0</v>
          </cell>
          <cell r="F2199">
            <v>0</v>
          </cell>
          <cell r="DN2199">
            <v>0</v>
          </cell>
        </row>
        <row r="2200">
          <cell r="E2200">
            <v>0</v>
          </cell>
          <cell r="F2200">
            <v>0</v>
          </cell>
          <cell r="DN2200">
            <v>0</v>
          </cell>
        </row>
        <row r="2201">
          <cell r="E2201">
            <v>0</v>
          </cell>
          <cell r="F2201">
            <v>0</v>
          </cell>
          <cell r="DN2201">
            <v>0</v>
          </cell>
        </row>
        <row r="2202">
          <cell r="E2202">
            <v>0</v>
          </cell>
          <cell r="F2202">
            <v>0</v>
          </cell>
          <cell r="DN2202">
            <v>0</v>
          </cell>
        </row>
        <row r="2203">
          <cell r="E2203">
            <v>0</v>
          </cell>
          <cell r="F2203">
            <v>0</v>
          </cell>
          <cell r="DN2203">
            <v>0</v>
          </cell>
        </row>
        <row r="2204">
          <cell r="E2204">
            <v>0</v>
          </cell>
          <cell r="F2204">
            <v>0</v>
          </cell>
          <cell r="DN2204">
            <v>0</v>
          </cell>
        </row>
        <row r="2205">
          <cell r="E2205">
            <v>0</v>
          </cell>
          <cell r="F2205">
            <v>0</v>
          </cell>
          <cell r="DN2205">
            <v>0</v>
          </cell>
        </row>
        <row r="2206">
          <cell r="E2206">
            <v>0</v>
          </cell>
          <cell r="F2206">
            <v>0</v>
          </cell>
          <cell r="DN2206">
            <v>0</v>
          </cell>
        </row>
        <row r="2207">
          <cell r="E2207">
            <v>0</v>
          </cell>
          <cell r="F2207">
            <v>0</v>
          </cell>
          <cell r="DN2207">
            <v>0</v>
          </cell>
        </row>
        <row r="2208">
          <cell r="E2208">
            <v>0</v>
          </cell>
          <cell r="F2208">
            <v>0</v>
          </cell>
          <cell r="DN2208">
            <v>0</v>
          </cell>
        </row>
        <row r="2209">
          <cell r="E2209">
            <v>0</v>
          </cell>
          <cell r="F2209">
            <v>0</v>
          </cell>
          <cell r="DN2209">
            <v>0</v>
          </cell>
        </row>
        <row r="2210">
          <cell r="E2210">
            <v>0</v>
          </cell>
          <cell r="F2210">
            <v>0</v>
          </cell>
          <cell r="DN2210">
            <v>0</v>
          </cell>
        </row>
        <row r="2211">
          <cell r="E2211">
            <v>0</v>
          </cell>
          <cell r="F2211">
            <v>0</v>
          </cell>
          <cell r="DN2211">
            <v>0</v>
          </cell>
        </row>
        <row r="2212">
          <cell r="E2212">
            <v>0</v>
          </cell>
          <cell r="F2212">
            <v>0</v>
          </cell>
          <cell r="DN2212">
            <v>0</v>
          </cell>
        </row>
        <row r="2213">
          <cell r="E2213">
            <v>0</v>
          </cell>
          <cell r="F2213">
            <v>0</v>
          </cell>
          <cell r="DN2213">
            <v>0</v>
          </cell>
        </row>
        <row r="2214">
          <cell r="E2214">
            <v>0</v>
          </cell>
          <cell r="F2214">
            <v>0</v>
          </cell>
          <cell r="DN2214">
            <v>0</v>
          </cell>
        </row>
        <row r="2215">
          <cell r="E2215">
            <v>0</v>
          </cell>
          <cell r="F2215">
            <v>0</v>
          </cell>
          <cell r="DN2215">
            <v>0</v>
          </cell>
        </row>
        <row r="2216">
          <cell r="E2216">
            <v>0</v>
          </cell>
          <cell r="F2216">
            <v>0</v>
          </cell>
          <cell r="DN2216">
            <v>0</v>
          </cell>
        </row>
        <row r="2217">
          <cell r="E2217">
            <v>0</v>
          </cell>
          <cell r="F2217">
            <v>0</v>
          </cell>
          <cell r="DN2217">
            <v>0</v>
          </cell>
        </row>
        <row r="2218">
          <cell r="E2218">
            <v>0</v>
          </cell>
          <cell r="F2218">
            <v>0</v>
          </cell>
          <cell r="DN2218">
            <v>0</v>
          </cell>
        </row>
        <row r="2219">
          <cell r="E2219">
            <v>0</v>
          </cell>
          <cell r="F2219">
            <v>0</v>
          </cell>
          <cell r="DN2219">
            <v>0</v>
          </cell>
        </row>
        <row r="2220">
          <cell r="E2220">
            <v>0</v>
          </cell>
          <cell r="F2220">
            <v>0</v>
          </cell>
          <cell r="DN2220">
            <v>0</v>
          </cell>
        </row>
        <row r="2221">
          <cell r="E2221">
            <v>0</v>
          </cell>
          <cell r="F2221">
            <v>0</v>
          </cell>
          <cell r="DN2221">
            <v>0</v>
          </cell>
        </row>
        <row r="2222">
          <cell r="E2222">
            <v>0</v>
          </cell>
          <cell r="F2222">
            <v>0</v>
          </cell>
          <cell r="DN2222">
            <v>0</v>
          </cell>
        </row>
        <row r="2223">
          <cell r="E2223">
            <v>0</v>
          </cell>
          <cell r="F2223">
            <v>0</v>
          </cell>
          <cell r="DN2223">
            <v>0</v>
          </cell>
        </row>
        <row r="2224">
          <cell r="E2224">
            <v>0</v>
          </cell>
          <cell r="F2224">
            <v>0</v>
          </cell>
          <cell r="DN2224">
            <v>0</v>
          </cell>
        </row>
        <row r="2225">
          <cell r="E2225">
            <v>0</v>
          </cell>
          <cell r="F2225">
            <v>0</v>
          </cell>
          <cell r="DN2225">
            <v>0</v>
          </cell>
        </row>
        <row r="2226">
          <cell r="E2226">
            <v>0</v>
          </cell>
          <cell r="F2226">
            <v>0</v>
          </cell>
          <cell r="DN2226">
            <v>0</v>
          </cell>
        </row>
        <row r="2227">
          <cell r="E2227">
            <v>0</v>
          </cell>
          <cell r="F2227">
            <v>0</v>
          </cell>
          <cell r="DN2227">
            <v>0</v>
          </cell>
        </row>
        <row r="2228">
          <cell r="E2228">
            <v>0</v>
          </cell>
          <cell r="F2228">
            <v>0</v>
          </cell>
          <cell r="DN2228">
            <v>0</v>
          </cell>
        </row>
        <row r="2229">
          <cell r="E2229">
            <v>0</v>
          </cell>
          <cell r="F2229">
            <v>0</v>
          </cell>
          <cell r="DN2229">
            <v>0</v>
          </cell>
        </row>
        <row r="2230">
          <cell r="E2230">
            <v>0</v>
          </cell>
          <cell r="F2230">
            <v>0</v>
          </cell>
          <cell r="DN2230">
            <v>0</v>
          </cell>
        </row>
        <row r="2231">
          <cell r="E2231">
            <v>0</v>
          </cell>
          <cell r="F2231">
            <v>0</v>
          </cell>
          <cell r="DN2231">
            <v>0</v>
          </cell>
        </row>
        <row r="2232">
          <cell r="E2232">
            <v>0</v>
          </cell>
          <cell r="F2232">
            <v>0</v>
          </cell>
          <cell r="DN2232">
            <v>0</v>
          </cell>
        </row>
        <row r="2233">
          <cell r="E2233">
            <v>0</v>
          </cell>
          <cell r="F2233">
            <v>0</v>
          </cell>
          <cell r="DN2233">
            <v>0</v>
          </cell>
        </row>
        <row r="2234">
          <cell r="E2234">
            <v>0</v>
          </cell>
          <cell r="F2234">
            <v>0</v>
          </cell>
          <cell r="DN2234">
            <v>0</v>
          </cell>
        </row>
        <row r="2235">
          <cell r="E2235">
            <v>0</v>
          </cell>
          <cell r="F2235">
            <v>0</v>
          </cell>
          <cell r="DN2235">
            <v>0</v>
          </cell>
        </row>
        <row r="2236">
          <cell r="E2236">
            <v>0</v>
          </cell>
          <cell r="F2236">
            <v>0</v>
          </cell>
          <cell r="DN2236">
            <v>0</v>
          </cell>
        </row>
        <row r="2237">
          <cell r="E2237">
            <v>0</v>
          </cell>
          <cell r="F2237">
            <v>0</v>
          </cell>
          <cell r="DN2237">
            <v>0</v>
          </cell>
        </row>
        <row r="2238">
          <cell r="E2238">
            <v>0</v>
          </cell>
          <cell r="F2238">
            <v>0</v>
          </cell>
          <cell r="DN2238">
            <v>0</v>
          </cell>
        </row>
        <row r="2239">
          <cell r="E2239">
            <v>0</v>
          </cell>
          <cell r="F2239">
            <v>0</v>
          </cell>
          <cell r="DN2239">
            <v>0</v>
          </cell>
        </row>
        <row r="2240">
          <cell r="E2240">
            <v>0</v>
          </cell>
          <cell r="F2240">
            <v>0</v>
          </cell>
          <cell r="DN2240">
            <v>0</v>
          </cell>
        </row>
        <row r="2241">
          <cell r="E2241">
            <v>0</v>
          </cell>
          <cell r="F2241">
            <v>0</v>
          </cell>
          <cell r="DN2241">
            <v>0</v>
          </cell>
        </row>
        <row r="2242">
          <cell r="E2242">
            <v>0</v>
          </cell>
          <cell r="F2242">
            <v>0</v>
          </cell>
          <cell r="DN2242">
            <v>0</v>
          </cell>
        </row>
        <row r="2243">
          <cell r="E2243">
            <v>0</v>
          </cell>
          <cell r="F2243">
            <v>0</v>
          </cell>
          <cell r="DN2243">
            <v>0</v>
          </cell>
        </row>
        <row r="2244">
          <cell r="E2244">
            <v>0</v>
          </cell>
          <cell r="F2244">
            <v>0</v>
          </cell>
          <cell r="DN2244">
            <v>0</v>
          </cell>
        </row>
        <row r="2245">
          <cell r="E2245">
            <v>0</v>
          </cell>
          <cell r="F2245">
            <v>0</v>
          </cell>
          <cell r="DN2245">
            <v>0</v>
          </cell>
        </row>
        <row r="2246">
          <cell r="E2246">
            <v>0</v>
          </cell>
          <cell r="F2246">
            <v>0</v>
          </cell>
          <cell r="DN2246">
            <v>0</v>
          </cell>
        </row>
        <row r="2247">
          <cell r="E2247">
            <v>0</v>
          </cell>
          <cell r="F2247">
            <v>0</v>
          </cell>
          <cell r="DN2247">
            <v>0</v>
          </cell>
        </row>
        <row r="2248">
          <cell r="E2248">
            <v>0</v>
          </cell>
          <cell r="F2248">
            <v>0</v>
          </cell>
          <cell r="DN2248">
            <v>0</v>
          </cell>
        </row>
        <row r="2249">
          <cell r="E2249">
            <v>0</v>
          </cell>
          <cell r="F2249">
            <v>0</v>
          </cell>
          <cell r="DN2249">
            <v>0</v>
          </cell>
        </row>
        <row r="2250">
          <cell r="E2250">
            <v>0</v>
          </cell>
          <cell r="F2250">
            <v>0</v>
          </cell>
          <cell r="DN2250">
            <v>0</v>
          </cell>
        </row>
        <row r="2251">
          <cell r="E2251">
            <v>0</v>
          </cell>
          <cell r="F2251">
            <v>0</v>
          </cell>
          <cell r="DN2251">
            <v>0</v>
          </cell>
        </row>
        <row r="2252">
          <cell r="E2252">
            <v>0</v>
          </cell>
          <cell r="F2252">
            <v>0</v>
          </cell>
          <cell r="DN2252">
            <v>0</v>
          </cell>
        </row>
        <row r="2253">
          <cell r="E2253">
            <v>0</v>
          </cell>
          <cell r="F2253">
            <v>0</v>
          </cell>
          <cell r="DN2253">
            <v>0</v>
          </cell>
        </row>
        <row r="2254">
          <cell r="E2254">
            <v>0</v>
          </cell>
          <cell r="F2254">
            <v>0</v>
          </cell>
          <cell r="DN2254">
            <v>0</v>
          </cell>
        </row>
        <row r="2255">
          <cell r="E2255">
            <v>0</v>
          </cell>
          <cell r="F2255">
            <v>0</v>
          </cell>
          <cell r="DN2255">
            <v>0</v>
          </cell>
        </row>
        <row r="2256">
          <cell r="E2256">
            <v>0</v>
          </cell>
          <cell r="F2256">
            <v>0</v>
          </cell>
          <cell r="DN2256">
            <v>0</v>
          </cell>
        </row>
        <row r="2257">
          <cell r="E2257">
            <v>0</v>
          </cell>
          <cell r="F2257">
            <v>0</v>
          </cell>
          <cell r="DN2257">
            <v>0</v>
          </cell>
        </row>
        <row r="2258">
          <cell r="E2258">
            <v>0</v>
          </cell>
          <cell r="F2258">
            <v>0</v>
          </cell>
          <cell r="DN2258">
            <v>0</v>
          </cell>
        </row>
        <row r="2259">
          <cell r="E2259">
            <v>0</v>
          </cell>
          <cell r="F2259">
            <v>0</v>
          </cell>
          <cell r="DN2259">
            <v>0</v>
          </cell>
        </row>
        <row r="2260">
          <cell r="E2260">
            <v>0</v>
          </cell>
          <cell r="F2260">
            <v>0</v>
          </cell>
          <cell r="DN2260">
            <v>0</v>
          </cell>
        </row>
        <row r="2261">
          <cell r="E2261">
            <v>0</v>
          </cell>
          <cell r="F2261">
            <v>0</v>
          </cell>
          <cell r="DN2261">
            <v>0</v>
          </cell>
        </row>
        <row r="2262">
          <cell r="E2262">
            <v>0</v>
          </cell>
          <cell r="F2262">
            <v>0</v>
          </cell>
          <cell r="DN2262">
            <v>0</v>
          </cell>
        </row>
        <row r="2263">
          <cell r="E2263">
            <v>0</v>
          </cell>
          <cell r="F2263">
            <v>0</v>
          </cell>
          <cell r="DN2263">
            <v>0</v>
          </cell>
        </row>
        <row r="2264">
          <cell r="E2264">
            <v>0</v>
          </cell>
          <cell r="F2264">
            <v>0</v>
          </cell>
          <cell r="DN2264">
            <v>0</v>
          </cell>
        </row>
        <row r="2265">
          <cell r="E2265">
            <v>0</v>
          </cell>
          <cell r="F2265">
            <v>0</v>
          </cell>
          <cell r="DN2265">
            <v>0</v>
          </cell>
        </row>
        <row r="2266">
          <cell r="E2266">
            <v>0</v>
          </cell>
          <cell r="F2266">
            <v>0</v>
          </cell>
          <cell r="DN2266">
            <v>0</v>
          </cell>
        </row>
        <row r="2267">
          <cell r="E2267">
            <v>0</v>
          </cell>
          <cell r="F2267">
            <v>0</v>
          </cell>
          <cell r="DN2267">
            <v>0</v>
          </cell>
        </row>
        <row r="2268">
          <cell r="E2268">
            <v>0</v>
          </cell>
          <cell r="F2268">
            <v>0</v>
          </cell>
          <cell r="DN2268">
            <v>0</v>
          </cell>
        </row>
        <row r="2269">
          <cell r="E2269">
            <v>0</v>
          </cell>
          <cell r="F2269">
            <v>0</v>
          </cell>
          <cell r="DN2269">
            <v>0</v>
          </cell>
        </row>
        <row r="2270">
          <cell r="E2270">
            <v>0</v>
          </cell>
          <cell r="F2270">
            <v>0</v>
          </cell>
          <cell r="DN2270">
            <v>0</v>
          </cell>
        </row>
        <row r="2271">
          <cell r="E2271">
            <v>0</v>
          </cell>
          <cell r="F2271">
            <v>0</v>
          </cell>
          <cell r="DN2271">
            <v>0</v>
          </cell>
        </row>
        <row r="2272">
          <cell r="E2272">
            <v>0</v>
          </cell>
          <cell r="F2272">
            <v>0</v>
          </cell>
          <cell r="DN2272">
            <v>0</v>
          </cell>
        </row>
        <row r="2273">
          <cell r="E2273">
            <v>0</v>
          </cell>
          <cell r="F2273">
            <v>0</v>
          </cell>
          <cell r="DN2273">
            <v>0</v>
          </cell>
        </row>
        <row r="2274">
          <cell r="E2274">
            <v>0</v>
          </cell>
          <cell r="F2274">
            <v>0</v>
          </cell>
          <cell r="DN2274">
            <v>0</v>
          </cell>
        </row>
        <row r="2275">
          <cell r="E2275">
            <v>0</v>
          </cell>
          <cell r="F2275">
            <v>0</v>
          </cell>
          <cell r="DN2275">
            <v>0</v>
          </cell>
        </row>
        <row r="2276">
          <cell r="E2276">
            <v>0</v>
          </cell>
          <cell r="F2276">
            <v>0</v>
          </cell>
          <cell r="DN2276">
            <v>0</v>
          </cell>
        </row>
        <row r="2277">
          <cell r="E2277">
            <v>0</v>
          </cell>
          <cell r="F2277">
            <v>0</v>
          </cell>
          <cell r="DN2277">
            <v>0</v>
          </cell>
        </row>
        <row r="2278">
          <cell r="E2278">
            <v>0</v>
          </cell>
          <cell r="F2278">
            <v>0</v>
          </cell>
          <cell r="DN2278">
            <v>0</v>
          </cell>
        </row>
        <row r="2279">
          <cell r="E2279">
            <v>0</v>
          </cell>
          <cell r="F2279">
            <v>0</v>
          </cell>
          <cell r="DN2279">
            <v>0</v>
          </cell>
        </row>
        <row r="2280">
          <cell r="E2280">
            <v>0</v>
          </cell>
          <cell r="F2280">
            <v>0</v>
          </cell>
          <cell r="DN2280">
            <v>0</v>
          </cell>
        </row>
        <row r="2281">
          <cell r="E2281">
            <v>0</v>
          </cell>
          <cell r="F2281">
            <v>0</v>
          </cell>
          <cell r="DN2281">
            <v>0</v>
          </cell>
        </row>
        <row r="2282">
          <cell r="E2282">
            <v>0</v>
          </cell>
          <cell r="F2282">
            <v>0</v>
          </cell>
          <cell r="DN2282">
            <v>0</v>
          </cell>
        </row>
        <row r="2283">
          <cell r="E2283">
            <v>0</v>
          </cell>
          <cell r="F2283">
            <v>0</v>
          </cell>
          <cell r="DN2283">
            <v>0</v>
          </cell>
        </row>
        <row r="2284">
          <cell r="E2284">
            <v>0</v>
          </cell>
          <cell r="F2284">
            <v>0</v>
          </cell>
          <cell r="DN2284">
            <v>0</v>
          </cell>
        </row>
        <row r="2285">
          <cell r="E2285">
            <v>0</v>
          </cell>
          <cell r="F2285">
            <v>0</v>
          </cell>
          <cell r="DN2285">
            <v>0</v>
          </cell>
        </row>
        <row r="2286">
          <cell r="E2286">
            <v>0</v>
          </cell>
          <cell r="F2286">
            <v>0</v>
          </cell>
          <cell r="DN2286">
            <v>0</v>
          </cell>
        </row>
        <row r="2287">
          <cell r="E2287">
            <v>0</v>
          </cell>
          <cell r="F2287">
            <v>0</v>
          </cell>
          <cell r="DN2287">
            <v>0</v>
          </cell>
        </row>
        <row r="2288">
          <cell r="E2288">
            <v>0</v>
          </cell>
          <cell r="F2288">
            <v>0</v>
          </cell>
          <cell r="DN2288">
            <v>0</v>
          </cell>
        </row>
        <row r="2289">
          <cell r="E2289">
            <v>0</v>
          </cell>
          <cell r="F2289">
            <v>0</v>
          </cell>
          <cell r="DN2289">
            <v>0</v>
          </cell>
        </row>
        <row r="2290">
          <cell r="E2290">
            <v>0</v>
          </cell>
          <cell r="F2290">
            <v>0</v>
          </cell>
          <cell r="DN2290">
            <v>0</v>
          </cell>
        </row>
        <row r="2291">
          <cell r="E2291">
            <v>0</v>
          </cell>
          <cell r="F2291">
            <v>0</v>
          </cell>
          <cell r="DN2291">
            <v>0</v>
          </cell>
        </row>
        <row r="2292">
          <cell r="E2292">
            <v>0</v>
          </cell>
          <cell r="F2292">
            <v>0</v>
          </cell>
          <cell r="DN2292">
            <v>0</v>
          </cell>
        </row>
        <row r="2293">
          <cell r="E2293">
            <v>0</v>
          </cell>
          <cell r="F2293">
            <v>0</v>
          </cell>
          <cell r="DN2293">
            <v>0</v>
          </cell>
        </row>
        <row r="2294">
          <cell r="E2294">
            <v>0</v>
          </cell>
          <cell r="F2294">
            <v>0</v>
          </cell>
          <cell r="DN2294">
            <v>0</v>
          </cell>
        </row>
        <row r="2295">
          <cell r="E2295">
            <v>0</v>
          </cell>
          <cell r="F2295">
            <v>0</v>
          </cell>
          <cell r="DN2295">
            <v>0</v>
          </cell>
        </row>
        <row r="2296">
          <cell r="E2296">
            <v>0</v>
          </cell>
          <cell r="F2296">
            <v>0</v>
          </cell>
          <cell r="DN2296">
            <v>0</v>
          </cell>
        </row>
        <row r="2297">
          <cell r="E2297">
            <v>0</v>
          </cell>
          <cell r="F2297">
            <v>0</v>
          </cell>
          <cell r="DN2297">
            <v>0</v>
          </cell>
        </row>
        <row r="2298">
          <cell r="E2298">
            <v>0</v>
          </cell>
          <cell r="F2298">
            <v>0</v>
          </cell>
          <cell r="DN2298">
            <v>0</v>
          </cell>
        </row>
        <row r="2299">
          <cell r="E2299">
            <v>0</v>
          </cell>
          <cell r="F2299">
            <v>0</v>
          </cell>
          <cell r="DN2299">
            <v>0</v>
          </cell>
        </row>
        <row r="2300">
          <cell r="E2300">
            <v>0</v>
          </cell>
          <cell r="F2300">
            <v>0</v>
          </cell>
          <cell r="DN2300">
            <v>0</v>
          </cell>
        </row>
        <row r="2301">
          <cell r="E2301">
            <v>0</v>
          </cell>
          <cell r="F2301">
            <v>0</v>
          </cell>
          <cell r="DN2301">
            <v>0</v>
          </cell>
        </row>
        <row r="2302">
          <cell r="E2302">
            <v>0</v>
          </cell>
          <cell r="F2302">
            <v>0</v>
          </cell>
          <cell r="DN2302">
            <v>0</v>
          </cell>
        </row>
        <row r="2303">
          <cell r="E2303">
            <v>0</v>
          </cell>
          <cell r="F2303">
            <v>0</v>
          </cell>
          <cell r="DN2303">
            <v>0</v>
          </cell>
        </row>
        <row r="2304">
          <cell r="E2304">
            <v>0</v>
          </cell>
          <cell r="F2304">
            <v>0</v>
          </cell>
          <cell r="DN2304">
            <v>0</v>
          </cell>
        </row>
        <row r="2305">
          <cell r="E2305">
            <v>0</v>
          </cell>
          <cell r="F2305">
            <v>0</v>
          </cell>
          <cell r="DN2305">
            <v>0</v>
          </cell>
        </row>
        <row r="2306">
          <cell r="E2306">
            <v>0</v>
          </cell>
          <cell r="F2306">
            <v>0</v>
          </cell>
          <cell r="DN2306">
            <v>0</v>
          </cell>
        </row>
        <row r="2307">
          <cell r="E2307">
            <v>0</v>
          </cell>
          <cell r="F2307">
            <v>0</v>
          </cell>
          <cell r="DN2307">
            <v>0</v>
          </cell>
        </row>
        <row r="2308">
          <cell r="E2308">
            <v>0</v>
          </cell>
          <cell r="F2308">
            <v>0</v>
          </cell>
          <cell r="DN2308">
            <v>0</v>
          </cell>
        </row>
        <row r="2309">
          <cell r="E2309">
            <v>0</v>
          </cell>
          <cell r="F2309">
            <v>0</v>
          </cell>
          <cell r="DN2309">
            <v>0</v>
          </cell>
        </row>
        <row r="2310">
          <cell r="E2310">
            <v>0</v>
          </cell>
          <cell r="F2310">
            <v>0</v>
          </cell>
          <cell r="DN2310">
            <v>0</v>
          </cell>
        </row>
        <row r="2311">
          <cell r="E2311">
            <v>0</v>
          </cell>
          <cell r="F2311">
            <v>0</v>
          </cell>
          <cell r="DN2311">
            <v>0</v>
          </cell>
        </row>
        <row r="2312">
          <cell r="E2312">
            <v>0</v>
          </cell>
          <cell r="F2312">
            <v>0</v>
          </cell>
          <cell r="DN2312">
            <v>0</v>
          </cell>
        </row>
        <row r="2313">
          <cell r="E2313">
            <v>0</v>
          </cell>
          <cell r="F2313">
            <v>0</v>
          </cell>
          <cell r="DN2313">
            <v>0</v>
          </cell>
        </row>
        <row r="2314">
          <cell r="E2314">
            <v>0</v>
          </cell>
          <cell r="F2314">
            <v>0</v>
          </cell>
          <cell r="DN2314">
            <v>0</v>
          </cell>
        </row>
        <row r="2315">
          <cell r="E2315">
            <v>0</v>
          </cell>
          <cell r="F2315">
            <v>0</v>
          </cell>
          <cell r="DN2315">
            <v>0</v>
          </cell>
        </row>
        <row r="2316">
          <cell r="E2316">
            <v>0</v>
          </cell>
          <cell r="F2316">
            <v>0</v>
          </cell>
          <cell r="DN2316">
            <v>0</v>
          </cell>
        </row>
        <row r="2317">
          <cell r="E2317">
            <v>0</v>
          </cell>
          <cell r="F2317">
            <v>0</v>
          </cell>
          <cell r="DN2317">
            <v>0</v>
          </cell>
        </row>
        <row r="2318">
          <cell r="E2318">
            <v>0</v>
          </cell>
          <cell r="F2318">
            <v>0</v>
          </cell>
          <cell r="DN2318">
            <v>0</v>
          </cell>
        </row>
        <row r="2319">
          <cell r="E2319">
            <v>0</v>
          </cell>
          <cell r="F2319">
            <v>0</v>
          </cell>
          <cell r="DN2319">
            <v>0</v>
          </cell>
        </row>
        <row r="2320">
          <cell r="E2320">
            <v>0</v>
          </cell>
          <cell r="F2320">
            <v>0</v>
          </cell>
          <cell r="DN2320">
            <v>0</v>
          </cell>
        </row>
        <row r="2321">
          <cell r="E2321">
            <v>0</v>
          </cell>
          <cell r="F2321">
            <v>0</v>
          </cell>
          <cell r="DN2321">
            <v>0</v>
          </cell>
        </row>
        <row r="2322">
          <cell r="E2322">
            <v>0</v>
          </cell>
          <cell r="F2322">
            <v>0</v>
          </cell>
          <cell r="DN2322">
            <v>0</v>
          </cell>
        </row>
        <row r="2323">
          <cell r="E2323">
            <v>0</v>
          </cell>
          <cell r="F2323">
            <v>0</v>
          </cell>
          <cell r="DN2323">
            <v>0</v>
          </cell>
        </row>
        <row r="2324">
          <cell r="E2324">
            <v>0</v>
          </cell>
          <cell r="F2324">
            <v>0</v>
          </cell>
          <cell r="DN2324">
            <v>0</v>
          </cell>
        </row>
        <row r="2325">
          <cell r="E2325">
            <v>0</v>
          </cell>
          <cell r="F2325">
            <v>0</v>
          </cell>
          <cell r="DN2325">
            <v>0</v>
          </cell>
        </row>
        <row r="2326">
          <cell r="E2326">
            <v>0</v>
          </cell>
          <cell r="F2326">
            <v>0</v>
          </cell>
          <cell r="DN2326">
            <v>0</v>
          </cell>
        </row>
        <row r="2327">
          <cell r="E2327">
            <v>0</v>
          </cell>
          <cell r="F2327">
            <v>0</v>
          </cell>
          <cell r="DN2327">
            <v>0</v>
          </cell>
        </row>
        <row r="2328">
          <cell r="E2328">
            <v>0</v>
          </cell>
          <cell r="F2328">
            <v>0</v>
          </cell>
          <cell r="DN2328">
            <v>0</v>
          </cell>
        </row>
        <row r="2329">
          <cell r="E2329">
            <v>0</v>
          </cell>
          <cell r="F2329">
            <v>0</v>
          </cell>
          <cell r="DN2329">
            <v>0</v>
          </cell>
        </row>
        <row r="2330">
          <cell r="E2330">
            <v>0</v>
          </cell>
          <cell r="F2330">
            <v>0</v>
          </cell>
          <cell r="DN2330">
            <v>0</v>
          </cell>
        </row>
        <row r="2331">
          <cell r="E2331">
            <v>0</v>
          </cell>
          <cell r="F2331">
            <v>0</v>
          </cell>
          <cell r="DN2331">
            <v>0</v>
          </cell>
        </row>
        <row r="2332">
          <cell r="E2332">
            <v>0</v>
          </cell>
          <cell r="F2332">
            <v>0</v>
          </cell>
          <cell r="DN2332">
            <v>0</v>
          </cell>
        </row>
        <row r="2333">
          <cell r="E2333">
            <v>0</v>
          </cell>
          <cell r="F2333">
            <v>0</v>
          </cell>
          <cell r="DN2333">
            <v>0</v>
          </cell>
        </row>
        <row r="2334">
          <cell r="E2334">
            <v>0</v>
          </cell>
          <cell r="F2334">
            <v>0</v>
          </cell>
          <cell r="DN2334">
            <v>0</v>
          </cell>
        </row>
        <row r="2335">
          <cell r="E2335">
            <v>0</v>
          </cell>
          <cell r="F2335">
            <v>0</v>
          </cell>
          <cell r="DN2335">
            <v>0</v>
          </cell>
        </row>
        <row r="2336">
          <cell r="E2336">
            <v>0</v>
          </cell>
          <cell r="F2336">
            <v>0</v>
          </cell>
          <cell r="DN2336">
            <v>0</v>
          </cell>
        </row>
        <row r="2337">
          <cell r="E2337">
            <v>0</v>
          </cell>
          <cell r="F2337">
            <v>0</v>
          </cell>
          <cell r="DN2337">
            <v>0</v>
          </cell>
        </row>
        <row r="2338">
          <cell r="E2338">
            <v>0</v>
          </cell>
          <cell r="F2338">
            <v>0</v>
          </cell>
          <cell r="DN2338">
            <v>0</v>
          </cell>
        </row>
        <row r="2339">
          <cell r="E2339">
            <v>0</v>
          </cell>
          <cell r="F2339">
            <v>0</v>
          </cell>
          <cell r="DN2339">
            <v>0</v>
          </cell>
        </row>
        <row r="2340">
          <cell r="E2340">
            <v>0</v>
          </cell>
          <cell r="F2340">
            <v>0</v>
          </cell>
          <cell r="DN2340">
            <v>0</v>
          </cell>
        </row>
        <row r="2341">
          <cell r="E2341">
            <v>0</v>
          </cell>
          <cell r="F2341">
            <v>0</v>
          </cell>
          <cell r="DN2341">
            <v>0</v>
          </cell>
        </row>
        <row r="2342">
          <cell r="E2342">
            <v>0</v>
          </cell>
          <cell r="F2342">
            <v>0</v>
          </cell>
          <cell r="DN2342">
            <v>0</v>
          </cell>
        </row>
        <row r="2343">
          <cell r="E2343">
            <v>0</v>
          </cell>
          <cell r="F2343">
            <v>0</v>
          </cell>
          <cell r="DN2343">
            <v>0</v>
          </cell>
        </row>
        <row r="2344">
          <cell r="E2344">
            <v>0</v>
          </cell>
          <cell r="F2344">
            <v>0</v>
          </cell>
          <cell r="DN2344">
            <v>0</v>
          </cell>
        </row>
        <row r="2345">
          <cell r="E2345">
            <v>0</v>
          </cell>
          <cell r="F2345">
            <v>0</v>
          </cell>
          <cell r="DN2345">
            <v>0</v>
          </cell>
        </row>
        <row r="2346">
          <cell r="E2346">
            <v>0</v>
          </cell>
          <cell r="F2346">
            <v>0</v>
          </cell>
          <cell r="DN2346">
            <v>0</v>
          </cell>
        </row>
        <row r="2347">
          <cell r="E2347">
            <v>0</v>
          </cell>
          <cell r="F2347">
            <v>0</v>
          </cell>
          <cell r="DN2347">
            <v>0</v>
          </cell>
        </row>
        <row r="2348">
          <cell r="E2348">
            <v>0</v>
          </cell>
          <cell r="F2348">
            <v>0</v>
          </cell>
          <cell r="DN2348">
            <v>0</v>
          </cell>
        </row>
        <row r="2349">
          <cell r="E2349">
            <v>0</v>
          </cell>
          <cell r="F2349">
            <v>0</v>
          </cell>
          <cell r="DN2349">
            <v>0</v>
          </cell>
        </row>
        <row r="2350">
          <cell r="E2350">
            <v>0</v>
          </cell>
          <cell r="F2350">
            <v>0</v>
          </cell>
          <cell r="DN2350">
            <v>0</v>
          </cell>
        </row>
        <row r="2351">
          <cell r="E2351">
            <v>0</v>
          </cell>
          <cell r="F2351">
            <v>0</v>
          </cell>
          <cell r="DN2351">
            <v>0</v>
          </cell>
        </row>
        <row r="2352">
          <cell r="E2352">
            <v>0</v>
          </cell>
          <cell r="F2352">
            <v>0</v>
          </cell>
          <cell r="DN2352">
            <v>0</v>
          </cell>
        </row>
        <row r="2353">
          <cell r="E2353">
            <v>0</v>
          </cell>
          <cell r="F2353">
            <v>0</v>
          </cell>
          <cell r="DN2353">
            <v>0</v>
          </cell>
        </row>
        <row r="2354">
          <cell r="E2354">
            <v>0</v>
          </cell>
          <cell r="F2354">
            <v>0</v>
          </cell>
          <cell r="DN2354">
            <v>0</v>
          </cell>
        </row>
        <row r="2355">
          <cell r="E2355">
            <v>0</v>
          </cell>
          <cell r="F2355">
            <v>0</v>
          </cell>
          <cell r="DN2355">
            <v>0</v>
          </cell>
        </row>
        <row r="2356">
          <cell r="E2356">
            <v>0</v>
          </cell>
          <cell r="F2356">
            <v>0</v>
          </cell>
          <cell r="DN2356">
            <v>0</v>
          </cell>
        </row>
        <row r="2357">
          <cell r="E2357">
            <v>0</v>
          </cell>
          <cell r="F2357">
            <v>0</v>
          </cell>
          <cell r="DN2357">
            <v>0</v>
          </cell>
        </row>
        <row r="2358">
          <cell r="E2358">
            <v>0</v>
          </cell>
          <cell r="F2358">
            <v>0</v>
          </cell>
          <cell r="DN2358">
            <v>0</v>
          </cell>
        </row>
        <row r="2359">
          <cell r="E2359">
            <v>0</v>
          </cell>
          <cell r="F2359">
            <v>0</v>
          </cell>
          <cell r="DN2359">
            <v>0</v>
          </cell>
        </row>
        <row r="2360">
          <cell r="E2360">
            <v>0</v>
          </cell>
          <cell r="F2360">
            <v>0</v>
          </cell>
          <cell r="DN2360">
            <v>0</v>
          </cell>
        </row>
        <row r="2361">
          <cell r="E2361">
            <v>0</v>
          </cell>
          <cell r="F2361">
            <v>0</v>
          </cell>
          <cell r="DN2361">
            <v>0</v>
          </cell>
        </row>
        <row r="2362">
          <cell r="E2362">
            <v>0</v>
          </cell>
          <cell r="F2362">
            <v>0</v>
          </cell>
          <cell r="DN2362">
            <v>0</v>
          </cell>
        </row>
        <row r="2363">
          <cell r="E2363">
            <v>0</v>
          </cell>
          <cell r="F2363">
            <v>0</v>
          </cell>
          <cell r="DN2363">
            <v>0</v>
          </cell>
        </row>
        <row r="2364">
          <cell r="E2364">
            <v>0</v>
          </cell>
          <cell r="F2364">
            <v>0</v>
          </cell>
          <cell r="DN2364">
            <v>0</v>
          </cell>
        </row>
        <row r="2365">
          <cell r="E2365">
            <v>0</v>
          </cell>
          <cell r="F2365">
            <v>0</v>
          </cell>
          <cell r="DN2365">
            <v>0</v>
          </cell>
        </row>
        <row r="2366">
          <cell r="E2366">
            <v>0</v>
          </cell>
          <cell r="F2366">
            <v>0</v>
          </cell>
          <cell r="DN2366">
            <v>0</v>
          </cell>
        </row>
        <row r="2367">
          <cell r="E2367">
            <v>0</v>
          </cell>
          <cell r="F2367">
            <v>0</v>
          </cell>
          <cell r="DN2367">
            <v>0</v>
          </cell>
        </row>
        <row r="2368">
          <cell r="E2368">
            <v>0</v>
          </cell>
          <cell r="F2368">
            <v>0</v>
          </cell>
          <cell r="DN2368">
            <v>0</v>
          </cell>
        </row>
        <row r="2369">
          <cell r="E2369">
            <v>0</v>
          </cell>
          <cell r="F2369">
            <v>0</v>
          </cell>
          <cell r="DN2369">
            <v>0</v>
          </cell>
        </row>
        <row r="2370">
          <cell r="E2370">
            <v>0</v>
          </cell>
          <cell r="F2370">
            <v>0</v>
          </cell>
          <cell r="DN2370">
            <v>0</v>
          </cell>
        </row>
        <row r="2371">
          <cell r="E2371">
            <v>0</v>
          </cell>
          <cell r="F2371">
            <v>0</v>
          </cell>
          <cell r="DN2371">
            <v>0</v>
          </cell>
        </row>
        <row r="2372">
          <cell r="E2372">
            <v>0</v>
          </cell>
          <cell r="F2372">
            <v>0</v>
          </cell>
          <cell r="DN2372">
            <v>0</v>
          </cell>
        </row>
        <row r="2373">
          <cell r="E2373">
            <v>0</v>
          </cell>
          <cell r="F2373">
            <v>0</v>
          </cell>
          <cell r="DN2373">
            <v>0</v>
          </cell>
        </row>
        <row r="2374">
          <cell r="E2374">
            <v>0</v>
          </cell>
          <cell r="F2374">
            <v>0</v>
          </cell>
          <cell r="DN2374">
            <v>0</v>
          </cell>
        </row>
        <row r="2375">
          <cell r="E2375">
            <v>0</v>
          </cell>
          <cell r="F2375">
            <v>0</v>
          </cell>
          <cell r="DN2375">
            <v>0</v>
          </cell>
        </row>
        <row r="2376">
          <cell r="E2376">
            <v>0</v>
          </cell>
          <cell r="F2376">
            <v>0</v>
          </cell>
          <cell r="DN2376">
            <v>0</v>
          </cell>
        </row>
        <row r="2377">
          <cell r="E2377">
            <v>0</v>
          </cell>
          <cell r="F2377">
            <v>0</v>
          </cell>
          <cell r="DN2377">
            <v>0</v>
          </cell>
        </row>
        <row r="2378">
          <cell r="E2378">
            <v>0</v>
          </cell>
          <cell r="F2378">
            <v>0</v>
          </cell>
          <cell r="DN2378">
            <v>0</v>
          </cell>
        </row>
        <row r="2379">
          <cell r="E2379">
            <v>0</v>
          </cell>
          <cell r="F2379">
            <v>0</v>
          </cell>
          <cell r="DN2379">
            <v>0</v>
          </cell>
        </row>
        <row r="2380">
          <cell r="E2380">
            <v>0</v>
          </cell>
          <cell r="F2380">
            <v>0</v>
          </cell>
          <cell r="DN2380">
            <v>0</v>
          </cell>
        </row>
        <row r="2381">
          <cell r="E2381">
            <v>0</v>
          </cell>
          <cell r="F2381">
            <v>0</v>
          </cell>
          <cell r="DN2381">
            <v>0</v>
          </cell>
        </row>
        <row r="2382">
          <cell r="E2382">
            <v>0</v>
          </cell>
          <cell r="F2382">
            <v>0</v>
          </cell>
          <cell r="DN2382">
            <v>0</v>
          </cell>
        </row>
        <row r="2383">
          <cell r="E2383">
            <v>0</v>
          </cell>
          <cell r="F2383">
            <v>0</v>
          </cell>
          <cell r="DN2383">
            <v>0</v>
          </cell>
        </row>
        <row r="2384">
          <cell r="E2384">
            <v>0</v>
          </cell>
          <cell r="F2384">
            <v>0</v>
          </cell>
          <cell r="DN2384">
            <v>0</v>
          </cell>
        </row>
        <row r="2385">
          <cell r="E2385">
            <v>0</v>
          </cell>
          <cell r="F2385">
            <v>0</v>
          </cell>
          <cell r="DN2385">
            <v>0</v>
          </cell>
        </row>
        <row r="2386">
          <cell r="E2386">
            <v>0</v>
          </cell>
          <cell r="F2386">
            <v>0</v>
          </cell>
          <cell r="DN2386">
            <v>0</v>
          </cell>
        </row>
        <row r="2387">
          <cell r="E2387">
            <v>0</v>
          </cell>
          <cell r="F2387">
            <v>0</v>
          </cell>
          <cell r="DN2387">
            <v>0</v>
          </cell>
        </row>
        <row r="2388">
          <cell r="E2388">
            <v>0</v>
          </cell>
          <cell r="F2388">
            <v>0</v>
          </cell>
          <cell r="DN2388">
            <v>0</v>
          </cell>
        </row>
        <row r="2389">
          <cell r="E2389">
            <v>0</v>
          </cell>
          <cell r="F2389">
            <v>0</v>
          </cell>
          <cell r="DN2389">
            <v>0</v>
          </cell>
        </row>
        <row r="2390">
          <cell r="E2390">
            <v>0</v>
          </cell>
          <cell r="F2390">
            <v>0</v>
          </cell>
          <cell r="DN2390">
            <v>0</v>
          </cell>
        </row>
        <row r="2391">
          <cell r="E2391">
            <v>0</v>
          </cell>
          <cell r="F2391">
            <v>0</v>
          </cell>
          <cell r="DN2391">
            <v>0</v>
          </cell>
        </row>
        <row r="2392">
          <cell r="E2392">
            <v>0</v>
          </cell>
          <cell r="F2392">
            <v>0</v>
          </cell>
          <cell r="DN2392">
            <v>0</v>
          </cell>
        </row>
        <row r="2393">
          <cell r="E2393">
            <v>0</v>
          </cell>
          <cell r="F2393">
            <v>0</v>
          </cell>
          <cell r="DN2393">
            <v>0</v>
          </cell>
        </row>
        <row r="2394">
          <cell r="E2394">
            <v>0</v>
          </cell>
          <cell r="F2394">
            <v>0</v>
          </cell>
          <cell r="DN2394">
            <v>0</v>
          </cell>
        </row>
        <row r="2395">
          <cell r="E2395">
            <v>0</v>
          </cell>
          <cell r="F2395">
            <v>0</v>
          </cell>
          <cell r="DN2395">
            <v>0</v>
          </cell>
        </row>
        <row r="2396">
          <cell r="E2396">
            <v>0</v>
          </cell>
          <cell r="F2396">
            <v>0</v>
          </cell>
          <cell r="DN2396">
            <v>0</v>
          </cell>
        </row>
        <row r="2397">
          <cell r="E2397">
            <v>0</v>
          </cell>
          <cell r="F2397">
            <v>0</v>
          </cell>
          <cell r="DN2397">
            <v>0</v>
          </cell>
        </row>
        <row r="2398">
          <cell r="E2398">
            <v>0</v>
          </cell>
          <cell r="F2398">
            <v>0</v>
          </cell>
          <cell r="DN2398">
            <v>0</v>
          </cell>
        </row>
        <row r="2399">
          <cell r="E2399">
            <v>0</v>
          </cell>
          <cell r="F2399">
            <v>0</v>
          </cell>
          <cell r="DN2399">
            <v>0</v>
          </cell>
        </row>
        <row r="2400">
          <cell r="E2400">
            <v>0</v>
          </cell>
          <cell r="F2400">
            <v>0</v>
          </cell>
          <cell r="DN2400">
            <v>0</v>
          </cell>
        </row>
        <row r="2401">
          <cell r="E2401">
            <v>0</v>
          </cell>
          <cell r="F2401">
            <v>0</v>
          </cell>
          <cell r="DN2401">
            <v>0</v>
          </cell>
        </row>
        <row r="2402">
          <cell r="E2402">
            <v>0</v>
          </cell>
          <cell r="F2402">
            <v>0</v>
          </cell>
          <cell r="DN2402">
            <v>0</v>
          </cell>
        </row>
        <row r="2403">
          <cell r="E2403">
            <v>0</v>
          </cell>
          <cell r="F2403">
            <v>0</v>
          </cell>
          <cell r="DN2403">
            <v>0</v>
          </cell>
        </row>
        <row r="2404">
          <cell r="E2404">
            <v>0</v>
          </cell>
          <cell r="F2404">
            <v>0</v>
          </cell>
          <cell r="DN2404">
            <v>0</v>
          </cell>
        </row>
        <row r="2405">
          <cell r="E2405">
            <v>0</v>
          </cell>
          <cell r="F2405">
            <v>0</v>
          </cell>
          <cell r="DN2405">
            <v>0</v>
          </cell>
        </row>
        <row r="2406">
          <cell r="E2406">
            <v>0</v>
          </cell>
          <cell r="F2406">
            <v>0</v>
          </cell>
          <cell r="DN2406">
            <v>0</v>
          </cell>
        </row>
        <row r="2407">
          <cell r="E2407">
            <v>0</v>
          </cell>
          <cell r="F2407">
            <v>0</v>
          </cell>
          <cell r="DN2407">
            <v>0</v>
          </cell>
        </row>
        <row r="2408">
          <cell r="E2408">
            <v>0</v>
          </cell>
          <cell r="F2408">
            <v>0</v>
          </cell>
          <cell r="DN2408">
            <v>0</v>
          </cell>
        </row>
        <row r="2409">
          <cell r="E2409">
            <v>0</v>
          </cell>
          <cell r="F2409">
            <v>0</v>
          </cell>
          <cell r="DN2409">
            <v>0</v>
          </cell>
        </row>
        <row r="2410">
          <cell r="E2410">
            <v>0</v>
          </cell>
          <cell r="F2410">
            <v>0</v>
          </cell>
          <cell r="DN2410">
            <v>0</v>
          </cell>
        </row>
        <row r="2411">
          <cell r="E2411">
            <v>0</v>
          </cell>
          <cell r="F2411">
            <v>0</v>
          </cell>
          <cell r="DN2411">
            <v>0</v>
          </cell>
        </row>
        <row r="2412">
          <cell r="E2412">
            <v>0</v>
          </cell>
          <cell r="F2412">
            <v>0</v>
          </cell>
          <cell r="DN2412">
            <v>0</v>
          </cell>
        </row>
        <row r="2413">
          <cell r="E2413">
            <v>0</v>
          </cell>
          <cell r="F2413">
            <v>0</v>
          </cell>
          <cell r="DN2413">
            <v>0</v>
          </cell>
        </row>
        <row r="2414">
          <cell r="E2414">
            <v>0</v>
          </cell>
          <cell r="F2414">
            <v>0</v>
          </cell>
          <cell r="DN2414">
            <v>0</v>
          </cell>
        </row>
        <row r="2415">
          <cell r="E2415">
            <v>0</v>
          </cell>
          <cell r="F2415">
            <v>0</v>
          </cell>
          <cell r="DN2415">
            <v>0</v>
          </cell>
        </row>
        <row r="2416">
          <cell r="E2416">
            <v>0</v>
          </cell>
          <cell r="F2416">
            <v>0</v>
          </cell>
          <cell r="DN2416">
            <v>0</v>
          </cell>
        </row>
        <row r="2417">
          <cell r="E2417">
            <v>0</v>
          </cell>
          <cell r="F2417">
            <v>0</v>
          </cell>
          <cell r="DN2417">
            <v>0</v>
          </cell>
        </row>
        <row r="2418">
          <cell r="E2418">
            <v>0</v>
          </cell>
          <cell r="F2418">
            <v>0</v>
          </cell>
          <cell r="DN2418">
            <v>0</v>
          </cell>
        </row>
        <row r="2419">
          <cell r="E2419">
            <v>0</v>
          </cell>
          <cell r="F2419">
            <v>0</v>
          </cell>
          <cell r="DN2419">
            <v>0</v>
          </cell>
        </row>
        <row r="2420">
          <cell r="E2420">
            <v>0</v>
          </cell>
          <cell r="F2420">
            <v>0</v>
          </cell>
          <cell r="DN2420">
            <v>0</v>
          </cell>
        </row>
        <row r="2421">
          <cell r="E2421">
            <v>0</v>
          </cell>
          <cell r="F2421">
            <v>0</v>
          </cell>
          <cell r="DN2421">
            <v>0</v>
          </cell>
        </row>
        <row r="2422">
          <cell r="E2422">
            <v>0</v>
          </cell>
          <cell r="F2422">
            <v>0</v>
          </cell>
          <cell r="DN2422">
            <v>0</v>
          </cell>
        </row>
        <row r="2423">
          <cell r="E2423">
            <v>0</v>
          </cell>
          <cell r="F2423">
            <v>0</v>
          </cell>
          <cell r="DN2423">
            <v>0</v>
          </cell>
        </row>
        <row r="2424">
          <cell r="E2424">
            <v>0</v>
          </cell>
          <cell r="F2424">
            <v>0</v>
          </cell>
          <cell r="DN2424">
            <v>0</v>
          </cell>
        </row>
        <row r="2425">
          <cell r="E2425">
            <v>0</v>
          </cell>
          <cell r="F2425">
            <v>0</v>
          </cell>
          <cell r="DN2425">
            <v>0</v>
          </cell>
        </row>
        <row r="2426">
          <cell r="E2426">
            <v>0</v>
          </cell>
          <cell r="F2426">
            <v>0</v>
          </cell>
          <cell r="DN2426">
            <v>0</v>
          </cell>
        </row>
        <row r="2427">
          <cell r="E2427">
            <v>0</v>
          </cell>
          <cell r="F2427">
            <v>0</v>
          </cell>
          <cell r="DN2427">
            <v>0</v>
          </cell>
        </row>
        <row r="2428">
          <cell r="E2428">
            <v>0</v>
          </cell>
          <cell r="F2428">
            <v>0</v>
          </cell>
          <cell r="DN2428">
            <v>0</v>
          </cell>
        </row>
        <row r="2429">
          <cell r="E2429">
            <v>0</v>
          </cell>
          <cell r="F2429">
            <v>0</v>
          </cell>
          <cell r="DN2429">
            <v>0</v>
          </cell>
        </row>
        <row r="2430">
          <cell r="E2430">
            <v>0</v>
          </cell>
          <cell r="F2430">
            <v>0</v>
          </cell>
          <cell r="DN2430">
            <v>0</v>
          </cell>
        </row>
        <row r="2431">
          <cell r="E2431">
            <v>0</v>
          </cell>
          <cell r="F2431">
            <v>0</v>
          </cell>
          <cell r="DN2431">
            <v>0</v>
          </cell>
        </row>
        <row r="2432">
          <cell r="E2432">
            <v>0</v>
          </cell>
          <cell r="F2432">
            <v>0</v>
          </cell>
          <cell r="DN2432">
            <v>0</v>
          </cell>
        </row>
        <row r="2433">
          <cell r="E2433">
            <v>0</v>
          </cell>
          <cell r="F2433">
            <v>0</v>
          </cell>
          <cell r="DN2433">
            <v>0</v>
          </cell>
        </row>
        <row r="2434">
          <cell r="E2434">
            <v>0</v>
          </cell>
          <cell r="F2434">
            <v>0</v>
          </cell>
          <cell r="DN2434">
            <v>0</v>
          </cell>
        </row>
        <row r="2435">
          <cell r="E2435">
            <v>0</v>
          </cell>
          <cell r="F2435">
            <v>0</v>
          </cell>
          <cell r="DN2435">
            <v>0</v>
          </cell>
        </row>
        <row r="2436">
          <cell r="E2436">
            <v>0</v>
          </cell>
          <cell r="F2436">
            <v>0</v>
          </cell>
          <cell r="DN2436">
            <v>0</v>
          </cell>
        </row>
        <row r="2437">
          <cell r="E2437">
            <v>0</v>
          </cell>
          <cell r="F2437">
            <v>0</v>
          </cell>
          <cell r="DN2437">
            <v>0</v>
          </cell>
        </row>
        <row r="2438">
          <cell r="E2438">
            <v>0</v>
          </cell>
          <cell r="F2438">
            <v>0</v>
          </cell>
          <cell r="DN2438">
            <v>0</v>
          </cell>
        </row>
        <row r="2439">
          <cell r="E2439">
            <v>0</v>
          </cell>
          <cell r="F2439">
            <v>0</v>
          </cell>
          <cell r="DN2439">
            <v>0</v>
          </cell>
        </row>
        <row r="2440">
          <cell r="E2440">
            <v>0</v>
          </cell>
          <cell r="F2440">
            <v>0</v>
          </cell>
          <cell r="DN2440">
            <v>0</v>
          </cell>
        </row>
        <row r="2441">
          <cell r="E2441">
            <v>0</v>
          </cell>
          <cell r="F2441">
            <v>0</v>
          </cell>
          <cell r="DN2441">
            <v>0</v>
          </cell>
        </row>
        <row r="2442">
          <cell r="E2442">
            <v>0</v>
          </cell>
          <cell r="F2442">
            <v>0</v>
          </cell>
          <cell r="DN2442">
            <v>0</v>
          </cell>
        </row>
        <row r="2443">
          <cell r="E2443">
            <v>0</v>
          </cell>
          <cell r="F2443">
            <v>0</v>
          </cell>
          <cell r="DN2443">
            <v>0</v>
          </cell>
        </row>
        <row r="2444">
          <cell r="E2444">
            <v>0</v>
          </cell>
          <cell r="F2444">
            <v>0</v>
          </cell>
          <cell r="DN2444">
            <v>0</v>
          </cell>
        </row>
        <row r="2445">
          <cell r="E2445">
            <v>0</v>
          </cell>
          <cell r="F2445">
            <v>0</v>
          </cell>
          <cell r="DN2445">
            <v>0</v>
          </cell>
        </row>
        <row r="2446">
          <cell r="E2446">
            <v>0</v>
          </cell>
          <cell r="F2446">
            <v>0</v>
          </cell>
          <cell r="DN2446">
            <v>0</v>
          </cell>
        </row>
        <row r="2447">
          <cell r="E2447">
            <v>0</v>
          </cell>
          <cell r="F2447">
            <v>0</v>
          </cell>
          <cell r="DN2447">
            <v>0</v>
          </cell>
        </row>
        <row r="2448">
          <cell r="E2448">
            <v>0</v>
          </cell>
          <cell r="F2448">
            <v>0</v>
          </cell>
          <cell r="DN2448">
            <v>0</v>
          </cell>
        </row>
        <row r="2449">
          <cell r="E2449">
            <v>0</v>
          </cell>
          <cell r="F2449">
            <v>0</v>
          </cell>
          <cell r="DN2449">
            <v>0</v>
          </cell>
        </row>
        <row r="2450">
          <cell r="E2450">
            <v>0</v>
          </cell>
          <cell r="F2450">
            <v>0</v>
          </cell>
          <cell r="DN2450">
            <v>0</v>
          </cell>
        </row>
        <row r="2451">
          <cell r="E2451">
            <v>0</v>
          </cell>
          <cell r="F2451">
            <v>0</v>
          </cell>
          <cell r="DN2451">
            <v>0</v>
          </cell>
        </row>
        <row r="2452">
          <cell r="E2452">
            <v>0</v>
          </cell>
          <cell r="F2452">
            <v>0</v>
          </cell>
          <cell r="DN2452">
            <v>0</v>
          </cell>
        </row>
        <row r="2453">
          <cell r="E2453">
            <v>0</v>
          </cell>
          <cell r="F2453">
            <v>0</v>
          </cell>
          <cell r="DN2453">
            <v>0</v>
          </cell>
        </row>
        <row r="2454">
          <cell r="E2454">
            <v>0</v>
          </cell>
          <cell r="F2454">
            <v>0</v>
          </cell>
          <cell r="DN2454">
            <v>0</v>
          </cell>
        </row>
        <row r="2455">
          <cell r="E2455">
            <v>0</v>
          </cell>
          <cell r="F2455">
            <v>0</v>
          </cell>
          <cell r="DN2455">
            <v>0</v>
          </cell>
        </row>
        <row r="2456">
          <cell r="E2456">
            <v>0</v>
          </cell>
          <cell r="F2456">
            <v>0</v>
          </cell>
          <cell r="DN2456">
            <v>0</v>
          </cell>
        </row>
        <row r="2457">
          <cell r="E2457">
            <v>0</v>
          </cell>
          <cell r="F2457">
            <v>0</v>
          </cell>
          <cell r="DN2457">
            <v>0</v>
          </cell>
        </row>
        <row r="2458">
          <cell r="E2458">
            <v>0</v>
          </cell>
          <cell r="F2458">
            <v>0</v>
          </cell>
          <cell r="DN2458">
            <v>0</v>
          </cell>
        </row>
        <row r="2459">
          <cell r="E2459">
            <v>0</v>
          </cell>
          <cell r="F2459">
            <v>0</v>
          </cell>
          <cell r="DN2459">
            <v>0</v>
          </cell>
        </row>
        <row r="2460">
          <cell r="E2460">
            <v>0</v>
          </cell>
          <cell r="F2460">
            <v>0</v>
          </cell>
          <cell r="DN2460">
            <v>0</v>
          </cell>
        </row>
        <row r="2461">
          <cell r="E2461">
            <v>0</v>
          </cell>
          <cell r="F2461">
            <v>0</v>
          </cell>
          <cell r="DN2461">
            <v>0</v>
          </cell>
        </row>
        <row r="2462">
          <cell r="E2462">
            <v>0</v>
          </cell>
          <cell r="F2462">
            <v>0</v>
          </cell>
          <cell r="DN2462">
            <v>0</v>
          </cell>
        </row>
        <row r="2463">
          <cell r="E2463">
            <v>0</v>
          </cell>
          <cell r="F2463">
            <v>0</v>
          </cell>
          <cell r="DN2463">
            <v>0</v>
          </cell>
        </row>
        <row r="2464">
          <cell r="E2464">
            <v>0</v>
          </cell>
          <cell r="F2464">
            <v>0</v>
          </cell>
          <cell r="DN2464">
            <v>0</v>
          </cell>
        </row>
        <row r="2465">
          <cell r="E2465">
            <v>0</v>
          </cell>
          <cell r="F2465">
            <v>0</v>
          </cell>
          <cell r="DN2465">
            <v>0</v>
          </cell>
        </row>
        <row r="2466">
          <cell r="E2466">
            <v>0</v>
          </cell>
          <cell r="F2466">
            <v>0</v>
          </cell>
          <cell r="DN2466">
            <v>0</v>
          </cell>
        </row>
        <row r="2467">
          <cell r="E2467">
            <v>0</v>
          </cell>
          <cell r="F2467">
            <v>0</v>
          </cell>
          <cell r="DN2467">
            <v>0</v>
          </cell>
        </row>
        <row r="2468">
          <cell r="E2468">
            <v>0</v>
          </cell>
          <cell r="F2468">
            <v>0</v>
          </cell>
          <cell r="DN2468">
            <v>0</v>
          </cell>
        </row>
        <row r="2469">
          <cell r="E2469">
            <v>0</v>
          </cell>
          <cell r="F2469">
            <v>0</v>
          </cell>
          <cell r="DN2469">
            <v>0</v>
          </cell>
        </row>
        <row r="2470">
          <cell r="E2470">
            <v>0</v>
          </cell>
          <cell r="F2470">
            <v>0</v>
          </cell>
          <cell r="DN2470">
            <v>0</v>
          </cell>
        </row>
        <row r="2471">
          <cell r="E2471">
            <v>0</v>
          </cell>
          <cell r="F2471">
            <v>0</v>
          </cell>
          <cell r="DN2471">
            <v>0</v>
          </cell>
        </row>
        <row r="2472">
          <cell r="E2472">
            <v>0</v>
          </cell>
          <cell r="F2472">
            <v>0</v>
          </cell>
          <cell r="DN2472">
            <v>0</v>
          </cell>
        </row>
        <row r="2473">
          <cell r="E2473">
            <v>0</v>
          </cell>
          <cell r="F2473">
            <v>0</v>
          </cell>
          <cell r="DN2473">
            <v>0</v>
          </cell>
        </row>
        <row r="2474">
          <cell r="E2474">
            <v>0</v>
          </cell>
          <cell r="F2474">
            <v>0</v>
          </cell>
          <cell r="DN2474">
            <v>0</v>
          </cell>
        </row>
        <row r="2475">
          <cell r="E2475">
            <v>0</v>
          </cell>
          <cell r="F2475">
            <v>0</v>
          </cell>
          <cell r="DN2475">
            <v>0</v>
          </cell>
        </row>
        <row r="2476">
          <cell r="E2476">
            <v>0</v>
          </cell>
          <cell r="F2476">
            <v>0</v>
          </cell>
          <cell r="DN2476">
            <v>0</v>
          </cell>
        </row>
        <row r="2477">
          <cell r="E2477">
            <v>0</v>
          </cell>
          <cell r="F2477">
            <v>0</v>
          </cell>
          <cell r="DN2477">
            <v>0</v>
          </cell>
        </row>
        <row r="2478">
          <cell r="E2478">
            <v>0</v>
          </cell>
          <cell r="F2478">
            <v>0</v>
          </cell>
          <cell r="DN2478">
            <v>0</v>
          </cell>
        </row>
        <row r="2479">
          <cell r="E2479">
            <v>0</v>
          </cell>
          <cell r="F2479">
            <v>0</v>
          </cell>
          <cell r="DN2479">
            <v>0</v>
          </cell>
        </row>
        <row r="2480">
          <cell r="E2480">
            <v>0</v>
          </cell>
          <cell r="F2480">
            <v>0</v>
          </cell>
          <cell r="DN2480">
            <v>0</v>
          </cell>
        </row>
        <row r="2481">
          <cell r="E2481">
            <v>0</v>
          </cell>
          <cell r="F2481">
            <v>0</v>
          </cell>
          <cell r="DN2481">
            <v>0</v>
          </cell>
        </row>
        <row r="2482">
          <cell r="E2482">
            <v>0</v>
          </cell>
          <cell r="F2482">
            <v>0</v>
          </cell>
          <cell r="DN2482">
            <v>0</v>
          </cell>
        </row>
        <row r="2483">
          <cell r="E2483">
            <v>0</v>
          </cell>
          <cell r="F2483">
            <v>0</v>
          </cell>
          <cell r="DN2483">
            <v>0</v>
          </cell>
        </row>
        <row r="2484">
          <cell r="E2484">
            <v>0</v>
          </cell>
          <cell r="F2484">
            <v>0</v>
          </cell>
          <cell r="DN2484">
            <v>0</v>
          </cell>
        </row>
        <row r="2485">
          <cell r="E2485">
            <v>0</v>
          </cell>
          <cell r="F2485">
            <v>0</v>
          </cell>
          <cell r="DN2485">
            <v>0</v>
          </cell>
        </row>
        <row r="2486">
          <cell r="E2486">
            <v>0</v>
          </cell>
          <cell r="F2486">
            <v>0</v>
          </cell>
          <cell r="DN2486">
            <v>0</v>
          </cell>
        </row>
        <row r="2487">
          <cell r="E2487">
            <v>0</v>
          </cell>
          <cell r="F2487">
            <v>0</v>
          </cell>
          <cell r="DN2487">
            <v>0</v>
          </cell>
        </row>
        <row r="2488">
          <cell r="E2488">
            <v>0</v>
          </cell>
          <cell r="F2488">
            <v>0</v>
          </cell>
          <cell r="DN2488">
            <v>0</v>
          </cell>
        </row>
        <row r="2489">
          <cell r="E2489">
            <v>0</v>
          </cell>
          <cell r="F2489">
            <v>0</v>
          </cell>
          <cell r="DN2489">
            <v>0</v>
          </cell>
        </row>
        <row r="2490">
          <cell r="E2490">
            <v>0</v>
          </cell>
          <cell r="F2490">
            <v>0</v>
          </cell>
          <cell r="DN2490">
            <v>0</v>
          </cell>
        </row>
        <row r="2491">
          <cell r="E2491">
            <v>0</v>
          </cell>
          <cell r="F2491">
            <v>0</v>
          </cell>
          <cell r="DN2491">
            <v>0</v>
          </cell>
        </row>
        <row r="2492">
          <cell r="E2492">
            <v>0</v>
          </cell>
          <cell r="F2492">
            <v>0</v>
          </cell>
          <cell r="DN2492">
            <v>0</v>
          </cell>
        </row>
        <row r="2493">
          <cell r="E2493">
            <v>0</v>
          </cell>
          <cell r="F2493">
            <v>0</v>
          </cell>
          <cell r="DN2493">
            <v>0</v>
          </cell>
        </row>
        <row r="2494">
          <cell r="E2494">
            <v>0</v>
          </cell>
          <cell r="F2494">
            <v>0</v>
          </cell>
          <cell r="DN2494">
            <v>0</v>
          </cell>
        </row>
        <row r="2495">
          <cell r="E2495">
            <v>0</v>
          </cell>
          <cell r="F2495">
            <v>0</v>
          </cell>
          <cell r="DN2495">
            <v>0</v>
          </cell>
        </row>
        <row r="2496">
          <cell r="E2496">
            <v>0</v>
          </cell>
          <cell r="F2496">
            <v>0</v>
          </cell>
          <cell r="DN2496">
            <v>0</v>
          </cell>
        </row>
        <row r="2497">
          <cell r="E2497">
            <v>0</v>
          </cell>
          <cell r="F2497">
            <v>0</v>
          </cell>
          <cell r="DN2497">
            <v>0</v>
          </cell>
        </row>
        <row r="2498">
          <cell r="E2498">
            <v>0</v>
          </cell>
          <cell r="F2498">
            <v>0</v>
          </cell>
          <cell r="DN2498">
            <v>0</v>
          </cell>
        </row>
        <row r="2499">
          <cell r="E2499">
            <v>0</v>
          </cell>
          <cell r="F2499">
            <v>0</v>
          </cell>
          <cell r="DN2499">
            <v>0</v>
          </cell>
        </row>
        <row r="2500">
          <cell r="E2500">
            <v>0</v>
          </cell>
          <cell r="F2500">
            <v>0</v>
          </cell>
          <cell r="DN2500">
            <v>0</v>
          </cell>
        </row>
        <row r="2501">
          <cell r="E2501">
            <v>0</v>
          </cell>
          <cell r="F2501">
            <v>0</v>
          </cell>
          <cell r="DN2501">
            <v>0</v>
          </cell>
        </row>
        <row r="2502">
          <cell r="E2502">
            <v>0</v>
          </cell>
          <cell r="F2502">
            <v>0</v>
          </cell>
          <cell r="DN2502">
            <v>0</v>
          </cell>
        </row>
        <row r="2503">
          <cell r="E2503">
            <v>0</v>
          </cell>
          <cell r="F2503">
            <v>0</v>
          </cell>
          <cell r="DN2503">
            <v>0</v>
          </cell>
        </row>
        <row r="2504">
          <cell r="E2504">
            <v>0</v>
          </cell>
          <cell r="F2504">
            <v>0</v>
          </cell>
          <cell r="DN2504">
            <v>0</v>
          </cell>
        </row>
        <row r="2505">
          <cell r="E2505">
            <v>0</v>
          </cell>
          <cell r="F2505">
            <v>0</v>
          </cell>
          <cell r="DN2505">
            <v>0</v>
          </cell>
        </row>
        <row r="2506">
          <cell r="E2506">
            <v>0</v>
          </cell>
          <cell r="F2506">
            <v>0</v>
          </cell>
          <cell r="DN2506">
            <v>0</v>
          </cell>
        </row>
        <row r="2507">
          <cell r="E2507">
            <v>0</v>
          </cell>
          <cell r="F2507">
            <v>0</v>
          </cell>
          <cell r="DN2507">
            <v>0</v>
          </cell>
        </row>
        <row r="2508">
          <cell r="E2508">
            <v>0</v>
          </cell>
          <cell r="F2508">
            <v>0</v>
          </cell>
          <cell r="DN2508">
            <v>0</v>
          </cell>
        </row>
        <row r="2509">
          <cell r="E2509">
            <v>0</v>
          </cell>
          <cell r="F2509">
            <v>0</v>
          </cell>
          <cell r="DN2509">
            <v>0</v>
          </cell>
        </row>
        <row r="2510">
          <cell r="E2510">
            <v>0</v>
          </cell>
          <cell r="F2510">
            <v>0</v>
          </cell>
          <cell r="DN2510">
            <v>0</v>
          </cell>
        </row>
        <row r="2511">
          <cell r="E2511">
            <v>0</v>
          </cell>
          <cell r="F2511">
            <v>0</v>
          </cell>
          <cell r="DN2511">
            <v>0</v>
          </cell>
        </row>
        <row r="2512">
          <cell r="E2512">
            <v>0</v>
          </cell>
          <cell r="F2512">
            <v>0</v>
          </cell>
          <cell r="DN2512">
            <v>0</v>
          </cell>
        </row>
        <row r="2513">
          <cell r="E2513">
            <v>0</v>
          </cell>
          <cell r="F2513">
            <v>0</v>
          </cell>
          <cell r="DN2513">
            <v>0</v>
          </cell>
        </row>
        <row r="2514">
          <cell r="E2514">
            <v>0</v>
          </cell>
          <cell r="F2514">
            <v>0</v>
          </cell>
          <cell r="DN2514">
            <v>0</v>
          </cell>
        </row>
        <row r="2515">
          <cell r="E2515">
            <v>0</v>
          </cell>
          <cell r="F2515">
            <v>0</v>
          </cell>
          <cell r="DN2515">
            <v>0</v>
          </cell>
        </row>
        <row r="2516">
          <cell r="E2516">
            <v>0</v>
          </cell>
          <cell r="F2516">
            <v>0</v>
          </cell>
          <cell r="DN2516">
            <v>0</v>
          </cell>
        </row>
        <row r="2517">
          <cell r="E2517">
            <v>0</v>
          </cell>
          <cell r="F2517">
            <v>0</v>
          </cell>
          <cell r="DN2517">
            <v>0</v>
          </cell>
        </row>
        <row r="2518">
          <cell r="E2518">
            <v>0</v>
          </cell>
          <cell r="F2518">
            <v>0</v>
          </cell>
          <cell r="DN2518">
            <v>0</v>
          </cell>
        </row>
        <row r="2519">
          <cell r="E2519">
            <v>0</v>
          </cell>
          <cell r="F2519">
            <v>0</v>
          </cell>
          <cell r="DN2519">
            <v>0</v>
          </cell>
        </row>
        <row r="2520">
          <cell r="E2520">
            <v>0</v>
          </cell>
          <cell r="F2520">
            <v>0</v>
          </cell>
          <cell r="DN2520">
            <v>0</v>
          </cell>
        </row>
        <row r="2521">
          <cell r="E2521">
            <v>0</v>
          </cell>
          <cell r="F2521">
            <v>0</v>
          </cell>
          <cell r="DN2521">
            <v>0</v>
          </cell>
        </row>
        <row r="2522">
          <cell r="E2522">
            <v>0</v>
          </cell>
          <cell r="F2522">
            <v>0</v>
          </cell>
          <cell r="DN2522">
            <v>0</v>
          </cell>
        </row>
        <row r="2523">
          <cell r="E2523">
            <v>0</v>
          </cell>
          <cell r="F2523">
            <v>0</v>
          </cell>
          <cell r="DN2523">
            <v>0</v>
          </cell>
        </row>
        <row r="2524">
          <cell r="E2524">
            <v>0</v>
          </cell>
          <cell r="F2524">
            <v>0</v>
          </cell>
          <cell r="DN2524">
            <v>0</v>
          </cell>
        </row>
        <row r="2525">
          <cell r="E2525">
            <v>0</v>
          </cell>
          <cell r="F2525">
            <v>0</v>
          </cell>
          <cell r="DN2525">
            <v>0</v>
          </cell>
        </row>
        <row r="2526">
          <cell r="E2526">
            <v>0</v>
          </cell>
          <cell r="F2526">
            <v>0</v>
          </cell>
          <cell r="DN2526">
            <v>0</v>
          </cell>
        </row>
        <row r="2527">
          <cell r="E2527">
            <v>0</v>
          </cell>
          <cell r="F2527">
            <v>0</v>
          </cell>
          <cell r="DN2527">
            <v>0</v>
          </cell>
        </row>
        <row r="2528">
          <cell r="E2528">
            <v>0</v>
          </cell>
          <cell r="F2528">
            <v>0</v>
          </cell>
          <cell r="DN2528">
            <v>0</v>
          </cell>
        </row>
        <row r="2529">
          <cell r="E2529">
            <v>0</v>
          </cell>
          <cell r="F2529">
            <v>0</v>
          </cell>
          <cell r="DN2529">
            <v>0</v>
          </cell>
        </row>
        <row r="2530">
          <cell r="E2530">
            <v>0</v>
          </cell>
          <cell r="F2530">
            <v>0</v>
          </cell>
          <cell r="DN2530">
            <v>0</v>
          </cell>
        </row>
        <row r="2531">
          <cell r="E2531">
            <v>0</v>
          </cell>
          <cell r="F2531">
            <v>0</v>
          </cell>
          <cell r="DN2531">
            <v>0</v>
          </cell>
        </row>
        <row r="2532">
          <cell r="E2532">
            <v>0</v>
          </cell>
          <cell r="F2532">
            <v>0</v>
          </cell>
          <cell r="DN2532">
            <v>0</v>
          </cell>
        </row>
        <row r="2533">
          <cell r="E2533">
            <v>0</v>
          </cell>
          <cell r="F2533">
            <v>0</v>
          </cell>
          <cell r="DN2533">
            <v>0</v>
          </cell>
        </row>
        <row r="2534">
          <cell r="E2534">
            <v>0</v>
          </cell>
          <cell r="F2534">
            <v>0</v>
          </cell>
          <cell r="DN2534">
            <v>0</v>
          </cell>
        </row>
        <row r="2535">
          <cell r="E2535">
            <v>0</v>
          </cell>
          <cell r="F2535">
            <v>0</v>
          </cell>
          <cell r="DN2535">
            <v>0</v>
          </cell>
        </row>
        <row r="2536">
          <cell r="E2536">
            <v>0</v>
          </cell>
          <cell r="F2536">
            <v>0</v>
          </cell>
          <cell r="DN2536">
            <v>0</v>
          </cell>
        </row>
        <row r="2537">
          <cell r="E2537">
            <v>0</v>
          </cell>
          <cell r="F2537">
            <v>0</v>
          </cell>
          <cell r="DN2537">
            <v>0</v>
          </cell>
        </row>
        <row r="2538">
          <cell r="E2538">
            <v>0</v>
          </cell>
          <cell r="F2538">
            <v>0</v>
          </cell>
          <cell r="DN2538">
            <v>0</v>
          </cell>
        </row>
        <row r="2539">
          <cell r="E2539">
            <v>0</v>
          </cell>
          <cell r="F2539">
            <v>0</v>
          </cell>
          <cell r="DN2539">
            <v>0</v>
          </cell>
        </row>
        <row r="2540">
          <cell r="E2540">
            <v>0</v>
          </cell>
          <cell r="F2540">
            <v>0</v>
          </cell>
          <cell r="DN2540">
            <v>0</v>
          </cell>
        </row>
        <row r="2541">
          <cell r="E2541">
            <v>0</v>
          </cell>
          <cell r="F2541">
            <v>0</v>
          </cell>
          <cell r="DN2541">
            <v>0</v>
          </cell>
        </row>
        <row r="2542">
          <cell r="E2542">
            <v>0</v>
          </cell>
          <cell r="F2542">
            <v>0</v>
          </cell>
          <cell r="DN2542">
            <v>0</v>
          </cell>
        </row>
        <row r="2543">
          <cell r="E2543">
            <v>0</v>
          </cell>
          <cell r="F2543">
            <v>0</v>
          </cell>
          <cell r="DN2543">
            <v>0</v>
          </cell>
        </row>
        <row r="2544">
          <cell r="E2544">
            <v>0</v>
          </cell>
          <cell r="F2544">
            <v>0</v>
          </cell>
          <cell r="DN2544">
            <v>0</v>
          </cell>
        </row>
        <row r="2545">
          <cell r="E2545">
            <v>0</v>
          </cell>
          <cell r="F2545">
            <v>0</v>
          </cell>
          <cell r="DN2545">
            <v>0</v>
          </cell>
        </row>
        <row r="2546">
          <cell r="E2546">
            <v>0</v>
          </cell>
          <cell r="F2546">
            <v>0</v>
          </cell>
          <cell r="DN2546">
            <v>0</v>
          </cell>
        </row>
        <row r="2547">
          <cell r="E2547">
            <v>0</v>
          </cell>
          <cell r="F2547">
            <v>0</v>
          </cell>
          <cell r="DN2547">
            <v>0</v>
          </cell>
        </row>
        <row r="2548">
          <cell r="E2548">
            <v>0</v>
          </cell>
          <cell r="F2548">
            <v>0</v>
          </cell>
          <cell r="DN2548">
            <v>0</v>
          </cell>
        </row>
        <row r="2549">
          <cell r="E2549">
            <v>0</v>
          </cell>
          <cell r="F2549">
            <v>0</v>
          </cell>
          <cell r="DN2549">
            <v>0</v>
          </cell>
        </row>
        <row r="2550">
          <cell r="E2550">
            <v>0</v>
          </cell>
          <cell r="F2550">
            <v>0</v>
          </cell>
          <cell r="DN2550">
            <v>0</v>
          </cell>
        </row>
        <row r="2551">
          <cell r="E2551">
            <v>0</v>
          </cell>
          <cell r="F2551">
            <v>0</v>
          </cell>
          <cell r="DN2551">
            <v>0</v>
          </cell>
        </row>
        <row r="2552">
          <cell r="E2552">
            <v>0</v>
          </cell>
          <cell r="F2552">
            <v>0</v>
          </cell>
          <cell r="DN2552">
            <v>0</v>
          </cell>
        </row>
        <row r="2553">
          <cell r="E2553">
            <v>0</v>
          </cell>
          <cell r="F2553">
            <v>0</v>
          </cell>
          <cell r="DN2553">
            <v>0</v>
          </cell>
        </row>
        <row r="2554">
          <cell r="E2554">
            <v>0</v>
          </cell>
          <cell r="F2554">
            <v>0</v>
          </cell>
          <cell r="DN2554">
            <v>0</v>
          </cell>
        </row>
        <row r="2555">
          <cell r="E2555">
            <v>0</v>
          </cell>
          <cell r="F2555">
            <v>0</v>
          </cell>
          <cell r="DN2555">
            <v>0</v>
          </cell>
        </row>
        <row r="2556">
          <cell r="E2556">
            <v>0</v>
          </cell>
          <cell r="F2556">
            <v>0</v>
          </cell>
          <cell r="DN2556">
            <v>0</v>
          </cell>
        </row>
        <row r="2557">
          <cell r="E2557">
            <v>0</v>
          </cell>
          <cell r="F2557">
            <v>0</v>
          </cell>
          <cell r="DN2557">
            <v>0</v>
          </cell>
        </row>
        <row r="2558">
          <cell r="E2558">
            <v>0</v>
          </cell>
          <cell r="F2558">
            <v>0</v>
          </cell>
          <cell r="DN2558">
            <v>0</v>
          </cell>
        </row>
        <row r="2559">
          <cell r="E2559">
            <v>0</v>
          </cell>
          <cell r="F2559">
            <v>0</v>
          </cell>
          <cell r="DN2559">
            <v>0</v>
          </cell>
        </row>
        <row r="2560">
          <cell r="E2560">
            <v>0</v>
          </cell>
          <cell r="F2560">
            <v>0</v>
          </cell>
          <cell r="DN2560">
            <v>0</v>
          </cell>
        </row>
        <row r="2561">
          <cell r="E2561">
            <v>0</v>
          </cell>
          <cell r="F2561">
            <v>0</v>
          </cell>
          <cell r="DN2561">
            <v>0</v>
          </cell>
        </row>
        <row r="2562">
          <cell r="E2562">
            <v>0</v>
          </cell>
          <cell r="F2562">
            <v>0</v>
          </cell>
          <cell r="DN2562">
            <v>0</v>
          </cell>
        </row>
        <row r="2563">
          <cell r="E2563">
            <v>0</v>
          </cell>
          <cell r="F2563">
            <v>0</v>
          </cell>
          <cell r="DN2563">
            <v>0</v>
          </cell>
        </row>
        <row r="2564">
          <cell r="E2564">
            <v>0</v>
          </cell>
          <cell r="F2564">
            <v>0</v>
          </cell>
          <cell r="DN2564">
            <v>0</v>
          </cell>
        </row>
        <row r="2565">
          <cell r="E2565">
            <v>0</v>
          </cell>
          <cell r="F2565">
            <v>0</v>
          </cell>
          <cell r="DN2565">
            <v>0</v>
          </cell>
        </row>
        <row r="2566">
          <cell r="E2566">
            <v>0</v>
          </cell>
          <cell r="F2566">
            <v>0</v>
          </cell>
          <cell r="DN2566">
            <v>0</v>
          </cell>
        </row>
        <row r="2567">
          <cell r="E2567">
            <v>0</v>
          </cell>
          <cell r="F2567">
            <v>0</v>
          </cell>
          <cell r="DN2567">
            <v>0</v>
          </cell>
        </row>
        <row r="2568">
          <cell r="E2568">
            <v>0</v>
          </cell>
          <cell r="F2568">
            <v>0</v>
          </cell>
          <cell r="DN2568">
            <v>0</v>
          </cell>
        </row>
        <row r="2569">
          <cell r="E2569">
            <v>0</v>
          </cell>
          <cell r="F2569">
            <v>0</v>
          </cell>
          <cell r="DN2569">
            <v>0</v>
          </cell>
        </row>
        <row r="2570">
          <cell r="E2570">
            <v>0</v>
          </cell>
          <cell r="F2570">
            <v>0</v>
          </cell>
          <cell r="DN2570">
            <v>0</v>
          </cell>
        </row>
        <row r="2571">
          <cell r="E2571">
            <v>0</v>
          </cell>
          <cell r="F2571">
            <v>0</v>
          </cell>
          <cell r="DN2571">
            <v>0</v>
          </cell>
        </row>
        <row r="2572">
          <cell r="E2572">
            <v>0</v>
          </cell>
          <cell r="F2572">
            <v>0</v>
          </cell>
          <cell r="DN2572">
            <v>0</v>
          </cell>
        </row>
        <row r="2573">
          <cell r="E2573">
            <v>0</v>
          </cell>
          <cell r="F2573">
            <v>0</v>
          </cell>
          <cell r="DN2573">
            <v>0</v>
          </cell>
        </row>
        <row r="2574">
          <cell r="E2574">
            <v>0</v>
          </cell>
          <cell r="F2574">
            <v>0</v>
          </cell>
          <cell r="DN2574">
            <v>0</v>
          </cell>
        </row>
        <row r="2575">
          <cell r="E2575">
            <v>0</v>
          </cell>
          <cell r="F2575">
            <v>0</v>
          </cell>
          <cell r="DN2575">
            <v>0</v>
          </cell>
        </row>
        <row r="2576">
          <cell r="E2576">
            <v>0</v>
          </cell>
          <cell r="F2576">
            <v>0</v>
          </cell>
          <cell r="DN2576">
            <v>0</v>
          </cell>
        </row>
        <row r="2577">
          <cell r="E2577">
            <v>0</v>
          </cell>
          <cell r="F2577">
            <v>0</v>
          </cell>
          <cell r="DN2577">
            <v>0</v>
          </cell>
        </row>
        <row r="2578">
          <cell r="E2578">
            <v>0</v>
          </cell>
          <cell r="F2578">
            <v>0</v>
          </cell>
          <cell r="DN2578">
            <v>0</v>
          </cell>
        </row>
        <row r="2579">
          <cell r="E2579">
            <v>0</v>
          </cell>
          <cell r="F2579">
            <v>0</v>
          </cell>
          <cell r="DN2579">
            <v>0</v>
          </cell>
        </row>
        <row r="2580">
          <cell r="E2580">
            <v>0</v>
          </cell>
          <cell r="F2580">
            <v>0</v>
          </cell>
          <cell r="DN2580">
            <v>0</v>
          </cell>
        </row>
        <row r="2581">
          <cell r="E2581">
            <v>0</v>
          </cell>
          <cell r="F2581">
            <v>0</v>
          </cell>
          <cell r="DN2581">
            <v>0</v>
          </cell>
        </row>
        <row r="2582">
          <cell r="E2582">
            <v>0</v>
          </cell>
          <cell r="F2582">
            <v>0</v>
          </cell>
          <cell r="DN2582">
            <v>0</v>
          </cell>
        </row>
        <row r="2583">
          <cell r="E2583">
            <v>0</v>
          </cell>
          <cell r="F2583">
            <v>0</v>
          </cell>
          <cell r="DN2583">
            <v>0</v>
          </cell>
        </row>
        <row r="2584">
          <cell r="E2584">
            <v>0</v>
          </cell>
          <cell r="F2584">
            <v>0</v>
          </cell>
          <cell r="DN2584">
            <v>0</v>
          </cell>
        </row>
        <row r="2585">
          <cell r="E2585">
            <v>0</v>
          </cell>
          <cell r="F2585">
            <v>0</v>
          </cell>
          <cell r="DN2585">
            <v>0</v>
          </cell>
        </row>
        <row r="2586">
          <cell r="E2586">
            <v>0</v>
          </cell>
          <cell r="F2586">
            <v>0</v>
          </cell>
          <cell r="DN2586">
            <v>0</v>
          </cell>
        </row>
        <row r="2587">
          <cell r="E2587">
            <v>0</v>
          </cell>
          <cell r="F2587">
            <v>0</v>
          </cell>
          <cell r="DN2587">
            <v>0</v>
          </cell>
        </row>
        <row r="2588">
          <cell r="E2588">
            <v>0</v>
          </cell>
          <cell r="F2588">
            <v>0</v>
          </cell>
          <cell r="DN2588">
            <v>0</v>
          </cell>
        </row>
        <row r="2589">
          <cell r="E2589">
            <v>0</v>
          </cell>
          <cell r="F2589">
            <v>0</v>
          </cell>
          <cell r="DN2589">
            <v>0</v>
          </cell>
        </row>
        <row r="2590">
          <cell r="E2590">
            <v>0</v>
          </cell>
          <cell r="F2590">
            <v>0</v>
          </cell>
          <cell r="DN2590">
            <v>0</v>
          </cell>
        </row>
        <row r="2591">
          <cell r="E2591">
            <v>0</v>
          </cell>
          <cell r="F2591">
            <v>0</v>
          </cell>
          <cell r="DN2591">
            <v>0</v>
          </cell>
        </row>
        <row r="2592">
          <cell r="E2592">
            <v>0</v>
          </cell>
          <cell r="F2592">
            <v>0</v>
          </cell>
          <cell r="DN2592">
            <v>0</v>
          </cell>
        </row>
        <row r="2593">
          <cell r="E2593">
            <v>0</v>
          </cell>
          <cell r="F2593">
            <v>0</v>
          </cell>
          <cell r="DN2593">
            <v>0</v>
          </cell>
        </row>
        <row r="2594">
          <cell r="E2594">
            <v>0</v>
          </cell>
          <cell r="F2594">
            <v>0</v>
          </cell>
          <cell r="DN2594">
            <v>0</v>
          </cell>
        </row>
        <row r="2595">
          <cell r="E2595">
            <v>0</v>
          </cell>
          <cell r="F2595">
            <v>0</v>
          </cell>
          <cell r="DN2595">
            <v>0</v>
          </cell>
        </row>
        <row r="2596">
          <cell r="E2596">
            <v>0</v>
          </cell>
          <cell r="F2596">
            <v>0</v>
          </cell>
          <cell r="DN2596">
            <v>0</v>
          </cell>
        </row>
        <row r="2597">
          <cell r="E2597">
            <v>0</v>
          </cell>
          <cell r="F2597">
            <v>0</v>
          </cell>
          <cell r="DN2597">
            <v>0</v>
          </cell>
        </row>
        <row r="2598">
          <cell r="E2598">
            <v>0</v>
          </cell>
          <cell r="F2598">
            <v>0</v>
          </cell>
          <cell r="DN2598">
            <v>0</v>
          </cell>
        </row>
        <row r="2599">
          <cell r="E2599">
            <v>0</v>
          </cell>
          <cell r="F2599">
            <v>0</v>
          </cell>
          <cell r="DN2599">
            <v>0</v>
          </cell>
        </row>
        <row r="2600">
          <cell r="E2600">
            <v>0</v>
          </cell>
          <cell r="F2600">
            <v>0</v>
          </cell>
          <cell r="DN2600">
            <v>0</v>
          </cell>
        </row>
        <row r="2601">
          <cell r="E2601">
            <v>0</v>
          </cell>
          <cell r="F2601">
            <v>0</v>
          </cell>
          <cell r="DN2601">
            <v>0</v>
          </cell>
        </row>
        <row r="2602">
          <cell r="E2602">
            <v>0</v>
          </cell>
          <cell r="F2602">
            <v>0</v>
          </cell>
          <cell r="DN2602">
            <v>0</v>
          </cell>
        </row>
        <row r="2603">
          <cell r="E2603">
            <v>0</v>
          </cell>
          <cell r="F2603">
            <v>0</v>
          </cell>
          <cell r="DN2603">
            <v>0</v>
          </cell>
        </row>
        <row r="2604">
          <cell r="E2604">
            <v>0</v>
          </cell>
          <cell r="F2604">
            <v>0</v>
          </cell>
          <cell r="DN2604">
            <v>0</v>
          </cell>
        </row>
        <row r="2605">
          <cell r="E2605">
            <v>0</v>
          </cell>
          <cell r="F2605">
            <v>0</v>
          </cell>
          <cell r="DN2605">
            <v>0</v>
          </cell>
        </row>
        <row r="2606">
          <cell r="E2606">
            <v>0</v>
          </cell>
          <cell r="F2606">
            <v>0</v>
          </cell>
          <cell r="DN2606">
            <v>0</v>
          </cell>
        </row>
        <row r="2607">
          <cell r="E2607">
            <v>0</v>
          </cell>
          <cell r="F2607">
            <v>0</v>
          </cell>
          <cell r="DN2607">
            <v>0</v>
          </cell>
        </row>
        <row r="2608">
          <cell r="E2608">
            <v>0</v>
          </cell>
          <cell r="F2608">
            <v>0</v>
          </cell>
          <cell r="DN2608">
            <v>0</v>
          </cell>
        </row>
        <row r="2609">
          <cell r="E2609">
            <v>0</v>
          </cell>
          <cell r="F2609">
            <v>0</v>
          </cell>
          <cell r="DN2609">
            <v>0</v>
          </cell>
        </row>
        <row r="2610">
          <cell r="E2610">
            <v>0</v>
          </cell>
          <cell r="F2610">
            <v>0</v>
          </cell>
          <cell r="DN2610">
            <v>0</v>
          </cell>
        </row>
        <row r="2611">
          <cell r="E2611">
            <v>0</v>
          </cell>
          <cell r="F2611">
            <v>0</v>
          </cell>
          <cell r="DN2611">
            <v>0</v>
          </cell>
        </row>
        <row r="2612">
          <cell r="E2612">
            <v>0</v>
          </cell>
          <cell r="F2612">
            <v>0</v>
          </cell>
          <cell r="DN2612">
            <v>0</v>
          </cell>
        </row>
        <row r="2613">
          <cell r="E2613">
            <v>0</v>
          </cell>
          <cell r="F2613">
            <v>0</v>
          </cell>
          <cell r="DN2613">
            <v>0</v>
          </cell>
        </row>
        <row r="2614">
          <cell r="E2614">
            <v>0</v>
          </cell>
          <cell r="F2614">
            <v>0</v>
          </cell>
          <cell r="DN2614">
            <v>0</v>
          </cell>
        </row>
        <row r="2615">
          <cell r="E2615">
            <v>0</v>
          </cell>
          <cell r="F2615">
            <v>0</v>
          </cell>
          <cell r="DN2615">
            <v>0</v>
          </cell>
        </row>
        <row r="2616">
          <cell r="E2616">
            <v>0</v>
          </cell>
          <cell r="F2616">
            <v>0</v>
          </cell>
          <cell r="DN2616">
            <v>0</v>
          </cell>
        </row>
        <row r="2617">
          <cell r="E2617">
            <v>0</v>
          </cell>
          <cell r="F2617">
            <v>0</v>
          </cell>
          <cell r="DN2617">
            <v>0</v>
          </cell>
        </row>
        <row r="2618">
          <cell r="E2618">
            <v>0</v>
          </cell>
          <cell r="F2618">
            <v>0</v>
          </cell>
          <cell r="DN2618">
            <v>0</v>
          </cell>
        </row>
        <row r="2619">
          <cell r="E2619">
            <v>0</v>
          </cell>
          <cell r="F2619">
            <v>0</v>
          </cell>
          <cell r="DN2619">
            <v>0</v>
          </cell>
        </row>
        <row r="2620">
          <cell r="E2620">
            <v>0</v>
          </cell>
          <cell r="F2620">
            <v>0</v>
          </cell>
          <cell r="DN2620">
            <v>0</v>
          </cell>
        </row>
        <row r="2621">
          <cell r="E2621">
            <v>0</v>
          </cell>
          <cell r="F2621">
            <v>0</v>
          </cell>
          <cell r="DN2621">
            <v>0</v>
          </cell>
        </row>
        <row r="2622">
          <cell r="E2622">
            <v>0</v>
          </cell>
          <cell r="F2622">
            <v>0</v>
          </cell>
          <cell r="DN2622">
            <v>0</v>
          </cell>
        </row>
        <row r="2623">
          <cell r="E2623">
            <v>0</v>
          </cell>
          <cell r="F2623">
            <v>0</v>
          </cell>
          <cell r="DN2623">
            <v>0</v>
          </cell>
        </row>
        <row r="2624">
          <cell r="E2624">
            <v>0</v>
          </cell>
          <cell r="F2624">
            <v>0</v>
          </cell>
          <cell r="DN2624">
            <v>0</v>
          </cell>
        </row>
        <row r="2625">
          <cell r="E2625">
            <v>0</v>
          </cell>
          <cell r="F2625">
            <v>0</v>
          </cell>
          <cell r="DN2625">
            <v>0</v>
          </cell>
        </row>
        <row r="2626">
          <cell r="E2626">
            <v>0</v>
          </cell>
          <cell r="F2626">
            <v>0</v>
          </cell>
          <cell r="DN2626">
            <v>0</v>
          </cell>
        </row>
        <row r="2627">
          <cell r="E2627">
            <v>0</v>
          </cell>
          <cell r="F2627">
            <v>0</v>
          </cell>
          <cell r="DN2627">
            <v>0</v>
          </cell>
        </row>
        <row r="2628">
          <cell r="E2628">
            <v>0</v>
          </cell>
          <cell r="F2628">
            <v>0</v>
          </cell>
          <cell r="DN2628">
            <v>0</v>
          </cell>
        </row>
        <row r="2629">
          <cell r="E2629">
            <v>0</v>
          </cell>
          <cell r="F2629">
            <v>0</v>
          </cell>
          <cell r="DN2629">
            <v>0</v>
          </cell>
        </row>
        <row r="2630">
          <cell r="E2630">
            <v>0</v>
          </cell>
          <cell r="F2630">
            <v>0</v>
          </cell>
          <cell r="DN2630">
            <v>0</v>
          </cell>
        </row>
        <row r="2631">
          <cell r="E2631">
            <v>0</v>
          </cell>
          <cell r="F2631">
            <v>0</v>
          </cell>
          <cell r="DN2631">
            <v>0</v>
          </cell>
        </row>
        <row r="2632">
          <cell r="E2632">
            <v>0</v>
          </cell>
          <cell r="F2632">
            <v>0</v>
          </cell>
          <cell r="DN2632">
            <v>0</v>
          </cell>
        </row>
        <row r="2633">
          <cell r="E2633">
            <v>0</v>
          </cell>
          <cell r="F2633">
            <v>0</v>
          </cell>
          <cell r="DN2633">
            <v>0</v>
          </cell>
        </row>
        <row r="2634">
          <cell r="E2634">
            <v>0</v>
          </cell>
          <cell r="F2634">
            <v>0</v>
          </cell>
          <cell r="DN2634">
            <v>0</v>
          </cell>
        </row>
        <row r="2635">
          <cell r="E2635">
            <v>0</v>
          </cell>
          <cell r="F2635">
            <v>0</v>
          </cell>
          <cell r="DN2635">
            <v>0</v>
          </cell>
        </row>
        <row r="2636">
          <cell r="E2636">
            <v>0</v>
          </cell>
          <cell r="F2636">
            <v>0</v>
          </cell>
          <cell r="DN2636">
            <v>0</v>
          </cell>
        </row>
        <row r="2637">
          <cell r="E2637">
            <v>0</v>
          </cell>
          <cell r="F2637">
            <v>0</v>
          </cell>
          <cell r="DN2637">
            <v>0</v>
          </cell>
        </row>
        <row r="2638">
          <cell r="E2638">
            <v>0</v>
          </cell>
          <cell r="F2638">
            <v>0</v>
          </cell>
          <cell r="DN2638">
            <v>0</v>
          </cell>
        </row>
        <row r="2639">
          <cell r="E2639">
            <v>0</v>
          </cell>
          <cell r="F2639">
            <v>0</v>
          </cell>
          <cell r="DN2639">
            <v>0</v>
          </cell>
        </row>
        <row r="2640">
          <cell r="E2640">
            <v>0</v>
          </cell>
          <cell r="F2640">
            <v>0</v>
          </cell>
          <cell r="DN2640">
            <v>0</v>
          </cell>
        </row>
        <row r="2641">
          <cell r="E2641">
            <v>0</v>
          </cell>
          <cell r="F2641">
            <v>0</v>
          </cell>
          <cell r="DN2641">
            <v>0</v>
          </cell>
        </row>
        <row r="2642">
          <cell r="E2642">
            <v>0</v>
          </cell>
          <cell r="F2642">
            <v>0</v>
          </cell>
          <cell r="DN2642">
            <v>0</v>
          </cell>
        </row>
        <row r="2643">
          <cell r="E2643">
            <v>0</v>
          </cell>
          <cell r="F2643">
            <v>0</v>
          </cell>
          <cell r="DN2643">
            <v>0</v>
          </cell>
        </row>
        <row r="2644">
          <cell r="E2644">
            <v>0</v>
          </cell>
          <cell r="F2644">
            <v>0</v>
          </cell>
          <cell r="DN2644">
            <v>0</v>
          </cell>
        </row>
        <row r="2645">
          <cell r="E2645">
            <v>0</v>
          </cell>
          <cell r="F2645">
            <v>0</v>
          </cell>
          <cell r="DN2645">
            <v>0</v>
          </cell>
        </row>
        <row r="2646">
          <cell r="E2646">
            <v>0</v>
          </cell>
          <cell r="F2646">
            <v>0</v>
          </cell>
          <cell r="DN2646">
            <v>0</v>
          </cell>
        </row>
        <row r="2647">
          <cell r="E2647">
            <v>0</v>
          </cell>
          <cell r="F2647">
            <v>0</v>
          </cell>
          <cell r="DN2647">
            <v>0</v>
          </cell>
        </row>
        <row r="2648">
          <cell r="E2648">
            <v>0</v>
          </cell>
          <cell r="F2648">
            <v>0</v>
          </cell>
          <cell r="DN2648">
            <v>0</v>
          </cell>
        </row>
        <row r="2649">
          <cell r="E2649">
            <v>0</v>
          </cell>
          <cell r="F2649">
            <v>0</v>
          </cell>
          <cell r="DN2649">
            <v>0</v>
          </cell>
        </row>
        <row r="2650">
          <cell r="E2650">
            <v>0</v>
          </cell>
          <cell r="F2650">
            <v>0</v>
          </cell>
          <cell r="DN2650">
            <v>0</v>
          </cell>
        </row>
        <row r="2651">
          <cell r="E2651">
            <v>0</v>
          </cell>
          <cell r="F2651">
            <v>0</v>
          </cell>
          <cell r="DN2651">
            <v>0</v>
          </cell>
        </row>
        <row r="2652">
          <cell r="E2652">
            <v>0</v>
          </cell>
          <cell r="F2652">
            <v>0</v>
          </cell>
          <cell r="DN2652">
            <v>0</v>
          </cell>
        </row>
        <row r="2653">
          <cell r="E2653">
            <v>0</v>
          </cell>
          <cell r="F2653">
            <v>0</v>
          </cell>
          <cell r="DN2653">
            <v>0</v>
          </cell>
        </row>
        <row r="2654">
          <cell r="E2654">
            <v>0</v>
          </cell>
          <cell r="F2654">
            <v>0</v>
          </cell>
          <cell r="DN2654">
            <v>0</v>
          </cell>
        </row>
        <row r="2655">
          <cell r="E2655">
            <v>0</v>
          </cell>
          <cell r="F2655">
            <v>0</v>
          </cell>
          <cell r="DN2655">
            <v>0</v>
          </cell>
        </row>
        <row r="2656">
          <cell r="E2656">
            <v>0</v>
          </cell>
          <cell r="F2656">
            <v>0</v>
          </cell>
          <cell r="DN2656">
            <v>0</v>
          </cell>
        </row>
        <row r="2657">
          <cell r="E2657">
            <v>0</v>
          </cell>
          <cell r="F2657">
            <v>0</v>
          </cell>
          <cell r="DN2657">
            <v>0</v>
          </cell>
        </row>
        <row r="2658">
          <cell r="E2658">
            <v>0</v>
          </cell>
          <cell r="F2658">
            <v>0</v>
          </cell>
          <cell r="DN2658">
            <v>0</v>
          </cell>
        </row>
        <row r="2659">
          <cell r="E2659">
            <v>0</v>
          </cell>
          <cell r="F2659">
            <v>0</v>
          </cell>
          <cell r="DN2659">
            <v>0</v>
          </cell>
        </row>
        <row r="2660">
          <cell r="E2660">
            <v>0</v>
          </cell>
          <cell r="F2660">
            <v>0</v>
          </cell>
          <cell r="DN2660">
            <v>0</v>
          </cell>
        </row>
        <row r="2661">
          <cell r="E2661">
            <v>0</v>
          </cell>
          <cell r="F2661">
            <v>0</v>
          </cell>
          <cell r="DN2661">
            <v>0</v>
          </cell>
        </row>
        <row r="2662">
          <cell r="E2662">
            <v>0</v>
          </cell>
          <cell r="F2662">
            <v>0</v>
          </cell>
          <cell r="DN2662">
            <v>0</v>
          </cell>
        </row>
        <row r="2663">
          <cell r="E2663">
            <v>0</v>
          </cell>
          <cell r="F2663">
            <v>0</v>
          </cell>
          <cell r="DN2663">
            <v>0</v>
          </cell>
        </row>
        <row r="2664">
          <cell r="E2664">
            <v>0</v>
          </cell>
          <cell r="F2664">
            <v>0</v>
          </cell>
          <cell r="DN2664">
            <v>0</v>
          </cell>
        </row>
        <row r="2665">
          <cell r="E2665">
            <v>0</v>
          </cell>
          <cell r="F2665">
            <v>0</v>
          </cell>
          <cell r="DN2665">
            <v>0</v>
          </cell>
        </row>
        <row r="2666">
          <cell r="E2666">
            <v>0</v>
          </cell>
          <cell r="F2666">
            <v>0</v>
          </cell>
          <cell r="DN2666">
            <v>0</v>
          </cell>
        </row>
        <row r="2667">
          <cell r="E2667">
            <v>0</v>
          </cell>
          <cell r="F2667">
            <v>0</v>
          </cell>
          <cell r="DN2667">
            <v>0</v>
          </cell>
        </row>
        <row r="2668">
          <cell r="E2668">
            <v>0</v>
          </cell>
          <cell r="F2668">
            <v>0</v>
          </cell>
          <cell r="DN2668">
            <v>0</v>
          </cell>
        </row>
        <row r="2669">
          <cell r="E2669">
            <v>0</v>
          </cell>
          <cell r="F2669">
            <v>0</v>
          </cell>
          <cell r="DN2669">
            <v>0</v>
          </cell>
        </row>
        <row r="2670">
          <cell r="E2670">
            <v>0</v>
          </cell>
          <cell r="F2670">
            <v>0</v>
          </cell>
          <cell r="DN2670">
            <v>0</v>
          </cell>
        </row>
        <row r="2671">
          <cell r="E2671">
            <v>0</v>
          </cell>
          <cell r="F2671">
            <v>0</v>
          </cell>
          <cell r="DN2671">
            <v>0</v>
          </cell>
        </row>
        <row r="2672">
          <cell r="E2672">
            <v>0</v>
          </cell>
          <cell r="F2672">
            <v>0</v>
          </cell>
          <cell r="DN2672">
            <v>0</v>
          </cell>
        </row>
        <row r="2673">
          <cell r="E2673">
            <v>0</v>
          </cell>
          <cell r="F2673">
            <v>0</v>
          </cell>
          <cell r="DN2673">
            <v>0</v>
          </cell>
        </row>
        <row r="2674">
          <cell r="E2674">
            <v>0</v>
          </cell>
          <cell r="F2674">
            <v>0</v>
          </cell>
          <cell r="DN2674">
            <v>0</v>
          </cell>
        </row>
        <row r="2675">
          <cell r="E2675">
            <v>0</v>
          </cell>
          <cell r="F2675">
            <v>0</v>
          </cell>
          <cell r="DN2675">
            <v>0</v>
          </cell>
        </row>
        <row r="2676">
          <cell r="E2676">
            <v>0</v>
          </cell>
          <cell r="F2676">
            <v>0</v>
          </cell>
          <cell r="DN2676">
            <v>0</v>
          </cell>
        </row>
        <row r="2677">
          <cell r="E2677">
            <v>0</v>
          </cell>
          <cell r="F2677">
            <v>0</v>
          </cell>
          <cell r="DN2677">
            <v>0</v>
          </cell>
        </row>
        <row r="2678">
          <cell r="E2678">
            <v>0</v>
          </cell>
          <cell r="F2678">
            <v>0</v>
          </cell>
          <cell r="DN2678">
            <v>0</v>
          </cell>
        </row>
        <row r="2679">
          <cell r="E2679">
            <v>0</v>
          </cell>
          <cell r="F2679">
            <v>0</v>
          </cell>
          <cell r="DN2679">
            <v>0</v>
          </cell>
        </row>
        <row r="2680">
          <cell r="E2680">
            <v>0</v>
          </cell>
          <cell r="F2680">
            <v>0</v>
          </cell>
          <cell r="DN2680">
            <v>0</v>
          </cell>
        </row>
        <row r="2681">
          <cell r="E2681">
            <v>0</v>
          </cell>
          <cell r="F2681">
            <v>0</v>
          </cell>
          <cell r="DN2681">
            <v>0</v>
          </cell>
        </row>
        <row r="2682">
          <cell r="E2682">
            <v>0</v>
          </cell>
          <cell r="F2682">
            <v>0</v>
          </cell>
          <cell r="DN2682">
            <v>0</v>
          </cell>
        </row>
        <row r="2683">
          <cell r="E2683">
            <v>0</v>
          </cell>
          <cell r="F2683">
            <v>0</v>
          </cell>
          <cell r="DN2683">
            <v>0</v>
          </cell>
        </row>
        <row r="2684">
          <cell r="E2684">
            <v>0</v>
          </cell>
          <cell r="F2684">
            <v>0</v>
          </cell>
          <cell r="DN2684">
            <v>0</v>
          </cell>
        </row>
        <row r="2685">
          <cell r="E2685">
            <v>0</v>
          </cell>
          <cell r="F2685">
            <v>0</v>
          </cell>
          <cell r="DN2685">
            <v>0</v>
          </cell>
        </row>
        <row r="2686">
          <cell r="E2686">
            <v>0</v>
          </cell>
          <cell r="F2686">
            <v>0</v>
          </cell>
          <cell r="DN2686">
            <v>0</v>
          </cell>
        </row>
        <row r="2687">
          <cell r="E2687">
            <v>0</v>
          </cell>
          <cell r="F2687">
            <v>0</v>
          </cell>
          <cell r="DN2687">
            <v>0</v>
          </cell>
        </row>
        <row r="2688">
          <cell r="E2688">
            <v>0</v>
          </cell>
          <cell r="F2688">
            <v>0</v>
          </cell>
          <cell r="DN2688">
            <v>0</v>
          </cell>
        </row>
        <row r="2689">
          <cell r="E2689">
            <v>0</v>
          </cell>
          <cell r="F2689">
            <v>0</v>
          </cell>
          <cell r="DN2689">
            <v>0</v>
          </cell>
        </row>
        <row r="2690">
          <cell r="E2690">
            <v>0</v>
          </cell>
          <cell r="F2690">
            <v>0</v>
          </cell>
          <cell r="DN2690">
            <v>0</v>
          </cell>
        </row>
        <row r="2691">
          <cell r="E2691">
            <v>0</v>
          </cell>
          <cell r="F2691">
            <v>0</v>
          </cell>
          <cell r="DN2691">
            <v>0</v>
          </cell>
        </row>
        <row r="2692">
          <cell r="E2692">
            <v>0</v>
          </cell>
          <cell r="F2692">
            <v>0</v>
          </cell>
          <cell r="DN2692">
            <v>0</v>
          </cell>
        </row>
        <row r="2693">
          <cell r="E2693">
            <v>0</v>
          </cell>
          <cell r="F2693">
            <v>0</v>
          </cell>
          <cell r="DN2693">
            <v>0</v>
          </cell>
        </row>
        <row r="2694">
          <cell r="E2694">
            <v>0</v>
          </cell>
          <cell r="F2694">
            <v>0</v>
          </cell>
          <cell r="DN2694">
            <v>0</v>
          </cell>
        </row>
        <row r="2695">
          <cell r="E2695">
            <v>0</v>
          </cell>
          <cell r="F2695">
            <v>0</v>
          </cell>
          <cell r="DN2695">
            <v>0</v>
          </cell>
        </row>
        <row r="2696">
          <cell r="E2696">
            <v>0</v>
          </cell>
          <cell r="F2696">
            <v>0</v>
          </cell>
          <cell r="DN2696">
            <v>0</v>
          </cell>
        </row>
        <row r="2697">
          <cell r="E2697">
            <v>0</v>
          </cell>
          <cell r="F2697">
            <v>0</v>
          </cell>
          <cell r="DN2697">
            <v>0</v>
          </cell>
        </row>
        <row r="2698">
          <cell r="E2698">
            <v>0</v>
          </cell>
          <cell r="F2698">
            <v>0</v>
          </cell>
          <cell r="DN2698">
            <v>0</v>
          </cell>
        </row>
        <row r="2699">
          <cell r="E2699">
            <v>0</v>
          </cell>
          <cell r="F2699">
            <v>0</v>
          </cell>
          <cell r="DN2699">
            <v>0</v>
          </cell>
        </row>
        <row r="2700">
          <cell r="E2700">
            <v>0</v>
          </cell>
          <cell r="F2700">
            <v>0</v>
          </cell>
          <cell r="DN2700">
            <v>0</v>
          </cell>
        </row>
        <row r="2701">
          <cell r="E2701">
            <v>0</v>
          </cell>
          <cell r="F2701">
            <v>0</v>
          </cell>
          <cell r="DN2701">
            <v>0</v>
          </cell>
        </row>
        <row r="2702">
          <cell r="E2702">
            <v>0</v>
          </cell>
          <cell r="F2702">
            <v>0</v>
          </cell>
          <cell r="DN2702">
            <v>0</v>
          </cell>
        </row>
        <row r="2703">
          <cell r="E2703">
            <v>0</v>
          </cell>
          <cell r="F2703">
            <v>0</v>
          </cell>
          <cell r="DN2703">
            <v>0</v>
          </cell>
        </row>
        <row r="2704">
          <cell r="E2704">
            <v>0</v>
          </cell>
          <cell r="F2704">
            <v>0</v>
          </cell>
          <cell r="DN2704">
            <v>0</v>
          </cell>
        </row>
        <row r="2705">
          <cell r="E2705">
            <v>0</v>
          </cell>
          <cell r="F2705">
            <v>0</v>
          </cell>
          <cell r="DN2705">
            <v>0</v>
          </cell>
        </row>
        <row r="2706">
          <cell r="E2706">
            <v>0</v>
          </cell>
          <cell r="F2706">
            <v>0</v>
          </cell>
          <cell r="DN2706">
            <v>0</v>
          </cell>
        </row>
        <row r="2707">
          <cell r="E2707">
            <v>0</v>
          </cell>
          <cell r="F2707">
            <v>0</v>
          </cell>
          <cell r="DN2707">
            <v>0</v>
          </cell>
        </row>
        <row r="2708">
          <cell r="E2708">
            <v>0</v>
          </cell>
          <cell r="F2708">
            <v>0</v>
          </cell>
          <cell r="DN2708">
            <v>0</v>
          </cell>
        </row>
        <row r="2709">
          <cell r="E2709">
            <v>0</v>
          </cell>
          <cell r="F2709">
            <v>0</v>
          </cell>
          <cell r="DN2709">
            <v>0</v>
          </cell>
        </row>
        <row r="2710">
          <cell r="E2710">
            <v>0</v>
          </cell>
          <cell r="F2710">
            <v>0</v>
          </cell>
          <cell r="DN2710">
            <v>0</v>
          </cell>
        </row>
        <row r="2711">
          <cell r="E2711">
            <v>0</v>
          </cell>
          <cell r="F2711">
            <v>0</v>
          </cell>
          <cell r="DN2711">
            <v>0</v>
          </cell>
        </row>
        <row r="2712">
          <cell r="E2712">
            <v>0</v>
          </cell>
          <cell r="F2712">
            <v>0</v>
          </cell>
          <cell r="DN2712">
            <v>0</v>
          </cell>
        </row>
        <row r="2713">
          <cell r="E2713">
            <v>0</v>
          </cell>
          <cell r="F2713">
            <v>0</v>
          </cell>
          <cell r="DN2713">
            <v>0</v>
          </cell>
        </row>
        <row r="2714">
          <cell r="E2714">
            <v>0</v>
          </cell>
          <cell r="F2714">
            <v>0</v>
          </cell>
          <cell r="DN2714">
            <v>0</v>
          </cell>
        </row>
        <row r="2715">
          <cell r="E2715">
            <v>0</v>
          </cell>
          <cell r="F2715">
            <v>0</v>
          </cell>
          <cell r="DN2715">
            <v>0</v>
          </cell>
        </row>
        <row r="2716">
          <cell r="E2716">
            <v>0</v>
          </cell>
          <cell r="F2716">
            <v>0</v>
          </cell>
          <cell r="DN2716">
            <v>0</v>
          </cell>
        </row>
        <row r="2717">
          <cell r="E2717">
            <v>0</v>
          </cell>
          <cell r="F2717">
            <v>0</v>
          </cell>
          <cell r="DN2717">
            <v>0</v>
          </cell>
        </row>
        <row r="2718">
          <cell r="E2718">
            <v>0</v>
          </cell>
          <cell r="F2718">
            <v>0</v>
          </cell>
          <cell r="DN2718">
            <v>0</v>
          </cell>
        </row>
        <row r="2719">
          <cell r="E2719">
            <v>0</v>
          </cell>
          <cell r="F2719">
            <v>0</v>
          </cell>
          <cell r="DN2719">
            <v>0</v>
          </cell>
        </row>
        <row r="2720">
          <cell r="E2720">
            <v>0</v>
          </cell>
          <cell r="F2720">
            <v>0</v>
          </cell>
          <cell r="DN2720">
            <v>0</v>
          </cell>
        </row>
        <row r="2721">
          <cell r="E2721">
            <v>0</v>
          </cell>
          <cell r="F2721">
            <v>0</v>
          </cell>
          <cell r="DN2721">
            <v>0</v>
          </cell>
        </row>
        <row r="2722">
          <cell r="E2722">
            <v>0</v>
          </cell>
          <cell r="F2722">
            <v>0</v>
          </cell>
          <cell r="DN2722">
            <v>0</v>
          </cell>
        </row>
        <row r="2723">
          <cell r="E2723">
            <v>0</v>
          </cell>
          <cell r="F2723">
            <v>0</v>
          </cell>
          <cell r="DN2723">
            <v>0</v>
          </cell>
        </row>
        <row r="2724">
          <cell r="E2724">
            <v>0</v>
          </cell>
          <cell r="F2724">
            <v>0</v>
          </cell>
          <cell r="DN2724">
            <v>0</v>
          </cell>
        </row>
        <row r="2725">
          <cell r="E2725">
            <v>0</v>
          </cell>
          <cell r="F2725">
            <v>0</v>
          </cell>
          <cell r="DN2725">
            <v>0</v>
          </cell>
        </row>
        <row r="2726">
          <cell r="E2726">
            <v>0</v>
          </cell>
          <cell r="F2726">
            <v>0</v>
          </cell>
          <cell r="DN2726">
            <v>0</v>
          </cell>
        </row>
        <row r="2727">
          <cell r="E2727">
            <v>0</v>
          </cell>
          <cell r="F2727">
            <v>0</v>
          </cell>
          <cell r="DN2727">
            <v>0</v>
          </cell>
        </row>
        <row r="2728">
          <cell r="E2728">
            <v>0</v>
          </cell>
          <cell r="F2728">
            <v>0</v>
          </cell>
          <cell r="DN2728">
            <v>0</v>
          </cell>
        </row>
        <row r="2729">
          <cell r="E2729">
            <v>0</v>
          </cell>
          <cell r="F2729">
            <v>0</v>
          </cell>
          <cell r="DN2729">
            <v>0</v>
          </cell>
        </row>
        <row r="2730">
          <cell r="E2730">
            <v>0</v>
          </cell>
          <cell r="F2730">
            <v>0</v>
          </cell>
          <cell r="DN2730">
            <v>0</v>
          </cell>
        </row>
        <row r="2731">
          <cell r="E2731">
            <v>0</v>
          </cell>
          <cell r="F2731">
            <v>0</v>
          </cell>
          <cell r="DN2731">
            <v>0</v>
          </cell>
        </row>
        <row r="2732">
          <cell r="E2732">
            <v>0</v>
          </cell>
          <cell r="F2732">
            <v>0</v>
          </cell>
          <cell r="DN2732">
            <v>0</v>
          </cell>
        </row>
        <row r="2733">
          <cell r="E2733">
            <v>0</v>
          </cell>
          <cell r="F2733">
            <v>0</v>
          </cell>
          <cell r="DN2733">
            <v>0</v>
          </cell>
        </row>
        <row r="2734">
          <cell r="E2734">
            <v>0</v>
          </cell>
          <cell r="F2734">
            <v>0</v>
          </cell>
          <cell r="DN2734">
            <v>0</v>
          </cell>
        </row>
        <row r="2735">
          <cell r="E2735">
            <v>0</v>
          </cell>
          <cell r="F2735">
            <v>0</v>
          </cell>
          <cell r="DN2735">
            <v>0</v>
          </cell>
        </row>
        <row r="2736">
          <cell r="E2736">
            <v>0</v>
          </cell>
          <cell r="F2736">
            <v>0</v>
          </cell>
          <cell r="DN2736">
            <v>0</v>
          </cell>
        </row>
        <row r="2737">
          <cell r="E2737">
            <v>0</v>
          </cell>
          <cell r="F2737">
            <v>0</v>
          </cell>
          <cell r="DN2737">
            <v>0</v>
          </cell>
        </row>
        <row r="2738">
          <cell r="E2738">
            <v>0</v>
          </cell>
          <cell r="F2738">
            <v>0</v>
          </cell>
          <cell r="DN2738">
            <v>0</v>
          </cell>
        </row>
        <row r="2739">
          <cell r="E2739">
            <v>0</v>
          </cell>
          <cell r="F2739">
            <v>0</v>
          </cell>
          <cell r="DN2739">
            <v>0</v>
          </cell>
        </row>
        <row r="2740">
          <cell r="E2740">
            <v>0</v>
          </cell>
          <cell r="F2740">
            <v>0</v>
          </cell>
          <cell r="DN2740">
            <v>0</v>
          </cell>
        </row>
        <row r="2741">
          <cell r="E2741">
            <v>0</v>
          </cell>
          <cell r="F2741">
            <v>0</v>
          </cell>
          <cell r="DN2741">
            <v>0</v>
          </cell>
        </row>
        <row r="2742">
          <cell r="E2742">
            <v>0</v>
          </cell>
          <cell r="F2742">
            <v>0</v>
          </cell>
          <cell r="DN2742">
            <v>0</v>
          </cell>
        </row>
        <row r="2743">
          <cell r="E2743">
            <v>0</v>
          </cell>
          <cell r="F2743">
            <v>0</v>
          </cell>
          <cell r="DN2743">
            <v>0</v>
          </cell>
        </row>
        <row r="2744">
          <cell r="E2744">
            <v>0</v>
          </cell>
          <cell r="F2744">
            <v>0</v>
          </cell>
          <cell r="DN2744">
            <v>0</v>
          </cell>
        </row>
        <row r="2745">
          <cell r="E2745">
            <v>0</v>
          </cell>
          <cell r="F2745">
            <v>0</v>
          </cell>
          <cell r="DN2745">
            <v>0</v>
          </cell>
        </row>
        <row r="2746">
          <cell r="E2746">
            <v>0</v>
          </cell>
          <cell r="F2746">
            <v>0</v>
          </cell>
          <cell r="DN2746">
            <v>0</v>
          </cell>
        </row>
        <row r="2747">
          <cell r="E2747">
            <v>0</v>
          </cell>
          <cell r="F2747">
            <v>0</v>
          </cell>
          <cell r="DN2747">
            <v>0</v>
          </cell>
        </row>
        <row r="2748">
          <cell r="E2748">
            <v>0</v>
          </cell>
          <cell r="F2748">
            <v>0</v>
          </cell>
          <cell r="DN2748">
            <v>0</v>
          </cell>
        </row>
        <row r="2749">
          <cell r="E2749">
            <v>0</v>
          </cell>
          <cell r="F2749">
            <v>0</v>
          </cell>
          <cell r="DN2749">
            <v>0</v>
          </cell>
        </row>
        <row r="2750">
          <cell r="E2750">
            <v>0</v>
          </cell>
          <cell r="F2750">
            <v>0</v>
          </cell>
          <cell r="DN2750">
            <v>0</v>
          </cell>
        </row>
        <row r="2751">
          <cell r="E2751">
            <v>0</v>
          </cell>
          <cell r="F2751">
            <v>0</v>
          </cell>
          <cell r="DN2751">
            <v>0</v>
          </cell>
        </row>
        <row r="2752">
          <cell r="E2752">
            <v>0</v>
          </cell>
          <cell r="F2752">
            <v>0</v>
          </cell>
          <cell r="DN2752">
            <v>0</v>
          </cell>
        </row>
        <row r="2753">
          <cell r="E2753">
            <v>0</v>
          </cell>
          <cell r="F2753">
            <v>0</v>
          </cell>
          <cell r="DN2753">
            <v>0</v>
          </cell>
        </row>
        <row r="2754">
          <cell r="E2754">
            <v>0</v>
          </cell>
          <cell r="F2754">
            <v>0</v>
          </cell>
          <cell r="DN2754">
            <v>0</v>
          </cell>
        </row>
        <row r="2755">
          <cell r="E2755">
            <v>0</v>
          </cell>
          <cell r="F2755">
            <v>0</v>
          </cell>
          <cell r="DN2755">
            <v>0</v>
          </cell>
        </row>
        <row r="2756">
          <cell r="E2756">
            <v>0</v>
          </cell>
          <cell r="F2756">
            <v>0</v>
          </cell>
          <cell r="DN2756">
            <v>0</v>
          </cell>
        </row>
        <row r="2757">
          <cell r="E2757">
            <v>0</v>
          </cell>
          <cell r="F2757">
            <v>0</v>
          </cell>
          <cell r="DN2757">
            <v>0</v>
          </cell>
        </row>
        <row r="2758">
          <cell r="E2758">
            <v>0</v>
          </cell>
          <cell r="F2758">
            <v>0</v>
          </cell>
          <cell r="DN2758">
            <v>0</v>
          </cell>
        </row>
        <row r="2759">
          <cell r="E2759">
            <v>0</v>
          </cell>
          <cell r="F2759">
            <v>0</v>
          </cell>
          <cell r="DN2759">
            <v>0</v>
          </cell>
        </row>
        <row r="2760">
          <cell r="E2760">
            <v>0</v>
          </cell>
          <cell r="F2760">
            <v>0</v>
          </cell>
          <cell r="DN2760">
            <v>0</v>
          </cell>
        </row>
        <row r="2761">
          <cell r="E2761">
            <v>0</v>
          </cell>
          <cell r="F2761">
            <v>0</v>
          </cell>
          <cell r="DN2761">
            <v>0</v>
          </cell>
        </row>
        <row r="2762">
          <cell r="E2762">
            <v>0</v>
          </cell>
          <cell r="F2762">
            <v>0</v>
          </cell>
          <cell r="DN2762">
            <v>0</v>
          </cell>
        </row>
        <row r="2763">
          <cell r="E2763">
            <v>0</v>
          </cell>
          <cell r="F2763">
            <v>0</v>
          </cell>
          <cell r="DN2763">
            <v>0</v>
          </cell>
        </row>
        <row r="2764">
          <cell r="E2764">
            <v>0</v>
          </cell>
          <cell r="F2764">
            <v>0</v>
          </cell>
          <cell r="DN2764">
            <v>0</v>
          </cell>
        </row>
        <row r="2765">
          <cell r="E2765">
            <v>0</v>
          </cell>
          <cell r="F2765">
            <v>0</v>
          </cell>
          <cell r="DN2765">
            <v>0</v>
          </cell>
        </row>
        <row r="2766">
          <cell r="E2766">
            <v>0</v>
          </cell>
          <cell r="F2766">
            <v>0</v>
          </cell>
          <cell r="DN2766">
            <v>0</v>
          </cell>
        </row>
        <row r="2767">
          <cell r="E2767">
            <v>0</v>
          </cell>
          <cell r="F2767">
            <v>0</v>
          </cell>
          <cell r="DN2767">
            <v>0</v>
          </cell>
        </row>
        <row r="2768">
          <cell r="E2768">
            <v>0</v>
          </cell>
          <cell r="F2768">
            <v>0</v>
          </cell>
          <cell r="DN2768">
            <v>0</v>
          </cell>
        </row>
        <row r="2769">
          <cell r="E2769">
            <v>0</v>
          </cell>
          <cell r="F2769">
            <v>0</v>
          </cell>
          <cell r="DN2769">
            <v>0</v>
          </cell>
        </row>
        <row r="2770">
          <cell r="E2770">
            <v>0</v>
          </cell>
          <cell r="F2770">
            <v>0</v>
          </cell>
          <cell r="DN2770">
            <v>0</v>
          </cell>
        </row>
        <row r="2771">
          <cell r="E2771">
            <v>0</v>
          </cell>
          <cell r="F2771">
            <v>0</v>
          </cell>
          <cell r="DN2771">
            <v>0</v>
          </cell>
        </row>
        <row r="2772">
          <cell r="E2772">
            <v>0</v>
          </cell>
          <cell r="F2772">
            <v>0</v>
          </cell>
          <cell r="DN2772">
            <v>0</v>
          </cell>
        </row>
        <row r="2773">
          <cell r="E2773">
            <v>0</v>
          </cell>
          <cell r="F2773">
            <v>0</v>
          </cell>
          <cell r="DN2773">
            <v>0</v>
          </cell>
        </row>
        <row r="2774">
          <cell r="E2774">
            <v>0</v>
          </cell>
          <cell r="F2774">
            <v>0</v>
          </cell>
          <cell r="DN2774">
            <v>0</v>
          </cell>
        </row>
        <row r="2775">
          <cell r="E2775">
            <v>0</v>
          </cell>
          <cell r="F2775">
            <v>0</v>
          </cell>
          <cell r="DN2775">
            <v>0</v>
          </cell>
        </row>
        <row r="2776">
          <cell r="E2776">
            <v>0</v>
          </cell>
          <cell r="F2776">
            <v>0</v>
          </cell>
          <cell r="DN2776">
            <v>0</v>
          </cell>
        </row>
        <row r="2777">
          <cell r="E2777">
            <v>0</v>
          </cell>
          <cell r="F2777">
            <v>0</v>
          </cell>
          <cell r="DN2777">
            <v>0</v>
          </cell>
        </row>
        <row r="2778">
          <cell r="E2778">
            <v>0</v>
          </cell>
          <cell r="F2778">
            <v>0</v>
          </cell>
          <cell r="DN2778">
            <v>0</v>
          </cell>
        </row>
        <row r="2779">
          <cell r="E2779">
            <v>0</v>
          </cell>
          <cell r="F2779">
            <v>0</v>
          </cell>
          <cell r="DN2779">
            <v>0</v>
          </cell>
        </row>
        <row r="2780">
          <cell r="E2780">
            <v>0</v>
          </cell>
          <cell r="F2780">
            <v>0</v>
          </cell>
          <cell r="DN2780">
            <v>0</v>
          </cell>
        </row>
        <row r="2781">
          <cell r="E2781">
            <v>0</v>
          </cell>
          <cell r="F2781">
            <v>0</v>
          </cell>
          <cell r="DN2781">
            <v>0</v>
          </cell>
        </row>
        <row r="2782">
          <cell r="E2782">
            <v>0</v>
          </cell>
          <cell r="F2782">
            <v>0</v>
          </cell>
          <cell r="DN2782">
            <v>0</v>
          </cell>
        </row>
        <row r="2783">
          <cell r="E2783">
            <v>0</v>
          </cell>
          <cell r="F2783">
            <v>0</v>
          </cell>
          <cell r="DN2783">
            <v>0</v>
          </cell>
        </row>
        <row r="2784">
          <cell r="E2784">
            <v>0</v>
          </cell>
          <cell r="F2784">
            <v>0</v>
          </cell>
          <cell r="DN2784">
            <v>0</v>
          </cell>
        </row>
        <row r="2785">
          <cell r="E2785">
            <v>0</v>
          </cell>
          <cell r="F2785">
            <v>0</v>
          </cell>
          <cell r="DN2785">
            <v>0</v>
          </cell>
        </row>
        <row r="2786">
          <cell r="E2786">
            <v>0</v>
          </cell>
          <cell r="F2786">
            <v>0</v>
          </cell>
          <cell r="DN2786">
            <v>0</v>
          </cell>
        </row>
        <row r="2787">
          <cell r="E2787">
            <v>0</v>
          </cell>
          <cell r="F2787">
            <v>0</v>
          </cell>
          <cell r="DN2787">
            <v>0</v>
          </cell>
        </row>
        <row r="2788">
          <cell r="E2788">
            <v>0</v>
          </cell>
          <cell r="F2788">
            <v>0</v>
          </cell>
          <cell r="DN2788">
            <v>0</v>
          </cell>
        </row>
        <row r="2789">
          <cell r="E2789">
            <v>0</v>
          </cell>
          <cell r="F2789">
            <v>0</v>
          </cell>
          <cell r="DN2789">
            <v>0</v>
          </cell>
        </row>
        <row r="2790">
          <cell r="E2790">
            <v>0</v>
          </cell>
          <cell r="F2790">
            <v>0</v>
          </cell>
          <cell r="DN2790">
            <v>0</v>
          </cell>
        </row>
        <row r="2791">
          <cell r="E2791">
            <v>0</v>
          </cell>
          <cell r="F2791">
            <v>0</v>
          </cell>
          <cell r="DN2791">
            <v>0</v>
          </cell>
        </row>
        <row r="2792">
          <cell r="E2792">
            <v>0</v>
          </cell>
          <cell r="F2792">
            <v>0</v>
          </cell>
          <cell r="DN2792">
            <v>0</v>
          </cell>
        </row>
        <row r="2793">
          <cell r="E2793">
            <v>0</v>
          </cell>
          <cell r="F2793">
            <v>0</v>
          </cell>
          <cell r="DN2793">
            <v>0</v>
          </cell>
        </row>
        <row r="2794">
          <cell r="E2794">
            <v>0</v>
          </cell>
          <cell r="F2794">
            <v>0</v>
          </cell>
          <cell r="DN2794">
            <v>0</v>
          </cell>
        </row>
        <row r="2795">
          <cell r="E2795">
            <v>0</v>
          </cell>
          <cell r="F2795">
            <v>0</v>
          </cell>
          <cell r="DN2795">
            <v>0</v>
          </cell>
        </row>
        <row r="2796">
          <cell r="E2796">
            <v>0</v>
          </cell>
          <cell r="F2796">
            <v>0</v>
          </cell>
          <cell r="DN2796">
            <v>0</v>
          </cell>
        </row>
        <row r="2797">
          <cell r="E2797">
            <v>0</v>
          </cell>
          <cell r="F2797">
            <v>0</v>
          </cell>
          <cell r="DN2797">
            <v>0</v>
          </cell>
        </row>
        <row r="2798">
          <cell r="E2798">
            <v>0</v>
          </cell>
          <cell r="F2798">
            <v>0</v>
          </cell>
          <cell r="DN2798">
            <v>0</v>
          </cell>
        </row>
        <row r="2799">
          <cell r="E2799">
            <v>0</v>
          </cell>
          <cell r="F2799">
            <v>0</v>
          </cell>
          <cell r="DN2799">
            <v>0</v>
          </cell>
        </row>
        <row r="2800">
          <cell r="E2800">
            <v>0</v>
          </cell>
          <cell r="F2800">
            <v>0</v>
          </cell>
          <cell r="DN2800">
            <v>0</v>
          </cell>
        </row>
        <row r="2801">
          <cell r="E2801">
            <v>0</v>
          </cell>
          <cell r="F2801">
            <v>0</v>
          </cell>
          <cell r="DN2801">
            <v>0</v>
          </cell>
        </row>
        <row r="2802">
          <cell r="E2802">
            <v>0</v>
          </cell>
          <cell r="F2802">
            <v>0</v>
          </cell>
          <cell r="DN2802">
            <v>0</v>
          </cell>
        </row>
        <row r="2803">
          <cell r="E2803">
            <v>0</v>
          </cell>
          <cell r="F2803">
            <v>0</v>
          </cell>
          <cell r="DN2803">
            <v>0</v>
          </cell>
        </row>
        <row r="2804">
          <cell r="E2804">
            <v>0</v>
          </cell>
          <cell r="F2804">
            <v>0</v>
          </cell>
          <cell r="DN2804">
            <v>0</v>
          </cell>
        </row>
        <row r="2805">
          <cell r="E2805">
            <v>0</v>
          </cell>
          <cell r="F2805">
            <v>0</v>
          </cell>
          <cell r="DN2805">
            <v>0</v>
          </cell>
        </row>
        <row r="2806">
          <cell r="E2806">
            <v>0</v>
          </cell>
          <cell r="F2806">
            <v>0</v>
          </cell>
          <cell r="DN2806">
            <v>0</v>
          </cell>
        </row>
        <row r="2807">
          <cell r="E2807">
            <v>0</v>
          </cell>
          <cell r="F2807">
            <v>0</v>
          </cell>
          <cell r="DN2807">
            <v>0</v>
          </cell>
        </row>
        <row r="2808">
          <cell r="E2808">
            <v>0</v>
          </cell>
          <cell r="F2808">
            <v>0</v>
          </cell>
          <cell r="DN2808">
            <v>0</v>
          </cell>
        </row>
        <row r="2809">
          <cell r="E2809">
            <v>0</v>
          </cell>
          <cell r="F2809">
            <v>0</v>
          </cell>
          <cell r="DN2809">
            <v>0</v>
          </cell>
        </row>
        <row r="2810">
          <cell r="E2810">
            <v>0</v>
          </cell>
          <cell r="F2810">
            <v>0</v>
          </cell>
          <cell r="DN2810">
            <v>0</v>
          </cell>
        </row>
        <row r="2811">
          <cell r="E2811">
            <v>0</v>
          </cell>
          <cell r="F2811">
            <v>0</v>
          </cell>
          <cell r="DN2811">
            <v>0</v>
          </cell>
        </row>
        <row r="2812">
          <cell r="E2812">
            <v>0</v>
          </cell>
          <cell r="F2812">
            <v>0</v>
          </cell>
          <cell r="DN2812">
            <v>0</v>
          </cell>
        </row>
        <row r="2813">
          <cell r="E2813">
            <v>0</v>
          </cell>
          <cell r="F2813">
            <v>0</v>
          </cell>
          <cell r="DN2813">
            <v>0</v>
          </cell>
        </row>
        <row r="2814">
          <cell r="E2814">
            <v>0</v>
          </cell>
          <cell r="F2814">
            <v>0</v>
          </cell>
          <cell r="DN2814">
            <v>0</v>
          </cell>
        </row>
        <row r="2815">
          <cell r="E2815">
            <v>0</v>
          </cell>
          <cell r="F2815">
            <v>0</v>
          </cell>
          <cell r="DN2815">
            <v>0</v>
          </cell>
        </row>
        <row r="2816">
          <cell r="E2816">
            <v>0</v>
          </cell>
          <cell r="F2816">
            <v>0</v>
          </cell>
          <cell r="DN2816">
            <v>0</v>
          </cell>
        </row>
        <row r="2817">
          <cell r="E2817">
            <v>0</v>
          </cell>
          <cell r="F2817">
            <v>0</v>
          </cell>
          <cell r="DN2817">
            <v>0</v>
          </cell>
        </row>
        <row r="2818">
          <cell r="E2818">
            <v>0</v>
          </cell>
          <cell r="F2818">
            <v>0</v>
          </cell>
          <cell r="DN2818">
            <v>0</v>
          </cell>
        </row>
        <row r="2819">
          <cell r="E2819">
            <v>0</v>
          </cell>
          <cell r="F2819">
            <v>0</v>
          </cell>
          <cell r="DN2819">
            <v>0</v>
          </cell>
        </row>
        <row r="2820">
          <cell r="E2820">
            <v>0</v>
          </cell>
          <cell r="F2820">
            <v>0</v>
          </cell>
          <cell r="DN2820">
            <v>0</v>
          </cell>
        </row>
        <row r="2821">
          <cell r="E2821">
            <v>0</v>
          </cell>
          <cell r="F2821">
            <v>0</v>
          </cell>
          <cell r="DN2821">
            <v>0</v>
          </cell>
        </row>
        <row r="2822">
          <cell r="E2822">
            <v>0</v>
          </cell>
          <cell r="F2822">
            <v>0</v>
          </cell>
          <cell r="DN2822">
            <v>0</v>
          </cell>
        </row>
        <row r="2823">
          <cell r="E2823">
            <v>0</v>
          </cell>
          <cell r="F2823">
            <v>0</v>
          </cell>
          <cell r="DN2823">
            <v>0</v>
          </cell>
        </row>
        <row r="2824">
          <cell r="E2824">
            <v>0</v>
          </cell>
          <cell r="F2824">
            <v>0</v>
          </cell>
          <cell r="DN2824">
            <v>0</v>
          </cell>
        </row>
        <row r="2825">
          <cell r="E2825">
            <v>0</v>
          </cell>
          <cell r="F2825">
            <v>0</v>
          </cell>
          <cell r="DN2825">
            <v>0</v>
          </cell>
        </row>
        <row r="2826">
          <cell r="E2826">
            <v>0</v>
          </cell>
          <cell r="F2826">
            <v>0</v>
          </cell>
          <cell r="DN2826">
            <v>0</v>
          </cell>
        </row>
        <row r="2827">
          <cell r="E2827">
            <v>0</v>
          </cell>
          <cell r="F2827">
            <v>0</v>
          </cell>
          <cell r="DN2827">
            <v>0</v>
          </cell>
        </row>
        <row r="2828">
          <cell r="E2828">
            <v>0</v>
          </cell>
          <cell r="F2828">
            <v>0</v>
          </cell>
          <cell r="DN2828">
            <v>0</v>
          </cell>
        </row>
        <row r="2829">
          <cell r="E2829">
            <v>0</v>
          </cell>
          <cell r="F2829">
            <v>0</v>
          </cell>
          <cell r="DN2829">
            <v>0</v>
          </cell>
        </row>
        <row r="2830">
          <cell r="E2830">
            <v>0</v>
          </cell>
          <cell r="F2830">
            <v>0</v>
          </cell>
          <cell r="DN2830">
            <v>0</v>
          </cell>
        </row>
        <row r="2831">
          <cell r="E2831">
            <v>0</v>
          </cell>
          <cell r="F2831">
            <v>0</v>
          </cell>
          <cell r="DN2831">
            <v>0</v>
          </cell>
        </row>
        <row r="2832">
          <cell r="E2832">
            <v>0</v>
          </cell>
          <cell r="F2832">
            <v>0</v>
          </cell>
          <cell r="DN2832">
            <v>0</v>
          </cell>
        </row>
        <row r="2833">
          <cell r="E2833">
            <v>0</v>
          </cell>
          <cell r="F2833">
            <v>0</v>
          </cell>
          <cell r="DN2833">
            <v>0</v>
          </cell>
        </row>
        <row r="2834">
          <cell r="E2834">
            <v>0</v>
          </cell>
          <cell r="F2834">
            <v>0</v>
          </cell>
          <cell r="DN2834">
            <v>0</v>
          </cell>
        </row>
        <row r="2835">
          <cell r="E2835">
            <v>0</v>
          </cell>
          <cell r="F2835">
            <v>0</v>
          </cell>
          <cell r="DN2835">
            <v>0</v>
          </cell>
        </row>
        <row r="2836">
          <cell r="E2836">
            <v>0</v>
          </cell>
          <cell r="F2836">
            <v>0</v>
          </cell>
          <cell r="DN2836">
            <v>0</v>
          </cell>
        </row>
        <row r="2837">
          <cell r="E2837">
            <v>0</v>
          </cell>
          <cell r="F2837">
            <v>0</v>
          </cell>
          <cell r="DN2837">
            <v>0</v>
          </cell>
        </row>
        <row r="2838">
          <cell r="E2838">
            <v>0</v>
          </cell>
          <cell r="F2838">
            <v>0</v>
          </cell>
          <cell r="DN2838">
            <v>0</v>
          </cell>
        </row>
        <row r="2839">
          <cell r="E2839">
            <v>0</v>
          </cell>
          <cell r="F2839">
            <v>0</v>
          </cell>
          <cell r="DN2839">
            <v>0</v>
          </cell>
        </row>
        <row r="2840">
          <cell r="E2840">
            <v>0</v>
          </cell>
          <cell r="F2840">
            <v>0</v>
          </cell>
          <cell r="DN2840">
            <v>0</v>
          </cell>
        </row>
        <row r="2841">
          <cell r="E2841">
            <v>0</v>
          </cell>
          <cell r="F2841">
            <v>0</v>
          </cell>
          <cell r="DN2841">
            <v>0</v>
          </cell>
        </row>
        <row r="2842">
          <cell r="E2842">
            <v>0</v>
          </cell>
          <cell r="F2842">
            <v>0</v>
          </cell>
          <cell r="DN2842">
            <v>0</v>
          </cell>
        </row>
        <row r="2843">
          <cell r="E2843">
            <v>0</v>
          </cell>
          <cell r="F2843">
            <v>0</v>
          </cell>
          <cell r="DN2843">
            <v>0</v>
          </cell>
        </row>
        <row r="2844">
          <cell r="E2844">
            <v>0</v>
          </cell>
          <cell r="F2844">
            <v>0</v>
          </cell>
          <cell r="DN2844">
            <v>0</v>
          </cell>
        </row>
        <row r="2845">
          <cell r="E2845">
            <v>0</v>
          </cell>
          <cell r="F2845">
            <v>0</v>
          </cell>
          <cell r="DN2845">
            <v>0</v>
          </cell>
        </row>
        <row r="2846">
          <cell r="E2846">
            <v>0</v>
          </cell>
          <cell r="F2846">
            <v>0</v>
          </cell>
          <cell r="DN2846">
            <v>0</v>
          </cell>
        </row>
        <row r="2847">
          <cell r="E2847">
            <v>0</v>
          </cell>
          <cell r="F2847">
            <v>0</v>
          </cell>
          <cell r="DN2847">
            <v>0</v>
          </cell>
        </row>
        <row r="2848">
          <cell r="E2848">
            <v>0</v>
          </cell>
          <cell r="F2848">
            <v>0</v>
          </cell>
          <cell r="DN2848">
            <v>0</v>
          </cell>
        </row>
        <row r="2849">
          <cell r="E2849">
            <v>0</v>
          </cell>
          <cell r="F2849">
            <v>0</v>
          </cell>
          <cell r="DN2849">
            <v>0</v>
          </cell>
        </row>
        <row r="2850">
          <cell r="E2850">
            <v>0</v>
          </cell>
          <cell r="F2850">
            <v>0</v>
          </cell>
          <cell r="DN2850">
            <v>0</v>
          </cell>
        </row>
        <row r="2851">
          <cell r="E2851">
            <v>0</v>
          </cell>
          <cell r="F2851">
            <v>0</v>
          </cell>
          <cell r="DN2851">
            <v>0</v>
          </cell>
        </row>
        <row r="2852">
          <cell r="E2852">
            <v>0</v>
          </cell>
          <cell r="F2852">
            <v>0</v>
          </cell>
          <cell r="DN2852">
            <v>0</v>
          </cell>
        </row>
        <row r="2853">
          <cell r="E2853">
            <v>0</v>
          </cell>
          <cell r="F2853">
            <v>0</v>
          </cell>
          <cell r="DN2853">
            <v>0</v>
          </cell>
        </row>
        <row r="2854">
          <cell r="E2854">
            <v>0</v>
          </cell>
          <cell r="F2854">
            <v>0</v>
          </cell>
          <cell r="DN2854">
            <v>0</v>
          </cell>
        </row>
        <row r="2855">
          <cell r="E2855">
            <v>0</v>
          </cell>
          <cell r="F2855">
            <v>0</v>
          </cell>
          <cell r="DN2855">
            <v>0</v>
          </cell>
        </row>
        <row r="2856">
          <cell r="E2856">
            <v>0</v>
          </cell>
          <cell r="F2856">
            <v>0</v>
          </cell>
          <cell r="DN2856">
            <v>0</v>
          </cell>
        </row>
        <row r="2857">
          <cell r="E2857">
            <v>0</v>
          </cell>
          <cell r="F2857">
            <v>0</v>
          </cell>
          <cell r="DN2857">
            <v>0</v>
          </cell>
        </row>
        <row r="2858">
          <cell r="E2858">
            <v>0</v>
          </cell>
          <cell r="F2858">
            <v>0</v>
          </cell>
          <cell r="DN2858">
            <v>0</v>
          </cell>
        </row>
        <row r="2859">
          <cell r="E2859">
            <v>0</v>
          </cell>
          <cell r="F2859">
            <v>0</v>
          </cell>
          <cell r="DN2859">
            <v>0</v>
          </cell>
        </row>
        <row r="2860">
          <cell r="E2860">
            <v>0</v>
          </cell>
          <cell r="F2860">
            <v>0</v>
          </cell>
          <cell r="DN2860">
            <v>0</v>
          </cell>
        </row>
        <row r="2861">
          <cell r="E2861">
            <v>0</v>
          </cell>
          <cell r="F2861">
            <v>0</v>
          </cell>
          <cell r="DN2861">
            <v>0</v>
          </cell>
        </row>
        <row r="2862">
          <cell r="E2862">
            <v>0</v>
          </cell>
          <cell r="F2862">
            <v>0</v>
          </cell>
          <cell r="DN2862">
            <v>0</v>
          </cell>
        </row>
        <row r="2863">
          <cell r="E2863">
            <v>0</v>
          </cell>
          <cell r="F2863">
            <v>0</v>
          </cell>
          <cell r="DN2863">
            <v>0</v>
          </cell>
        </row>
        <row r="2864">
          <cell r="E2864">
            <v>0</v>
          </cell>
          <cell r="F2864">
            <v>0</v>
          </cell>
          <cell r="DN2864">
            <v>0</v>
          </cell>
        </row>
        <row r="2865">
          <cell r="E2865">
            <v>0</v>
          </cell>
          <cell r="F2865">
            <v>0</v>
          </cell>
          <cell r="DN2865">
            <v>0</v>
          </cell>
        </row>
        <row r="2866">
          <cell r="E2866">
            <v>0</v>
          </cell>
          <cell r="F2866">
            <v>0</v>
          </cell>
          <cell r="DN2866">
            <v>0</v>
          </cell>
        </row>
        <row r="2867">
          <cell r="E2867">
            <v>0</v>
          </cell>
          <cell r="F2867">
            <v>0</v>
          </cell>
          <cell r="DN2867">
            <v>0</v>
          </cell>
        </row>
        <row r="2868">
          <cell r="E2868">
            <v>0</v>
          </cell>
          <cell r="F2868">
            <v>0</v>
          </cell>
          <cell r="DN2868">
            <v>0</v>
          </cell>
        </row>
        <row r="2869">
          <cell r="E2869">
            <v>0</v>
          </cell>
          <cell r="F2869">
            <v>0</v>
          </cell>
          <cell r="DN2869">
            <v>0</v>
          </cell>
        </row>
        <row r="2870">
          <cell r="E2870">
            <v>0</v>
          </cell>
          <cell r="F2870">
            <v>0</v>
          </cell>
          <cell r="DN2870">
            <v>0</v>
          </cell>
        </row>
        <row r="2871">
          <cell r="E2871">
            <v>0</v>
          </cell>
          <cell r="F2871">
            <v>0</v>
          </cell>
          <cell r="DN2871">
            <v>0</v>
          </cell>
        </row>
        <row r="2872">
          <cell r="E2872">
            <v>0</v>
          </cell>
          <cell r="F2872">
            <v>0</v>
          </cell>
          <cell r="DN2872">
            <v>0</v>
          </cell>
        </row>
        <row r="2873">
          <cell r="E2873">
            <v>0</v>
          </cell>
          <cell r="F2873">
            <v>0</v>
          </cell>
          <cell r="DN2873">
            <v>0</v>
          </cell>
        </row>
        <row r="2874">
          <cell r="E2874">
            <v>0</v>
          </cell>
          <cell r="F2874">
            <v>0</v>
          </cell>
          <cell r="DN2874">
            <v>0</v>
          </cell>
        </row>
        <row r="2875">
          <cell r="E2875">
            <v>0</v>
          </cell>
          <cell r="F2875">
            <v>0</v>
          </cell>
          <cell r="DN2875">
            <v>0</v>
          </cell>
        </row>
        <row r="2876">
          <cell r="E2876">
            <v>0</v>
          </cell>
          <cell r="F2876">
            <v>0</v>
          </cell>
          <cell r="DN2876">
            <v>0</v>
          </cell>
        </row>
        <row r="2877">
          <cell r="E2877">
            <v>0</v>
          </cell>
          <cell r="F2877">
            <v>0</v>
          </cell>
          <cell r="DN2877">
            <v>0</v>
          </cell>
        </row>
        <row r="2878">
          <cell r="E2878">
            <v>0</v>
          </cell>
          <cell r="F2878">
            <v>0</v>
          </cell>
          <cell r="DN2878">
            <v>0</v>
          </cell>
        </row>
        <row r="2879">
          <cell r="E2879">
            <v>0</v>
          </cell>
          <cell r="F2879">
            <v>0</v>
          </cell>
          <cell r="DN2879">
            <v>0</v>
          </cell>
        </row>
        <row r="2880">
          <cell r="E2880">
            <v>0</v>
          </cell>
          <cell r="F2880">
            <v>0</v>
          </cell>
          <cell r="DN2880">
            <v>0</v>
          </cell>
        </row>
        <row r="2881">
          <cell r="E2881">
            <v>0</v>
          </cell>
          <cell r="F2881">
            <v>0</v>
          </cell>
          <cell r="DN2881">
            <v>0</v>
          </cell>
        </row>
        <row r="2882">
          <cell r="E2882">
            <v>0</v>
          </cell>
          <cell r="F2882">
            <v>0</v>
          </cell>
          <cell r="DN2882">
            <v>0</v>
          </cell>
        </row>
        <row r="2883">
          <cell r="E2883">
            <v>0</v>
          </cell>
          <cell r="F2883">
            <v>0</v>
          </cell>
          <cell r="DN2883">
            <v>0</v>
          </cell>
        </row>
        <row r="2884">
          <cell r="E2884">
            <v>0</v>
          </cell>
          <cell r="F2884">
            <v>0</v>
          </cell>
          <cell r="DN2884">
            <v>0</v>
          </cell>
        </row>
        <row r="2885">
          <cell r="E2885">
            <v>0</v>
          </cell>
          <cell r="F2885">
            <v>0</v>
          </cell>
          <cell r="DN2885">
            <v>0</v>
          </cell>
        </row>
        <row r="2886">
          <cell r="E2886">
            <v>0</v>
          </cell>
          <cell r="F2886">
            <v>0</v>
          </cell>
          <cell r="DN2886">
            <v>0</v>
          </cell>
        </row>
        <row r="2887">
          <cell r="E2887">
            <v>0</v>
          </cell>
          <cell r="F2887">
            <v>0</v>
          </cell>
          <cell r="DN2887">
            <v>0</v>
          </cell>
        </row>
        <row r="2888">
          <cell r="E2888">
            <v>0</v>
          </cell>
          <cell r="F2888">
            <v>0</v>
          </cell>
          <cell r="DN2888">
            <v>0</v>
          </cell>
        </row>
        <row r="2889">
          <cell r="E2889">
            <v>0</v>
          </cell>
          <cell r="F2889">
            <v>0</v>
          </cell>
          <cell r="DN2889">
            <v>0</v>
          </cell>
        </row>
        <row r="2890">
          <cell r="E2890">
            <v>0</v>
          </cell>
          <cell r="F2890">
            <v>0</v>
          </cell>
          <cell r="DN2890">
            <v>0</v>
          </cell>
        </row>
        <row r="2891">
          <cell r="E2891">
            <v>0</v>
          </cell>
          <cell r="F2891">
            <v>0</v>
          </cell>
          <cell r="DN2891">
            <v>0</v>
          </cell>
        </row>
        <row r="2892">
          <cell r="E2892">
            <v>0</v>
          </cell>
          <cell r="F2892">
            <v>0</v>
          </cell>
          <cell r="DN2892">
            <v>0</v>
          </cell>
        </row>
        <row r="2893">
          <cell r="E2893">
            <v>0</v>
          </cell>
          <cell r="F2893">
            <v>0</v>
          </cell>
          <cell r="DN2893">
            <v>0</v>
          </cell>
        </row>
        <row r="2894">
          <cell r="E2894">
            <v>0</v>
          </cell>
          <cell r="F2894">
            <v>0</v>
          </cell>
          <cell r="DN2894">
            <v>0</v>
          </cell>
        </row>
        <row r="2895">
          <cell r="E2895">
            <v>0</v>
          </cell>
          <cell r="F2895">
            <v>0</v>
          </cell>
          <cell r="DN2895">
            <v>0</v>
          </cell>
        </row>
        <row r="2896">
          <cell r="E2896">
            <v>0</v>
          </cell>
          <cell r="F2896">
            <v>0</v>
          </cell>
          <cell r="DN2896">
            <v>0</v>
          </cell>
        </row>
        <row r="2897">
          <cell r="E2897">
            <v>0</v>
          </cell>
          <cell r="F2897">
            <v>0</v>
          </cell>
          <cell r="DN2897">
            <v>0</v>
          </cell>
        </row>
        <row r="2898">
          <cell r="E2898">
            <v>0</v>
          </cell>
          <cell r="F2898">
            <v>0</v>
          </cell>
          <cell r="DN2898">
            <v>0</v>
          </cell>
        </row>
        <row r="2899">
          <cell r="E2899">
            <v>0</v>
          </cell>
          <cell r="F2899">
            <v>0</v>
          </cell>
          <cell r="DN2899">
            <v>0</v>
          </cell>
        </row>
        <row r="2900">
          <cell r="E2900">
            <v>0</v>
          </cell>
          <cell r="F2900">
            <v>0</v>
          </cell>
          <cell r="DN2900">
            <v>0</v>
          </cell>
        </row>
        <row r="2901">
          <cell r="E2901">
            <v>0</v>
          </cell>
          <cell r="F2901">
            <v>0</v>
          </cell>
          <cell r="DN2901">
            <v>0</v>
          </cell>
        </row>
        <row r="2902">
          <cell r="E2902">
            <v>0</v>
          </cell>
          <cell r="F2902">
            <v>0</v>
          </cell>
          <cell r="DN2902">
            <v>0</v>
          </cell>
        </row>
        <row r="2903">
          <cell r="E2903">
            <v>0</v>
          </cell>
          <cell r="F2903">
            <v>0</v>
          </cell>
          <cell r="DN2903">
            <v>0</v>
          </cell>
        </row>
        <row r="2904">
          <cell r="E2904">
            <v>0</v>
          </cell>
          <cell r="F2904">
            <v>0</v>
          </cell>
          <cell r="DN2904">
            <v>0</v>
          </cell>
        </row>
        <row r="2905">
          <cell r="E2905">
            <v>0</v>
          </cell>
          <cell r="F2905">
            <v>0</v>
          </cell>
          <cell r="DN2905">
            <v>0</v>
          </cell>
        </row>
        <row r="2906">
          <cell r="E2906">
            <v>0</v>
          </cell>
          <cell r="F2906">
            <v>0</v>
          </cell>
          <cell r="DN2906">
            <v>0</v>
          </cell>
        </row>
        <row r="2907">
          <cell r="E2907">
            <v>0</v>
          </cell>
          <cell r="F2907">
            <v>0</v>
          </cell>
          <cell r="DN2907">
            <v>0</v>
          </cell>
        </row>
        <row r="2908">
          <cell r="E2908">
            <v>0</v>
          </cell>
          <cell r="F2908">
            <v>0</v>
          </cell>
          <cell r="DN2908">
            <v>0</v>
          </cell>
        </row>
        <row r="2909">
          <cell r="E2909">
            <v>0</v>
          </cell>
          <cell r="F2909">
            <v>0</v>
          </cell>
          <cell r="DN2909">
            <v>0</v>
          </cell>
        </row>
        <row r="2910">
          <cell r="E2910">
            <v>0</v>
          </cell>
          <cell r="F2910">
            <v>0</v>
          </cell>
          <cell r="DN2910">
            <v>0</v>
          </cell>
        </row>
        <row r="2911">
          <cell r="E2911">
            <v>0</v>
          </cell>
          <cell r="F2911">
            <v>0</v>
          </cell>
          <cell r="DN2911">
            <v>0</v>
          </cell>
        </row>
        <row r="2912">
          <cell r="E2912">
            <v>0</v>
          </cell>
          <cell r="F2912">
            <v>0</v>
          </cell>
          <cell r="DN2912">
            <v>0</v>
          </cell>
        </row>
        <row r="2913">
          <cell r="E2913">
            <v>0</v>
          </cell>
          <cell r="F2913">
            <v>0</v>
          </cell>
          <cell r="DN2913">
            <v>0</v>
          </cell>
        </row>
        <row r="2914">
          <cell r="E2914">
            <v>0</v>
          </cell>
          <cell r="F2914">
            <v>0</v>
          </cell>
          <cell r="DN2914">
            <v>0</v>
          </cell>
        </row>
        <row r="2915">
          <cell r="E2915">
            <v>0</v>
          </cell>
          <cell r="F2915">
            <v>0</v>
          </cell>
          <cell r="DN2915">
            <v>0</v>
          </cell>
        </row>
        <row r="2916">
          <cell r="E2916">
            <v>0</v>
          </cell>
          <cell r="F2916">
            <v>0</v>
          </cell>
          <cell r="DN2916">
            <v>0</v>
          </cell>
        </row>
        <row r="2917">
          <cell r="E2917">
            <v>0</v>
          </cell>
          <cell r="F2917">
            <v>0</v>
          </cell>
          <cell r="DN2917">
            <v>0</v>
          </cell>
        </row>
        <row r="2918">
          <cell r="E2918">
            <v>0</v>
          </cell>
          <cell r="F2918">
            <v>0</v>
          </cell>
          <cell r="DN2918">
            <v>0</v>
          </cell>
        </row>
        <row r="2919">
          <cell r="E2919">
            <v>0</v>
          </cell>
          <cell r="F2919">
            <v>0</v>
          </cell>
          <cell r="DN2919">
            <v>0</v>
          </cell>
        </row>
        <row r="2920">
          <cell r="E2920">
            <v>0</v>
          </cell>
          <cell r="F2920">
            <v>0</v>
          </cell>
          <cell r="DN2920">
            <v>0</v>
          </cell>
        </row>
        <row r="2921">
          <cell r="E2921">
            <v>0</v>
          </cell>
          <cell r="F2921">
            <v>0</v>
          </cell>
          <cell r="DN2921">
            <v>0</v>
          </cell>
        </row>
        <row r="2922">
          <cell r="E2922">
            <v>0</v>
          </cell>
          <cell r="F2922">
            <v>0</v>
          </cell>
          <cell r="DN2922">
            <v>0</v>
          </cell>
        </row>
        <row r="2923">
          <cell r="E2923">
            <v>0</v>
          </cell>
          <cell r="F2923">
            <v>0</v>
          </cell>
          <cell r="DN2923">
            <v>0</v>
          </cell>
        </row>
        <row r="2924">
          <cell r="E2924">
            <v>0</v>
          </cell>
          <cell r="F2924">
            <v>0</v>
          </cell>
          <cell r="DN2924">
            <v>0</v>
          </cell>
        </row>
        <row r="2925">
          <cell r="E2925">
            <v>0</v>
          </cell>
          <cell r="F2925">
            <v>0</v>
          </cell>
          <cell r="DN2925">
            <v>0</v>
          </cell>
        </row>
        <row r="2926">
          <cell r="E2926">
            <v>0</v>
          </cell>
          <cell r="F2926">
            <v>0</v>
          </cell>
          <cell r="DN2926">
            <v>0</v>
          </cell>
        </row>
        <row r="2927">
          <cell r="E2927">
            <v>0</v>
          </cell>
          <cell r="F2927">
            <v>0</v>
          </cell>
          <cell r="DN2927">
            <v>0</v>
          </cell>
        </row>
        <row r="2928">
          <cell r="E2928">
            <v>0</v>
          </cell>
          <cell r="F2928">
            <v>0</v>
          </cell>
          <cell r="DN2928">
            <v>0</v>
          </cell>
        </row>
        <row r="2929">
          <cell r="E2929">
            <v>0</v>
          </cell>
          <cell r="F2929">
            <v>0</v>
          </cell>
          <cell r="DN2929">
            <v>0</v>
          </cell>
        </row>
        <row r="2930">
          <cell r="E2930">
            <v>0</v>
          </cell>
          <cell r="F2930">
            <v>0</v>
          </cell>
          <cell r="DN2930">
            <v>0</v>
          </cell>
        </row>
        <row r="2931">
          <cell r="E2931">
            <v>0</v>
          </cell>
          <cell r="F2931">
            <v>0</v>
          </cell>
          <cell r="DN2931">
            <v>0</v>
          </cell>
        </row>
        <row r="2932">
          <cell r="E2932">
            <v>0</v>
          </cell>
          <cell r="F2932">
            <v>0</v>
          </cell>
          <cell r="DN2932">
            <v>0</v>
          </cell>
        </row>
        <row r="2933">
          <cell r="E2933">
            <v>0</v>
          </cell>
          <cell r="F2933">
            <v>0</v>
          </cell>
          <cell r="DN2933">
            <v>0</v>
          </cell>
        </row>
        <row r="2934">
          <cell r="E2934">
            <v>0</v>
          </cell>
          <cell r="F2934">
            <v>0</v>
          </cell>
          <cell r="DN2934">
            <v>0</v>
          </cell>
        </row>
        <row r="2935">
          <cell r="E2935">
            <v>0</v>
          </cell>
          <cell r="F2935">
            <v>0</v>
          </cell>
          <cell r="DN2935">
            <v>0</v>
          </cell>
        </row>
        <row r="2936">
          <cell r="E2936">
            <v>0</v>
          </cell>
          <cell r="F2936">
            <v>0</v>
          </cell>
          <cell r="DN2936">
            <v>0</v>
          </cell>
        </row>
        <row r="2937">
          <cell r="E2937">
            <v>0</v>
          </cell>
          <cell r="F2937">
            <v>0</v>
          </cell>
          <cell r="DN2937">
            <v>0</v>
          </cell>
        </row>
        <row r="2938">
          <cell r="E2938">
            <v>0</v>
          </cell>
          <cell r="F2938">
            <v>0</v>
          </cell>
          <cell r="DN2938">
            <v>0</v>
          </cell>
        </row>
        <row r="2939">
          <cell r="E2939">
            <v>0</v>
          </cell>
          <cell r="F2939">
            <v>0</v>
          </cell>
          <cell r="DN2939">
            <v>0</v>
          </cell>
        </row>
        <row r="2940">
          <cell r="E2940">
            <v>0</v>
          </cell>
          <cell r="F2940">
            <v>0</v>
          </cell>
          <cell r="DN2940">
            <v>0</v>
          </cell>
        </row>
        <row r="2941">
          <cell r="E2941">
            <v>0</v>
          </cell>
          <cell r="F2941">
            <v>0</v>
          </cell>
          <cell r="DN2941">
            <v>0</v>
          </cell>
        </row>
        <row r="2942">
          <cell r="E2942">
            <v>0</v>
          </cell>
          <cell r="F2942">
            <v>0</v>
          </cell>
          <cell r="DN2942">
            <v>0</v>
          </cell>
        </row>
        <row r="2943">
          <cell r="E2943">
            <v>0</v>
          </cell>
          <cell r="F2943">
            <v>0</v>
          </cell>
          <cell r="DN2943">
            <v>0</v>
          </cell>
        </row>
        <row r="2944">
          <cell r="E2944">
            <v>0</v>
          </cell>
          <cell r="F2944">
            <v>0</v>
          </cell>
          <cell r="DN2944">
            <v>0</v>
          </cell>
        </row>
        <row r="2945">
          <cell r="E2945">
            <v>0</v>
          </cell>
          <cell r="F2945">
            <v>0</v>
          </cell>
          <cell r="DN2945">
            <v>0</v>
          </cell>
        </row>
        <row r="2946">
          <cell r="E2946">
            <v>0</v>
          </cell>
          <cell r="F2946">
            <v>0</v>
          </cell>
          <cell r="DN2946">
            <v>0</v>
          </cell>
        </row>
        <row r="2947">
          <cell r="E2947">
            <v>0</v>
          </cell>
          <cell r="F2947">
            <v>0</v>
          </cell>
          <cell r="DN2947">
            <v>0</v>
          </cell>
        </row>
        <row r="2948">
          <cell r="E2948">
            <v>0</v>
          </cell>
          <cell r="F2948">
            <v>0</v>
          </cell>
          <cell r="DN2948">
            <v>0</v>
          </cell>
        </row>
        <row r="2949">
          <cell r="E2949">
            <v>0</v>
          </cell>
          <cell r="F2949">
            <v>0</v>
          </cell>
          <cell r="DN2949">
            <v>0</v>
          </cell>
        </row>
        <row r="2950">
          <cell r="E2950">
            <v>0</v>
          </cell>
          <cell r="F2950">
            <v>0</v>
          </cell>
          <cell r="DN2950">
            <v>0</v>
          </cell>
        </row>
        <row r="2951">
          <cell r="E2951">
            <v>0</v>
          </cell>
          <cell r="F2951">
            <v>0</v>
          </cell>
          <cell r="DN2951">
            <v>0</v>
          </cell>
        </row>
        <row r="2952">
          <cell r="E2952">
            <v>0</v>
          </cell>
          <cell r="F2952">
            <v>0</v>
          </cell>
          <cell r="DN2952">
            <v>0</v>
          </cell>
        </row>
        <row r="2953">
          <cell r="E2953">
            <v>0</v>
          </cell>
          <cell r="F2953">
            <v>0</v>
          </cell>
          <cell r="DN2953">
            <v>0</v>
          </cell>
        </row>
        <row r="2954">
          <cell r="E2954">
            <v>0</v>
          </cell>
          <cell r="F2954">
            <v>0</v>
          </cell>
          <cell r="DN2954">
            <v>0</v>
          </cell>
        </row>
        <row r="2955">
          <cell r="E2955">
            <v>0</v>
          </cell>
          <cell r="F2955">
            <v>0</v>
          </cell>
          <cell r="DN2955">
            <v>0</v>
          </cell>
        </row>
        <row r="2956">
          <cell r="E2956">
            <v>0</v>
          </cell>
          <cell r="F2956">
            <v>0</v>
          </cell>
          <cell r="DN2956">
            <v>0</v>
          </cell>
        </row>
        <row r="2957">
          <cell r="E2957">
            <v>0</v>
          </cell>
          <cell r="F2957">
            <v>0</v>
          </cell>
          <cell r="DN2957">
            <v>0</v>
          </cell>
        </row>
        <row r="2958">
          <cell r="E2958">
            <v>0</v>
          </cell>
          <cell r="F2958">
            <v>0</v>
          </cell>
          <cell r="DN2958">
            <v>0</v>
          </cell>
        </row>
        <row r="2959">
          <cell r="E2959">
            <v>0</v>
          </cell>
          <cell r="F2959">
            <v>0</v>
          </cell>
          <cell r="DN2959">
            <v>0</v>
          </cell>
        </row>
        <row r="2960">
          <cell r="E2960">
            <v>0</v>
          </cell>
          <cell r="F2960">
            <v>0</v>
          </cell>
          <cell r="DN2960">
            <v>0</v>
          </cell>
        </row>
        <row r="2961">
          <cell r="E2961">
            <v>0</v>
          </cell>
          <cell r="F2961">
            <v>0</v>
          </cell>
          <cell r="DN2961">
            <v>0</v>
          </cell>
        </row>
        <row r="2962">
          <cell r="E2962">
            <v>0</v>
          </cell>
          <cell r="F2962">
            <v>0</v>
          </cell>
          <cell r="DN2962">
            <v>0</v>
          </cell>
        </row>
        <row r="2963">
          <cell r="E2963">
            <v>0</v>
          </cell>
          <cell r="F2963">
            <v>0</v>
          </cell>
          <cell r="DN2963">
            <v>0</v>
          </cell>
        </row>
        <row r="2964">
          <cell r="E2964">
            <v>0</v>
          </cell>
          <cell r="F2964">
            <v>0</v>
          </cell>
          <cell r="DN2964">
            <v>0</v>
          </cell>
        </row>
        <row r="2965">
          <cell r="E2965">
            <v>0</v>
          </cell>
          <cell r="F2965">
            <v>0</v>
          </cell>
          <cell r="DN2965">
            <v>0</v>
          </cell>
        </row>
        <row r="2966">
          <cell r="E2966">
            <v>0</v>
          </cell>
          <cell r="F2966">
            <v>0</v>
          </cell>
          <cell r="DN2966">
            <v>0</v>
          </cell>
        </row>
        <row r="2967">
          <cell r="E2967">
            <v>0</v>
          </cell>
          <cell r="F2967">
            <v>0</v>
          </cell>
          <cell r="DN2967">
            <v>0</v>
          </cell>
        </row>
        <row r="2968">
          <cell r="E2968">
            <v>0</v>
          </cell>
          <cell r="F2968">
            <v>0</v>
          </cell>
          <cell r="DN2968">
            <v>0</v>
          </cell>
        </row>
        <row r="2969">
          <cell r="E2969">
            <v>0</v>
          </cell>
          <cell r="F2969">
            <v>0</v>
          </cell>
          <cell r="DN2969">
            <v>0</v>
          </cell>
        </row>
        <row r="2970">
          <cell r="E2970">
            <v>0</v>
          </cell>
          <cell r="F2970">
            <v>0</v>
          </cell>
          <cell r="DN2970">
            <v>0</v>
          </cell>
        </row>
        <row r="2971">
          <cell r="E2971">
            <v>0</v>
          </cell>
          <cell r="F2971">
            <v>0</v>
          </cell>
          <cell r="DN2971">
            <v>0</v>
          </cell>
        </row>
        <row r="2972">
          <cell r="E2972">
            <v>0</v>
          </cell>
          <cell r="F2972">
            <v>0</v>
          </cell>
          <cell r="DN2972">
            <v>0</v>
          </cell>
        </row>
        <row r="2973">
          <cell r="E2973">
            <v>0</v>
          </cell>
          <cell r="F2973">
            <v>0</v>
          </cell>
          <cell r="DN2973">
            <v>0</v>
          </cell>
        </row>
        <row r="2974">
          <cell r="E2974">
            <v>0</v>
          </cell>
          <cell r="F2974">
            <v>0</v>
          </cell>
          <cell r="DN2974">
            <v>0</v>
          </cell>
        </row>
        <row r="2975">
          <cell r="E2975">
            <v>0</v>
          </cell>
          <cell r="F2975">
            <v>0</v>
          </cell>
          <cell r="DN2975">
            <v>0</v>
          </cell>
        </row>
        <row r="2976">
          <cell r="E2976">
            <v>0</v>
          </cell>
          <cell r="F2976">
            <v>0</v>
          </cell>
          <cell r="DN2976">
            <v>0</v>
          </cell>
        </row>
        <row r="2977">
          <cell r="E2977">
            <v>0</v>
          </cell>
          <cell r="F2977">
            <v>0</v>
          </cell>
          <cell r="DN2977">
            <v>0</v>
          </cell>
        </row>
        <row r="2978">
          <cell r="E2978">
            <v>0</v>
          </cell>
          <cell r="F2978">
            <v>0</v>
          </cell>
          <cell r="DN2978">
            <v>0</v>
          </cell>
        </row>
        <row r="2979">
          <cell r="E2979">
            <v>0</v>
          </cell>
          <cell r="F2979">
            <v>0</v>
          </cell>
          <cell r="DN2979">
            <v>0</v>
          </cell>
        </row>
        <row r="2980">
          <cell r="E2980">
            <v>0</v>
          </cell>
          <cell r="F2980">
            <v>0</v>
          </cell>
          <cell r="DN2980">
            <v>0</v>
          </cell>
        </row>
        <row r="2981">
          <cell r="E2981">
            <v>0</v>
          </cell>
          <cell r="F2981">
            <v>0</v>
          </cell>
          <cell r="DN2981">
            <v>0</v>
          </cell>
        </row>
        <row r="2982">
          <cell r="E2982">
            <v>0</v>
          </cell>
          <cell r="F2982">
            <v>0</v>
          </cell>
          <cell r="DN2982">
            <v>0</v>
          </cell>
        </row>
        <row r="2983">
          <cell r="E2983">
            <v>0</v>
          </cell>
          <cell r="F2983">
            <v>0</v>
          </cell>
          <cell r="DN2983">
            <v>0</v>
          </cell>
        </row>
        <row r="2984">
          <cell r="E2984">
            <v>0</v>
          </cell>
          <cell r="F2984">
            <v>0</v>
          </cell>
          <cell r="DN2984">
            <v>0</v>
          </cell>
        </row>
        <row r="2985">
          <cell r="E2985">
            <v>0</v>
          </cell>
          <cell r="F2985">
            <v>0</v>
          </cell>
          <cell r="DN2985">
            <v>0</v>
          </cell>
        </row>
        <row r="2986">
          <cell r="E2986">
            <v>0</v>
          </cell>
          <cell r="F2986">
            <v>0</v>
          </cell>
          <cell r="DN2986">
            <v>0</v>
          </cell>
        </row>
        <row r="2987">
          <cell r="E2987">
            <v>0</v>
          </cell>
          <cell r="F2987">
            <v>0</v>
          </cell>
          <cell r="DN2987">
            <v>0</v>
          </cell>
        </row>
        <row r="2988">
          <cell r="E2988">
            <v>0</v>
          </cell>
          <cell r="F2988">
            <v>0</v>
          </cell>
          <cell r="DN2988">
            <v>0</v>
          </cell>
        </row>
        <row r="2989">
          <cell r="E2989">
            <v>0</v>
          </cell>
          <cell r="F2989">
            <v>0</v>
          </cell>
          <cell r="DN2989">
            <v>0</v>
          </cell>
        </row>
        <row r="2990">
          <cell r="E2990">
            <v>0</v>
          </cell>
          <cell r="F2990">
            <v>0</v>
          </cell>
          <cell r="DN2990">
            <v>0</v>
          </cell>
        </row>
        <row r="2991">
          <cell r="E2991">
            <v>0</v>
          </cell>
          <cell r="F2991">
            <v>0</v>
          </cell>
          <cell r="DN2991">
            <v>0</v>
          </cell>
        </row>
        <row r="2992">
          <cell r="E2992">
            <v>0</v>
          </cell>
          <cell r="F2992">
            <v>0</v>
          </cell>
          <cell r="DN2992">
            <v>0</v>
          </cell>
        </row>
        <row r="2993">
          <cell r="E2993">
            <v>0</v>
          </cell>
          <cell r="F2993">
            <v>0</v>
          </cell>
          <cell r="DN2993">
            <v>0</v>
          </cell>
        </row>
        <row r="2994">
          <cell r="E2994">
            <v>0</v>
          </cell>
          <cell r="F2994">
            <v>0</v>
          </cell>
          <cell r="DN2994">
            <v>0</v>
          </cell>
        </row>
        <row r="2995">
          <cell r="E2995">
            <v>0</v>
          </cell>
          <cell r="F2995">
            <v>0</v>
          </cell>
          <cell r="DN2995">
            <v>0</v>
          </cell>
        </row>
        <row r="2996">
          <cell r="E2996">
            <v>0</v>
          </cell>
          <cell r="F2996">
            <v>0</v>
          </cell>
          <cell r="DN2996">
            <v>0</v>
          </cell>
        </row>
        <row r="2997">
          <cell r="E2997">
            <v>0</v>
          </cell>
          <cell r="F2997">
            <v>0</v>
          </cell>
          <cell r="DN2997">
            <v>0</v>
          </cell>
        </row>
        <row r="2998">
          <cell r="E2998">
            <v>0</v>
          </cell>
          <cell r="F2998">
            <v>0</v>
          </cell>
          <cell r="DN2998">
            <v>0</v>
          </cell>
        </row>
        <row r="2999">
          <cell r="E2999">
            <v>0</v>
          </cell>
          <cell r="F2999">
            <v>0</v>
          </cell>
          <cell r="DN2999">
            <v>0</v>
          </cell>
        </row>
        <row r="3000">
          <cell r="E3000">
            <v>0</v>
          </cell>
          <cell r="F3000">
            <v>0</v>
          </cell>
          <cell r="DN3000">
            <v>0</v>
          </cell>
        </row>
        <row r="3001">
          <cell r="E3001">
            <v>0</v>
          </cell>
          <cell r="F3001">
            <v>0</v>
          </cell>
          <cell r="DN3001">
            <v>0</v>
          </cell>
        </row>
        <row r="3002">
          <cell r="E3002">
            <v>0</v>
          </cell>
          <cell r="F3002">
            <v>0</v>
          </cell>
          <cell r="DN3002">
            <v>0</v>
          </cell>
        </row>
        <row r="3003">
          <cell r="E3003">
            <v>0</v>
          </cell>
          <cell r="F3003">
            <v>0</v>
          </cell>
          <cell r="DN3003">
            <v>0</v>
          </cell>
        </row>
        <row r="3004">
          <cell r="E3004">
            <v>0</v>
          </cell>
          <cell r="F3004">
            <v>0</v>
          </cell>
          <cell r="DN3004">
            <v>0</v>
          </cell>
        </row>
        <row r="3005">
          <cell r="E3005">
            <v>0</v>
          </cell>
          <cell r="F3005">
            <v>0</v>
          </cell>
          <cell r="DN3005">
            <v>0</v>
          </cell>
        </row>
        <row r="3006">
          <cell r="E3006">
            <v>0</v>
          </cell>
          <cell r="F3006">
            <v>0</v>
          </cell>
          <cell r="DN3006">
            <v>0</v>
          </cell>
        </row>
        <row r="3007">
          <cell r="E3007">
            <v>0</v>
          </cell>
          <cell r="F3007">
            <v>0</v>
          </cell>
          <cell r="DN3007">
            <v>0</v>
          </cell>
        </row>
        <row r="3008">
          <cell r="E3008">
            <v>0</v>
          </cell>
          <cell r="F3008">
            <v>0</v>
          </cell>
          <cell r="DN3008">
            <v>0</v>
          </cell>
        </row>
        <row r="3009">
          <cell r="E3009">
            <v>0</v>
          </cell>
          <cell r="F3009">
            <v>0</v>
          </cell>
          <cell r="DN3009">
            <v>0</v>
          </cell>
        </row>
        <row r="3010">
          <cell r="E3010">
            <v>0</v>
          </cell>
          <cell r="F3010">
            <v>0</v>
          </cell>
          <cell r="DN3010">
            <v>0</v>
          </cell>
        </row>
        <row r="3011">
          <cell r="E3011">
            <v>0</v>
          </cell>
          <cell r="F3011">
            <v>0</v>
          </cell>
          <cell r="DN3011">
            <v>0</v>
          </cell>
        </row>
        <row r="3012">
          <cell r="E3012">
            <v>0</v>
          </cell>
          <cell r="F3012">
            <v>0</v>
          </cell>
          <cell r="DN3012">
            <v>0</v>
          </cell>
        </row>
        <row r="3013">
          <cell r="E3013">
            <v>0</v>
          </cell>
          <cell r="F3013">
            <v>0</v>
          </cell>
          <cell r="DN3013">
            <v>0</v>
          </cell>
        </row>
        <row r="3014">
          <cell r="E3014">
            <v>0</v>
          </cell>
          <cell r="F3014">
            <v>0</v>
          </cell>
          <cell r="DN3014">
            <v>0</v>
          </cell>
        </row>
        <row r="3015">
          <cell r="E3015">
            <v>0</v>
          </cell>
          <cell r="F3015">
            <v>0</v>
          </cell>
          <cell r="DN3015">
            <v>0</v>
          </cell>
        </row>
        <row r="3016">
          <cell r="E3016">
            <v>0</v>
          </cell>
          <cell r="F3016">
            <v>0</v>
          </cell>
          <cell r="DN3016">
            <v>0</v>
          </cell>
        </row>
        <row r="3017">
          <cell r="E3017">
            <v>0</v>
          </cell>
          <cell r="F3017">
            <v>0</v>
          </cell>
          <cell r="DN3017">
            <v>0</v>
          </cell>
        </row>
        <row r="3018">
          <cell r="E3018">
            <v>0</v>
          </cell>
          <cell r="F3018">
            <v>0</v>
          </cell>
          <cell r="DN3018">
            <v>0</v>
          </cell>
        </row>
        <row r="3019">
          <cell r="E3019">
            <v>0</v>
          </cell>
          <cell r="F3019">
            <v>0</v>
          </cell>
          <cell r="DN3019">
            <v>0</v>
          </cell>
        </row>
        <row r="3020">
          <cell r="E3020">
            <v>0</v>
          </cell>
          <cell r="F3020">
            <v>0</v>
          </cell>
          <cell r="DN3020">
            <v>0</v>
          </cell>
        </row>
        <row r="3021">
          <cell r="E3021">
            <v>0</v>
          </cell>
          <cell r="F3021">
            <v>0</v>
          </cell>
          <cell r="DN3021">
            <v>0</v>
          </cell>
        </row>
        <row r="3022">
          <cell r="E3022">
            <v>0</v>
          </cell>
          <cell r="F3022">
            <v>0</v>
          </cell>
          <cell r="DN3022">
            <v>0</v>
          </cell>
        </row>
        <row r="3023">
          <cell r="E3023">
            <v>0</v>
          </cell>
          <cell r="F3023">
            <v>0</v>
          </cell>
          <cell r="DN3023">
            <v>0</v>
          </cell>
        </row>
        <row r="3024">
          <cell r="E3024">
            <v>0</v>
          </cell>
          <cell r="F3024">
            <v>0</v>
          </cell>
          <cell r="DN3024">
            <v>0</v>
          </cell>
        </row>
        <row r="3025">
          <cell r="E3025">
            <v>0</v>
          </cell>
          <cell r="F3025">
            <v>0</v>
          </cell>
          <cell r="DN3025">
            <v>0</v>
          </cell>
        </row>
        <row r="3026">
          <cell r="E3026">
            <v>0</v>
          </cell>
          <cell r="F3026">
            <v>0</v>
          </cell>
          <cell r="DN3026">
            <v>0</v>
          </cell>
        </row>
        <row r="3027">
          <cell r="E3027">
            <v>0</v>
          </cell>
          <cell r="F3027">
            <v>0</v>
          </cell>
          <cell r="DN3027">
            <v>0</v>
          </cell>
        </row>
        <row r="3028">
          <cell r="E3028">
            <v>0</v>
          </cell>
          <cell r="F3028">
            <v>0</v>
          </cell>
          <cell r="DN3028">
            <v>0</v>
          </cell>
        </row>
        <row r="3029">
          <cell r="E3029">
            <v>0</v>
          </cell>
          <cell r="F3029">
            <v>0</v>
          </cell>
          <cell r="DN3029">
            <v>0</v>
          </cell>
        </row>
        <row r="3030">
          <cell r="E3030">
            <v>0</v>
          </cell>
          <cell r="F3030">
            <v>0</v>
          </cell>
          <cell r="DN3030">
            <v>0</v>
          </cell>
        </row>
        <row r="3031">
          <cell r="E3031">
            <v>0</v>
          </cell>
          <cell r="F3031">
            <v>0</v>
          </cell>
          <cell r="DN3031">
            <v>0</v>
          </cell>
        </row>
        <row r="3032">
          <cell r="E3032">
            <v>0</v>
          </cell>
          <cell r="F3032">
            <v>0</v>
          </cell>
          <cell r="DN3032">
            <v>0</v>
          </cell>
        </row>
        <row r="3033">
          <cell r="E3033">
            <v>0</v>
          </cell>
          <cell r="F3033">
            <v>0</v>
          </cell>
          <cell r="DN3033">
            <v>0</v>
          </cell>
        </row>
        <row r="3034">
          <cell r="E3034">
            <v>0</v>
          </cell>
          <cell r="F3034">
            <v>0</v>
          </cell>
          <cell r="DN3034">
            <v>0</v>
          </cell>
        </row>
        <row r="3035">
          <cell r="E3035">
            <v>0</v>
          </cell>
          <cell r="F3035">
            <v>0</v>
          </cell>
          <cell r="DN3035">
            <v>0</v>
          </cell>
        </row>
        <row r="3036">
          <cell r="E3036">
            <v>0</v>
          </cell>
          <cell r="F3036">
            <v>0</v>
          </cell>
          <cell r="DN3036">
            <v>0</v>
          </cell>
        </row>
        <row r="3037">
          <cell r="E3037">
            <v>0</v>
          </cell>
          <cell r="F3037">
            <v>0</v>
          </cell>
          <cell r="DN3037">
            <v>0</v>
          </cell>
        </row>
        <row r="3038">
          <cell r="E3038">
            <v>0</v>
          </cell>
          <cell r="F3038">
            <v>0</v>
          </cell>
          <cell r="DN3038">
            <v>0</v>
          </cell>
        </row>
        <row r="3039">
          <cell r="E3039">
            <v>0</v>
          </cell>
          <cell r="F3039">
            <v>0</v>
          </cell>
          <cell r="DN3039">
            <v>0</v>
          </cell>
        </row>
        <row r="3040">
          <cell r="E3040">
            <v>0</v>
          </cell>
          <cell r="F3040">
            <v>0</v>
          </cell>
          <cell r="DN3040">
            <v>0</v>
          </cell>
        </row>
        <row r="3041">
          <cell r="E3041">
            <v>0</v>
          </cell>
          <cell r="F3041">
            <v>0</v>
          </cell>
          <cell r="DN3041">
            <v>0</v>
          </cell>
        </row>
        <row r="3042">
          <cell r="E3042">
            <v>0</v>
          </cell>
          <cell r="F3042">
            <v>0</v>
          </cell>
          <cell r="DN3042">
            <v>0</v>
          </cell>
        </row>
        <row r="3043">
          <cell r="E3043">
            <v>0</v>
          </cell>
          <cell r="F3043">
            <v>0</v>
          </cell>
          <cell r="DN3043">
            <v>0</v>
          </cell>
        </row>
        <row r="3044">
          <cell r="E3044">
            <v>0</v>
          </cell>
          <cell r="F3044">
            <v>0</v>
          </cell>
          <cell r="DN3044">
            <v>0</v>
          </cell>
        </row>
        <row r="3045">
          <cell r="E3045">
            <v>0</v>
          </cell>
          <cell r="F3045">
            <v>0</v>
          </cell>
          <cell r="DN3045">
            <v>0</v>
          </cell>
        </row>
        <row r="3046">
          <cell r="E3046">
            <v>0</v>
          </cell>
          <cell r="F3046">
            <v>0</v>
          </cell>
          <cell r="DN3046">
            <v>0</v>
          </cell>
        </row>
        <row r="3047">
          <cell r="E3047">
            <v>0</v>
          </cell>
          <cell r="F3047">
            <v>0</v>
          </cell>
          <cell r="DN3047">
            <v>0</v>
          </cell>
        </row>
        <row r="3048">
          <cell r="E3048">
            <v>0</v>
          </cell>
          <cell r="F3048">
            <v>0</v>
          </cell>
          <cell r="DN3048">
            <v>0</v>
          </cell>
        </row>
        <row r="3049">
          <cell r="E3049">
            <v>0</v>
          </cell>
          <cell r="F3049">
            <v>0</v>
          </cell>
          <cell r="DN3049">
            <v>0</v>
          </cell>
        </row>
        <row r="3050">
          <cell r="E3050">
            <v>0</v>
          </cell>
          <cell r="F3050">
            <v>0</v>
          </cell>
          <cell r="DN3050">
            <v>0</v>
          </cell>
        </row>
        <row r="3051">
          <cell r="E3051">
            <v>0</v>
          </cell>
          <cell r="F3051">
            <v>0</v>
          </cell>
          <cell r="DN3051">
            <v>0</v>
          </cell>
        </row>
        <row r="3052">
          <cell r="E3052">
            <v>0</v>
          </cell>
          <cell r="F3052">
            <v>0</v>
          </cell>
          <cell r="DN3052">
            <v>0</v>
          </cell>
        </row>
        <row r="3053">
          <cell r="E3053">
            <v>0</v>
          </cell>
          <cell r="F3053">
            <v>0</v>
          </cell>
          <cell r="DN3053">
            <v>0</v>
          </cell>
        </row>
        <row r="3054">
          <cell r="E3054">
            <v>0</v>
          </cell>
          <cell r="F3054">
            <v>0</v>
          </cell>
          <cell r="DN3054">
            <v>0</v>
          </cell>
        </row>
        <row r="3055">
          <cell r="E3055">
            <v>0</v>
          </cell>
          <cell r="F3055">
            <v>0</v>
          </cell>
          <cell r="DN3055">
            <v>0</v>
          </cell>
        </row>
        <row r="3056">
          <cell r="E3056">
            <v>0</v>
          </cell>
          <cell r="F3056">
            <v>0</v>
          </cell>
          <cell r="DN3056">
            <v>0</v>
          </cell>
        </row>
        <row r="3057">
          <cell r="E3057">
            <v>0</v>
          </cell>
          <cell r="F3057">
            <v>0</v>
          </cell>
          <cell r="DN3057">
            <v>0</v>
          </cell>
        </row>
        <row r="3058">
          <cell r="E3058">
            <v>0</v>
          </cell>
          <cell r="F3058">
            <v>0</v>
          </cell>
          <cell r="DN3058">
            <v>0</v>
          </cell>
        </row>
        <row r="3059">
          <cell r="E3059">
            <v>0</v>
          </cell>
          <cell r="F3059">
            <v>0</v>
          </cell>
          <cell r="DN3059">
            <v>0</v>
          </cell>
        </row>
        <row r="3060">
          <cell r="E3060">
            <v>0</v>
          </cell>
          <cell r="F3060">
            <v>0</v>
          </cell>
          <cell r="DN3060">
            <v>0</v>
          </cell>
        </row>
        <row r="3061">
          <cell r="E3061">
            <v>0</v>
          </cell>
          <cell r="F3061">
            <v>0</v>
          </cell>
          <cell r="DN3061">
            <v>0</v>
          </cell>
        </row>
        <row r="3062">
          <cell r="E3062">
            <v>0</v>
          </cell>
          <cell r="F3062">
            <v>0</v>
          </cell>
          <cell r="DN3062">
            <v>0</v>
          </cell>
        </row>
        <row r="3063">
          <cell r="E3063">
            <v>0</v>
          </cell>
          <cell r="F3063">
            <v>0</v>
          </cell>
          <cell r="DN3063">
            <v>0</v>
          </cell>
        </row>
        <row r="3064">
          <cell r="E3064">
            <v>0</v>
          </cell>
          <cell r="F3064">
            <v>0</v>
          </cell>
          <cell r="DN3064">
            <v>0</v>
          </cell>
        </row>
        <row r="3065">
          <cell r="E3065">
            <v>0</v>
          </cell>
          <cell r="F3065">
            <v>0</v>
          </cell>
          <cell r="DN3065">
            <v>0</v>
          </cell>
        </row>
        <row r="3066">
          <cell r="E3066">
            <v>0</v>
          </cell>
          <cell r="F3066">
            <v>0</v>
          </cell>
          <cell r="DN3066">
            <v>0</v>
          </cell>
        </row>
        <row r="3067">
          <cell r="E3067">
            <v>0</v>
          </cell>
          <cell r="F3067">
            <v>0</v>
          </cell>
          <cell r="DN3067">
            <v>0</v>
          </cell>
        </row>
        <row r="3068">
          <cell r="E3068">
            <v>0</v>
          </cell>
          <cell r="F3068">
            <v>0</v>
          </cell>
          <cell r="DN3068">
            <v>0</v>
          </cell>
        </row>
        <row r="3069">
          <cell r="E3069">
            <v>0</v>
          </cell>
          <cell r="F3069">
            <v>0</v>
          </cell>
          <cell r="DN3069">
            <v>0</v>
          </cell>
        </row>
        <row r="3070">
          <cell r="E3070">
            <v>0</v>
          </cell>
          <cell r="F3070">
            <v>0</v>
          </cell>
          <cell r="DN3070">
            <v>0</v>
          </cell>
        </row>
        <row r="3071">
          <cell r="E3071">
            <v>0</v>
          </cell>
          <cell r="F3071">
            <v>0</v>
          </cell>
          <cell r="DN3071">
            <v>0</v>
          </cell>
        </row>
        <row r="3072">
          <cell r="E3072">
            <v>0</v>
          </cell>
          <cell r="F3072">
            <v>0</v>
          </cell>
          <cell r="DN3072">
            <v>0</v>
          </cell>
        </row>
        <row r="3073">
          <cell r="E3073">
            <v>0</v>
          </cell>
          <cell r="F3073">
            <v>0</v>
          </cell>
          <cell r="DN3073">
            <v>0</v>
          </cell>
        </row>
        <row r="3074">
          <cell r="E3074">
            <v>0</v>
          </cell>
          <cell r="F3074">
            <v>0</v>
          </cell>
          <cell r="DN3074">
            <v>0</v>
          </cell>
        </row>
        <row r="3075">
          <cell r="E3075">
            <v>0</v>
          </cell>
          <cell r="F3075">
            <v>0</v>
          </cell>
          <cell r="DN3075">
            <v>0</v>
          </cell>
        </row>
        <row r="3076">
          <cell r="E3076">
            <v>0</v>
          </cell>
          <cell r="F3076">
            <v>0</v>
          </cell>
          <cell r="DN3076">
            <v>0</v>
          </cell>
        </row>
        <row r="3077">
          <cell r="E3077">
            <v>0</v>
          </cell>
          <cell r="F3077">
            <v>0</v>
          </cell>
          <cell r="DN3077">
            <v>0</v>
          </cell>
        </row>
        <row r="3078">
          <cell r="E3078">
            <v>0</v>
          </cell>
          <cell r="F3078">
            <v>0</v>
          </cell>
          <cell r="DN3078">
            <v>0</v>
          </cell>
        </row>
        <row r="3079">
          <cell r="E3079">
            <v>0</v>
          </cell>
          <cell r="F3079">
            <v>0</v>
          </cell>
          <cell r="DN3079">
            <v>0</v>
          </cell>
        </row>
        <row r="3080">
          <cell r="E3080">
            <v>0</v>
          </cell>
          <cell r="F3080">
            <v>0</v>
          </cell>
          <cell r="DN3080">
            <v>0</v>
          </cell>
        </row>
        <row r="3081">
          <cell r="E3081">
            <v>0</v>
          </cell>
          <cell r="F3081">
            <v>0</v>
          </cell>
          <cell r="DN3081">
            <v>0</v>
          </cell>
        </row>
        <row r="3082">
          <cell r="E3082">
            <v>0</v>
          </cell>
          <cell r="F3082">
            <v>0</v>
          </cell>
          <cell r="DN3082">
            <v>0</v>
          </cell>
        </row>
        <row r="3083">
          <cell r="E3083">
            <v>0</v>
          </cell>
          <cell r="F3083">
            <v>0</v>
          </cell>
          <cell r="DN3083">
            <v>0</v>
          </cell>
        </row>
        <row r="3084">
          <cell r="E3084">
            <v>0</v>
          </cell>
          <cell r="F3084">
            <v>0</v>
          </cell>
          <cell r="DN3084">
            <v>0</v>
          </cell>
        </row>
        <row r="3085">
          <cell r="E3085">
            <v>0</v>
          </cell>
          <cell r="F3085">
            <v>0</v>
          </cell>
          <cell r="DN3085">
            <v>0</v>
          </cell>
        </row>
        <row r="3086">
          <cell r="E3086">
            <v>0</v>
          </cell>
          <cell r="F3086">
            <v>0</v>
          </cell>
          <cell r="DN3086">
            <v>0</v>
          </cell>
        </row>
        <row r="3087">
          <cell r="E3087">
            <v>0</v>
          </cell>
          <cell r="F3087">
            <v>0</v>
          </cell>
          <cell r="DN3087">
            <v>0</v>
          </cell>
        </row>
        <row r="3088">
          <cell r="E3088">
            <v>0</v>
          </cell>
          <cell r="F3088">
            <v>0</v>
          </cell>
          <cell r="DN3088">
            <v>0</v>
          </cell>
        </row>
        <row r="3089">
          <cell r="E3089">
            <v>0</v>
          </cell>
          <cell r="F3089">
            <v>0</v>
          </cell>
          <cell r="DN3089">
            <v>0</v>
          </cell>
        </row>
        <row r="3090">
          <cell r="E3090">
            <v>0</v>
          </cell>
          <cell r="F3090">
            <v>0</v>
          </cell>
          <cell r="DN3090">
            <v>0</v>
          </cell>
        </row>
        <row r="3091">
          <cell r="E3091">
            <v>0</v>
          </cell>
          <cell r="F3091">
            <v>0</v>
          </cell>
          <cell r="DN3091">
            <v>0</v>
          </cell>
        </row>
        <row r="3092">
          <cell r="E3092">
            <v>0</v>
          </cell>
          <cell r="F3092">
            <v>0</v>
          </cell>
          <cell r="DN3092">
            <v>0</v>
          </cell>
        </row>
        <row r="3093">
          <cell r="E3093">
            <v>0</v>
          </cell>
          <cell r="F3093">
            <v>0</v>
          </cell>
          <cell r="DN3093">
            <v>0</v>
          </cell>
        </row>
        <row r="3094">
          <cell r="E3094">
            <v>0</v>
          </cell>
          <cell r="F3094">
            <v>0</v>
          </cell>
          <cell r="DN3094">
            <v>0</v>
          </cell>
        </row>
        <row r="3095">
          <cell r="E3095">
            <v>0</v>
          </cell>
          <cell r="F3095">
            <v>0</v>
          </cell>
          <cell r="DN3095">
            <v>0</v>
          </cell>
        </row>
        <row r="3096">
          <cell r="E3096">
            <v>0</v>
          </cell>
          <cell r="F3096">
            <v>0</v>
          </cell>
          <cell r="DN3096">
            <v>0</v>
          </cell>
        </row>
        <row r="3097">
          <cell r="E3097">
            <v>0</v>
          </cell>
          <cell r="F3097">
            <v>0</v>
          </cell>
          <cell r="DN3097">
            <v>0</v>
          </cell>
        </row>
        <row r="3098">
          <cell r="E3098">
            <v>0</v>
          </cell>
          <cell r="F3098">
            <v>0</v>
          </cell>
          <cell r="DN3098">
            <v>0</v>
          </cell>
        </row>
        <row r="3099">
          <cell r="E3099">
            <v>0</v>
          </cell>
          <cell r="F3099">
            <v>0</v>
          </cell>
          <cell r="DN3099">
            <v>0</v>
          </cell>
        </row>
        <row r="3100">
          <cell r="E3100">
            <v>0</v>
          </cell>
          <cell r="F3100">
            <v>0</v>
          </cell>
          <cell r="DN3100">
            <v>0</v>
          </cell>
        </row>
        <row r="3101">
          <cell r="E3101">
            <v>0</v>
          </cell>
          <cell r="F3101">
            <v>0</v>
          </cell>
          <cell r="DN3101">
            <v>0</v>
          </cell>
        </row>
        <row r="3102">
          <cell r="E3102">
            <v>0</v>
          </cell>
          <cell r="F3102">
            <v>0</v>
          </cell>
          <cell r="DN3102">
            <v>0</v>
          </cell>
        </row>
        <row r="3103">
          <cell r="E3103">
            <v>0</v>
          </cell>
          <cell r="F3103">
            <v>0</v>
          </cell>
          <cell r="DN3103">
            <v>0</v>
          </cell>
        </row>
        <row r="3104">
          <cell r="E3104">
            <v>0</v>
          </cell>
          <cell r="F3104">
            <v>0</v>
          </cell>
          <cell r="DN3104">
            <v>0</v>
          </cell>
        </row>
        <row r="3105">
          <cell r="E3105">
            <v>0</v>
          </cell>
          <cell r="F3105">
            <v>0</v>
          </cell>
          <cell r="DN3105">
            <v>0</v>
          </cell>
        </row>
        <row r="3106">
          <cell r="E3106">
            <v>0</v>
          </cell>
          <cell r="F3106">
            <v>0</v>
          </cell>
          <cell r="DN3106">
            <v>0</v>
          </cell>
        </row>
        <row r="3107">
          <cell r="E3107">
            <v>0</v>
          </cell>
          <cell r="F3107">
            <v>0</v>
          </cell>
          <cell r="DN3107">
            <v>0</v>
          </cell>
        </row>
        <row r="3108">
          <cell r="E3108">
            <v>0</v>
          </cell>
          <cell r="F3108">
            <v>0</v>
          </cell>
          <cell r="DN3108">
            <v>0</v>
          </cell>
        </row>
        <row r="3109">
          <cell r="E3109">
            <v>0</v>
          </cell>
          <cell r="F3109">
            <v>0</v>
          </cell>
          <cell r="DN3109">
            <v>0</v>
          </cell>
        </row>
        <row r="3110">
          <cell r="E3110">
            <v>0</v>
          </cell>
          <cell r="F3110">
            <v>0</v>
          </cell>
          <cell r="DN3110">
            <v>0</v>
          </cell>
        </row>
        <row r="3111">
          <cell r="E3111">
            <v>0</v>
          </cell>
          <cell r="F3111">
            <v>0</v>
          </cell>
          <cell r="DN3111">
            <v>0</v>
          </cell>
        </row>
        <row r="3112">
          <cell r="E3112">
            <v>0</v>
          </cell>
          <cell r="F3112">
            <v>0</v>
          </cell>
          <cell r="DN3112">
            <v>0</v>
          </cell>
        </row>
        <row r="3113">
          <cell r="E3113">
            <v>0</v>
          </cell>
          <cell r="F3113">
            <v>0</v>
          </cell>
          <cell r="DN3113">
            <v>0</v>
          </cell>
        </row>
        <row r="3114">
          <cell r="E3114">
            <v>0</v>
          </cell>
          <cell r="F3114">
            <v>0</v>
          </cell>
          <cell r="DN3114">
            <v>0</v>
          </cell>
        </row>
        <row r="3115">
          <cell r="E3115">
            <v>0</v>
          </cell>
          <cell r="F3115">
            <v>0</v>
          </cell>
          <cell r="DN3115">
            <v>0</v>
          </cell>
        </row>
        <row r="3116">
          <cell r="E3116">
            <v>0</v>
          </cell>
          <cell r="F3116">
            <v>0</v>
          </cell>
          <cell r="DN3116">
            <v>0</v>
          </cell>
        </row>
        <row r="3117">
          <cell r="E3117">
            <v>0</v>
          </cell>
          <cell r="F3117">
            <v>0</v>
          </cell>
          <cell r="DN3117">
            <v>0</v>
          </cell>
        </row>
        <row r="3118">
          <cell r="E3118">
            <v>0</v>
          </cell>
          <cell r="F3118">
            <v>0</v>
          </cell>
          <cell r="DN3118">
            <v>0</v>
          </cell>
        </row>
        <row r="3119">
          <cell r="E3119">
            <v>0</v>
          </cell>
          <cell r="F3119">
            <v>0</v>
          </cell>
          <cell r="DN3119">
            <v>0</v>
          </cell>
        </row>
        <row r="3120">
          <cell r="E3120">
            <v>0</v>
          </cell>
          <cell r="F3120">
            <v>0</v>
          </cell>
          <cell r="DN3120">
            <v>0</v>
          </cell>
        </row>
        <row r="3121">
          <cell r="E3121">
            <v>0</v>
          </cell>
          <cell r="F3121">
            <v>0</v>
          </cell>
          <cell r="DN3121">
            <v>0</v>
          </cell>
        </row>
        <row r="3122">
          <cell r="E3122">
            <v>0</v>
          </cell>
          <cell r="F3122">
            <v>0</v>
          </cell>
          <cell r="DN3122">
            <v>0</v>
          </cell>
        </row>
        <row r="3123">
          <cell r="E3123">
            <v>0</v>
          </cell>
          <cell r="F3123">
            <v>0</v>
          </cell>
          <cell r="DN3123">
            <v>0</v>
          </cell>
        </row>
        <row r="3124">
          <cell r="E3124">
            <v>0</v>
          </cell>
          <cell r="F3124">
            <v>0</v>
          </cell>
          <cell r="DN3124">
            <v>0</v>
          </cell>
        </row>
        <row r="3125">
          <cell r="E3125">
            <v>0</v>
          </cell>
          <cell r="F3125">
            <v>0</v>
          </cell>
          <cell r="DN3125">
            <v>0</v>
          </cell>
        </row>
        <row r="3126">
          <cell r="E3126">
            <v>0</v>
          </cell>
          <cell r="F3126">
            <v>0</v>
          </cell>
          <cell r="DN3126">
            <v>0</v>
          </cell>
        </row>
        <row r="3127">
          <cell r="E3127">
            <v>0</v>
          </cell>
          <cell r="F3127">
            <v>0</v>
          </cell>
          <cell r="DN3127">
            <v>0</v>
          </cell>
        </row>
        <row r="3128">
          <cell r="E3128">
            <v>0</v>
          </cell>
          <cell r="F3128">
            <v>0</v>
          </cell>
          <cell r="DN3128">
            <v>0</v>
          </cell>
        </row>
        <row r="3129">
          <cell r="E3129">
            <v>0</v>
          </cell>
          <cell r="F3129">
            <v>0</v>
          </cell>
          <cell r="DN3129">
            <v>0</v>
          </cell>
        </row>
        <row r="3130">
          <cell r="E3130">
            <v>0</v>
          </cell>
          <cell r="F3130">
            <v>0</v>
          </cell>
          <cell r="DN3130">
            <v>0</v>
          </cell>
        </row>
        <row r="3131">
          <cell r="E3131">
            <v>0</v>
          </cell>
          <cell r="F3131">
            <v>0</v>
          </cell>
          <cell r="DN3131">
            <v>0</v>
          </cell>
        </row>
        <row r="3132">
          <cell r="E3132">
            <v>0</v>
          </cell>
          <cell r="F3132">
            <v>0</v>
          </cell>
          <cell r="DN3132">
            <v>0</v>
          </cell>
        </row>
        <row r="3133">
          <cell r="E3133">
            <v>0</v>
          </cell>
          <cell r="F3133">
            <v>0</v>
          </cell>
          <cell r="DN3133">
            <v>0</v>
          </cell>
        </row>
        <row r="3134">
          <cell r="E3134">
            <v>0</v>
          </cell>
          <cell r="F3134">
            <v>0</v>
          </cell>
          <cell r="DN3134">
            <v>0</v>
          </cell>
        </row>
        <row r="3135">
          <cell r="E3135">
            <v>0</v>
          </cell>
          <cell r="F3135">
            <v>0</v>
          </cell>
          <cell r="DN3135">
            <v>0</v>
          </cell>
        </row>
        <row r="3136">
          <cell r="E3136">
            <v>0</v>
          </cell>
          <cell r="F3136">
            <v>0</v>
          </cell>
          <cell r="DN3136">
            <v>0</v>
          </cell>
        </row>
        <row r="3137">
          <cell r="E3137">
            <v>0</v>
          </cell>
          <cell r="F3137">
            <v>0</v>
          </cell>
          <cell r="DN3137">
            <v>0</v>
          </cell>
        </row>
        <row r="3138">
          <cell r="E3138">
            <v>0</v>
          </cell>
          <cell r="F3138">
            <v>0</v>
          </cell>
          <cell r="DN3138">
            <v>0</v>
          </cell>
        </row>
        <row r="3139">
          <cell r="E3139">
            <v>0</v>
          </cell>
          <cell r="F3139">
            <v>0</v>
          </cell>
          <cell r="DN3139">
            <v>0</v>
          </cell>
        </row>
        <row r="3140">
          <cell r="E3140">
            <v>0</v>
          </cell>
          <cell r="F3140">
            <v>0</v>
          </cell>
          <cell r="DN3140">
            <v>0</v>
          </cell>
        </row>
        <row r="3141">
          <cell r="E3141">
            <v>0</v>
          </cell>
          <cell r="F3141">
            <v>0</v>
          </cell>
          <cell r="DN3141">
            <v>0</v>
          </cell>
        </row>
        <row r="3142">
          <cell r="E3142">
            <v>0</v>
          </cell>
          <cell r="F3142">
            <v>0</v>
          </cell>
          <cell r="DN3142">
            <v>0</v>
          </cell>
        </row>
        <row r="3143">
          <cell r="E3143">
            <v>0</v>
          </cell>
          <cell r="F3143">
            <v>0</v>
          </cell>
          <cell r="DN3143">
            <v>0</v>
          </cell>
        </row>
        <row r="3144">
          <cell r="E3144">
            <v>0</v>
          </cell>
          <cell r="F3144">
            <v>0</v>
          </cell>
          <cell r="DN3144">
            <v>0</v>
          </cell>
        </row>
        <row r="3145">
          <cell r="E3145">
            <v>0</v>
          </cell>
          <cell r="F3145">
            <v>0</v>
          </cell>
          <cell r="DN3145">
            <v>0</v>
          </cell>
        </row>
        <row r="3146">
          <cell r="E3146">
            <v>0</v>
          </cell>
          <cell r="F3146">
            <v>0</v>
          </cell>
          <cell r="DN3146">
            <v>0</v>
          </cell>
        </row>
        <row r="3147">
          <cell r="E3147">
            <v>0</v>
          </cell>
          <cell r="F3147">
            <v>0</v>
          </cell>
          <cell r="DN3147">
            <v>0</v>
          </cell>
        </row>
        <row r="3148">
          <cell r="E3148">
            <v>0</v>
          </cell>
          <cell r="F3148">
            <v>0</v>
          </cell>
          <cell r="DN3148">
            <v>0</v>
          </cell>
        </row>
        <row r="3149">
          <cell r="E3149">
            <v>0</v>
          </cell>
          <cell r="F3149">
            <v>0</v>
          </cell>
          <cell r="DN3149">
            <v>0</v>
          </cell>
        </row>
        <row r="3150">
          <cell r="E3150">
            <v>0</v>
          </cell>
          <cell r="F3150">
            <v>0</v>
          </cell>
          <cell r="DN3150">
            <v>0</v>
          </cell>
        </row>
        <row r="3151">
          <cell r="E3151">
            <v>0</v>
          </cell>
          <cell r="F3151">
            <v>0</v>
          </cell>
          <cell r="DN3151">
            <v>0</v>
          </cell>
        </row>
        <row r="3152">
          <cell r="E3152">
            <v>0</v>
          </cell>
          <cell r="F3152">
            <v>0</v>
          </cell>
          <cell r="DN3152">
            <v>0</v>
          </cell>
        </row>
        <row r="3153">
          <cell r="E3153">
            <v>0</v>
          </cell>
          <cell r="F3153">
            <v>0</v>
          </cell>
          <cell r="DN3153">
            <v>0</v>
          </cell>
        </row>
        <row r="3154">
          <cell r="E3154">
            <v>0</v>
          </cell>
          <cell r="F3154">
            <v>0</v>
          </cell>
          <cell r="DN3154">
            <v>0</v>
          </cell>
        </row>
        <row r="3155">
          <cell r="E3155">
            <v>0</v>
          </cell>
          <cell r="F3155">
            <v>0</v>
          </cell>
          <cell r="DN3155">
            <v>0</v>
          </cell>
        </row>
        <row r="3156">
          <cell r="E3156">
            <v>0</v>
          </cell>
          <cell r="F3156">
            <v>0</v>
          </cell>
          <cell r="DN3156">
            <v>0</v>
          </cell>
        </row>
        <row r="3157">
          <cell r="E3157">
            <v>0</v>
          </cell>
          <cell r="F3157">
            <v>0</v>
          </cell>
          <cell r="DN3157">
            <v>0</v>
          </cell>
        </row>
        <row r="3158">
          <cell r="E3158">
            <v>0</v>
          </cell>
          <cell r="F3158">
            <v>0</v>
          </cell>
          <cell r="DN3158">
            <v>0</v>
          </cell>
        </row>
        <row r="3159">
          <cell r="E3159">
            <v>0</v>
          </cell>
          <cell r="F3159">
            <v>0</v>
          </cell>
          <cell r="DN3159">
            <v>0</v>
          </cell>
        </row>
        <row r="3160">
          <cell r="E3160">
            <v>0</v>
          </cell>
          <cell r="F3160">
            <v>0</v>
          </cell>
          <cell r="DN3160">
            <v>0</v>
          </cell>
        </row>
        <row r="3161">
          <cell r="E3161">
            <v>0</v>
          </cell>
          <cell r="F3161">
            <v>0</v>
          </cell>
          <cell r="DN3161">
            <v>0</v>
          </cell>
        </row>
        <row r="3162">
          <cell r="E3162">
            <v>0</v>
          </cell>
          <cell r="F3162">
            <v>0</v>
          </cell>
          <cell r="DN3162">
            <v>0</v>
          </cell>
        </row>
        <row r="3163">
          <cell r="E3163">
            <v>0</v>
          </cell>
          <cell r="F3163">
            <v>0</v>
          </cell>
          <cell r="DN3163">
            <v>0</v>
          </cell>
        </row>
        <row r="3164">
          <cell r="E3164">
            <v>0</v>
          </cell>
          <cell r="F3164">
            <v>0</v>
          </cell>
          <cell r="DN3164">
            <v>0</v>
          </cell>
        </row>
        <row r="3165">
          <cell r="E3165">
            <v>0</v>
          </cell>
          <cell r="F3165">
            <v>0</v>
          </cell>
          <cell r="DN3165">
            <v>0</v>
          </cell>
        </row>
        <row r="3166">
          <cell r="E3166">
            <v>0</v>
          </cell>
          <cell r="F3166">
            <v>0</v>
          </cell>
          <cell r="DN3166">
            <v>0</v>
          </cell>
        </row>
        <row r="3167">
          <cell r="E3167">
            <v>0</v>
          </cell>
          <cell r="F3167">
            <v>0</v>
          </cell>
          <cell r="DN3167">
            <v>0</v>
          </cell>
        </row>
        <row r="3168">
          <cell r="E3168">
            <v>0</v>
          </cell>
          <cell r="F3168">
            <v>0</v>
          </cell>
          <cell r="DN3168">
            <v>0</v>
          </cell>
        </row>
        <row r="3169">
          <cell r="E3169">
            <v>0</v>
          </cell>
          <cell r="F3169">
            <v>0</v>
          </cell>
          <cell r="DN3169">
            <v>0</v>
          </cell>
        </row>
        <row r="3170">
          <cell r="E3170">
            <v>0</v>
          </cell>
          <cell r="F3170">
            <v>0</v>
          </cell>
          <cell r="DN3170">
            <v>0</v>
          </cell>
        </row>
        <row r="3171">
          <cell r="E3171">
            <v>0</v>
          </cell>
          <cell r="F3171">
            <v>0</v>
          </cell>
          <cell r="DN3171">
            <v>0</v>
          </cell>
        </row>
        <row r="3172">
          <cell r="E3172">
            <v>0</v>
          </cell>
          <cell r="F3172">
            <v>0</v>
          </cell>
          <cell r="DN3172">
            <v>0</v>
          </cell>
        </row>
        <row r="3173">
          <cell r="E3173">
            <v>0</v>
          </cell>
          <cell r="F3173">
            <v>0</v>
          </cell>
          <cell r="DN3173">
            <v>0</v>
          </cell>
        </row>
        <row r="3174">
          <cell r="E3174">
            <v>0</v>
          </cell>
          <cell r="F3174">
            <v>0</v>
          </cell>
          <cell r="DN3174">
            <v>0</v>
          </cell>
        </row>
        <row r="3175">
          <cell r="E3175">
            <v>0</v>
          </cell>
          <cell r="F3175">
            <v>0</v>
          </cell>
          <cell r="DN3175">
            <v>0</v>
          </cell>
        </row>
        <row r="3176">
          <cell r="E3176">
            <v>0</v>
          </cell>
          <cell r="F3176">
            <v>0</v>
          </cell>
          <cell r="DN3176">
            <v>0</v>
          </cell>
        </row>
        <row r="3177">
          <cell r="E3177">
            <v>0</v>
          </cell>
          <cell r="F3177">
            <v>0</v>
          </cell>
          <cell r="DN3177">
            <v>0</v>
          </cell>
        </row>
        <row r="3178">
          <cell r="E3178">
            <v>0</v>
          </cell>
          <cell r="F3178">
            <v>0</v>
          </cell>
          <cell r="DN3178">
            <v>0</v>
          </cell>
        </row>
        <row r="3179">
          <cell r="E3179">
            <v>0</v>
          </cell>
          <cell r="F3179">
            <v>0</v>
          </cell>
          <cell r="DN3179">
            <v>0</v>
          </cell>
        </row>
        <row r="3180">
          <cell r="E3180">
            <v>0</v>
          </cell>
          <cell r="F3180">
            <v>0</v>
          </cell>
          <cell r="DN3180">
            <v>0</v>
          </cell>
        </row>
        <row r="3181">
          <cell r="E3181">
            <v>0</v>
          </cell>
          <cell r="F3181">
            <v>0</v>
          </cell>
          <cell r="DN3181">
            <v>0</v>
          </cell>
        </row>
        <row r="3182">
          <cell r="E3182">
            <v>0</v>
          </cell>
          <cell r="F3182">
            <v>0</v>
          </cell>
          <cell r="DN3182">
            <v>0</v>
          </cell>
        </row>
        <row r="3183">
          <cell r="E3183">
            <v>0</v>
          </cell>
          <cell r="F3183">
            <v>0</v>
          </cell>
          <cell r="DN3183">
            <v>0</v>
          </cell>
        </row>
        <row r="3184">
          <cell r="E3184">
            <v>0</v>
          </cell>
          <cell r="F3184">
            <v>0</v>
          </cell>
          <cell r="DN3184">
            <v>0</v>
          </cell>
        </row>
        <row r="3185">
          <cell r="E3185">
            <v>0</v>
          </cell>
          <cell r="F3185">
            <v>0</v>
          </cell>
          <cell r="DN3185">
            <v>0</v>
          </cell>
        </row>
        <row r="3186">
          <cell r="E3186">
            <v>0</v>
          </cell>
          <cell r="F3186">
            <v>0</v>
          </cell>
          <cell r="DN3186">
            <v>0</v>
          </cell>
        </row>
        <row r="3187">
          <cell r="E3187">
            <v>0</v>
          </cell>
          <cell r="F3187">
            <v>0</v>
          </cell>
          <cell r="DN3187">
            <v>0</v>
          </cell>
        </row>
        <row r="3188">
          <cell r="E3188">
            <v>0</v>
          </cell>
          <cell r="F3188">
            <v>0</v>
          </cell>
          <cell r="DN3188">
            <v>0</v>
          </cell>
        </row>
        <row r="3189">
          <cell r="E3189">
            <v>0</v>
          </cell>
          <cell r="F3189">
            <v>0</v>
          </cell>
          <cell r="DN3189">
            <v>0</v>
          </cell>
        </row>
        <row r="3190">
          <cell r="E3190">
            <v>0</v>
          </cell>
          <cell r="F3190">
            <v>0</v>
          </cell>
          <cell r="DN3190">
            <v>0</v>
          </cell>
        </row>
        <row r="3191">
          <cell r="E3191">
            <v>0</v>
          </cell>
          <cell r="F3191">
            <v>0</v>
          </cell>
          <cell r="DN3191">
            <v>0</v>
          </cell>
        </row>
        <row r="3192">
          <cell r="E3192">
            <v>0</v>
          </cell>
          <cell r="F3192">
            <v>0</v>
          </cell>
          <cell r="DN3192">
            <v>0</v>
          </cell>
        </row>
        <row r="3193">
          <cell r="E3193">
            <v>0</v>
          </cell>
          <cell r="F3193">
            <v>0</v>
          </cell>
          <cell r="DN3193">
            <v>0</v>
          </cell>
        </row>
        <row r="3194">
          <cell r="E3194">
            <v>0</v>
          </cell>
          <cell r="F3194">
            <v>0</v>
          </cell>
          <cell r="DN3194">
            <v>0</v>
          </cell>
        </row>
        <row r="3195">
          <cell r="E3195">
            <v>0</v>
          </cell>
          <cell r="F3195">
            <v>0</v>
          </cell>
          <cell r="DN3195">
            <v>0</v>
          </cell>
        </row>
        <row r="3196">
          <cell r="E3196">
            <v>0</v>
          </cell>
          <cell r="F3196">
            <v>0</v>
          </cell>
          <cell r="DN3196">
            <v>0</v>
          </cell>
        </row>
        <row r="3197">
          <cell r="E3197">
            <v>0</v>
          </cell>
          <cell r="F3197">
            <v>0</v>
          </cell>
          <cell r="DN3197">
            <v>0</v>
          </cell>
        </row>
        <row r="3198">
          <cell r="E3198">
            <v>0</v>
          </cell>
          <cell r="F3198">
            <v>0</v>
          </cell>
          <cell r="DN3198">
            <v>0</v>
          </cell>
        </row>
        <row r="3199">
          <cell r="E3199">
            <v>0</v>
          </cell>
          <cell r="F3199">
            <v>0</v>
          </cell>
          <cell r="DN3199">
            <v>0</v>
          </cell>
        </row>
        <row r="3200">
          <cell r="E3200">
            <v>0</v>
          </cell>
          <cell r="F3200">
            <v>0</v>
          </cell>
          <cell r="DN3200">
            <v>0</v>
          </cell>
        </row>
        <row r="3201">
          <cell r="E3201">
            <v>0</v>
          </cell>
          <cell r="F3201">
            <v>0</v>
          </cell>
          <cell r="DN3201">
            <v>0</v>
          </cell>
        </row>
        <row r="3202">
          <cell r="E3202">
            <v>0</v>
          </cell>
          <cell r="F3202">
            <v>0</v>
          </cell>
          <cell r="DN3202">
            <v>0</v>
          </cell>
        </row>
        <row r="3203">
          <cell r="E3203">
            <v>0</v>
          </cell>
          <cell r="F3203">
            <v>0</v>
          </cell>
          <cell r="DN3203">
            <v>0</v>
          </cell>
        </row>
        <row r="3204">
          <cell r="E3204">
            <v>0</v>
          </cell>
          <cell r="F3204">
            <v>0</v>
          </cell>
          <cell r="DN3204">
            <v>0</v>
          </cell>
        </row>
        <row r="3205">
          <cell r="E3205">
            <v>0</v>
          </cell>
          <cell r="F3205">
            <v>0</v>
          </cell>
          <cell r="DN3205">
            <v>0</v>
          </cell>
        </row>
        <row r="3206">
          <cell r="E3206">
            <v>0</v>
          </cell>
          <cell r="F3206">
            <v>0</v>
          </cell>
          <cell r="DN3206">
            <v>0</v>
          </cell>
        </row>
        <row r="3207">
          <cell r="E3207">
            <v>0</v>
          </cell>
          <cell r="F3207">
            <v>0</v>
          </cell>
          <cell r="DN3207">
            <v>0</v>
          </cell>
        </row>
        <row r="3208">
          <cell r="E3208">
            <v>0</v>
          </cell>
          <cell r="F3208">
            <v>0</v>
          </cell>
          <cell r="DN3208">
            <v>0</v>
          </cell>
        </row>
        <row r="3209">
          <cell r="E3209">
            <v>0</v>
          </cell>
          <cell r="F3209">
            <v>0</v>
          </cell>
          <cell r="DN3209">
            <v>0</v>
          </cell>
        </row>
        <row r="3210">
          <cell r="E3210">
            <v>0</v>
          </cell>
          <cell r="F3210">
            <v>0</v>
          </cell>
          <cell r="DN3210">
            <v>0</v>
          </cell>
        </row>
        <row r="3211">
          <cell r="E3211">
            <v>0</v>
          </cell>
          <cell r="F3211">
            <v>0</v>
          </cell>
          <cell r="DN3211">
            <v>0</v>
          </cell>
        </row>
        <row r="3212">
          <cell r="E3212">
            <v>0</v>
          </cell>
          <cell r="F3212">
            <v>0</v>
          </cell>
          <cell r="DN3212">
            <v>0</v>
          </cell>
        </row>
        <row r="3213">
          <cell r="E3213">
            <v>0</v>
          </cell>
          <cell r="F3213">
            <v>0</v>
          </cell>
          <cell r="DN3213">
            <v>0</v>
          </cell>
        </row>
        <row r="3214">
          <cell r="E3214">
            <v>0</v>
          </cell>
          <cell r="F3214">
            <v>0</v>
          </cell>
          <cell r="DN3214">
            <v>0</v>
          </cell>
        </row>
        <row r="3215">
          <cell r="E3215">
            <v>0</v>
          </cell>
          <cell r="F3215">
            <v>0</v>
          </cell>
          <cell r="DN3215">
            <v>0</v>
          </cell>
        </row>
        <row r="3216">
          <cell r="E3216">
            <v>0</v>
          </cell>
          <cell r="F3216">
            <v>0</v>
          </cell>
          <cell r="DN3216">
            <v>0</v>
          </cell>
        </row>
        <row r="3217">
          <cell r="E3217">
            <v>0</v>
          </cell>
          <cell r="F3217">
            <v>0</v>
          </cell>
          <cell r="DN3217">
            <v>0</v>
          </cell>
        </row>
        <row r="3218">
          <cell r="E3218">
            <v>0</v>
          </cell>
          <cell r="F3218">
            <v>0</v>
          </cell>
          <cell r="DN3218">
            <v>0</v>
          </cell>
        </row>
        <row r="3219">
          <cell r="E3219">
            <v>0</v>
          </cell>
          <cell r="F3219">
            <v>0</v>
          </cell>
          <cell r="DN3219">
            <v>0</v>
          </cell>
        </row>
        <row r="3220">
          <cell r="E3220">
            <v>0</v>
          </cell>
          <cell r="F3220">
            <v>0</v>
          </cell>
          <cell r="DN3220">
            <v>0</v>
          </cell>
        </row>
        <row r="3221">
          <cell r="E3221">
            <v>0</v>
          </cell>
          <cell r="F3221">
            <v>0</v>
          </cell>
          <cell r="DN3221">
            <v>0</v>
          </cell>
        </row>
        <row r="3222">
          <cell r="E3222">
            <v>0</v>
          </cell>
          <cell r="F3222">
            <v>0</v>
          </cell>
          <cell r="DN3222">
            <v>0</v>
          </cell>
        </row>
        <row r="3223">
          <cell r="E3223">
            <v>0</v>
          </cell>
          <cell r="F3223">
            <v>0</v>
          </cell>
          <cell r="DN3223">
            <v>0</v>
          </cell>
        </row>
        <row r="3224">
          <cell r="E3224">
            <v>0</v>
          </cell>
          <cell r="F3224">
            <v>0</v>
          </cell>
          <cell r="DN3224">
            <v>0</v>
          </cell>
        </row>
        <row r="3225">
          <cell r="E3225">
            <v>0</v>
          </cell>
          <cell r="F3225">
            <v>0</v>
          </cell>
          <cell r="DN3225">
            <v>0</v>
          </cell>
        </row>
        <row r="3226">
          <cell r="E3226">
            <v>0</v>
          </cell>
          <cell r="F3226">
            <v>0</v>
          </cell>
          <cell r="DN3226">
            <v>0</v>
          </cell>
        </row>
        <row r="3227">
          <cell r="E3227">
            <v>0</v>
          </cell>
          <cell r="F3227">
            <v>0</v>
          </cell>
          <cell r="DN3227">
            <v>0</v>
          </cell>
        </row>
        <row r="3228">
          <cell r="E3228">
            <v>0</v>
          </cell>
          <cell r="F3228">
            <v>0</v>
          </cell>
          <cell r="DN3228">
            <v>0</v>
          </cell>
        </row>
        <row r="3229">
          <cell r="E3229">
            <v>0</v>
          </cell>
          <cell r="F3229">
            <v>0</v>
          </cell>
          <cell r="DN3229">
            <v>0</v>
          </cell>
        </row>
        <row r="3230">
          <cell r="E3230">
            <v>0</v>
          </cell>
          <cell r="F3230">
            <v>0</v>
          </cell>
          <cell r="DN3230">
            <v>0</v>
          </cell>
        </row>
        <row r="3231">
          <cell r="E3231">
            <v>0</v>
          </cell>
          <cell r="F3231">
            <v>0</v>
          </cell>
          <cell r="DN3231">
            <v>0</v>
          </cell>
        </row>
        <row r="3232">
          <cell r="E3232">
            <v>0</v>
          </cell>
          <cell r="F3232">
            <v>0</v>
          </cell>
          <cell r="DN3232">
            <v>0</v>
          </cell>
        </row>
        <row r="3233">
          <cell r="E3233">
            <v>0</v>
          </cell>
          <cell r="F3233">
            <v>0</v>
          </cell>
          <cell r="DN3233">
            <v>0</v>
          </cell>
        </row>
        <row r="3234">
          <cell r="E3234">
            <v>0</v>
          </cell>
          <cell r="F3234">
            <v>0</v>
          </cell>
          <cell r="DN3234">
            <v>0</v>
          </cell>
        </row>
        <row r="3235">
          <cell r="E3235">
            <v>0</v>
          </cell>
          <cell r="F3235">
            <v>0</v>
          </cell>
          <cell r="DN3235">
            <v>0</v>
          </cell>
        </row>
        <row r="3236">
          <cell r="E3236">
            <v>0</v>
          </cell>
          <cell r="F3236">
            <v>0</v>
          </cell>
          <cell r="DN3236">
            <v>0</v>
          </cell>
        </row>
        <row r="3237">
          <cell r="E3237">
            <v>0</v>
          </cell>
          <cell r="F3237">
            <v>0</v>
          </cell>
          <cell r="DN3237">
            <v>0</v>
          </cell>
        </row>
        <row r="3238">
          <cell r="E3238">
            <v>0</v>
          </cell>
          <cell r="F3238">
            <v>0</v>
          </cell>
          <cell r="DN3238">
            <v>0</v>
          </cell>
        </row>
        <row r="3239">
          <cell r="E3239">
            <v>0</v>
          </cell>
          <cell r="F3239">
            <v>0</v>
          </cell>
          <cell r="DN3239">
            <v>0</v>
          </cell>
        </row>
        <row r="3240">
          <cell r="E3240">
            <v>0</v>
          </cell>
          <cell r="F3240">
            <v>0</v>
          </cell>
          <cell r="DN3240">
            <v>0</v>
          </cell>
        </row>
        <row r="3241">
          <cell r="E3241">
            <v>0</v>
          </cell>
          <cell r="F3241">
            <v>0</v>
          </cell>
          <cell r="DN3241">
            <v>0</v>
          </cell>
        </row>
        <row r="3242">
          <cell r="E3242">
            <v>0</v>
          </cell>
          <cell r="F3242">
            <v>0</v>
          </cell>
          <cell r="DN3242">
            <v>0</v>
          </cell>
        </row>
        <row r="3243">
          <cell r="E3243">
            <v>0</v>
          </cell>
          <cell r="F3243">
            <v>0</v>
          </cell>
          <cell r="DN3243">
            <v>0</v>
          </cell>
        </row>
        <row r="3244">
          <cell r="E3244">
            <v>0</v>
          </cell>
          <cell r="F3244">
            <v>0</v>
          </cell>
          <cell r="DN3244">
            <v>0</v>
          </cell>
        </row>
        <row r="3245">
          <cell r="E3245">
            <v>0</v>
          </cell>
          <cell r="F3245">
            <v>0</v>
          </cell>
          <cell r="DN3245">
            <v>0</v>
          </cell>
        </row>
        <row r="3246">
          <cell r="E3246">
            <v>0</v>
          </cell>
          <cell r="F3246">
            <v>0</v>
          </cell>
          <cell r="DN3246">
            <v>0</v>
          </cell>
        </row>
        <row r="3247">
          <cell r="E3247">
            <v>0</v>
          </cell>
          <cell r="F3247">
            <v>0</v>
          </cell>
          <cell r="DN3247">
            <v>0</v>
          </cell>
        </row>
        <row r="3248">
          <cell r="E3248">
            <v>0</v>
          </cell>
          <cell r="F3248">
            <v>0</v>
          </cell>
          <cell r="DN3248">
            <v>0</v>
          </cell>
        </row>
        <row r="3249">
          <cell r="E3249">
            <v>0</v>
          </cell>
          <cell r="F3249">
            <v>0</v>
          </cell>
          <cell r="DN3249">
            <v>0</v>
          </cell>
        </row>
        <row r="3250">
          <cell r="E3250">
            <v>0</v>
          </cell>
          <cell r="F3250">
            <v>0</v>
          </cell>
          <cell r="DN3250">
            <v>0</v>
          </cell>
        </row>
        <row r="3251">
          <cell r="E3251">
            <v>0</v>
          </cell>
          <cell r="F3251">
            <v>0</v>
          </cell>
          <cell r="DN3251">
            <v>0</v>
          </cell>
        </row>
        <row r="3252">
          <cell r="E3252">
            <v>0</v>
          </cell>
          <cell r="F3252">
            <v>0</v>
          </cell>
          <cell r="DN3252">
            <v>0</v>
          </cell>
        </row>
        <row r="3253">
          <cell r="E3253">
            <v>0</v>
          </cell>
          <cell r="F3253">
            <v>0</v>
          </cell>
          <cell r="DN3253">
            <v>0</v>
          </cell>
        </row>
        <row r="3254">
          <cell r="E3254">
            <v>0</v>
          </cell>
          <cell r="F3254">
            <v>0</v>
          </cell>
          <cell r="DN3254">
            <v>0</v>
          </cell>
        </row>
        <row r="3255">
          <cell r="E3255">
            <v>0</v>
          </cell>
          <cell r="F3255">
            <v>0</v>
          </cell>
          <cell r="DN3255">
            <v>0</v>
          </cell>
        </row>
        <row r="3256">
          <cell r="E3256">
            <v>0</v>
          </cell>
          <cell r="F3256">
            <v>0</v>
          </cell>
          <cell r="DN3256">
            <v>0</v>
          </cell>
        </row>
        <row r="3257">
          <cell r="E3257">
            <v>0</v>
          </cell>
          <cell r="F3257">
            <v>0</v>
          </cell>
          <cell r="DN3257">
            <v>0</v>
          </cell>
        </row>
        <row r="3258">
          <cell r="E3258">
            <v>0</v>
          </cell>
          <cell r="F3258">
            <v>0</v>
          </cell>
          <cell r="DN3258">
            <v>0</v>
          </cell>
        </row>
        <row r="3259">
          <cell r="E3259">
            <v>0</v>
          </cell>
          <cell r="F3259">
            <v>0</v>
          </cell>
          <cell r="DN3259">
            <v>0</v>
          </cell>
        </row>
        <row r="3260">
          <cell r="E3260">
            <v>0</v>
          </cell>
          <cell r="F3260">
            <v>0</v>
          </cell>
          <cell r="DN3260">
            <v>0</v>
          </cell>
        </row>
        <row r="3261">
          <cell r="E3261">
            <v>0</v>
          </cell>
          <cell r="F3261">
            <v>0</v>
          </cell>
          <cell r="DN3261">
            <v>0</v>
          </cell>
        </row>
        <row r="3262">
          <cell r="E3262">
            <v>0</v>
          </cell>
          <cell r="F3262">
            <v>0</v>
          </cell>
          <cell r="DN3262">
            <v>0</v>
          </cell>
        </row>
        <row r="3263">
          <cell r="E3263">
            <v>0</v>
          </cell>
          <cell r="F3263">
            <v>0</v>
          </cell>
          <cell r="DN3263">
            <v>0</v>
          </cell>
        </row>
        <row r="3264">
          <cell r="E3264">
            <v>0</v>
          </cell>
          <cell r="F3264">
            <v>0</v>
          </cell>
          <cell r="DN3264">
            <v>0</v>
          </cell>
        </row>
        <row r="3265">
          <cell r="E3265">
            <v>0</v>
          </cell>
          <cell r="F3265">
            <v>0</v>
          </cell>
          <cell r="DN3265">
            <v>0</v>
          </cell>
        </row>
        <row r="3266">
          <cell r="E3266">
            <v>0</v>
          </cell>
          <cell r="F3266">
            <v>0</v>
          </cell>
          <cell r="DN3266">
            <v>0</v>
          </cell>
        </row>
        <row r="3267">
          <cell r="E3267">
            <v>0</v>
          </cell>
          <cell r="F3267">
            <v>0</v>
          </cell>
          <cell r="DN3267">
            <v>0</v>
          </cell>
        </row>
        <row r="3268">
          <cell r="E3268">
            <v>0</v>
          </cell>
          <cell r="F3268">
            <v>0</v>
          </cell>
          <cell r="DN3268">
            <v>0</v>
          </cell>
        </row>
        <row r="3269">
          <cell r="E3269">
            <v>0</v>
          </cell>
          <cell r="F3269">
            <v>0</v>
          </cell>
          <cell r="DN3269">
            <v>0</v>
          </cell>
        </row>
        <row r="3270">
          <cell r="E3270">
            <v>0</v>
          </cell>
          <cell r="F3270">
            <v>0</v>
          </cell>
          <cell r="DN3270">
            <v>0</v>
          </cell>
        </row>
        <row r="3271">
          <cell r="E3271">
            <v>0</v>
          </cell>
          <cell r="F3271">
            <v>0</v>
          </cell>
          <cell r="DN3271">
            <v>0</v>
          </cell>
        </row>
        <row r="3272">
          <cell r="E3272">
            <v>0</v>
          </cell>
          <cell r="F3272">
            <v>0</v>
          </cell>
          <cell r="DN3272">
            <v>0</v>
          </cell>
        </row>
        <row r="3273">
          <cell r="E3273">
            <v>0</v>
          </cell>
          <cell r="F3273">
            <v>0</v>
          </cell>
          <cell r="DN3273">
            <v>0</v>
          </cell>
        </row>
        <row r="3274">
          <cell r="E3274">
            <v>0</v>
          </cell>
          <cell r="F3274">
            <v>0</v>
          </cell>
          <cell r="DN3274">
            <v>0</v>
          </cell>
        </row>
        <row r="3275">
          <cell r="E3275">
            <v>0</v>
          </cell>
          <cell r="F3275">
            <v>0</v>
          </cell>
          <cell r="DN3275">
            <v>0</v>
          </cell>
        </row>
        <row r="3276">
          <cell r="E3276">
            <v>0</v>
          </cell>
          <cell r="F3276">
            <v>0</v>
          </cell>
          <cell r="DN3276">
            <v>0</v>
          </cell>
        </row>
        <row r="3277">
          <cell r="E3277">
            <v>0</v>
          </cell>
          <cell r="F3277">
            <v>0</v>
          </cell>
          <cell r="DN3277">
            <v>0</v>
          </cell>
        </row>
        <row r="3278">
          <cell r="E3278">
            <v>0</v>
          </cell>
          <cell r="F3278">
            <v>0</v>
          </cell>
          <cell r="DN3278">
            <v>0</v>
          </cell>
        </row>
        <row r="3279">
          <cell r="E3279">
            <v>0</v>
          </cell>
          <cell r="F3279">
            <v>0</v>
          </cell>
          <cell r="DN3279">
            <v>0</v>
          </cell>
        </row>
        <row r="3280">
          <cell r="E3280">
            <v>0</v>
          </cell>
          <cell r="F3280">
            <v>0</v>
          </cell>
          <cell r="DN3280">
            <v>0</v>
          </cell>
        </row>
        <row r="3281">
          <cell r="E3281">
            <v>0</v>
          </cell>
          <cell r="F3281">
            <v>0</v>
          </cell>
          <cell r="DN3281">
            <v>0</v>
          </cell>
        </row>
        <row r="3282">
          <cell r="E3282">
            <v>0</v>
          </cell>
          <cell r="F3282">
            <v>0</v>
          </cell>
          <cell r="DN3282">
            <v>0</v>
          </cell>
        </row>
        <row r="3283">
          <cell r="E3283">
            <v>0</v>
          </cell>
          <cell r="F3283">
            <v>0</v>
          </cell>
          <cell r="DN3283">
            <v>0</v>
          </cell>
        </row>
        <row r="3284">
          <cell r="E3284">
            <v>0</v>
          </cell>
          <cell r="F3284">
            <v>0</v>
          </cell>
          <cell r="DN3284">
            <v>0</v>
          </cell>
        </row>
        <row r="3285">
          <cell r="E3285">
            <v>0</v>
          </cell>
          <cell r="F3285">
            <v>0</v>
          </cell>
          <cell r="DN3285">
            <v>0</v>
          </cell>
        </row>
        <row r="3286">
          <cell r="E3286">
            <v>0</v>
          </cell>
          <cell r="F3286">
            <v>0</v>
          </cell>
          <cell r="DN3286">
            <v>0</v>
          </cell>
        </row>
        <row r="3287">
          <cell r="E3287">
            <v>0</v>
          </cell>
          <cell r="F3287">
            <v>0</v>
          </cell>
          <cell r="DN3287">
            <v>0</v>
          </cell>
        </row>
        <row r="3288">
          <cell r="E3288">
            <v>0</v>
          </cell>
          <cell r="F3288">
            <v>0</v>
          </cell>
          <cell r="DN3288">
            <v>0</v>
          </cell>
        </row>
        <row r="3289">
          <cell r="E3289">
            <v>0</v>
          </cell>
          <cell r="F3289">
            <v>0</v>
          </cell>
          <cell r="DN3289">
            <v>0</v>
          </cell>
        </row>
        <row r="3290">
          <cell r="E3290">
            <v>0</v>
          </cell>
          <cell r="F3290">
            <v>0</v>
          </cell>
          <cell r="DN3290">
            <v>0</v>
          </cell>
        </row>
        <row r="3291">
          <cell r="E3291">
            <v>0</v>
          </cell>
          <cell r="F3291">
            <v>0</v>
          </cell>
          <cell r="DN3291">
            <v>0</v>
          </cell>
        </row>
        <row r="3292">
          <cell r="E3292">
            <v>0</v>
          </cell>
          <cell r="F3292">
            <v>0</v>
          </cell>
          <cell r="DN3292">
            <v>0</v>
          </cell>
        </row>
        <row r="3293">
          <cell r="E3293">
            <v>0</v>
          </cell>
          <cell r="F3293">
            <v>0</v>
          </cell>
          <cell r="DN3293">
            <v>0</v>
          </cell>
        </row>
        <row r="3294">
          <cell r="E3294">
            <v>0</v>
          </cell>
          <cell r="F3294">
            <v>0</v>
          </cell>
          <cell r="DN3294">
            <v>0</v>
          </cell>
        </row>
        <row r="3295">
          <cell r="E3295">
            <v>0</v>
          </cell>
          <cell r="F3295">
            <v>0</v>
          </cell>
          <cell r="DN3295">
            <v>0</v>
          </cell>
        </row>
        <row r="3296">
          <cell r="E3296">
            <v>0</v>
          </cell>
          <cell r="F3296">
            <v>0</v>
          </cell>
          <cell r="DN3296">
            <v>0</v>
          </cell>
        </row>
        <row r="3297">
          <cell r="E3297">
            <v>0</v>
          </cell>
          <cell r="F3297">
            <v>0</v>
          </cell>
          <cell r="DN3297">
            <v>0</v>
          </cell>
        </row>
        <row r="3298">
          <cell r="E3298">
            <v>0</v>
          </cell>
          <cell r="F3298">
            <v>0</v>
          </cell>
          <cell r="DN3298">
            <v>0</v>
          </cell>
        </row>
        <row r="3299">
          <cell r="E3299">
            <v>0</v>
          </cell>
          <cell r="F3299">
            <v>0</v>
          </cell>
          <cell r="DN3299">
            <v>0</v>
          </cell>
        </row>
        <row r="3300">
          <cell r="E3300">
            <v>0</v>
          </cell>
          <cell r="F3300">
            <v>0</v>
          </cell>
          <cell r="DN3300">
            <v>0</v>
          </cell>
        </row>
        <row r="3301">
          <cell r="E3301">
            <v>0</v>
          </cell>
          <cell r="F3301">
            <v>0</v>
          </cell>
          <cell r="DN3301">
            <v>0</v>
          </cell>
        </row>
        <row r="3302">
          <cell r="E3302">
            <v>0</v>
          </cell>
          <cell r="F3302">
            <v>0</v>
          </cell>
          <cell r="DN3302">
            <v>0</v>
          </cell>
        </row>
        <row r="3303">
          <cell r="E3303">
            <v>0</v>
          </cell>
          <cell r="F3303">
            <v>0</v>
          </cell>
          <cell r="DN3303">
            <v>0</v>
          </cell>
        </row>
        <row r="3304">
          <cell r="E3304">
            <v>0</v>
          </cell>
          <cell r="F3304">
            <v>0</v>
          </cell>
          <cell r="DN3304">
            <v>0</v>
          </cell>
        </row>
        <row r="3305">
          <cell r="E3305">
            <v>0</v>
          </cell>
          <cell r="F3305">
            <v>0</v>
          </cell>
          <cell r="DN3305">
            <v>0</v>
          </cell>
        </row>
        <row r="3306">
          <cell r="E3306">
            <v>0</v>
          </cell>
          <cell r="F3306">
            <v>0</v>
          </cell>
          <cell r="DN3306">
            <v>0</v>
          </cell>
        </row>
        <row r="3307">
          <cell r="E3307">
            <v>0</v>
          </cell>
          <cell r="F3307">
            <v>0</v>
          </cell>
          <cell r="DN3307">
            <v>0</v>
          </cell>
        </row>
        <row r="3308">
          <cell r="E3308">
            <v>0</v>
          </cell>
          <cell r="F3308">
            <v>0</v>
          </cell>
          <cell r="DN3308">
            <v>0</v>
          </cell>
        </row>
        <row r="3309">
          <cell r="E3309">
            <v>0</v>
          </cell>
          <cell r="F3309">
            <v>0</v>
          </cell>
          <cell r="DN3309">
            <v>0</v>
          </cell>
        </row>
        <row r="3310">
          <cell r="E3310">
            <v>0</v>
          </cell>
          <cell r="F3310">
            <v>0</v>
          </cell>
          <cell r="DN3310">
            <v>0</v>
          </cell>
        </row>
        <row r="3311">
          <cell r="E3311">
            <v>0</v>
          </cell>
          <cell r="F3311">
            <v>0</v>
          </cell>
          <cell r="DN3311">
            <v>0</v>
          </cell>
        </row>
        <row r="3312">
          <cell r="E3312">
            <v>0</v>
          </cell>
          <cell r="F3312">
            <v>0</v>
          </cell>
          <cell r="DN3312">
            <v>0</v>
          </cell>
        </row>
        <row r="3313">
          <cell r="E3313">
            <v>0</v>
          </cell>
          <cell r="F3313">
            <v>0</v>
          </cell>
          <cell r="DN3313">
            <v>0</v>
          </cell>
        </row>
        <row r="3314">
          <cell r="E3314">
            <v>0</v>
          </cell>
          <cell r="F3314">
            <v>0</v>
          </cell>
          <cell r="DN3314">
            <v>0</v>
          </cell>
        </row>
        <row r="3315">
          <cell r="E3315">
            <v>0</v>
          </cell>
          <cell r="F3315">
            <v>0</v>
          </cell>
          <cell r="DN3315">
            <v>0</v>
          </cell>
        </row>
        <row r="3316">
          <cell r="E3316">
            <v>0</v>
          </cell>
          <cell r="F3316">
            <v>0</v>
          </cell>
          <cell r="DN3316">
            <v>0</v>
          </cell>
        </row>
        <row r="3317">
          <cell r="E3317">
            <v>0</v>
          </cell>
          <cell r="F3317">
            <v>0</v>
          </cell>
          <cell r="DN3317">
            <v>0</v>
          </cell>
        </row>
        <row r="3318">
          <cell r="E3318">
            <v>0</v>
          </cell>
          <cell r="F3318">
            <v>0</v>
          </cell>
          <cell r="DN3318">
            <v>0</v>
          </cell>
        </row>
        <row r="3319">
          <cell r="E3319">
            <v>0</v>
          </cell>
          <cell r="F3319">
            <v>0</v>
          </cell>
          <cell r="DN3319">
            <v>0</v>
          </cell>
        </row>
        <row r="3320">
          <cell r="E3320">
            <v>0</v>
          </cell>
          <cell r="F3320">
            <v>0</v>
          </cell>
          <cell r="DN3320">
            <v>0</v>
          </cell>
        </row>
        <row r="3321">
          <cell r="E3321">
            <v>0</v>
          </cell>
          <cell r="F3321">
            <v>0</v>
          </cell>
          <cell r="DN3321">
            <v>0</v>
          </cell>
        </row>
        <row r="3322">
          <cell r="E3322">
            <v>0</v>
          </cell>
          <cell r="F3322">
            <v>0</v>
          </cell>
          <cell r="DN3322">
            <v>0</v>
          </cell>
        </row>
        <row r="3323">
          <cell r="E3323">
            <v>0</v>
          </cell>
          <cell r="F3323">
            <v>0</v>
          </cell>
          <cell r="DN3323">
            <v>0</v>
          </cell>
        </row>
        <row r="3324">
          <cell r="E3324">
            <v>0</v>
          </cell>
          <cell r="F3324">
            <v>0</v>
          </cell>
          <cell r="DN3324">
            <v>0</v>
          </cell>
        </row>
        <row r="3325">
          <cell r="E3325">
            <v>0</v>
          </cell>
          <cell r="F3325">
            <v>0</v>
          </cell>
          <cell r="DN3325">
            <v>0</v>
          </cell>
        </row>
        <row r="3326">
          <cell r="E3326">
            <v>0</v>
          </cell>
          <cell r="F3326">
            <v>0</v>
          </cell>
          <cell r="DN3326">
            <v>0</v>
          </cell>
        </row>
        <row r="3327">
          <cell r="E3327">
            <v>0</v>
          </cell>
          <cell r="F3327">
            <v>0</v>
          </cell>
          <cell r="DN3327">
            <v>0</v>
          </cell>
        </row>
        <row r="3328">
          <cell r="E3328">
            <v>0</v>
          </cell>
          <cell r="F3328">
            <v>0</v>
          </cell>
          <cell r="DN3328">
            <v>0</v>
          </cell>
        </row>
        <row r="3329">
          <cell r="E3329">
            <v>0</v>
          </cell>
          <cell r="F3329">
            <v>0</v>
          </cell>
          <cell r="DN3329">
            <v>0</v>
          </cell>
        </row>
        <row r="3330">
          <cell r="E3330">
            <v>0</v>
          </cell>
          <cell r="F3330">
            <v>0</v>
          </cell>
          <cell r="DN3330">
            <v>0</v>
          </cell>
        </row>
        <row r="3331">
          <cell r="E3331">
            <v>0</v>
          </cell>
          <cell r="F3331">
            <v>0</v>
          </cell>
          <cell r="DN3331">
            <v>0</v>
          </cell>
        </row>
        <row r="3332">
          <cell r="E3332">
            <v>0</v>
          </cell>
          <cell r="F3332">
            <v>0</v>
          </cell>
          <cell r="DN3332">
            <v>0</v>
          </cell>
        </row>
        <row r="3333">
          <cell r="E3333">
            <v>0</v>
          </cell>
          <cell r="F3333">
            <v>0</v>
          </cell>
          <cell r="DN3333">
            <v>0</v>
          </cell>
        </row>
        <row r="3334">
          <cell r="E3334">
            <v>0</v>
          </cell>
          <cell r="F3334">
            <v>0</v>
          </cell>
          <cell r="DN3334">
            <v>0</v>
          </cell>
        </row>
        <row r="3335">
          <cell r="E3335">
            <v>0</v>
          </cell>
          <cell r="F3335">
            <v>0</v>
          </cell>
          <cell r="DN3335">
            <v>0</v>
          </cell>
        </row>
        <row r="3336">
          <cell r="E3336">
            <v>0</v>
          </cell>
          <cell r="F3336">
            <v>0</v>
          </cell>
          <cell r="DN3336">
            <v>0</v>
          </cell>
        </row>
        <row r="3337">
          <cell r="E3337">
            <v>0</v>
          </cell>
          <cell r="F3337">
            <v>0</v>
          </cell>
          <cell r="DN3337">
            <v>0</v>
          </cell>
        </row>
        <row r="3338">
          <cell r="E3338">
            <v>0</v>
          </cell>
          <cell r="F3338">
            <v>0</v>
          </cell>
          <cell r="DN3338">
            <v>0</v>
          </cell>
        </row>
        <row r="3339">
          <cell r="E3339">
            <v>0</v>
          </cell>
          <cell r="F3339">
            <v>0</v>
          </cell>
          <cell r="DN3339">
            <v>0</v>
          </cell>
        </row>
        <row r="3340">
          <cell r="E3340">
            <v>0</v>
          </cell>
          <cell r="F3340">
            <v>0</v>
          </cell>
          <cell r="DN3340">
            <v>0</v>
          </cell>
        </row>
        <row r="3341">
          <cell r="E3341">
            <v>0</v>
          </cell>
          <cell r="F3341">
            <v>0</v>
          </cell>
          <cell r="DN3341">
            <v>0</v>
          </cell>
        </row>
        <row r="3342">
          <cell r="E3342">
            <v>0</v>
          </cell>
          <cell r="F3342">
            <v>0</v>
          </cell>
          <cell r="DN3342">
            <v>0</v>
          </cell>
        </row>
        <row r="3343">
          <cell r="E3343">
            <v>0</v>
          </cell>
          <cell r="F3343">
            <v>0</v>
          </cell>
          <cell r="DN3343">
            <v>0</v>
          </cell>
        </row>
        <row r="3344">
          <cell r="E3344">
            <v>0</v>
          </cell>
          <cell r="F3344">
            <v>0</v>
          </cell>
          <cell r="DN3344">
            <v>0</v>
          </cell>
        </row>
        <row r="3345">
          <cell r="E3345">
            <v>0</v>
          </cell>
          <cell r="F3345">
            <v>0</v>
          </cell>
          <cell r="DN3345">
            <v>0</v>
          </cell>
        </row>
        <row r="3346">
          <cell r="E3346">
            <v>0</v>
          </cell>
          <cell r="F3346">
            <v>0</v>
          </cell>
          <cell r="DN3346">
            <v>0</v>
          </cell>
        </row>
        <row r="3347">
          <cell r="E3347">
            <v>0</v>
          </cell>
          <cell r="F3347">
            <v>0</v>
          </cell>
          <cell r="DN3347">
            <v>0</v>
          </cell>
        </row>
        <row r="3348">
          <cell r="E3348">
            <v>0</v>
          </cell>
          <cell r="F3348">
            <v>0</v>
          </cell>
          <cell r="DN3348">
            <v>0</v>
          </cell>
        </row>
        <row r="3349">
          <cell r="E3349">
            <v>0</v>
          </cell>
          <cell r="F3349">
            <v>0</v>
          </cell>
          <cell r="DN3349">
            <v>0</v>
          </cell>
        </row>
        <row r="3350">
          <cell r="E3350">
            <v>0</v>
          </cell>
          <cell r="F3350">
            <v>0</v>
          </cell>
          <cell r="DN3350">
            <v>0</v>
          </cell>
        </row>
        <row r="3351">
          <cell r="E3351">
            <v>0</v>
          </cell>
          <cell r="F3351">
            <v>0</v>
          </cell>
          <cell r="DN3351">
            <v>0</v>
          </cell>
        </row>
        <row r="3352">
          <cell r="E3352">
            <v>0</v>
          </cell>
          <cell r="F3352">
            <v>0</v>
          </cell>
          <cell r="DN3352">
            <v>0</v>
          </cell>
        </row>
        <row r="3353">
          <cell r="E3353">
            <v>0</v>
          </cell>
          <cell r="F3353">
            <v>0</v>
          </cell>
          <cell r="DN3353">
            <v>0</v>
          </cell>
        </row>
        <row r="3354">
          <cell r="E3354">
            <v>0</v>
          </cell>
          <cell r="F3354">
            <v>0</v>
          </cell>
          <cell r="DN3354">
            <v>0</v>
          </cell>
        </row>
        <row r="3355">
          <cell r="E3355">
            <v>0</v>
          </cell>
          <cell r="F3355">
            <v>0</v>
          </cell>
          <cell r="DN3355">
            <v>0</v>
          </cell>
        </row>
        <row r="3356">
          <cell r="E3356">
            <v>0</v>
          </cell>
          <cell r="F3356">
            <v>0</v>
          </cell>
          <cell r="DN3356">
            <v>0</v>
          </cell>
        </row>
        <row r="3357">
          <cell r="E3357">
            <v>0</v>
          </cell>
          <cell r="F3357">
            <v>0</v>
          </cell>
          <cell r="DN3357">
            <v>0</v>
          </cell>
        </row>
        <row r="3358">
          <cell r="E3358">
            <v>0</v>
          </cell>
          <cell r="F3358">
            <v>0</v>
          </cell>
          <cell r="DN3358">
            <v>0</v>
          </cell>
        </row>
        <row r="3359">
          <cell r="E3359">
            <v>0</v>
          </cell>
          <cell r="F3359">
            <v>0</v>
          </cell>
          <cell r="DN3359">
            <v>0</v>
          </cell>
        </row>
        <row r="3360">
          <cell r="E3360">
            <v>0</v>
          </cell>
          <cell r="F3360">
            <v>0</v>
          </cell>
          <cell r="DN3360">
            <v>0</v>
          </cell>
        </row>
        <row r="3361">
          <cell r="E3361">
            <v>0</v>
          </cell>
          <cell r="F3361">
            <v>0</v>
          </cell>
          <cell r="DN3361">
            <v>0</v>
          </cell>
        </row>
        <row r="3362">
          <cell r="E3362">
            <v>0</v>
          </cell>
          <cell r="F3362">
            <v>0</v>
          </cell>
          <cell r="DN3362">
            <v>0</v>
          </cell>
        </row>
        <row r="3363">
          <cell r="E3363">
            <v>0</v>
          </cell>
          <cell r="F3363">
            <v>0</v>
          </cell>
          <cell r="DN3363">
            <v>0</v>
          </cell>
        </row>
        <row r="3364">
          <cell r="E3364">
            <v>0</v>
          </cell>
          <cell r="F3364">
            <v>0</v>
          </cell>
          <cell r="DN3364">
            <v>0</v>
          </cell>
        </row>
        <row r="3365">
          <cell r="E3365">
            <v>0</v>
          </cell>
          <cell r="F3365">
            <v>0</v>
          </cell>
          <cell r="DN3365">
            <v>0</v>
          </cell>
        </row>
        <row r="3366">
          <cell r="E3366">
            <v>0</v>
          </cell>
          <cell r="F3366">
            <v>0</v>
          </cell>
          <cell r="DN3366">
            <v>0</v>
          </cell>
        </row>
        <row r="3367">
          <cell r="E3367">
            <v>0</v>
          </cell>
          <cell r="F3367">
            <v>0</v>
          </cell>
          <cell r="DN3367">
            <v>0</v>
          </cell>
        </row>
        <row r="3368">
          <cell r="E3368">
            <v>0</v>
          </cell>
          <cell r="F3368">
            <v>0</v>
          </cell>
          <cell r="DN3368">
            <v>0</v>
          </cell>
        </row>
        <row r="3369">
          <cell r="E3369">
            <v>0</v>
          </cell>
          <cell r="F3369">
            <v>0</v>
          </cell>
          <cell r="DN3369">
            <v>0</v>
          </cell>
        </row>
        <row r="3370">
          <cell r="E3370">
            <v>0</v>
          </cell>
          <cell r="F3370">
            <v>0</v>
          </cell>
          <cell r="DN3370">
            <v>0</v>
          </cell>
        </row>
        <row r="3371">
          <cell r="E3371">
            <v>0</v>
          </cell>
          <cell r="F3371">
            <v>0</v>
          </cell>
          <cell r="DN3371">
            <v>0</v>
          </cell>
        </row>
        <row r="3372">
          <cell r="E3372">
            <v>0</v>
          </cell>
          <cell r="F3372">
            <v>0</v>
          </cell>
          <cell r="DN3372">
            <v>0</v>
          </cell>
        </row>
        <row r="3373">
          <cell r="E3373">
            <v>0</v>
          </cell>
          <cell r="F3373">
            <v>0</v>
          </cell>
          <cell r="DN3373">
            <v>0</v>
          </cell>
        </row>
        <row r="3374">
          <cell r="E3374">
            <v>0</v>
          </cell>
          <cell r="F3374">
            <v>0</v>
          </cell>
          <cell r="DN3374">
            <v>0</v>
          </cell>
        </row>
        <row r="3375">
          <cell r="E3375">
            <v>0</v>
          </cell>
          <cell r="F3375">
            <v>0</v>
          </cell>
          <cell r="DN3375">
            <v>0</v>
          </cell>
        </row>
        <row r="3376">
          <cell r="E3376">
            <v>0</v>
          </cell>
          <cell r="F3376">
            <v>0</v>
          </cell>
          <cell r="DN3376">
            <v>0</v>
          </cell>
        </row>
        <row r="3377">
          <cell r="E3377">
            <v>0</v>
          </cell>
          <cell r="F3377">
            <v>0</v>
          </cell>
          <cell r="DN3377">
            <v>0</v>
          </cell>
        </row>
        <row r="3378">
          <cell r="E3378">
            <v>0</v>
          </cell>
          <cell r="F3378">
            <v>0</v>
          </cell>
          <cell r="DN3378">
            <v>0</v>
          </cell>
        </row>
        <row r="3379">
          <cell r="E3379">
            <v>0</v>
          </cell>
          <cell r="F3379">
            <v>0</v>
          </cell>
          <cell r="DN3379">
            <v>0</v>
          </cell>
        </row>
        <row r="3380">
          <cell r="E3380">
            <v>0</v>
          </cell>
          <cell r="F3380">
            <v>0</v>
          </cell>
          <cell r="DN3380">
            <v>0</v>
          </cell>
        </row>
        <row r="3381">
          <cell r="E3381">
            <v>0</v>
          </cell>
          <cell r="F3381">
            <v>0</v>
          </cell>
          <cell r="DN3381">
            <v>0</v>
          </cell>
        </row>
        <row r="3382">
          <cell r="E3382">
            <v>0</v>
          </cell>
          <cell r="F3382">
            <v>0</v>
          </cell>
          <cell r="DN3382">
            <v>0</v>
          </cell>
        </row>
        <row r="3383">
          <cell r="E3383">
            <v>0</v>
          </cell>
          <cell r="F3383">
            <v>0</v>
          </cell>
          <cell r="DN3383">
            <v>0</v>
          </cell>
        </row>
        <row r="3384">
          <cell r="E3384">
            <v>0</v>
          </cell>
          <cell r="F3384">
            <v>0</v>
          </cell>
          <cell r="DN3384">
            <v>0</v>
          </cell>
        </row>
        <row r="3385">
          <cell r="E3385">
            <v>0</v>
          </cell>
          <cell r="F3385">
            <v>0</v>
          </cell>
          <cell r="DN3385">
            <v>0</v>
          </cell>
        </row>
        <row r="3386">
          <cell r="E3386">
            <v>0</v>
          </cell>
          <cell r="F3386">
            <v>0</v>
          </cell>
          <cell r="DN3386">
            <v>0</v>
          </cell>
        </row>
        <row r="3387">
          <cell r="E3387">
            <v>0</v>
          </cell>
          <cell r="F3387">
            <v>0</v>
          </cell>
          <cell r="DN3387">
            <v>0</v>
          </cell>
        </row>
        <row r="3388">
          <cell r="E3388">
            <v>0</v>
          </cell>
          <cell r="F3388">
            <v>0</v>
          </cell>
          <cell r="DN3388">
            <v>0</v>
          </cell>
        </row>
        <row r="3389">
          <cell r="E3389">
            <v>0</v>
          </cell>
          <cell r="F3389">
            <v>0</v>
          </cell>
          <cell r="DN3389">
            <v>0</v>
          </cell>
        </row>
        <row r="3390">
          <cell r="E3390">
            <v>0</v>
          </cell>
          <cell r="F3390">
            <v>0</v>
          </cell>
          <cell r="DN3390">
            <v>0</v>
          </cell>
        </row>
        <row r="3391">
          <cell r="E3391">
            <v>0</v>
          </cell>
          <cell r="F3391">
            <v>0</v>
          </cell>
          <cell r="DN3391">
            <v>0</v>
          </cell>
        </row>
        <row r="3392">
          <cell r="E3392">
            <v>0</v>
          </cell>
          <cell r="F3392">
            <v>0</v>
          </cell>
          <cell r="DN3392">
            <v>0</v>
          </cell>
        </row>
        <row r="3393">
          <cell r="E3393">
            <v>0</v>
          </cell>
          <cell r="F3393">
            <v>0</v>
          </cell>
          <cell r="DN3393">
            <v>0</v>
          </cell>
        </row>
        <row r="3394">
          <cell r="E3394">
            <v>0</v>
          </cell>
          <cell r="F3394">
            <v>0</v>
          </cell>
          <cell r="DN3394">
            <v>0</v>
          </cell>
        </row>
        <row r="3395">
          <cell r="E3395">
            <v>0</v>
          </cell>
          <cell r="F3395">
            <v>0</v>
          </cell>
          <cell r="DN3395">
            <v>0</v>
          </cell>
        </row>
        <row r="3396">
          <cell r="E3396">
            <v>0</v>
          </cell>
          <cell r="F3396">
            <v>0</v>
          </cell>
          <cell r="DN3396">
            <v>0</v>
          </cell>
        </row>
        <row r="3397">
          <cell r="E3397">
            <v>0</v>
          </cell>
          <cell r="F3397">
            <v>0</v>
          </cell>
          <cell r="DN3397">
            <v>0</v>
          </cell>
        </row>
        <row r="3398">
          <cell r="E3398">
            <v>0</v>
          </cell>
          <cell r="F3398">
            <v>0</v>
          </cell>
          <cell r="DN3398">
            <v>0</v>
          </cell>
        </row>
        <row r="3399">
          <cell r="E3399">
            <v>0</v>
          </cell>
          <cell r="F3399">
            <v>0</v>
          </cell>
          <cell r="DN3399">
            <v>0</v>
          </cell>
        </row>
        <row r="3400">
          <cell r="E3400">
            <v>0</v>
          </cell>
          <cell r="F3400">
            <v>0</v>
          </cell>
          <cell r="DN3400">
            <v>0</v>
          </cell>
        </row>
        <row r="3401">
          <cell r="E3401">
            <v>0</v>
          </cell>
          <cell r="F3401">
            <v>0</v>
          </cell>
          <cell r="DN3401">
            <v>0</v>
          </cell>
        </row>
        <row r="3402">
          <cell r="E3402">
            <v>0</v>
          </cell>
          <cell r="F3402">
            <v>0</v>
          </cell>
          <cell r="DN3402">
            <v>0</v>
          </cell>
        </row>
        <row r="3403">
          <cell r="E3403">
            <v>0</v>
          </cell>
          <cell r="F3403">
            <v>0</v>
          </cell>
          <cell r="DN3403">
            <v>0</v>
          </cell>
        </row>
        <row r="3404">
          <cell r="E3404">
            <v>0</v>
          </cell>
          <cell r="F3404">
            <v>0</v>
          </cell>
          <cell r="DN3404">
            <v>0</v>
          </cell>
        </row>
        <row r="3405">
          <cell r="E3405">
            <v>0</v>
          </cell>
          <cell r="F3405">
            <v>0</v>
          </cell>
          <cell r="DN3405">
            <v>0</v>
          </cell>
        </row>
        <row r="3406">
          <cell r="E3406">
            <v>0</v>
          </cell>
          <cell r="F3406">
            <v>0</v>
          </cell>
          <cell r="DN3406">
            <v>0</v>
          </cell>
        </row>
        <row r="3407">
          <cell r="E3407">
            <v>0</v>
          </cell>
          <cell r="F3407">
            <v>0</v>
          </cell>
          <cell r="DN3407">
            <v>0</v>
          </cell>
        </row>
        <row r="3408">
          <cell r="E3408">
            <v>0</v>
          </cell>
          <cell r="F3408">
            <v>0</v>
          </cell>
          <cell r="DN3408">
            <v>0</v>
          </cell>
        </row>
        <row r="3409">
          <cell r="E3409">
            <v>0</v>
          </cell>
          <cell r="F3409">
            <v>0</v>
          </cell>
          <cell r="DN3409">
            <v>0</v>
          </cell>
        </row>
        <row r="3410">
          <cell r="E3410">
            <v>0</v>
          </cell>
          <cell r="F3410">
            <v>0</v>
          </cell>
          <cell r="DN3410">
            <v>0</v>
          </cell>
        </row>
        <row r="3411">
          <cell r="E3411">
            <v>0</v>
          </cell>
          <cell r="F3411">
            <v>0</v>
          </cell>
          <cell r="DN3411">
            <v>0</v>
          </cell>
        </row>
        <row r="3412">
          <cell r="E3412">
            <v>0</v>
          </cell>
          <cell r="F3412">
            <v>0</v>
          </cell>
          <cell r="DN3412">
            <v>0</v>
          </cell>
        </row>
        <row r="3413">
          <cell r="E3413">
            <v>0</v>
          </cell>
          <cell r="F3413">
            <v>0</v>
          </cell>
          <cell r="DN3413">
            <v>0</v>
          </cell>
        </row>
        <row r="3414">
          <cell r="E3414">
            <v>0</v>
          </cell>
          <cell r="F3414">
            <v>0</v>
          </cell>
          <cell r="DN3414">
            <v>0</v>
          </cell>
        </row>
        <row r="3415">
          <cell r="E3415">
            <v>0</v>
          </cell>
          <cell r="F3415">
            <v>0</v>
          </cell>
          <cell r="DN3415">
            <v>0</v>
          </cell>
        </row>
        <row r="3416">
          <cell r="E3416">
            <v>0</v>
          </cell>
          <cell r="F3416">
            <v>0</v>
          </cell>
          <cell r="DN3416">
            <v>0</v>
          </cell>
        </row>
        <row r="3417">
          <cell r="E3417">
            <v>0</v>
          </cell>
          <cell r="F3417">
            <v>0</v>
          </cell>
          <cell r="DN3417">
            <v>0</v>
          </cell>
        </row>
        <row r="3418">
          <cell r="E3418">
            <v>0</v>
          </cell>
          <cell r="F3418">
            <v>0</v>
          </cell>
          <cell r="DN3418">
            <v>0</v>
          </cell>
        </row>
        <row r="3419">
          <cell r="E3419">
            <v>0</v>
          </cell>
          <cell r="F3419">
            <v>0</v>
          </cell>
          <cell r="DN3419">
            <v>0</v>
          </cell>
        </row>
        <row r="3420">
          <cell r="E3420">
            <v>0</v>
          </cell>
          <cell r="F3420">
            <v>0</v>
          </cell>
          <cell r="DN3420">
            <v>0</v>
          </cell>
        </row>
        <row r="3421">
          <cell r="E3421">
            <v>0</v>
          </cell>
          <cell r="F3421">
            <v>0</v>
          </cell>
          <cell r="DN3421">
            <v>0</v>
          </cell>
        </row>
        <row r="3422">
          <cell r="E3422">
            <v>0</v>
          </cell>
          <cell r="F3422">
            <v>0</v>
          </cell>
          <cell r="DN3422">
            <v>0</v>
          </cell>
        </row>
        <row r="3423">
          <cell r="E3423">
            <v>0</v>
          </cell>
          <cell r="F3423">
            <v>0</v>
          </cell>
          <cell r="DN3423">
            <v>0</v>
          </cell>
        </row>
        <row r="3424">
          <cell r="E3424">
            <v>0</v>
          </cell>
          <cell r="F3424">
            <v>0</v>
          </cell>
          <cell r="DN3424">
            <v>0</v>
          </cell>
        </row>
        <row r="3425">
          <cell r="E3425">
            <v>0</v>
          </cell>
          <cell r="F3425">
            <v>0</v>
          </cell>
          <cell r="DN3425">
            <v>0</v>
          </cell>
        </row>
        <row r="3426">
          <cell r="E3426">
            <v>0</v>
          </cell>
          <cell r="F3426">
            <v>0</v>
          </cell>
          <cell r="DN3426">
            <v>0</v>
          </cell>
        </row>
        <row r="3427">
          <cell r="E3427">
            <v>0</v>
          </cell>
          <cell r="F3427">
            <v>0</v>
          </cell>
          <cell r="DN3427">
            <v>0</v>
          </cell>
        </row>
        <row r="3428">
          <cell r="E3428">
            <v>0</v>
          </cell>
          <cell r="F3428">
            <v>0</v>
          </cell>
          <cell r="DN3428">
            <v>0</v>
          </cell>
        </row>
        <row r="3429">
          <cell r="E3429">
            <v>0</v>
          </cell>
          <cell r="F3429">
            <v>0</v>
          </cell>
          <cell r="DN3429">
            <v>0</v>
          </cell>
        </row>
        <row r="3430">
          <cell r="E3430">
            <v>0</v>
          </cell>
          <cell r="F3430">
            <v>0</v>
          </cell>
          <cell r="DN3430">
            <v>0</v>
          </cell>
        </row>
        <row r="3431">
          <cell r="E3431">
            <v>0</v>
          </cell>
          <cell r="F3431">
            <v>0</v>
          </cell>
          <cell r="DN3431">
            <v>0</v>
          </cell>
        </row>
        <row r="3432">
          <cell r="E3432">
            <v>0</v>
          </cell>
          <cell r="F3432">
            <v>0</v>
          </cell>
          <cell r="DN3432">
            <v>0</v>
          </cell>
        </row>
        <row r="3433">
          <cell r="E3433">
            <v>0</v>
          </cell>
          <cell r="F3433">
            <v>0</v>
          </cell>
          <cell r="DN3433">
            <v>0</v>
          </cell>
        </row>
        <row r="3434">
          <cell r="E3434">
            <v>0</v>
          </cell>
          <cell r="F3434">
            <v>0</v>
          </cell>
          <cell r="DN3434">
            <v>0</v>
          </cell>
        </row>
        <row r="3435">
          <cell r="E3435">
            <v>0</v>
          </cell>
          <cell r="F3435">
            <v>0</v>
          </cell>
          <cell r="DN3435">
            <v>0</v>
          </cell>
        </row>
        <row r="3436">
          <cell r="E3436">
            <v>0</v>
          </cell>
          <cell r="F3436">
            <v>0</v>
          </cell>
          <cell r="DN3436">
            <v>0</v>
          </cell>
        </row>
        <row r="3437">
          <cell r="E3437">
            <v>0</v>
          </cell>
          <cell r="F3437">
            <v>0</v>
          </cell>
          <cell r="DN3437">
            <v>0</v>
          </cell>
        </row>
        <row r="3438">
          <cell r="E3438">
            <v>0</v>
          </cell>
          <cell r="F3438">
            <v>0</v>
          </cell>
          <cell r="DN3438">
            <v>0</v>
          </cell>
        </row>
        <row r="3439">
          <cell r="E3439">
            <v>0</v>
          </cell>
          <cell r="F3439">
            <v>0</v>
          </cell>
          <cell r="DN3439">
            <v>0</v>
          </cell>
        </row>
        <row r="3440">
          <cell r="E3440">
            <v>0</v>
          </cell>
          <cell r="F3440">
            <v>0</v>
          </cell>
          <cell r="DN3440">
            <v>0</v>
          </cell>
        </row>
        <row r="3441">
          <cell r="E3441">
            <v>0</v>
          </cell>
          <cell r="F3441">
            <v>0</v>
          </cell>
          <cell r="DN3441">
            <v>0</v>
          </cell>
        </row>
        <row r="3442">
          <cell r="E3442">
            <v>0</v>
          </cell>
          <cell r="F3442">
            <v>0</v>
          </cell>
          <cell r="DN3442">
            <v>0</v>
          </cell>
        </row>
        <row r="3443">
          <cell r="E3443">
            <v>0</v>
          </cell>
          <cell r="F3443">
            <v>0</v>
          </cell>
          <cell r="DN3443">
            <v>0</v>
          </cell>
        </row>
        <row r="3444">
          <cell r="E3444">
            <v>0</v>
          </cell>
          <cell r="F3444">
            <v>0</v>
          </cell>
          <cell r="DN3444">
            <v>0</v>
          </cell>
        </row>
        <row r="3445">
          <cell r="E3445">
            <v>0</v>
          </cell>
          <cell r="F3445">
            <v>0</v>
          </cell>
          <cell r="DN3445">
            <v>0</v>
          </cell>
        </row>
        <row r="3446">
          <cell r="E3446">
            <v>0</v>
          </cell>
          <cell r="F3446">
            <v>0</v>
          </cell>
          <cell r="DN3446">
            <v>0</v>
          </cell>
        </row>
        <row r="3447">
          <cell r="E3447">
            <v>0</v>
          </cell>
          <cell r="F3447">
            <v>0</v>
          </cell>
          <cell r="DN3447">
            <v>0</v>
          </cell>
        </row>
        <row r="3448">
          <cell r="E3448">
            <v>0</v>
          </cell>
          <cell r="F3448">
            <v>0</v>
          </cell>
          <cell r="DN3448">
            <v>0</v>
          </cell>
        </row>
        <row r="3449">
          <cell r="E3449">
            <v>0</v>
          </cell>
          <cell r="F3449">
            <v>0</v>
          </cell>
          <cell r="DN3449">
            <v>0</v>
          </cell>
        </row>
        <row r="3450">
          <cell r="E3450">
            <v>0</v>
          </cell>
          <cell r="F3450">
            <v>0</v>
          </cell>
          <cell r="DN3450">
            <v>0</v>
          </cell>
        </row>
        <row r="3451">
          <cell r="E3451">
            <v>0</v>
          </cell>
          <cell r="F3451">
            <v>0</v>
          </cell>
          <cell r="DN3451">
            <v>0</v>
          </cell>
        </row>
        <row r="3452">
          <cell r="E3452">
            <v>0</v>
          </cell>
          <cell r="F3452">
            <v>0</v>
          </cell>
          <cell r="DN3452">
            <v>0</v>
          </cell>
        </row>
        <row r="3453">
          <cell r="E3453">
            <v>0</v>
          </cell>
          <cell r="F3453">
            <v>0</v>
          </cell>
          <cell r="DN3453">
            <v>0</v>
          </cell>
        </row>
        <row r="3454">
          <cell r="E3454">
            <v>0</v>
          </cell>
          <cell r="F3454">
            <v>0</v>
          </cell>
          <cell r="DN3454">
            <v>0</v>
          </cell>
        </row>
        <row r="3455">
          <cell r="E3455">
            <v>0</v>
          </cell>
          <cell r="F3455">
            <v>0</v>
          </cell>
          <cell r="DN3455">
            <v>0</v>
          </cell>
        </row>
        <row r="3456">
          <cell r="E3456">
            <v>0</v>
          </cell>
          <cell r="F3456">
            <v>0</v>
          </cell>
          <cell r="DN3456">
            <v>0</v>
          </cell>
        </row>
        <row r="3457">
          <cell r="E3457">
            <v>0</v>
          </cell>
          <cell r="F3457">
            <v>0</v>
          </cell>
          <cell r="DN3457">
            <v>0</v>
          </cell>
        </row>
        <row r="3458">
          <cell r="E3458">
            <v>0</v>
          </cell>
          <cell r="F3458">
            <v>0</v>
          </cell>
          <cell r="DN3458">
            <v>0</v>
          </cell>
        </row>
        <row r="3459">
          <cell r="E3459">
            <v>0</v>
          </cell>
          <cell r="F3459">
            <v>0</v>
          </cell>
          <cell r="DN3459">
            <v>0</v>
          </cell>
        </row>
        <row r="3460">
          <cell r="E3460">
            <v>0</v>
          </cell>
          <cell r="F3460">
            <v>0</v>
          </cell>
          <cell r="DN3460">
            <v>0</v>
          </cell>
        </row>
        <row r="3461">
          <cell r="E3461">
            <v>0</v>
          </cell>
          <cell r="F3461">
            <v>0</v>
          </cell>
          <cell r="DN3461">
            <v>0</v>
          </cell>
        </row>
        <row r="3462">
          <cell r="E3462">
            <v>0</v>
          </cell>
          <cell r="F3462">
            <v>0</v>
          </cell>
          <cell r="DN3462">
            <v>0</v>
          </cell>
        </row>
        <row r="3463">
          <cell r="E3463">
            <v>0</v>
          </cell>
          <cell r="F3463">
            <v>0</v>
          </cell>
          <cell r="DN3463">
            <v>0</v>
          </cell>
        </row>
        <row r="3464">
          <cell r="E3464">
            <v>0</v>
          </cell>
          <cell r="F3464">
            <v>0</v>
          </cell>
          <cell r="DN3464">
            <v>0</v>
          </cell>
        </row>
        <row r="3465">
          <cell r="E3465">
            <v>0</v>
          </cell>
          <cell r="F3465">
            <v>0</v>
          </cell>
          <cell r="DN3465">
            <v>0</v>
          </cell>
        </row>
        <row r="3466">
          <cell r="E3466">
            <v>0</v>
          </cell>
          <cell r="F3466">
            <v>0</v>
          </cell>
          <cell r="DN3466">
            <v>0</v>
          </cell>
        </row>
        <row r="3467">
          <cell r="E3467">
            <v>0</v>
          </cell>
          <cell r="F3467">
            <v>0</v>
          </cell>
          <cell r="DN3467">
            <v>0</v>
          </cell>
        </row>
        <row r="3468">
          <cell r="E3468">
            <v>0</v>
          </cell>
          <cell r="F3468">
            <v>0</v>
          </cell>
          <cell r="DN3468">
            <v>0</v>
          </cell>
        </row>
        <row r="3469">
          <cell r="E3469">
            <v>0</v>
          </cell>
          <cell r="F3469">
            <v>0</v>
          </cell>
          <cell r="DN3469">
            <v>0</v>
          </cell>
        </row>
        <row r="3470">
          <cell r="E3470">
            <v>0</v>
          </cell>
          <cell r="F3470">
            <v>0</v>
          </cell>
          <cell r="DN3470">
            <v>0</v>
          </cell>
        </row>
        <row r="3471">
          <cell r="E3471">
            <v>0</v>
          </cell>
          <cell r="F3471">
            <v>0</v>
          </cell>
          <cell r="DN3471">
            <v>0</v>
          </cell>
        </row>
        <row r="3472">
          <cell r="E3472">
            <v>0</v>
          </cell>
          <cell r="F3472">
            <v>0</v>
          </cell>
          <cell r="DN3472">
            <v>0</v>
          </cell>
        </row>
        <row r="3473">
          <cell r="E3473">
            <v>0</v>
          </cell>
          <cell r="F3473">
            <v>0</v>
          </cell>
          <cell r="DN3473">
            <v>0</v>
          </cell>
        </row>
        <row r="3474">
          <cell r="E3474">
            <v>0</v>
          </cell>
          <cell r="F3474">
            <v>0</v>
          </cell>
          <cell r="DN3474">
            <v>0</v>
          </cell>
        </row>
        <row r="3475">
          <cell r="E3475">
            <v>0</v>
          </cell>
          <cell r="F3475">
            <v>0</v>
          </cell>
          <cell r="DN3475">
            <v>0</v>
          </cell>
        </row>
        <row r="3476">
          <cell r="E3476">
            <v>0</v>
          </cell>
          <cell r="F3476">
            <v>0</v>
          </cell>
          <cell r="DN3476">
            <v>0</v>
          </cell>
        </row>
        <row r="3477">
          <cell r="E3477">
            <v>0</v>
          </cell>
          <cell r="F3477">
            <v>0</v>
          </cell>
          <cell r="DN3477">
            <v>0</v>
          </cell>
        </row>
        <row r="3478">
          <cell r="E3478">
            <v>0</v>
          </cell>
          <cell r="F3478">
            <v>0</v>
          </cell>
          <cell r="DN3478">
            <v>0</v>
          </cell>
        </row>
        <row r="3479">
          <cell r="E3479">
            <v>0</v>
          </cell>
          <cell r="F3479">
            <v>0</v>
          </cell>
          <cell r="DN3479">
            <v>0</v>
          </cell>
        </row>
        <row r="3480">
          <cell r="E3480">
            <v>0</v>
          </cell>
          <cell r="F3480">
            <v>0</v>
          </cell>
          <cell r="DN3480">
            <v>0</v>
          </cell>
        </row>
        <row r="3481">
          <cell r="E3481">
            <v>0</v>
          </cell>
          <cell r="F3481">
            <v>0</v>
          </cell>
          <cell r="DN3481">
            <v>0</v>
          </cell>
        </row>
        <row r="3482">
          <cell r="E3482">
            <v>0</v>
          </cell>
          <cell r="F3482">
            <v>0</v>
          </cell>
          <cell r="DN3482">
            <v>0</v>
          </cell>
        </row>
        <row r="3483">
          <cell r="E3483">
            <v>0</v>
          </cell>
          <cell r="F3483">
            <v>0</v>
          </cell>
          <cell r="DN3483">
            <v>0</v>
          </cell>
        </row>
        <row r="3484">
          <cell r="E3484">
            <v>0</v>
          </cell>
          <cell r="F3484">
            <v>0</v>
          </cell>
          <cell r="DN3484">
            <v>0</v>
          </cell>
        </row>
        <row r="3485">
          <cell r="E3485">
            <v>0</v>
          </cell>
          <cell r="F3485">
            <v>0</v>
          </cell>
          <cell r="DN3485">
            <v>0</v>
          </cell>
        </row>
        <row r="3486">
          <cell r="E3486">
            <v>0</v>
          </cell>
          <cell r="F3486">
            <v>0</v>
          </cell>
          <cell r="DN3486">
            <v>0</v>
          </cell>
        </row>
        <row r="3487">
          <cell r="E3487">
            <v>0</v>
          </cell>
          <cell r="F3487">
            <v>0</v>
          </cell>
          <cell r="DN3487">
            <v>0</v>
          </cell>
        </row>
        <row r="3488">
          <cell r="E3488">
            <v>0</v>
          </cell>
          <cell r="F3488">
            <v>0</v>
          </cell>
          <cell r="DN3488">
            <v>0</v>
          </cell>
        </row>
        <row r="3489">
          <cell r="E3489">
            <v>0</v>
          </cell>
          <cell r="F3489">
            <v>0</v>
          </cell>
          <cell r="DN3489">
            <v>0</v>
          </cell>
        </row>
        <row r="3490">
          <cell r="E3490">
            <v>0</v>
          </cell>
          <cell r="F3490">
            <v>0</v>
          </cell>
          <cell r="DN3490">
            <v>0</v>
          </cell>
        </row>
        <row r="3491">
          <cell r="E3491">
            <v>0</v>
          </cell>
          <cell r="F3491">
            <v>0</v>
          </cell>
          <cell r="DN3491">
            <v>0</v>
          </cell>
        </row>
        <row r="3492">
          <cell r="E3492">
            <v>0</v>
          </cell>
          <cell r="F3492">
            <v>0</v>
          </cell>
          <cell r="DN3492">
            <v>0</v>
          </cell>
        </row>
        <row r="3493">
          <cell r="E3493">
            <v>0</v>
          </cell>
          <cell r="F3493">
            <v>0</v>
          </cell>
          <cell r="DN3493">
            <v>0</v>
          </cell>
        </row>
        <row r="3494">
          <cell r="E3494">
            <v>0</v>
          </cell>
          <cell r="F3494">
            <v>0</v>
          </cell>
          <cell r="DN3494">
            <v>0</v>
          </cell>
        </row>
        <row r="3495">
          <cell r="E3495">
            <v>0</v>
          </cell>
          <cell r="F3495">
            <v>0</v>
          </cell>
          <cell r="DN3495">
            <v>0</v>
          </cell>
        </row>
        <row r="3496">
          <cell r="E3496">
            <v>0</v>
          </cell>
          <cell r="F3496">
            <v>0</v>
          </cell>
          <cell r="DN3496">
            <v>0</v>
          </cell>
        </row>
        <row r="3497">
          <cell r="E3497">
            <v>0</v>
          </cell>
          <cell r="F3497">
            <v>0</v>
          </cell>
          <cell r="DN3497">
            <v>0</v>
          </cell>
        </row>
        <row r="3498">
          <cell r="E3498">
            <v>0</v>
          </cell>
          <cell r="F3498">
            <v>0</v>
          </cell>
          <cell r="DN3498">
            <v>0</v>
          </cell>
        </row>
        <row r="3499">
          <cell r="E3499">
            <v>0</v>
          </cell>
          <cell r="F3499">
            <v>0</v>
          </cell>
          <cell r="DN3499">
            <v>0</v>
          </cell>
        </row>
        <row r="3500">
          <cell r="E3500">
            <v>0</v>
          </cell>
          <cell r="F3500">
            <v>0</v>
          </cell>
          <cell r="DN3500">
            <v>0</v>
          </cell>
        </row>
        <row r="3501">
          <cell r="E3501">
            <v>0</v>
          </cell>
          <cell r="F3501">
            <v>0</v>
          </cell>
          <cell r="DN3501">
            <v>0</v>
          </cell>
        </row>
        <row r="3502">
          <cell r="E3502">
            <v>0</v>
          </cell>
          <cell r="F3502">
            <v>0</v>
          </cell>
          <cell r="DN3502">
            <v>0</v>
          </cell>
        </row>
        <row r="3503">
          <cell r="E3503">
            <v>0</v>
          </cell>
          <cell r="F3503">
            <v>0</v>
          </cell>
          <cell r="DN3503">
            <v>0</v>
          </cell>
        </row>
        <row r="3504">
          <cell r="E3504">
            <v>0</v>
          </cell>
          <cell r="F3504">
            <v>0</v>
          </cell>
          <cell r="DN3504">
            <v>0</v>
          </cell>
        </row>
        <row r="3505">
          <cell r="E3505">
            <v>0</v>
          </cell>
          <cell r="F3505">
            <v>0</v>
          </cell>
          <cell r="DN3505">
            <v>0</v>
          </cell>
        </row>
        <row r="3506">
          <cell r="E3506">
            <v>0</v>
          </cell>
          <cell r="F3506">
            <v>0</v>
          </cell>
          <cell r="DN3506">
            <v>0</v>
          </cell>
        </row>
        <row r="3507">
          <cell r="E3507">
            <v>0</v>
          </cell>
          <cell r="F3507">
            <v>0</v>
          </cell>
          <cell r="DN3507">
            <v>0</v>
          </cell>
        </row>
        <row r="3508">
          <cell r="E3508">
            <v>0</v>
          </cell>
          <cell r="F3508">
            <v>0</v>
          </cell>
          <cell r="DN3508">
            <v>0</v>
          </cell>
        </row>
        <row r="3509">
          <cell r="E3509">
            <v>0</v>
          </cell>
          <cell r="F3509">
            <v>0</v>
          </cell>
          <cell r="DN3509">
            <v>0</v>
          </cell>
        </row>
        <row r="3510">
          <cell r="E3510">
            <v>0</v>
          </cell>
          <cell r="F3510">
            <v>0</v>
          </cell>
          <cell r="DN3510">
            <v>0</v>
          </cell>
        </row>
        <row r="3511">
          <cell r="E3511">
            <v>0</v>
          </cell>
          <cell r="F3511">
            <v>0</v>
          </cell>
          <cell r="DN3511">
            <v>0</v>
          </cell>
        </row>
        <row r="3512">
          <cell r="E3512">
            <v>0</v>
          </cell>
          <cell r="F3512">
            <v>0</v>
          </cell>
          <cell r="DN3512">
            <v>0</v>
          </cell>
        </row>
        <row r="3513">
          <cell r="E3513">
            <v>0</v>
          </cell>
          <cell r="F3513">
            <v>0</v>
          </cell>
          <cell r="DN3513">
            <v>0</v>
          </cell>
        </row>
        <row r="3514">
          <cell r="E3514">
            <v>0</v>
          </cell>
          <cell r="F3514">
            <v>0</v>
          </cell>
          <cell r="DN3514">
            <v>0</v>
          </cell>
        </row>
        <row r="3515">
          <cell r="E3515">
            <v>0</v>
          </cell>
          <cell r="F3515">
            <v>0</v>
          </cell>
          <cell r="DN3515">
            <v>0</v>
          </cell>
        </row>
        <row r="3516">
          <cell r="E3516">
            <v>0</v>
          </cell>
          <cell r="F3516">
            <v>0</v>
          </cell>
          <cell r="DN3516">
            <v>0</v>
          </cell>
        </row>
        <row r="3517">
          <cell r="E3517">
            <v>0</v>
          </cell>
          <cell r="F3517">
            <v>0</v>
          </cell>
          <cell r="DN3517">
            <v>0</v>
          </cell>
        </row>
        <row r="3518">
          <cell r="E3518">
            <v>0</v>
          </cell>
          <cell r="F3518">
            <v>0</v>
          </cell>
          <cell r="DN3518">
            <v>0</v>
          </cell>
        </row>
        <row r="3519">
          <cell r="E3519">
            <v>0</v>
          </cell>
          <cell r="F3519">
            <v>0</v>
          </cell>
          <cell r="DN3519">
            <v>0</v>
          </cell>
        </row>
        <row r="3520">
          <cell r="E3520">
            <v>0</v>
          </cell>
          <cell r="F3520">
            <v>0</v>
          </cell>
          <cell r="DN3520">
            <v>0</v>
          </cell>
        </row>
        <row r="3521">
          <cell r="E3521">
            <v>0</v>
          </cell>
          <cell r="F3521">
            <v>0</v>
          </cell>
          <cell r="DN3521">
            <v>0</v>
          </cell>
        </row>
        <row r="3522">
          <cell r="E3522">
            <v>0</v>
          </cell>
          <cell r="F3522">
            <v>0</v>
          </cell>
          <cell r="DN3522">
            <v>0</v>
          </cell>
        </row>
        <row r="3523">
          <cell r="E3523">
            <v>0</v>
          </cell>
          <cell r="F3523">
            <v>0</v>
          </cell>
          <cell r="DN3523">
            <v>0</v>
          </cell>
        </row>
        <row r="3524">
          <cell r="E3524">
            <v>0</v>
          </cell>
          <cell r="F3524">
            <v>0</v>
          </cell>
          <cell r="DN3524">
            <v>0</v>
          </cell>
        </row>
        <row r="3525">
          <cell r="E3525">
            <v>0</v>
          </cell>
          <cell r="F3525">
            <v>0</v>
          </cell>
          <cell r="DN3525">
            <v>0</v>
          </cell>
        </row>
        <row r="3526">
          <cell r="E3526">
            <v>0</v>
          </cell>
          <cell r="F3526">
            <v>0</v>
          </cell>
          <cell r="DN3526">
            <v>0</v>
          </cell>
        </row>
        <row r="3527">
          <cell r="E3527">
            <v>0</v>
          </cell>
          <cell r="F3527">
            <v>0</v>
          </cell>
          <cell r="DN3527">
            <v>0</v>
          </cell>
        </row>
        <row r="3528">
          <cell r="E3528">
            <v>0</v>
          </cell>
          <cell r="F3528">
            <v>0</v>
          </cell>
          <cell r="DN3528">
            <v>0</v>
          </cell>
        </row>
        <row r="3529">
          <cell r="E3529">
            <v>0</v>
          </cell>
          <cell r="F3529">
            <v>0</v>
          </cell>
          <cell r="DN3529">
            <v>0</v>
          </cell>
        </row>
        <row r="3530">
          <cell r="E3530">
            <v>0</v>
          </cell>
          <cell r="F3530">
            <v>0</v>
          </cell>
          <cell r="DN3530">
            <v>0</v>
          </cell>
        </row>
        <row r="3531">
          <cell r="E3531">
            <v>0</v>
          </cell>
          <cell r="F3531">
            <v>0</v>
          </cell>
          <cell r="DN3531">
            <v>0</v>
          </cell>
        </row>
        <row r="3532">
          <cell r="E3532">
            <v>0</v>
          </cell>
          <cell r="F3532">
            <v>0</v>
          </cell>
          <cell r="DN3532">
            <v>0</v>
          </cell>
        </row>
        <row r="3533">
          <cell r="E3533">
            <v>0</v>
          </cell>
          <cell r="F3533">
            <v>0</v>
          </cell>
          <cell r="DN3533">
            <v>0</v>
          </cell>
        </row>
        <row r="3534">
          <cell r="E3534">
            <v>0</v>
          </cell>
          <cell r="F3534">
            <v>0</v>
          </cell>
          <cell r="DN3534">
            <v>0</v>
          </cell>
        </row>
        <row r="3535">
          <cell r="E3535">
            <v>0</v>
          </cell>
          <cell r="F3535">
            <v>0</v>
          </cell>
          <cell r="DN3535">
            <v>0</v>
          </cell>
        </row>
        <row r="3536">
          <cell r="E3536">
            <v>0</v>
          </cell>
          <cell r="F3536">
            <v>0</v>
          </cell>
          <cell r="DN3536">
            <v>0</v>
          </cell>
        </row>
        <row r="3537">
          <cell r="E3537">
            <v>0</v>
          </cell>
          <cell r="F3537">
            <v>0</v>
          </cell>
          <cell r="DN3537">
            <v>0</v>
          </cell>
        </row>
        <row r="3538">
          <cell r="E3538">
            <v>0</v>
          </cell>
          <cell r="F3538">
            <v>0</v>
          </cell>
          <cell r="DN3538">
            <v>0</v>
          </cell>
        </row>
        <row r="3539">
          <cell r="E3539">
            <v>0</v>
          </cell>
          <cell r="F3539">
            <v>0</v>
          </cell>
          <cell r="DN3539">
            <v>0</v>
          </cell>
        </row>
        <row r="3540">
          <cell r="E3540">
            <v>0</v>
          </cell>
          <cell r="F3540">
            <v>0</v>
          </cell>
          <cell r="DN3540">
            <v>0</v>
          </cell>
        </row>
        <row r="3541">
          <cell r="E3541">
            <v>0</v>
          </cell>
          <cell r="F3541">
            <v>0</v>
          </cell>
          <cell r="DN3541">
            <v>0</v>
          </cell>
        </row>
        <row r="3542">
          <cell r="E3542">
            <v>0</v>
          </cell>
          <cell r="F3542">
            <v>0</v>
          </cell>
          <cell r="DN3542">
            <v>0</v>
          </cell>
        </row>
        <row r="3543">
          <cell r="E3543">
            <v>0</v>
          </cell>
          <cell r="F3543">
            <v>0</v>
          </cell>
          <cell r="DN3543">
            <v>0</v>
          </cell>
        </row>
        <row r="3544">
          <cell r="E3544">
            <v>0</v>
          </cell>
          <cell r="F3544">
            <v>0</v>
          </cell>
          <cell r="DN3544">
            <v>0</v>
          </cell>
        </row>
        <row r="3545">
          <cell r="E3545">
            <v>0</v>
          </cell>
          <cell r="F3545">
            <v>0</v>
          </cell>
          <cell r="DN3545">
            <v>0</v>
          </cell>
        </row>
        <row r="3546">
          <cell r="E3546">
            <v>0</v>
          </cell>
          <cell r="F3546">
            <v>0</v>
          </cell>
          <cell r="DN3546">
            <v>0</v>
          </cell>
        </row>
        <row r="3547">
          <cell r="E3547">
            <v>0</v>
          </cell>
          <cell r="F3547">
            <v>0</v>
          </cell>
          <cell r="DN3547">
            <v>0</v>
          </cell>
        </row>
        <row r="3548">
          <cell r="E3548">
            <v>0</v>
          </cell>
          <cell r="F3548">
            <v>0</v>
          </cell>
          <cell r="DN3548">
            <v>0</v>
          </cell>
        </row>
        <row r="3549">
          <cell r="E3549">
            <v>0</v>
          </cell>
          <cell r="F3549">
            <v>0</v>
          </cell>
          <cell r="DN3549">
            <v>0</v>
          </cell>
        </row>
        <row r="3550">
          <cell r="E3550">
            <v>0</v>
          </cell>
          <cell r="F3550">
            <v>0</v>
          </cell>
          <cell r="DN3550">
            <v>0</v>
          </cell>
        </row>
        <row r="3551">
          <cell r="E3551">
            <v>0</v>
          </cell>
          <cell r="F3551">
            <v>0</v>
          </cell>
          <cell r="DN3551">
            <v>0</v>
          </cell>
        </row>
        <row r="3552">
          <cell r="E3552">
            <v>0</v>
          </cell>
          <cell r="F3552">
            <v>0</v>
          </cell>
          <cell r="DN3552">
            <v>0</v>
          </cell>
        </row>
        <row r="3553">
          <cell r="E3553">
            <v>0</v>
          </cell>
          <cell r="F3553">
            <v>0</v>
          </cell>
          <cell r="DN3553">
            <v>0</v>
          </cell>
        </row>
        <row r="3554">
          <cell r="E3554">
            <v>0</v>
          </cell>
          <cell r="F3554">
            <v>0</v>
          </cell>
          <cell r="DN3554">
            <v>0</v>
          </cell>
        </row>
        <row r="3555">
          <cell r="E3555">
            <v>0</v>
          </cell>
          <cell r="F3555">
            <v>0</v>
          </cell>
          <cell r="DN3555">
            <v>0</v>
          </cell>
        </row>
        <row r="3556">
          <cell r="E3556">
            <v>0</v>
          </cell>
          <cell r="F3556">
            <v>0</v>
          </cell>
          <cell r="DN3556">
            <v>0</v>
          </cell>
        </row>
        <row r="3557">
          <cell r="E3557">
            <v>0</v>
          </cell>
          <cell r="F3557">
            <v>0</v>
          </cell>
          <cell r="DN3557">
            <v>0</v>
          </cell>
        </row>
        <row r="3558">
          <cell r="E3558">
            <v>0</v>
          </cell>
          <cell r="F3558">
            <v>0</v>
          </cell>
          <cell r="DN3558">
            <v>0</v>
          </cell>
        </row>
        <row r="3559">
          <cell r="E3559">
            <v>0</v>
          </cell>
          <cell r="F3559">
            <v>0</v>
          </cell>
          <cell r="DN3559">
            <v>0</v>
          </cell>
        </row>
        <row r="3560">
          <cell r="E3560">
            <v>0</v>
          </cell>
          <cell r="F3560">
            <v>0</v>
          </cell>
          <cell r="DN3560">
            <v>0</v>
          </cell>
        </row>
        <row r="3561">
          <cell r="E3561">
            <v>0</v>
          </cell>
          <cell r="F3561">
            <v>0</v>
          </cell>
          <cell r="DN3561">
            <v>0</v>
          </cell>
        </row>
        <row r="3562">
          <cell r="E3562">
            <v>0</v>
          </cell>
          <cell r="F3562">
            <v>0</v>
          </cell>
          <cell r="DN3562">
            <v>0</v>
          </cell>
        </row>
        <row r="3563">
          <cell r="E3563">
            <v>0</v>
          </cell>
          <cell r="F3563">
            <v>0</v>
          </cell>
          <cell r="DN3563">
            <v>0</v>
          </cell>
        </row>
        <row r="3564">
          <cell r="E3564">
            <v>0</v>
          </cell>
          <cell r="F3564">
            <v>0</v>
          </cell>
          <cell r="DN3564">
            <v>0</v>
          </cell>
        </row>
        <row r="3565">
          <cell r="E3565">
            <v>0</v>
          </cell>
          <cell r="F3565">
            <v>0</v>
          </cell>
          <cell r="DN3565">
            <v>0</v>
          </cell>
        </row>
        <row r="3566">
          <cell r="E3566">
            <v>0</v>
          </cell>
          <cell r="F3566">
            <v>0</v>
          </cell>
          <cell r="DN3566">
            <v>0</v>
          </cell>
        </row>
        <row r="3567">
          <cell r="E3567">
            <v>0</v>
          </cell>
          <cell r="F3567">
            <v>0</v>
          </cell>
          <cell r="DN3567">
            <v>0</v>
          </cell>
        </row>
        <row r="3568">
          <cell r="E3568">
            <v>0</v>
          </cell>
          <cell r="F3568">
            <v>0</v>
          </cell>
          <cell r="DN3568">
            <v>0</v>
          </cell>
        </row>
        <row r="3569">
          <cell r="E3569">
            <v>0</v>
          </cell>
          <cell r="F3569">
            <v>0</v>
          </cell>
          <cell r="DN3569">
            <v>0</v>
          </cell>
        </row>
        <row r="3570">
          <cell r="E3570">
            <v>0</v>
          </cell>
          <cell r="F3570">
            <v>0</v>
          </cell>
          <cell r="DN3570">
            <v>0</v>
          </cell>
        </row>
        <row r="3571">
          <cell r="E3571">
            <v>0</v>
          </cell>
          <cell r="F3571">
            <v>0</v>
          </cell>
          <cell r="DN3571">
            <v>0</v>
          </cell>
        </row>
        <row r="3572">
          <cell r="E3572">
            <v>0</v>
          </cell>
          <cell r="F3572">
            <v>0</v>
          </cell>
          <cell r="DN3572">
            <v>0</v>
          </cell>
        </row>
        <row r="3573">
          <cell r="E3573">
            <v>0</v>
          </cell>
          <cell r="F3573">
            <v>0</v>
          </cell>
          <cell r="DN3573">
            <v>0</v>
          </cell>
        </row>
        <row r="3574">
          <cell r="E3574">
            <v>0</v>
          </cell>
          <cell r="F3574">
            <v>0</v>
          </cell>
          <cell r="DN3574">
            <v>0</v>
          </cell>
        </row>
        <row r="3575">
          <cell r="E3575">
            <v>0</v>
          </cell>
          <cell r="F3575">
            <v>0</v>
          </cell>
          <cell r="DN3575">
            <v>0</v>
          </cell>
        </row>
        <row r="3576">
          <cell r="E3576">
            <v>0</v>
          </cell>
          <cell r="F3576">
            <v>0</v>
          </cell>
          <cell r="DN3576">
            <v>0</v>
          </cell>
        </row>
        <row r="3577">
          <cell r="E3577">
            <v>0</v>
          </cell>
          <cell r="F3577">
            <v>0</v>
          </cell>
          <cell r="DN3577">
            <v>0</v>
          </cell>
        </row>
        <row r="3578">
          <cell r="E3578">
            <v>0</v>
          </cell>
          <cell r="F3578">
            <v>0</v>
          </cell>
          <cell r="DN3578">
            <v>0</v>
          </cell>
        </row>
        <row r="3579">
          <cell r="E3579">
            <v>0</v>
          </cell>
          <cell r="F3579">
            <v>0</v>
          </cell>
          <cell r="DN3579">
            <v>0</v>
          </cell>
        </row>
        <row r="3580">
          <cell r="E3580">
            <v>0</v>
          </cell>
          <cell r="F3580">
            <v>0</v>
          </cell>
          <cell r="DN3580">
            <v>0</v>
          </cell>
        </row>
        <row r="3581">
          <cell r="E3581">
            <v>0</v>
          </cell>
          <cell r="F3581">
            <v>0</v>
          </cell>
          <cell r="DN3581">
            <v>0</v>
          </cell>
        </row>
        <row r="3582">
          <cell r="E3582">
            <v>0</v>
          </cell>
          <cell r="F3582">
            <v>0</v>
          </cell>
          <cell r="DN3582">
            <v>0</v>
          </cell>
        </row>
        <row r="3583">
          <cell r="E3583">
            <v>0</v>
          </cell>
          <cell r="F3583">
            <v>0</v>
          </cell>
          <cell r="DN3583">
            <v>0</v>
          </cell>
        </row>
        <row r="3584">
          <cell r="E3584">
            <v>0</v>
          </cell>
          <cell r="F3584">
            <v>0</v>
          </cell>
          <cell r="DN3584">
            <v>0</v>
          </cell>
        </row>
        <row r="3585">
          <cell r="E3585">
            <v>0</v>
          </cell>
          <cell r="F3585">
            <v>0</v>
          </cell>
          <cell r="DN3585">
            <v>0</v>
          </cell>
        </row>
        <row r="3586">
          <cell r="E3586">
            <v>0</v>
          </cell>
          <cell r="F3586">
            <v>0</v>
          </cell>
          <cell r="DN3586">
            <v>0</v>
          </cell>
        </row>
        <row r="3587">
          <cell r="E3587">
            <v>0</v>
          </cell>
          <cell r="F3587">
            <v>0</v>
          </cell>
          <cell r="DN3587">
            <v>0</v>
          </cell>
        </row>
        <row r="3588">
          <cell r="E3588">
            <v>0</v>
          </cell>
          <cell r="F3588">
            <v>0</v>
          </cell>
          <cell r="DN3588">
            <v>0</v>
          </cell>
        </row>
        <row r="3589">
          <cell r="E3589">
            <v>0</v>
          </cell>
          <cell r="F3589">
            <v>0</v>
          </cell>
          <cell r="DN3589">
            <v>0</v>
          </cell>
        </row>
        <row r="3590">
          <cell r="E3590">
            <v>0</v>
          </cell>
          <cell r="F3590">
            <v>0</v>
          </cell>
          <cell r="DN3590">
            <v>0</v>
          </cell>
        </row>
        <row r="3591">
          <cell r="E3591">
            <v>0</v>
          </cell>
          <cell r="F3591">
            <v>0</v>
          </cell>
          <cell r="DN3591">
            <v>0</v>
          </cell>
        </row>
        <row r="3592">
          <cell r="E3592">
            <v>0</v>
          </cell>
          <cell r="F3592">
            <v>0</v>
          </cell>
          <cell r="DN3592">
            <v>0</v>
          </cell>
        </row>
        <row r="3593">
          <cell r="E3593">
            <v>0</v>
          </cell>
          <cell r="F3593">
            <v>0</v>
          </cell>
          <cell r="DN3593">
            <v>0</v>
          </cell>
        </row>
        <row r="3594">
          <cell r="E3594">
            <v>0</v>
          </cell>
          <cell r="F3594">
            <v>0</v>
          </cell>
          <cell r="DN3594">
            <v>0</v>
          </cell>
        </row>
        <row r="3595">
          <cell r="E3595">
            <v>0</v>
          </cell>
          <cell r="F3595">
            <v>0</v>
          </cell>
          <cell r="DN3595">
            <v>0</v>
          </cell>
        </row>
        <row r="3596">
          <cell r="E3596">
            <v>0</v>
          </cell>
          <cell r="F3596">
            <v>0</v>
          </cell>
          <cell r="DN3596">
            <v>0</v>
          </cell>
        </row>
        <row r="3597">
          <cell r="E3597">
            <v>0</v>
          </cell>
          <cell r="F3597">
            <v>0</v>
          </cell>
          <cell r="DN3597">
            <v>0</v>
          </cell>
        </row>
        <row r="3598">
          <cell r="E3598">
            <v>0</v>
          </cell>
          <cell r="F3598">
            <v>0</v>
          </cell>
          <cell r="DN3598">
            <v>0</v>
          </cell>
        </row>
        <row r="3599">
          <cell r="E3599">
            <v>0</v>
          </cell>
          <cell r="F3599">
            <v>0</v>
          </cell>
          <cell r="DN3599">
            <v>0</v>
          </cell>
        </row>
        <row r="3600">
          <cell r="E3600">
            <v>0</v>
          </cell>
          <cell r="F3600">
            <v>0</v>
          </cell>
          <cell r="DN3600">
            <v>0</v>
          </cell>
        </row>
        <row r="3601">
          <cell r="E3601">
            <v>0</v>
          </cell>
          <cell r="F3601">
            <v>0</v>
          </cell>
          <cell r="DN3601">
            <v>0</v>
          </cell>
        </row>
        <row r="3602">
          <cell r="E3602">
            <v>0</v>
          </cell>
          <cell r="F3602">
            <v>0</v>
          </cell>
          <cell r="DN3602">
            <v>0</v>
          </cell>
        </row>
        <row r="3603">
          <cell r="E3603">
            <v>0</v>
          </cell>
          <cell r="F3603">
            <v>0</v>
          </cell>
          <cell r="DN3603">
            <v>0</v>
          </cell>
        </row>
        <row r="3604">
          <cell r="E3604">
            <v>0</v>
          </cell>
          <cell r="F3604">
            <v>0</v>
          </cell>
          <cell r="DN3604">
            <v>0</v>
          </cell>
        </row>
        <row r="3605">
          <cell r="E3605">
            <v>0</v>
          </cell>
          <cell r="F3605">
            <v>0</v>
          </cell>
          <cell r="DN3605">
            <v>0</v>
          </cell>
        </row>
        <row r="3606">
          <cell r="E3606">
            <v>0</v>
          </cell>
          <cell r="F3606">
            <v>0</v>
          </cell>
          <cell r="DN3606">
            <v>0</v>
          </cell>
        </row>
        <row r="3607">
          <cell r="E3607">
            <v>0</v>
          </cell>
          <cell r="F3607">
            <v>0</v>
          </cell>
          <cell r="DN3607">
            <v>0</v>
          </cell>
        </row>
        <row r="3608">
          <cell r="E3608">
            <v>0</v>
          </cell>
          <cell r="F3608">
            <v>0</v>
          </cell>
          <cell r="DN3608">
            <v>0</v>
          </cell>
        </row>
        <row r="3609">
          <cell r="E3609">
            <v>0</v>
          </cell>
          <cell r="F3609">
            <v>0</v>
          </cell>
          <cell r="DN3609">
            <v>0</v>
          </cell>
        </row>
        <row r="3610">
          <cell r="E3610">
            <v>0</v>
          </cell>
          <cell r="F3610">
            <v>0</v>
          </cell>
          <cell r="DN3610">
            <v>0</v>
          </cell>
        </row>
        <row r="3611">
          <cell r="E3611">
            <v>0</v>
          </cell>
          <cell r="F3611">
            <v>0</v>
          </cell>
          <cell r="DN3611">
            <v>0</v>
          </cell>
        </row>
        <row r="3612">
          <cell r="E3612">
            <v>0</v>
          </cell>
          <cell r="F3612">
            <v>0</v>
          </cell>
          <cell r="DN3612">
            <v>0</v>
          </cell>
        </row>
        <row r="3613">
          <cell r="E3613">
            <v>0</v>
          </cell>
          <cell r="F3613">
            <v>0</v>
          </cell>
          <cell r="DN3613">
            <v>0</v>
          </cell>
        </row>
        <row r="3614">
          <cell r="E3614">
            <v>0</v>
          </cell>
          <cell r="F3614">
            <v>0</v>
          </cell>
          <cell r="DN3614">
            <v>0</v>
          </cell>
        </row>
        <row r="3615">
          <cell r="E3615">
            <v>0</v>
          </cell>
          <cell r="F3615">
            <v>0</v>
          </cell>
          <cell r="DN3615">
            <v>0</v>
          </cell>
        </row>
        <row r="3616">
          <cell r="E3616">
            <v>0</v>
          </cell>
          <cell r="F3616">
            <v>0</v>
          </cell>
          <cell r="DN3616">
            <v>0</v>
          </cell>
        </row>
        <row r="3617">
          <cell r="E3617">
            <v>0</v>
          </cell>
          <cell r="F3617">
            <v>0</v>
          </cell>
          <cell r="DN3617">
            <v>0</v>
          </cell>
        </row>
        <row r="3618">
          <cell r="E3618">
            <v>0</v>
          </cell>
          <cell r="F3618">
            <v>0</v>
          </cell>
          <cell r="DN3618">
            <v>0</v>
          </cell>
        </row>
        <row r="3619">
          <cell r="E3619">
            <v>0</v>
          </cell>
          <cell r="F3619">
            <v>0</v>
          </cell>
          <cell r="DN3619">
            <v>0</v>
          </cell>
        </row>
        <row r="3620">
          <cell r="E3620">
            <v>0</v>
          </cell>
          <cell r="F3620">
            <v>0</v>
          </cell>
          <cell r="DN3620">
            <v>0</v>
          </cell>
        </row>
        <row r="3621">
          <cell r="E3621">
            <v>0</v>
          </cell>
          <cell r="F3621">
            <v>0</v>
          </cell>
          <cell r="DN3621">
            <v>0</v>
          </cell>
        </row>
        <row r="3622">
          <cell r="E3622">
            <v>0</v>
          </cell>
          <cell r="F3622">
            <v>0</v>
          </cell>
          <cell r="DN3622">
            <v>0</v>
          </cell>
        </row>
        <row r="3623">
          <cell r="E3623">
            <v>0</v>
          </cell>
          <cell r="F3623">
            <v>0</v>
          </cell>
          <cell r="DN3623">
            <v>0</v>
          </cell>
        </row>
        <row r="3624">
          <cell r="E3624">
            <v>0</v>
          </cell>
          <cell r="F3624">
            <v>0</v>
          </cell>
          <cell r="DN3624">
            <v>0</v>
          </cell>
        </row>
        <row r="3625">
          <cell r="E3625">
            <v>0</v>
          </cell>
          <cell r="F3625">
            <v>0</v>
          </cell>
          <cell r="DN3625">
            <v>0</v>
          </cell>
        </row>
        <row r="3626">
          <cell r="E3626">
            <v>0</v>
          </cell>
          <cell r="F3626">
            <v>0</v>
          </cell>
          <cell r="DN3626">
            <v>0</v>
          </cell>
        </row>
        <row r="3627">
          <cell r="E3627">
            <v>0</v>
          </cell>
          <cell r="F3627">
            <v>0</v>
          </cell>
          <cell r="DN3627">
            <v>0</v>
          </cell>
        </row>
        <row r="3628">
          <cell r="E3628">
            <v>0</v>
          </cell>
          <cell r="F3628">
            <v>0</v>
          </cell>
          <cell r="DN3628">
            <v>0</v>
          </cell>
        </row>
        <row r="3629">
          <cell r="E3629">
            <v>0</v>
          </cell>
          <cell r="F3629">
            <v>0</v>
          </cell>
          <cell r="DN3629">
            <v>0</v>
          </cell>
        </row>
        <row r="3630">
          <cell r="E3630">
            <v>0</v>
          </cell>
          <cell r="F3630">
            <v>0</v>
          </cell>
          <cell r="DN3630">
            <v>0</v>
          </cell>
        </row>
        <row r="3631">
          <cell r="E3631">
            <v>0</v>
          </cell>
          <cell r="F3631">
            <v>0</v>
          </cell>
          <cell r="DN3631">
            <v>0</v>
          </cell>
        </row>
        <row r="3632">
          <cell r="E3632">
            <v>0</v>
          </cell>
          <cell r="F3632">
            <v>0</v>
          </cell>
          <cell r="DN3632">
            <v>0</v>
          </cell>
        </row>
        <row r="3633">
          <cell r="E3633">
            <v>0</v>
          </cell>
          <cell r="F3633">
            <v>0</v>
          </cell>
          <cell r="DN3633">
            <v>0</v>
          </cell>
        </row>
        <row r="3634">
          <cell r="E3634">
            <v>0</v>
          </cell>
          <cell r="F3634">
            <v>0</v>
          </cell>
          <cell r="DN3634">
            <v>0</v>
          </cell>
        </row>
        <row r="3635">
          <cell r="E3635">
            <v>0</v>
          </cell>
          <cell r="F3635">
            <v>0</v>
          </cell>
          <cell r="DN3635">
            <v>0</v>
          </cell>
        </row>
        <row r="3636">
          <cell r="E3636">
            <v>0</v>
          </cell>
          <cell r="F3636">
            <v>0</v>
          </cell>
          <cell r="DN3636">
            <v>0</v>
          </cell>
        </row>
        <row r="3637">
          <cell r="E3637">
            <v>0</v>
          </cell>
          <cell r="F3637">
            <v>0</v>
          </cell>
          <cell r="DN3637">
            <v>0</v>
          </cell>
        </row>
        <row r="3638">
          <cell r="E3638">
            <v>0</v>
          </cell>
          <cell r="F3638">
            <v>0</v>
          </cell>
          <cell r="DN3638">
            <v>0</v>
          </cell>
        </row>
        <row r="3639">
          <cell r="E3639">
            <v>0</v>
          </cell>
          <cell r="F3639">
            <v>0</v>
          </cell>
          <cell r="DN3639">
            <v>0</v>
          </cell>
        </row>
        <row r="3640">
          <cell r="E3640">
            <v>0</v>
          </cell>
          <cell r="F3640">
            <v>0</v>
          </cell>
          <cell r="DN3640">
            <v>0</v>
          </cell>
        </row>
        <row r="3641">
          <cell r="E3641">
            <v>0</v>
          </cell>
          <cell r="F3641">
            <v>0</v>
          </cell>
          <cell r="DN3641">
            <v>0</v>
          </cell>
        </row>
        <row r="3642">
          <cell r="E3642">
            <v>0</v>
          </cell>
          <cell r="F3642">
            <v>0</v>
          </cell>
          <cell r="DN3642">
            <v>0</v>
          </cell>
        </row>
        <row r="3643">
          <cell r="E3643">
            <v>0</v>
          </cell>
          <cell r="F3643">
            <v>0</v>
          </cell>
          <cell r="DN3643">
            <v>0</v>
          </cell>
        </row>
        <row r="3644">
          <cell r="E3644">
            <v>0</v>
          </cell>
          <cell r="F3644">
            <v>0</v>
          </cell>
          <cell r="DN3644">
            <v>0</v>
          </cell>
        </row>
        <row r="3645">
          <cell r="E3645">
            <v>0</v>
          </cell>
          <cell r="F3645">
            <v>0</v>
          </cell>
          <cell r="DN3645">
            <v>0</v>
          </cell>
        </row>
        <row r="3646">
          <cell r="E3646">
            <v>0</v>
          </cell>
          <cell r="F3646">
            <v>0</v>
          </cell>
          <cell r="DN3646">
            <v>0</v>
          </cell>
        </row>
        <row r="3647">
          <cell r="E3647">
            <v>0</v>
          </cell>
          <cell r="F3647">
            <v>0</v>
          </cell>
          <cell r="DN3647">
            <v>0</v>
          </cell>
        </row>
        <row r="3648">
          <cell r="E3648">
            <v>0</v>
          </cell>
          <cell r="F3648">
            <v>0</v>
          </cell>
          <cell r="DN3648">
            <v>0</v>
          </cell>
        </row>
        <row r="3649">
          <cell r="E3649">
            <v>0</v>
          </cell>
          <cell r="F3649">
            <v>0</v>
          </cell>
          <cell r="DN3649">
            <v>0</v>
          </cell>
        </row>
        <row r="3650">
          <cell r="E3650">
            <v>0</v>
          </cell>
          <cell r="F3650">
            <v>0</v>
          </cell>
          <cell r="DN3650">
            <v>0</v>
          </cell>
        </row>
        <row r="3651">
          <cell r="E3651">
            <v>0</v>
          </cell>
          <cell r="F3651">
            <v>0</v>
          </cell>
          <cell r="DN3651">
            <v>0</v>
          </cell>
        </row>
        <row r="3652">
          <cell r="E3652">
            <v>0</v>
          </cell>
          <cell r="F3652">
            <v>0</v>
          </cell>
          <cell r="DN3652">
            <v>0</v>
          </cell>
        </row>
        <row r="3653">
          <cell r="E3653">
            <v>0</v>
          </cell>
          <cell r="F3653">
            <v>0</v>
          </cell>
          <cell r="DN3653">
            <v>0</v>
          </cell>
        </row>
        <row r="3654">
          <cell r="E3654">
            <v>0</v>
          </cell>
          <cell r="F3654">
            <v>0</v>
          </cell>
          <cell r="DN3654">
            <v>0</v>
          </cell>
        </row>
        <row r="3655">
          <cell r="E3655">
            <v>0</v>
          </cell>
          <cell r="F3655">
            <v>0</v>
          </cell>
          <cell r="DN3655">
            <v>0</v>
          </cell>
        </row>
        <row r="3656">
          <cell r="E3656">
            <v>0</v>
          </cell>
          <cell r="F3656">
            <v>0</v>
          </cell>
          <cell r="DN3656">
            <v>0</v>
          </cell>
        </row>
        <row r="3657">
          <cell r="E3657">
            <v>0</v>
          </cell>
          <cell r="F3657">
            <v>0</v>
          </cell>
          <cell r="DN3657">
            <v>0</v>
          </cell>
        </row>
        <row r="3658">
          <cell r="E3658">
            <v>0</v>
          </cell>
          <cell r="F3658">
            <v>0</v>
          </cell>
          <cell r="DN3658">
            <v>0</v>
          </cell>
        </row>
        <row r="3659">
          <cell r="E3659">
            <v>0</v>
          </cell>
          <cell r="F3659">
            <v>0</v>
          </cell>
          <cell r="DN3659">
            <v>0</v>
          </cell>
        </row>
        <row r="3660">
          <cell r="E3660">
            <v>0</v>
          </cell>
          <cell r="F3660">
            <v>0</v>
          </cell>
          <cell r="DN3660">
            <v>0</v>
          </cell>
        </row>
        <row r="3661">
          <cell r="E3661">
            <v>0</v>
          </cell>
          <cell r="F3661">
            <v>0</v>
          </cell>
          <cell r="DN3661">
            <v>0</v>
          </cell>
        </row>
        <row r="3662">
          <cell r="E3662">
            <v>0</v>
          </cell>
          <cell r="F3662">
            <v>0</v>
          </cell>
          <cell r="DN3662">
            <v>0</v>
          </cell>
        </row>
        <row r="3663">
          <cell r="E3663">
            <v>0</v>
          </cell>
          <cell r="F3663">
            <v>0</v>
          </cell>
          <cell r="DN3663">
            <v>0</v>
          </cell>
        </row>
        <row r="3664">
          <cell r="E3664">
            <v>0</v>
          </cell>
          <cell r="F3664">
            <v>0</v>
          </cell>
          <cell r="DN3664">
            <v>0</v>
          </cell>
        </row>
        <row r="3665">
          <cell r="E3665">
            <v>0</v>
          </cell>
          <cell r="F3665">
            <v>0</v>
          </cell>
          <cell r="DN3665">
            <v>0</v>
          </cell>
        </row>
        <row r="3666">
          <cell r="E3666">
            <v>0</v>
          </cell>
          <cell r="F3666">
            <v>0</v>
          </cell>
          <cell r="DN3666">
            <v>0</v>
          </cell>
        </row>
        <row r="3667">
          <cell r="E3667">
            <v>0</v>
          </cell>
          <cell r="F3667">
            <v>0</v>
          </cell>
          <cell r="DN3667">
            <v>0</v>
          </cell>
        </row>
        <row r="3668">
          <cell r="E3668">
            <v>0</v>
          </cell>
          <cell r="F3668">
            <v>0</v>
          </cell>
          <cell r="DN3668">
            <v>0</v>
          </cell>
        </row>
        <row r="3669">
          <cell r="E3669">
            <v>0</v>
          </cell>
          <cell r="F3669">
            <v>0</v>
          </cell>
          <cell r="DN3669">
            <v>0</v>
          </cell>
        </row>
        <row r="3670">
          <cell r="E3670">
            <v>0</v>
          </cell>
          <cell r="F3670">
            <v>0</v>
          </cell>
          <cell r="DN3670">
            <v>0</v>
          </cell>
        </row>
        <row r="3671">
          <cell r="E3671">
            <v>0</v>
          </cell>
          <cell r="F3671">
            <v>0</v>
          </cell>
          <cell r="DN3671">
            <v>0</v>
          </cell>
        </row>
        <row r="3672">
          <cell r="E3672">
            <v>0</v>
          </cell>
          <cell r="F3672">
            <v>0</v>
          </cell>
          <cell r="DN3672">
            <v>0</v>
          </cell>
        </row>
        <row r="3673">
          <cell r="E3673">
            <v>0</v>
          </cell>
          <cell r="F3673">
            <v>0</v>
          </cell>
          <cell r="DN3673">
            <v>0</v>
          </cell>
        </row>
        <row r="3674">
          <cell r="E3674">
            <v>0</v>
          </cell>
          <cell r="F3674">
            <v>0</v>
          </cell>
          <cell r="DN3674">
            <v>0</v>
          </cell>
        </row>
        <row r="3675">
          <cell r="E3675">
            <v>0</v>
          </cell>
          <cell r="F3675">
            <v>0</v>
          </cell>
          <cell r="DN3675">
            <v>0</v>
          </cell>
        </row>
        <row r="3676">
          <cell r="E3676">
            <v>0</v>
          </cell>
          <cell r="F3676">
            <v>0</v>
          </cell>
          <cell r="DN3676">
            <v>0</v>
          </cell>
        </row>
        <row r="3677">
          <cell r="E3677">
            <v>0</v>
          </cell>
          <cell r="F3677">
            <v>0</v>
          </cell>
          <cell r="DN3677">
            <v>0</v>
          </cell>
        </row>
        <row r="3678">
          <cell r="E3678">
            <v>0</v>
          </cell>
          <cell r="F3678">
            <v>0</v>
          </cell>
          <cell r="DN3678">
            <v>0</v>
          </cell>
        </row>
        <row r="3679">
          <cell r="E3679">
            <v>0</v>
          </cell>
          <cell r="F3679">
            <v>0</v>
          </cell>
          <cell r="DN3679">
            <v>0</v>
          </cell>
        </row>
        <row r="3680">
          <cell r="E3680">
            <v>0</v>
          </cell>
          <cell r="F3680">
            <v>0</v>
          </cell>
          <cell r="DN3680">
            <v>0</v>
          </cell>
        </row>
        <row r="3681">
          <cell r="E3681">
            <v>0</v>
          </cell>
          <cell r="F3681">
            <v>0</v>
          </cell>
          <cell r="DN3681">
            <v>0</v>
          </cell>
        </row>
        <row r="3682">
          <cell r="E3682">
            <v>0</v>
          </cell>
          <cell r="F3682">
            <v>0</v>
          </cell>
          <cell r="DN3682">
            <v>0</v>
          </cell>
        </row>
        <row r="3683">
          <cell r="E3683">
            <v>0</v>
          </cell>
          <cell r="F3683">
            <v>0</v>
          </cell>
          <cell r="DN3683">
            <v>0</v>
          </cell>
        </row>
        <row r="3684">
          <cell r="E3684">
            <v>0</v>
          </cell>
          <cell r="F3684">
            <v>0</v>
          </cell>
          <cell r="DN3684">
            <v>0</v>
          </cell>
        </row>
        <row r="3685">
          <cell r="E3685">
            <v>0</v>
          </cell>
          <cell r="F3685">
            <v>0</v>
          </cell>
          <cell r="DN3685">
            <v>0</v>
          </cell>
        </row>
        <row r="3686">
          <cell r="E3686">
            <v>0</v>
          </cell>
          <cell r="F3686">
            <v>0</v>
          </cell>
          <cell r="DN3686">
            <v>0</v>
          </cell>
        </row>
        <row r="3687">
          <cell r="E3687">
            <v>0</v>
          </cell>
          <cell r="F3687">
            <v>0</v>
          </cell>
          <cell r="DN3687">
            <v>0</v>
          </cell>
        </row>
        <row r="3688">
          <cell r="E3688">
            <v>0</v>
          </cell>
          <cell r="F3688">
            <v>0</v>
          </cell>
          <cell r="DN3688">
            <v>0</v>
          </cell>
        </row>
        <row r="3689">
          <cell r="E3689">
            <v>0</v>
          </cell>
          <cell r="F3689">
            <v>0</v>
          </cell>
          <cell r="DN3689">
            <v>0</v>
          </cell>
        </row>
        <row r="3690">
          <cell r="E3690">
            <v>0</v>
          </cell>
          <cell r="F3690">
            <v>0</v>
          </cell>
          <cell r="DN3690">
            <v>0</v>
          </cell>
        </row>
        <row r="3691">
          <cell r="E3691">
            <v>0</v>
          </cell>
          <cell r="F3691">
            <v>0</v>
          </cell>
          <cell r="DN3691">
            <v>0</v>
          </cell>
        </row>
        <row r="3692">
          <cell r="E3692">
            <v>0</v>
          </cell>
          <cell r="F3692">
            <v>0</v>
          </cell>
          <cell r="DN3692">
            <v>0</v>
          </cell>
        </row>
        <row r="3693">
          <cell r="E3693">
            <v>0</v>
          </cell>
          <cell r="F3693">
            <v>0</v>
          </cell>
          <cell r="DN3693">
            <v>0</v>
          </cell>
        </row>
        <row r="3694">
          <cell r="E3694">
            <v>0</v>
          </cell>
          <cell r="F3694">
            <v>0</v>
          </cell>
          <cell r="DN3694">
            <v>0</v>
          </cell>
        </row>
        <row r="3695">
          <cell r="E3695">
            <v>0</v>
          </cell>
          <cell r="F3695">
            <v>0</v>
          </cell>
          <cell r="DN3695">
            <v>0</v>
          </cell>
        </row>
        <row r="3696">
          <cell r="E3696">
            <v>0</v>
          </cell>
          <cell r="F3696">
            <v>0</v>
          </cell>
          <cell r="DN3696">
            <v>0</v>
          </cell>
        </row>
        <row r="3697">
          <cell r="E3697">
            <v>0</v>
          </cell>
          <cell r="F3697">
            <v>0</v>
          </cell>
          <cell r="DN3697">
            <v>0</v>
          </cell>
        </row>
        <row r="3698">
          <cell r="E3698">
            <v>0</v>
          </cell>
          <cell r="F3698">
            <v>0</v>
          </cell>
          <cell r="DN3698">
            <v>0</v>
          </cell>
        </row>
        <row r="3699">
          <cell r="E3699">
            <v>0</v>
          </cell>
          <cell r="F3699">
            <v>0</v>
          </cell>
          <cell r="DN3699">
            <v>0</v>
          </cell>
        </row>
        <row r="3700">
          <cell r="E3700">
            <v>0</v>
          </cell>
          <cell r="F3700">
            <v>0</v>
          </cell>
          <cell r="DN3700">
            <v>0</v>
          </cell>
        </row>
        <row r="3701">
          <cell r="E3701">
            <v>0</v>
          </cell>
          <cell r="F3701">
            <v>0</v>
          </cell>
          <cell r="DN3701">
            <v>0</v>
          </cell>
        </row>
        <row r="3702">
          <cell r="E3702">
            <v>0</v>
          </cell>
          <cell r="F3702">
            <v>0</v>
          </cell>
          <cell r="DN3702">
            <v>0</v>
          </cell>
        </row>
        <row r="3703">
          <cell r="E3703">
            <v>0</v>
          </cell>
          <cell r="F3703">
            <v>0</v>
          </cell>
          <cell r="DN3703">
            <v>0</v>
          </cell>
        </row>
        <row r="3704">
          <cell r="E3704">
            <v>0</v>
          </cell>
          <cell r="F3704">
            <v>0</v>
          </cell>
          <cell r="DN3704">
            <v>0</v>
          </cell>
        </row>
        <row r="3705">
          <cell r="E3705">
            <v>0</v>
          </cell>
          <cell r="F3705">
            <v>0</v>
          </cell>
          <cell r="DN3705">
            <v>0</v>
          </cell>
        </row>
        <row r="3706">
          <cell r="E3706">
            <v>0</v>
          </cell>
          <cell r="F3706">
            <v>0</v>
          </cell>
          <cell r="DN3706">
            <v>0</v>
          </cell>
        </row>
        <row r="3707">
          <cell r="E3707">
            <v>0</v>
          </cell>
          <cell r="F3707">
            <v>0</v>
          </cell>
          <cell r="DN3707">
            <v>0</v>
          </cell>
        </row>
        <row r="3708">
          <cell r="E3708">
            <v>0</v>
          </cell>
          <cell r="F3708">
            <v>0</v>
          </cell>
          <cell r="DN3708">
            <v>0</v>
          </cell>
        </row>
        <row r="3709">
          <cell r="E3709">
            <v>0</v>
          </cell>
          <cell r="F3709">
            <v>0</v>
          </cell>
          <cell r="DN3709">
            <v>0</v>
          </cell>
        </row>
        <row r="3710">
          <cell r="E3710">
            <v>0</v>
          </cell>
          <cell r="F3710">
            <v>0</v>
          </cell>
          <cell r="DN3710">
            <v>0</v>
          </cell>
        </row>
        <row r="3711">
          <cell r="E3711">
            <v>0</v>
          </cell>
          <cell r="F3711">
            <v>0</v>
          </cell>
          <cell r="DN3711">
            <v>0</v>
          </cell>
        </row>
        <row r="3712">
          <cell r="E3712">
            <v>0</v>
          </cell>
          <cell r="F3712">
            <v>0</v>
          </cell>
          <cell r="DN3712">
            <v>0</v>
          </cell>
        </row>
        <row r="3713">
          <cell r="E3713">
            <v>0</v>
          </cell>
          <cell r="F3713">
            <v>0</v>
          </cell>
          <cell r="DN3713">
            <v>0</v>
          </cell>
        </row>
        <row r="3714">
          <cell r="E3714">
            <v>0</v>
          </cell>
          <cell r="F3714">
            <v>0</v>
          </cell>
          <cell r="DN3714">
            <v>0</v>
          </cell>
        </row>
        <row r="3715">
          <cell r="E3715">
            <v>0</v>
          </cell>
          <cell r="F3715">
            <v>0</v>
          </cell>
          <cell r="DN3715">
            <v>0</v>
          </cell>
        </row>
        <row r="3716">
          <cell r="E3716">
            <v>0</v>
          </cell>
          <cell r="F3716">
            <v>0</v>
          </cell>
          <cell r="DN3716">
            <v>0</v>
          </cell>
        </row>
        <row r="3717">
          <cell r="E3717">
            <v>0</v>
          </cell>
          <cell r="F3717">
            <v>0</v>
          </cell>
          <cell r="DN3717">
            <v>0</v>
          </cell>
        </row>
        <row r="3718">
          <cell r="E3718">
            <v>0</v>
          </cell>
          <cell r="F3718">
            <v>0</v>
          </cell>
          <cell r="DN3718">
            <v>0</v>
          </cell>
        </row>
        <row r="3719">
          <cell r="E3719">
            <v>0</v>
          </cell>
          <cell r="F3719">
            <v>0</v>
          </cell>
          <cell r="DN3719">
            <v>0</v>
          </cell>
        </row>
        <row r="3720">
          <cell r="E3720">
            <v>0</v>
          </cell>
          <cell r="F3720">
            <v>0</v>
          </cell>
          <cell r="DN3720">
            <v>0</v>
          </cell>
        </row>
        <row r="3721">
          <cell r="E3721">
            <v>0</v>
          </cell>
          <cell r="F3721">
            <v>0</v>
          </cell>
          <cell r="DN3721">
            <v>0</v>
          </cell>
        </row>
        <row r="3722">
          <cell r="E3722">
            <v>0</v>
          </cell>
          <cell r="F3722">
            <v>0</v>
          </cell>
          <cell r="DN3722">
            <v>0</v>
          </cell>
        </row>
        <row r="3723">
          <cell r="E3723">
            <v>0</v>
          </cell>
          <cell r="F3723">
            <v>0</v>
          </cell>
          <cell r="DN3723">
            <v>0</v>
          </cell>
        </row>
        <row r="3724">
          <cell r="E3724">
            <v>0</v>
          </cell>
          <cell r="F3724">
            <v>0</v>
          </cell>
          <cell r="DN3724">
            <v>0</v>
          </cell>
        </row>
        <row r="3725">
          <cell r="E3725">
            <v>0</v>
          </cell>
          <cell r="F3725">
            <v>0</v>
          </cell>
          <cell r="DN3725">
            <v>0</v>
          </cell>
        </row>
        <row r="3726">
          <cell r="E3726">
            <v>0</v>
          </cell>
          <cell r="F3726">
            <v>0</v>
          </cell>
          <cell r="DN3726">
            <v>0</v>
          </cell>
        </row>
        <row r="3727">
          <cell r="E3727">
            <v>0</v>
          </cell>
          <cell r="F3727">
            <v>0</v>
          </cell>
          <cell r="DN3727">
            <v>0</v>
          </cell>
        </row>
        <row r="3728">
          <cell r="E3728">
            <v>0</v>
          </cell>
          <cell r="F3728">
            <v>0</v>
          </cell>
          <cell r="DN3728">
            <v>0</v>
          </cell>
        </row>
        <row r="3729">
          <cell r="E3729">
            <v>0</v>
          </cell>
          <cell r="F3729">
            <v>0</v>
          </cell>
          <cell r="DN3729">
            <v>0</v>
          </cell>
        </row>
        <row r="3730">
          <cell r="E3730">
            <v>0</v>
          </cell>
          <cell r="F3730">
            <v>0</v>
          </cell>
          <cell r="DN3730">
            <v>0</v>
          </cell>
        </row>
        <row r="3731">
          <cell r="E3731">
            <v>0</v>
          </cell>
          <cell r="F3731">
            <v>0</v>
          </cell>
          <cell r="DN3731">
            <v>0</v>
          </cell>
        </row>
        <row r="3732">
          <cell r="E3732">
            <v>0</v>
          </cell>
          <cell r="F3732">
            <v>0</v>
          </cell>
          <cell r="DN3732">
            <v>0</v>
          </cell>
        </row>
        <row r="3733">
          <cell r="E3733">
            <v>0</v>
          </cell>
          <cell r="F3733">
            <v>0</v>
          </cell>
          <cell r="DN3733">
            <v>0</v>
          </cell>
        </row>
        <row r="3734">
          <cell r="E3734">
            <v>0</v>
          </cell>
          <cell r="F3734">
            <v>0</v>
          </cell>
          <cell r="DN3734">
            <v>0</v>
          </cell>
        </row>
        <row r="3735">
          <cell r="E3735">
            <v>0</v>
          </cell>
          <cell r="F3735">
            <v>0</v>
          </cell>
          <cell r="DN3735">
            <v>0</v>
          </cell>
        </row>
        <row r="3736">
          <cell r="E3736">
            <v>0</v>
          </cell>
          <cell r="F3736">
            <v>0</v>
          </cell>
          <cell r="DN3736">
            <v>0</v>
          </cell>
        </row>
        <row r="3737">
          <cell r="E3737">
            <v>0</v>
          </cell>
          <cell r="F3737">
            <v>0</v>
          </cell>
          <cell r="DN3737">
            <v>0</v>
          </cell>
        </row>
        <row r="3738">
          <cell r="E3738">
            <v>0</v>
          </cell>
          <cell r="F3738">
            <v>0</v>
          </cell>
          <cell r="DN3738">
            <v>0</v>
          </cell>
        </row>
        <row r="3739">
          <cell r="E3739">
            <v>0</v>
          </cell>
          <cell r="F3739">
            <v>0</v>
          </cell>
          <cell r="DN3739">
            <v>0</v>
          </cell>
        </row>
        <row r="3740">
          <cell r="E3740">
            <v>0</v>
          </cell>
          <cell r="F3740">
            <v>0</v>
          </cell>
          <cell r="DN3740">
            <v>0</v>
          </cell>
        </row>
        <row r="3741">
          <cell r="E3741">
            <v>0</v>
          </cell>
          <cell r="F3741">
            <v>0</v>
          </cell>
          <cell r="DN3741">
            <v>0</v>
          </cell>
        </row>
        <row r="3742">
          <cell r="E3742">
            <v>0</v>
          </cell>
          <cell r="F3742">
            <v>0</v>
          </cell>
          <cell r="DN3742">
            <v>0</v>
          </cell>
        </row>
        <row r="3743">
          <cell r="E3743">
            <v>0</v>
          </cell>
          <cell r="F3743">
            <v>0</v>
          </cell>
          <cell r="DN3743">
            <v>0</v>
          </cell>
        </row>
        <row r="3744">
          <cell r="E3744">
            <v>0</v>
          </cell>
          <cell r="F3744">
            <v>0</v>
          </cell>
          <cell r="DN3744">
            <v>0</v>
          </cell>
        </row>
        <row r="3745">
          <cell r="E3745">
            <v>0</v>
          </cell>
          <cell r="F3745">
            <v>0</v>
          </cell>
          <cell r="DN3745">
            <v>0</v>
          </cell>
        </row>
        <row r="3746">
          <cell r="E3746">
            <v>0</v>
          </cell>
          <cell r="F3746">
            <v>0</v>
          </cell>
          <cell r="DN3746">
            <v>0</v>
          </cell>
        </row>
        <row r="3747">
          <cell r="E3747">
            <v>0</v>
          </cell>
          <cell r="F3747">
            <v>0</v>
          </cell>
          <cell r="DN3747">
            <v>0</v>
          </cell>
        </row>
        <row r="3748">
          <cell r="E3748">
            <v>0</v>
          </cell>
          <cell r="F3748">
            <v>0</v>
          </cell>
          <cell r="DN3748">
            <v>0</v>
          </cell>
        </row>
        <row r="3749">
          <cell r="E3749">
            <v>0</v>
          </cell>
          <cell r="F3749">
            <v>0</v>
          </cell>
          <cell r="DN3749">
            <v>0</v>
          </cell>
        </row>
        <row r="3750">
          <cell r="E3750">
            <v>0</v>
          </cell>
          <cell r="F3750">
            <v>0</v>
          </cell>
          <cell r="DN3750">
            <v>0</v>
          </cell>
        </row>
        <row r="3751">
          <cell r="E3751">
            <v>0</v>
          </cell>
          <cell r="F3751">
            <v>0</v>
          </cell>
          <cell r="DN3751">
            <v>0</v>
          </cell>
        </row>
        <row r="3752">
          <cell r="E3752">
            <v>0</v>
          </cell>
          <cell r="F3752">
            <v>0</v>
          </cell>
          <cell r="DN3752">
            <v>0</v>
          </cell>
        </row>
        <row r="3753">
          <cell r="E3753">
            <v>0</v>
          </cell>
          <cell r="F3753">
            <v>0</v>
          </cell>
          <cell r="DN3753">
            <v>0</v>
          </cell>
        </row>
        <row r="3754">
          <cell r="E3754">
            <v>0</v>
          </cell>
          <cell r="F3754">
            <v>0</v>
          </cell>
          <cell r="DN3754">
            <v>0</v>
          </cell>
        </row>
        <row r="3755">
          <cell r="E3755">
            <v>0</v>
          </cell>
          <cell r="F3755">
            <v>0</v>
          </cell>
          <cell r="DN3755">
            <v>0</v>
          </cell>
        </row>
        <row r="3756">
          <cell r="E3756">
            <v>0</v>
          </cell>
          <cell r="F3756">
            <v>0</v>
          </cell>
          <cell r="DN3756">
            <v>0</v>
          </cell>
        </row>
        <row r="3757">
          <cell r="E3757">
            <v>0</v>
          </cell>
          <cell r="F3757">
            <v>0</v>
          </cell>
          <cell r="DN3757">
            <v>0</v>
          </cell>
        </row>
        <row r="3758">
          <cell r="E3758">
            <v>0</v>
          </cell>
          <cell r="F3758">
            <v>0</v>
          </cell>
          <cell r="DN3758">
            <v>0</v>
          </cell>
        </row>
        <row r="3759">
          <cell r="E3759">
            <v>0</v>
          </cell>
          <cell r="F3759">
            <v>0</v>
          </cell>
          <cell r="DN3759">
            <v>0</v>
          </cell>
        </row>
        <row r="3760">
          <cell r="E3760">
            <v>0</v>
          </cell>
          <cell r="F3760">
            <v>0</v>
          </cell>
          <cell r="DN3760">
            <v>0</v>
          </cell>
        </row>
        <row r="3761">
          <cell r="E3761">
            <v>0</v>
          </cell>
          <cell r="F3761">
            <v>0</v>
          </cell>
          <cell r="DN3761">
            <v>0</v>
          </cell>
        </row>
        <row r="3762">
          <cell r="E3762">
            <v>0</v>
          </cell>
          <cell r="F3762">
            <v>0</v>
          </cell>
          <cell r="DN3762">
            <v>0</v>
          </cell>
        </row>
        <row r="3763">
          <cell r="E3763">
            <v>0</v>
          </cell>
          <cell r="F3763">
            <v>0</v>
          </cell>
          <cell r="DN3763">
            <v>0</v>
          </cell>
        </row>
        <row r="3764">
          <cell r="E3764">
            <v>0</v>
          </cell>
          <cell r="F3764">
            <v>0</v>
          </cell>
          <cell r="DN3764">
            <v>0</v>
          </cell>
        </row>
        <row r="3765">
          <cell r="E3765">
            <v>0</v>
          </cell>
          <cell r="F3765">
            <v>0</v>
          </cell>
          <cell r="DN3765">
            <v>0</v>
          </cell>
        </row>
        <row r="3766">
          <cell r="E3766">
            <v>0</v>
          </cell>
          <cell r="F3766">
            <v>0</v>
          </cell>
          <cell r="DN3766">
            <v>0</v>
          </cell>
        </row>
        <row r="3767">
          <cell r="E3767">
            <v>0</v>
          </cell>
          <cell r="F3767">
            <v>0</v>
          </cell>
          <cell r="DN3767">
            <v>0</v>
          </cell>
        </row>
        <row r="3768">
          <cell r="E3768">
            <v>0</v>
          </cell>
          <cell r="F3768">
            <v>0</v>
          </cell>
          <cell r="DN3768">
            <v>0</v>
          </cell>
        </row>
        <row r="3769">
          <cell r="E3769">
            <v>0</v>
          </cell>
          <cell r="F3769">
            <v>0</v>
          </cell>
          <cell r="DN3769">
            <v>0</v>
          </cell>
        </row>
        <row r="3770">
          <cell r="E3770">
            <v>0</v>
          </cell>
          <cell r="F3770">
            <v>0</v>
          </cell>
          <cell r="DN3770">
            <v>0</v>
          </cell>
        </row>
        <row r="3771">
          <cell r="E3771">
            <v>0</v>
          </cell>
          <cell r="F3771">
            <v>0</v>
          </cell>
          <cell r="DN3771">
            <v>0</v>
          </cell>
        </row>
        <row r="3772">
          <cell r="E3772">
            <v>0</v>
          </cell>
          <cell r="F3772">
            <v>0</v>
          </cell>
          <cell r="DN3772">
            <v>0</v>
          </cell>
        </row>
        <row r="3773">
          <cell r="E3773">
            <v>0</v>
          </cell>
          <cell r="F3773">
            <v>0</v>
          </cell>
          <cell r="DN3773">
            <v>0</v>
          </cell>
        </row>
        <row r="3774">
          <cell r="E3774">
            <v>0</v>
          </cell>
          <cell r="F3774">
            <v>0</v>
          </cell>
          <cell r="DN3774">
            <v>0</v>
          </cell>
        </row>
        <row r="3775">
          <cell r="E3775">
            <v>0</v>
          </cell>
          <cell r="F3775">
            <v>0</v>
          </cell>
          <cell r="DN3775">
            <v>0</v>
          </cell>
        </row>
        <row r="3776">
          <cell r="E3776">
            <v>0</v>
          </cell>
          <cell r="F3776">
            <v>0</v>
          </cell>
          <cell r="DN3776">
            <v>0</v>
          </cell>
        </row>
        <row r="3777">
          <cell r="E3777">
            <v>0</v>
          </cell>
          <cell r="F3777">
            <v>0</v>
          </cell>
          <cell r="DN3777">
            <v>0</v>
          </cell>
        </row>
        <row r="3778">
          <cell r="E3778">
            <v>0</v>
          </cell>
          <cell r="F3778">
            <v>0</v>
          </cell>
          <cell r="DN3778">
            <v>0</v>
          </cell>
        </row>
        <row r="3779">
          <cell r="E3779">
            <v>0</v>
          </cell>
          <cell r="F3779">
            <v>0</v>
          </cell>
          <cell r="DN3779">
            <v>0</v>
          </cell>
        </row>
        <row r="3780">
          <cell r="E3780">
            <v>0</v>
          </cell>
          <cell r="F3780">
            <v>0</v>
          </cell>
          <cell r="DN3780">
            <v>0</v>
          </cell>
        </row>
        <row r="3781">
          <cell r="E3781">
            <v>0</v>
          </cell>
          <cell r="F3781">
            <v>0</v>
          </cell>
          <cell r="DN3781">
            <v>0</v>
          </cell>
        </row>
        <row r="3782">
          <cell r="E3782">
            <v>0</v>
          </cell>
          <cell r="F3782">
            <v>0</v>
          </cell>
          <cell r="DN3782">
            <v>0</v>
          </cell>
        </row>
        <row r="3783">
          <cell r="E3783">
            <v>0</v>
          </cell>
          <cell r="F3783">
            <v>0</v>
          </cell>
          <cell r="DN3783">
            <v>0</v>
          </cell>
        </row>
        <row r="3784">
          <cell r="E3784">
            <v>0</v>
          </cell>
          <cell r="F3784">
            <v>0</v>
          </cell>
          <cell r="DN3784">
            <v>0</v>
          </cell>
        </row>
        <row r="3785">
          <cell r="E3785">
            <v>0</v>
          </cell>
          <cell r="F3785">
            <v>0</v>
          </cell>
          <cell r="DN3785">
            <v>0</v>
          </cell>
        </row>
        <row r="3786">
          <cell r="E3786">
            <v>0</v>
          </cell>
          <cell r="F3786">
            <v>0</v>
          </cell>
          <cell r="DN3786">
            <v>0</v>
          </cell>
        </row>
        <row r="3787">
          <cell r="E3787">
            <v>0</v>
          </cell>
          <cell r="F3787">
            <v>0</v>
          </cell>
          <cell r="DN3787">
            <v>0</v>
          </cell>
        </row>
        <row r="3788">
          <cell r="E3788">
            <v>0</v>
          </cell>
          <cell r="F3788">
            <v>0</v>
          </cell>
          <cell r="DN3788">
            <v>0</v>
          </cell>
        </row>
        <row r="3789">
          <cell r="E3789">
            <v>0</v>
          </cell>
          <cell r="F3789">
            <v>0</v>
          </cell>
          <cell r="DN3789">
            <v>0</v>
          </cell>
        </row>
        <row r="3790">
          <cell r="E3790">
            <v>0</v>
          </cell>
          <cell r="F3790">
            <v>0</v>
          </cell>
          <cell r="DN3790">
            <v>0</v>
          </cell>
        </row>
        <row r="3791">
          <cell r="E3791">
            <v>0</v>
          </cell>
          <cell r="F3791">
            <v>0</v>
          </cell>
          <cell r="DN3791">
            <v>0</v>
          </cell>
        </row>
        <row r="3792">
          <cell r="E3792">
            <v>0</v>
          </cell>
          <cell r="F3792">
            <v>0</v>
          </cell>
          <cell r="DN3792">
            <v>0</v>
          </cell>
        </row>
        <row r="3793">
          <cell r="E3793">
            <v>0</v>
          </cell>
          <cell r="F3793">
            <v>0</v>
          </cell>
          <cell r="DN3793">
            <v>0</v>
          </cell>
        </row>
        <row r="3794">
          <cell r="E3794">
            <v>0</v>
          </cell>
          <cell r="F3794">
            <v>0</v>
          </cell>
          <cell r="DN3794">
            <v>0</v>
          </cell>
        </row>
        <row r="3795">
          <cell r="E3795">
            <v>0</v>
          </cell>
          <cell r="F3795">
            <v>0</v>
          </cell>
          <cell r="DN3795">
            <v>0</v>
          </cell>
        </row>
        <row r="3796">
          <cell r="E3796">
            <v>0</v>
          </cell>
          <cell r="F3796">
            <v>0</v>
          </cell>
          <cell r="DN3796">
            <v>0</v>
          </cell>
        </row>
        <row r="3797">
          <cell r="E3797">
            <v>0</v>
          </cell>
          <cell r="F3797">
            <v>0</v>
          </cell>
          <cell r="DN3797">
            <v>0</v>
          </cell>
        </row>
        <row r="3798">
          <cell r="E3798">
            <v>0</v>
          </cell>
          <cell r="F3798">
            <v>0</v>
          </cell>
          <cell r="DN3798">
            <v>0</v>
          </cell>
        </row>
        <row r="3799">
          <cell r="E3799">
            <v>0</v>
          </cell>
          <cell r="F3799">
            <v>0</v>
          </cell>
          <cell r="DN3799">
            <v>0</v>
          </cell>
        </row>
        <row r="3800">
          <cell r="E3800">
            <v>0</v>
          </cell>
          <cell r="F3800">
            <v>0</v>
          </cell>
          <cell r="DN3800">
            <v>0</v>
          </cell>
        </row>
        <row r="3801">
          <cell r="E3801">
            <v>0</v>
          </cell>
          <cell r="F3801">
            <v>0</v>
          </cell>
          <cell r="DN3801">
            <v>0</v>
          </cell>
        </row>
        <row r="3802">
          <cell r="E3802">
            <v>0</v>
          </cell>
          <cell r="F3802">
            <v>0</v>
          </cell>
          <cell r="DN3802">
            <v>0</v>
          </cell>
        </row>
        <row r="3803">
          <cell r="E3803">
            <v>0</v>
          </cell>
          <cell r="F3803">
            <v>0</v>
          </cell>
          <cell r="DN3803">
            <v>0</v>
          </cell>
        </row>
        <row r="3804">
          <cell r="E3804">
            <v>0</v>
          </cell>
          <cell r="F3804">
            <v>0</v>
          </cell>
          <cell r="DN3804">
            <v>0</v>
          </cell>
        </row>
        <row r="3805">
          <cell r="E3805">
            <v>0</v>
          </cell>
          <cell r="F3805">
            <v>0</v>
          </cell>
          <cell r="DN3805">
            <v>0</v>
          </cell>
        </row>
        <row r="3806">
          <cell r="E3806">
            <v>0</v>
          </cell>
          <cell r="F3806">
            <v>0</v>
          </cell>
          <cell r="DN3806">
            <v>0</v>
          </cell>
        </row>
        <row r="3807">
          <cell r="E3807">
            <v>0</v>
          </cell>
          <cell r="F3807">
            <v>0</v>
          </cell>
          <cell r="DN3807">
            <v>0</v>
          </cell>
        </row>
        <row r="3808">
          <cell r="E3808">
            <v>0</v>
          </cell>
          <cell r="F3808">
            <v>0</v>
          </cell>
          <cell r="DN3808">
            <v>0</v>
          </cell>
        </row>
        <row r="3809">
          <cell r="E3809">
            <v>0</v>
          </cell>
          <cell r="F3809">
            <v>0</v>
          </cell>
          <cell r="DN3809">
            <v>0</v>
          </cell>
        </row>
        <row r="3810">
          <cell r="E3810">
            <v>0</v>
          </cell>
          <cell r="F3810">
            <v>0</v>
          </cell>
          <cell r="DN3810">
            <v>0</v>
          </cell>
        </row>
        <row r="3811">
          <cell r="E3811">
            <v>0</v>
          </cell>
          <cell r="F3811">
            <v>0</v>
          </cell>
          <cell r="DN3811">
            <v>0</v>
          </cell>
        </row>
        <row r="3812">
          <cell r="E3812">
            <v>0</v>
          </cell>
          <cell r="F3812">
            <v>0</v>
          </cell>
          <cell r="DN3812">
            <v>0</v>
          </cell>
        </row>
        <row r="3813">
          <cell r="E3813">
            <v>0</v>
          </cell>
          <cell r="F3813">
            <v>0</v>
          </cell>
          <cell r="DN3813">
            <v>0</v>
          </cell>
        </row>
        <row r="3814">
          <cell r="E3814">
            <v>0</v>
          </cell>
          <cell r="F3814">
            <v>0</v>
          </cell>
          <cell r="DN3814">
            <v>0</v>
          </cell>
        </row>
        <row r="3815">
          <cell r="E3815">
            <v>0</v>
          </cell>
          <cell r="F3815">
            <v>0</v>
          </cell>
          <cell r="DN3815">
            <v>0</v>
          </cell>
        </row>
        <row r="3816">
          <cell r="E3816">
            <v>0</v>
          </cell>
          <cell r="F3816">
            <v>0</v>
          </cell>
          <cell r="DN3816">
            <v>0</v>
          </cell>
        </row>
        <row r="3817">
          <cell r="E3817">
            <v>0</v>
          </cell>
          <cell r="F3817">
            <v>0</v>
          </cell>
          <cell r="DN3817">
            <v>0</v>
          </cell>
        </row>
        <row r="3818">
          <cell r="E3818">
            <v>0</v>
          </cell>
          <cell r="F3818">
            <v>0</v>
          </cell>
          <cell r="DN3818">
            <v>0</v>
          </cell>
        </row>
        <row r="3819">
          <cell r="E3819">
            <v>0</v>
          </cell>
          <cell r="F3819">
            <v>0</v>
          </cell>
          <cell r="DN3819">
            <v>0</v>
          </cell>
        </row>
        <row r="3820">
          <cell r="E3820">
            <v>0</v>
          </cell>
          <cell r="F3820">
            <v>0</v>
          </cell>
          <cell r="DN3820">
            <v>0</v>
          </cell>
        </row>
        <row r="3821">
          <cell r="E3821">
            <v>0</v>
          </cell>
          <cell r="F3821">
            <v>0</v>
          </cell>
          <cell r="DN3821">
            <v>0</v>
          </cell>
        </row>
        <row r="3822">
          <cell r="E3822">
            <v>0</v>
          </cell>
          <cell r="F3822">
            <v>0</v>
          </cell>
          <cell r="DN3822">
            <v>0</v>
          </cell>
        </row>
        <row r="3823">
          <cell r="E3823">
            <v>0</v>
          </cell>
          <cell r="F3823">
            <v>0</v>
          </cell>
          <cell r="DN3823">
            <v>0</v>
          </cell>
        </row>
        <row r="3824">
          <cell r="E3824">
            <v>0</v>
          </cell>
          <cell r="F3824">
            <v>0</v>
          </cell>
          <cell r="DN3824">
            <v>0</v>
          </cell>
        </row>
        <row r="3825">
          <cell r="E3825">
            <v>0</v>
          </cell>
          <cell r="F3825">
            <v>0</v>
          </cell>
          <cell r="DN3825">
            <v>0</v>
          </cell>
        </row>
        <row r="3826">
          <cell r="E3826">
            <v>0</v>
          </cell>
          <cell r="F3826">
            <v>0</v>
          </cell>
          <cell r="DN3826">
            <v>0</v>
          </cell>
        </row>
        <row r="3827">
          <cell r="E3827">
            <v>0</v>
          </cell>
          <cell r="F3827">
            <v>0</v>
          </cell>
          <cell r="DN3827">
            <v>0</v>
          </cell>
        </row>
        <row r="3828">
          <cell r="E3828">
            <v>0</v>
          </cell>
          <cell r="F3828">
            <v>0</v>
          </cell>
          <cell r="DN3828">
            <v>0</v>
          </cell>
        </row>
        <row r="3829">
          <cell r="E3829">
            <v>0</v>
          </cell>
          <cell r="F3829">
            <v>0</v>
          </cell>
          <cell r="DN3829">
            <v>0</v>
          </cell>
        </row>
        <row r="3830">
          <cell r="E3830">
            <v>0</v>
          </cell>
          <cell r="F3830">
            <v>0</v>
          </cell>
          <cell r="DN3830">
            <v>0</v>
          </cell>
        </row>
        <row r="3831">
          <cell r="E3831">
            <v>0</v>
          </cell>
          <cell r="F3831">
            <v>0</v>
          </cell>
          <cell r="DN3831">
            <v>0</v>
          </cell>
        </row>
        <row r="3832">
          <cell r="E3832">
            <v>0</v>
          </cell>
          <cell r="F3832">
            <v>0</v>
          </cell>
          <cell r="DN3832">
            <v>0</v>
          </cell>
        </row>
        <row r="3833">
          <cell r="E3833">
            <v>0</v>
          </cell>
          <cell r="F3833">
            <v>0</v>
          </cell>
          <cell r="DN3833">
            <v>0</v>
          </cell>
        </row>
        <row r="3834">
          <cell r="E3834">
            <v>0</v>
          </cell>
          <cell r="F3834">
            <v>0</v>
          </cell>
          <cell r="DN3834">
            <v>0</v>
          </cell>
        </row>
        <row r="3835">
          <cell r="E3835">
            <v>0</v>
          </cell>
          <cell r="F3835">
            <v>0</v>
          </cell>
          <cell r="DN3835">
            <v>0</v>
          </cell>
        </row>
        <row r="3836">
          <cell r="E3836">
            <v>0</v>
          </cell>
          <cell r="F3836">
            <v>0</v>
          </cell>
          <cell r="DN3836">
            <v>0</v>
          </cell>
        </row>
        <row r="3837">
          <cell r="E3837">
            <v>0</v>
          </cell>
          <cell r="F3837">
            <v>0</v>
          </cell>
          <cell r="DN3837">
            <v>0</v>
          </cell>
        </row>
        <row r="3838">
          <cell r="E3838">
            <v>0</v>
          </cell>
          <cell r="F3838">
            <v>0</v>
          </cell>
          <cell r="DN3838">
            <v>0</v>
          </cell>
        </row>
        <row r="3839">
          <cell r="E3839">
            <v>0</v>
          </cell>
          <cell r="F3839">
            <v>0</v>
          </cell>
          <cell r="DN3839">
            <v>0</v>
          </cell>
        </row>
        <row r="3840">
          <cell r="E3840">
            <v>0</v>
          </cell>
          <cell r="F3840">
            <v>0</v>
          </cell>
          <cell r="DN3840">
            <v>0</v>
          </cell>
        </row>
        <row r="3841">
          <cell r="E3841">
            <v>0</v>
          </cell>
          <cell r="F3841">
            <v>0</v>
          </cell>
          <cell r="DN3841">
            <v>0</v>
          </cell>
        </row>
        <row r="3842">
          <cell r="E3842">
            <v>0</v>
          </cell>
          <cell r="F3842">
            <v>0</v>
          </cell>
          <cell r="DN3842">
            <v>0</v>
          </cell>
        </row>
        <row r="3843">
          <cell r="E3843">
            <v>0</v>
          </cell>
          <cell r="F3843">
            <v>0</v>
          </cell>
          <cell r="DN3843">
            <v>0</v>
          </cell>
        </row>
        <row r="3844">
          <cell r="E3844">
            <v>0</v>
          </cell>
          <cell r="F3844">
            <v>0</v>
          </cell>
          <cell r="DN3844">
            <v>0</v>
          </cell>
        </row>
        <row r="3845">
          <cell r="E3845">
            <v>0</v>
          </cell>
          <cell r="F3845">
            <v>0</v>
          </cell>
          <cell r="DN3845">
            <v>0</v>
          </cell>
        </row>
        <row r="3846">
          <cell r="E3846">
            <v>0</v>
          </cell>
          <cell r="F3846">
            <v>0</v>
          </cell>
          <cell r="DN3846">
            <v>0</v>
          </cell>
        </row>
        <row r="3847">
          <cell r="E3847">
            <v>0</v>
          </cell>
          <cell r="F3847">
            <v>0</v>
          </cell>
          <cell r="DN3847">
            <v>0</v>
          </cell>
        </row>
        <row r="3848">
          <cell r="E3848">
            <v>0</v>
          </cell>
          <cell r="F3848">
            <v>0</v>
          </cell>
          <cell r="DN3848">
            <v>0</v>
          </cell>
        </row>
        <row r="3849">
          <cell r="E3849">
            <v>0</v>
          </cell>
          <cell r="F3849">
            <v>0</v>
          </cell>
          <cell r="DN3849">
            <v>0</v>
          </cell>
        </row>
        <row r="3850">
          <cell r="E3850">
            <v>0</v>
          </cell>
          <cell r="F3850">
            <v>0</v>
          </cell>
          <cell r="DN3850">
            <v>0</v>
          </cell>
        </row>
        <row r="3851">
          <cell r="E3851">
            <v>0</v>
          </cell>
          <cell r="F3851">
            <v>0</v>
          </cell>
          <cell r="DN3851">
            <v>0</v>
          </cell>
        </row>
        <row r="3852">
          <cell r="E3852">
            <v>0</v>
          </cell>
          <cell r="F3852">
            <v>0</v>
          </cell>
          <cell r="DN3852">
            <v>0</v>
          </cell>
        </row>
        <row r="3853">
          <cell r="E3853">
            <v>0</v>
          </cell>
          <cell r="F3853">
            <v>0</v>
          </cell>
          <cell r="DN3853">
            <v>0</v>
          </cell>
        </row>
        <row r="3854">
          <cell r="E3854">
            <v>0</v>
          </cell>
          <cell r="F3854">
            <v>0</v>
          </cell>
          <cell r="DN3854">
            <v>0</v>
          </cell>
        </row>
        <row r="3855">
          <cell r="E3855">
            <v>0</v>
          </cell>
          <cell r="F3855">
            <v>0</v>
          </cell>
          <cell r="DN3855">
            <v>0</v>
          </cell>
        </row>
        <row r="3856">
          <cell r="E3856">
            <v>0</v>
          </cell>
          <cell r="F3856">
            <v>0</v>
          </cell>
          <cell r="DN3856">
            <v>0</v>
          </cell>
        </row>
        <row r="3857">
          <cell r="E3857">
            <v>0</v>
          </cell>
          <cell r="F3857">
            <v>0</v>
          </cell>
          <cell r="DN3857">
            <v>0</v>
          </cell>
        </row>
        <row r="3858">
          <cell r="E3858">
            <v>0</v>
          </cell>
          <cell r="F3858">
            <v>0</v>
          </cell>
          <cell r="DN3858">
            <v>0</v>
          </cell>
        </row>
        <row r="3859">
          <cell r="E3859">
            <v>0</v>
          </cell>
          <cell r="F3859">
            <v>0</v>
          </cell>
          <cell r="DN3859">
            <v>0</v>
          </cell>
        </row>
        <row r="3860">
          <cell r="E3860">
            <v>0</v>
          </cell>
          <cell r="F3860">
            <v>0</v>
          </cell>
          <cell r="DN3860">
            <v>0</v>
          </cell>
        </row>
        <row r="3861">
          <cell r="E3861">
            <v>0</v>
          </cell>
          <cell r="F3861">
            <v>0</v>
          </cell>
          <cell r="DN3861">
            <v>0</v>
          </cell>
        </row>
        <row r="3862">
          <cell r="E3862">
            <v>0</v>
          </cell>
          <cell r="F3862">
            <v>0</v>
          </cell>
          <cell r="DN3862">
            <v>0</v>
          </cell>
        </row>
        <row r="3863">
          <cell r="E3863">
            <v>0</v>
          </cell>
          <cell r="F3863">
            <v>0</v>
          </cell>
          <cell r="DN3863">
            <v>0</v>
          </cell>
        </row>
        <row r="3864">
          <cell r="E3864">
            <v>0</v>
          </cell>
          <cell r="F3864">
            <v>0</v>
          </cell>
          <cell r="DN3864">
            <v>0</v>
          </cell>
        </row>
        <row r="3865">
          <cell r="E3865">
            <v>0</v>
          </cell>
          <cell r="F3865">
            <v>0</v>
          </cell>
          <cell r="DN3865">
            <v>0</v>
          </cell>
        </row>
        <row r="3866">
          <cell r="E3866">
            <v>0</v>
          </cell>
          <cell r="F3866">
            <v>0</v>
          </cell>
          <cell r="DN3866">
            <v>0</v>
          </cell>
        </row>
        <row r="3867">
          <cell r="E3867">
            <v>0</v>
          </cell>
          <cell r="F3867">
            <v>0</v>
          </cell>
          <cell r="DN3867">
            <v>0</v>
          </cell>
        </row>
        <row r="3868">
          <cell r="E3868">
            <v>0</v>
          </cell>
          <cell r="F3868">
            <v>0</v>
          </cell>
          <cell r="DN3868">
            <v>0</v>
          </cell>
        </row>
        <row r="3869">
          <cell r="E3869">
            <v>0</v>
          </cell>
          <cell r="F3869">
            <v>0</v>
          </cell>
          <cell r="DN3869">
            <v>0</v>
          </cell>
        </row>
        <row r="3870">
          <cell r="E3870">
            <v>0</v>
          </cell>
          <cell r="F3870">
            <v>0</v>
          </cell>
          <cell r="DN3870">
            <v>0</v>
          </cell>
        </row>
        <row r="3871">
          <cell r="E3871">
            <v>0</v>
          </cell>
          <cell r="F3871">
            <v>0</v>
          </cell>
          <cell r="DN3871">
            <v>0</v>
          </cell>
        </row>
        <row r="3872">
          <cell r="E3872">
            <v>0</v>
          </cell>
          <cell r="F3872">
            <v>0</v>
          </cell>
          <cell r="DN3872">
            <v>0</v>
          </cell>
        </row>
        <row r="3873">
          <cell r="E3873">
            <v>0</v>
          </cell>
          <cell r="F3873">
            <v>0</v>
          </cell>
          <cell r="DN3873">
            <v>0</v>
          </cell>
        </row>
        <row r="3874">
          <cell r="E3874">
            <v>0</v>
          </cell>
          <cell r="F3874">
            <v>0</v>
          </cell>
          <cell r="DN3874">
            <v>0</v>
          </cell>
        </row>
        <row r="3875">
          <cell r="E3875">
            <v>0</v>
          </cell>
          <cell r="F3875">
            <v>0</v>
          </cell>
          <cell r="DN3875">
            <v>0</v>
          </cell>
        </row>
        <row r="3876">
          <cell r="E3876">
            <v>0</v>
          </cell>
          <cell r="F3876">
            <v>0</v>
          </cell>
          <cell r="DN3876">
            <v>0</v>
          </cell>
        </row>
        <row r="3877">
          <cell r="E3877">
            <v>0</v>
          </cell>
          <cell r="F3877">
            <v>0</v>
          </cell>
          <cell r="DN3877">
            <v>0</v>
          </cell>
        </row>
        <row r="3878">
          <cell r="E3878">
            <v>0</v>
          </cell>
          <cell r="F3878">
            <v>0</v>
          </cell>
          <cell r="DN3878">
            <v>0</v>
          </cell>
        </row>
        <row r="3879">
          <cell r="E3879">
            <v>0</v>
          </cell>
          <cell r="F3879">
            <v>0</v>
          </cell>
          <cell r="DN3879">
            <v>0</v>
          </cell>
        </row>
        <row r="3880">
          <cell r="E3880">
            <v>0</v>
          </cell>
          <cell r="F3880">
            <v>0</v>
          </cell>
          <cell r="DN3880">
            <v>0</v>
          </cell>
        </row>
        <row r="3881">
          <cell r="E3881">
            <v>0</v>
          </cell>
          <cell r="F3881">
            <v>0</v>
          </cell>
          <cell r="DN3881">
            <v>0</v>
          </cell>
        </row>
        <row r="3882">
          <cell r="E3882">
            <v>0</v>
          </cell>
          <cell r="F3882">
            <v>0</v>
          </cell>
          <cell r="DN3882">
            <v>0</v>
          </cell>
        </row>
        <row r="3883">
          <cell r="E3883">
            <v>0</v>
          </cell>
          <cell r="F3883">
            <v>0</v>
          </cell>
          <cell r="DN3883">
            <v>0</v>
          </cell>
        </row>
        <row r="3884">
          <cell r="E3884">
            <v>0</v>
          </cell>
          <cell r="F3884">
            <v>0</v>
          </cell>
          <cell r="DN3884">
            <v>0</v>
          </cell>
        </row>
        <row r="3885">
          <cell r="E3885">
            <v>0</v>
          </cell>
          <cell r="F3885">
            <v>0</v>
          </cell>
          <cell r="DN3885">
            <v>0</v>
          </cell>
        </row>
        <row r="3886">
          <cell r="E3886">
            <v>0</v>
          </cell>
          <cell r="F3886">
            <v>0</v>
          </cell>
          <cell r="DN3886">
            <v>0</v>
          </cell>
        </row>
        <row r="3887">
          <cell r="E3887">
            <v>0</v>
          </cell>
          <cell r="F3887">
            <v>0</v>
          </cell>
          <cell r="DN3887">
            <v>0</v>
          </cell>
        </row>
        <row r="3888">
          <cell r="E3888">
            <v>0</v>
          </cell>
          <cell r="F3888">
            <v>0</v>
          </cell>
          <cell r="DN3888">
            <v>0</v>
          </cell>
        </row>
        <row r="3889">
          <cell r="E3889">
            <v>0</v>
          </cell>
          <cell r="F3889">
            <v>0</v>
          </cell>
          <cell r="DN3889">
            <v>0</v>
          </cell>
        </row>
        <row r="3890">
          <cell r="E3890">
            <v>0</v>
          </cell>
          <cell r="F3890">
            <v>0</v>
          </cell>
          <cell r="DN3890">
            <v>0</v>
          </cell>
        </row>
        <row r="3891">
          <cell r="E3891">
            <v>0</v>
          </cell>
          <cell r="F3891">
            <v>0</v>
          </cell>
          <cell r="DN3891">
            <v>0</v>
          </cell>
        </row>
        <row r="3892">
          <cell r="E3892">
            <v>0</v>
          </cell>
          <cell r="F3892">
            <v>0</v>
          </cell>
          <cell r="DN3892">
            <v>0</v>
          </cell>
        </row>
        <row r="3893">
          <cell r="E3893">
            <v>0</v>
          </cell>
          <cell r="F3893">
            <v>0</v>
          </cell>
          <cell r="DN3893">
            <v>0</v>
          </cell>
        </row>
        <row r="3894">
          <cell r="E3894">
            <v>0</v>
          </cell>
          <cell r="F3894">
            <v>0</v>
          </cell>
          <cell r="DN3894">
            <v>0</v>
          </cell>
        </row>
        <row r="3895">
          <cell r="E3895">
            <v>0</v>
          </cell>
          <cell r="F3895">
            <v>0</v>
          </cell>
          <cell r="DN3895">
            <v>0</v>
          </cell>
        </row>
        <row r="3896">
          <cell r="E3896">
            <v>0</v>
          </cell>
          <cell r="F3896">
            <v>0</v>
          </cell>
          <cell r="DN3896">
            <v>0</v>
          </cell>
        </row>
        <row r="3897">
          <cell r="E3897">
            <v>0</v>
          </cell>
          <cell r="F3897">
            <v>0</v>
          </cell>
          <cell r="DN3897">
            <v>0</v>
          </cell>
        </row>
        <row r="3898">
          <cell r="E3898">
            <v>0</v>
          </cell>
          <cell r="F3898">
            <v>0</v>
          </cell>
          <cell r="DN3898">
            <v>0</v>
          </cell>
        </row>
        <row r="3899">
          <cell r="E3899">
            <v>0</v>
          </cell>
          <cell r="F3899">
            <v>0</v>
          </cell>
          <cell r="DN3899">
            <v>0</v>
          </cell>
        </row>
        <row r="3900">
          <cell r="E3900">
            <v>0</v>
          </cell>
          <cell r="F3900">
            <v>0</v>
          </cell>
          <cell r="DN3900">
            <v>0</v>
          </cell>
        </row>
        <row r="3901">
          <cell r="E3901">
            <v>0</v>
          </cell>
          <cell r="F3901">
            <v>0</v>
          </cell>
          <cell r="DN3901">
            <v>0</v>
          </cell>
        </row>
        <row r="3902">
          <cell r="E3902">
            <v>0</v>
          </cell>
          <cell r="F3902">
            <v>0</v>
          </cell>
          <cell r="DN3902">
            <v>0</v>
          </cell>
        </row>
        <row r="3903">
          <cell r="E3903">
            <v>0</v>
          </cell>
          <cell r="F3903">
            <v>0</v>
          </cell>
          <cell r="DN3903">
            <v>0</v>
          </cell>
        </row>
        <row r="3904">
          <cell r="E3904">
            <v>0</v>
          </cell>
          <cell r="F3904">
            <v>0</v>
          </cell>
          <cell r="DN3904">
            <v>0</v>
          </cell>
        </row>
        <row r="3905">
          <cell r="E3905">
            <v>0</v>
          </cell>
          <cell r="F3905">
            <v>0</v>
          </cell>
          <cell r="DN3905">
            <v>0</v>
          </cell>
        </row>
        <row r="3906">
          <cell r="E3906">
            <v>0</v>
          </cell>
          <cell r="F3906">
            <v>0</v>
          </cell>
          <cell r="DN3906">
            <v>0</v>
          </cell>
        </row>
        <row r="3907">
          <cell r="E3907">
            <v>0</v>
          </cell>
          <cell r="F3907">
            <v>0</v>
          </cell>
          <cell r="DN3907">
            <v>0</v>
          </cell>
        </row>
        <row r="3908">
          <cell r="E3908">
            <v>0</v>
          </cell>
          <cell r="F3908">
            <v>0</v>
          </cell>
          <cell r="DN3908">
            <v>0</v>
          </cell>
        </row>
        <row r="3909">
          <cell r="E3909">
            <v>0</v>
          </cell>
          <cell r="F3909">
            <v>0</v>
          </cell>
          <cell r="DN3909">
            <v>0</v>
          </cell>
        </row>
        <row r="3910">
          <cell r="E3910">
            <v>0</v>
          </cell>
          <cell r="F3910">
            <v>0</v>
          </cell>
          <cell r="DN3910">
            <v>0</v>
          </cell>
        </row>
        <row r="3911">
          <cell r="E3911">
            <v>0</v>
          </cell>
          <cell r="F3911">
            <v>0</v>
          </cell>
          <cell r="DN3911">
            <v>0</v>
          </cell>
        </row>
        <row r="3912">
          <cell r="E3912">
            <v>0</v>
          </cell>
          <cell r="F3912">
            <v>0</v>
          </cell>
          <cell r="DN3912">
            <v>0</v>
          </cell>
        </row>
        <row r="3913">
          <cell r="E3913">
            <v>0</v>
          </cell>
          <cell r="F3913">
            <v>0</v>
          </cell>
          <cell r="DN3913">
            <v>0</v>
          </cell>
        </row>
        <row r="3914">
          <cell r="E3914">
            <v>0</v>
          </cell>
          <cell r="F3914">
            <v>0</v>
          </cell>
          <cell r="DN3914">
            <v>0</v>
          </cell>
        </row>
        <row r="3915">
          <cell r="E3915">
            <v>0</v>
          </cell>
          <cell r="F3915">
            <v>0</v>
          </cell>
          <cell r="DN3915">
            <v>0</v>
          </cell>
        </row>
        <row r="3916">
          <cell r="E3916">
            <v>0</v>
          </cell>
          <cell r="F3916">
            <v>0</v>
          </cell>
          <cell r="DN3916">
            <v>0</v>
          </cell>
        </row>
        <row r="3917">
          <cell r="E3917">
            <v>0</v>
          </cell>
          <cell r="F3917">
            <v>0</v>
          </cell>
          <cell r="DN3917">
            <v>0</v>
          </cell>
        </row>
        <row r="3918">
          <cell r="E3918">
            <v>0</v>
          </cell>
          <cell r="F3918">
            <v>0</v>
          </cell>
          <cell r="DN3918">
            <v>0</v>
          </cell>
        </row>
        <row r="3919">
          <cell r="E3919">
            <v>0</v>
          </cell>
          <cell r="F3919">
            <v>0</v>
          </cell>
          <cell r="DN3919">
            <v>0</v>
          </cell>
        </row>
        <row r="3920">
          <cell r="E3920">
            <v>0</v>
          </cell>
          <cell r="F3920">
            <v>0</v>
          </cell>
          <cell r="DN3920">
            <v>0</v>
          </cell>
        </row>
        <row r="3921">
          <cell r="E3921">
            <v>0</v>
          </cell>
          <cell r="F3921">
            <v>0</v>
          </cell>
          <cell r="DN3921">
            <v>0</v>
          </cell>
        </row>
        <row r="3922">
          <cell r="E3922">
            <v>0</v>
          </cell>
          <cell r="F3922">
            <v>0</v>
          </cell>
          <cell r="DN3922">
            <v>0</v>
          </cell>
        </row>
        <row r="3923">
          <cell r="E3923">
            <v>0</v>
          </cell>
          <cell r="F3923">
            <v>0</v>
          </cell>
          <cell r="DN3923">
            <v>0</v>
          </cell>
        </row>
        <row r="3924">
          <cell r="E3924">
            <v>0</v>
          </cell>
          <cell r="F3924">
            <v>0</v>
          </cell>
          <cell r="DN3924">
            <v>0</v>
          </cell>
        </row>
        <row r="3925">
          <cell r="E3925">
            <v>0</v>
          </cell>
          <cell r="F3925">
            <v>0</v>
          </cell>
          <cell r="DN3925">
            <v>0</v>
          </cell>
        </row>
        <row r="3926">
          <cell r="E3926">
            <v>0</v>
          </cell>
          <cell r="F3926">
            <v>0</v>
          </cell>
          <cell r="DN3926">
            <v>0</v>
          </cell>
        </row>
        <row r="3927">
          <cell r="E3927">
            <v>0</v>
          </cell>
          <cell r="F3927">
            <v>0</v>
          </cell>
          <cell r="DN3927">
            <v>0</v>
          </cell>
        </row>
        <row r="3928">
          <cell r="E3928">
            <v>0</v>
          </cell>
          <cell r="F3928">
            <v>0</v>
          </cell>
          <cell r="DN3928">
            <v>0</v>
          </cell>
        </row>
        <row r="3929">
          <cell r="E3929">
            <v>0</v>
          </cell>
          <cell r="F3929">
            <v>0</v>
          </cell>
          <cell r="DN3929">
            <v>0</v>
          </cell>
        </row>
        <row r="3930">
          <cell r="E3930">
            <v>0</v>
          </cell>
          <cell r="F3930">
            <v>0</v>
          </cell>
          <cell r="DN3930">
            <v>0</v>
          </cell>
        </row>
        <row r="3931">
          <cell r="E3931">
            <v>0</v>
          </cell>
          <cell r="F3931">
            <v>0</v>
          </cell>
          <cell r="DN3931">
            <v>0</v>
          </cell>
        </row>
        <row r="3932">
          <cell r="E3932">
            <v>0</v>
          </cell>
          <cell r="F3932">
            <v>0</v>
          </cell>
          <cell r="DN3932">
            <v>0</v>
          </cell>
        </row>
        <row r="3933">
          <cell r="E3933">
            <v>0</v>
          </cell>
          <cell r="F3933">
            <v>0</v>
          </cell>
          <cell r="DN3933">
            <v>0</v>
          </cell>
        </row>
        <row r="3934">
          <cell r="E3934">
            <v>0</v>
          </cell>
          <cell r="F3934">
            <v>0</v>
          </cell>
          <cell r="DN3934">
            <v>0</v>
          </cell>
        </row>
        <row r="3935">
          <cell r="E3935">
            <v>0</v>
          </cell>
          <cell r="F3935">
            <v>0</v>
          </cell>
          <cell r="DN3935">
            <v>0</v>
          </cell>
        </row>
        <row r="3936">
          <cell r="E3936">
            <v>0</v>
          </cell>
          <cell r="F3936">
            <v>0</v>
          </cell>
          <cell r="DN3936">
            <v>0</v>
          </cell>
        </row>
        <row r="3937">
          <cell r="E3937">
            <v>0</v>
          </cell>
          <cell r="F3937">
            <v>0</v>
          </cell>
          <cell r="DN3937">
            <v>0</v>
          </cell>
        </row>
        <row r="3938">
          <cell r="E3938">
            <v>0</v>
          </cell>
          <cell r="F3938">
            <v>0</v>
          </cell>
          <cell r="DN3938">
            <v>0</v>
          </cell>
        </row>
        <row r="3939">
          <cell r="E3939">
            <v>0</v>
          </cell>
          <cell r="F3939">
            <v>0</v>
          </cell>
          <cell r="DN3939">
            <v>0</v>
          </cell>
        </row>
        <row r="3940">
          <cell r="E3940">
            <v>0</v>
          </cell>
          <cell r="F3940">
            <v>0</v>
          </cell>
          <cell r="DN3940">
            <v>0</v>
          </cell>
        </row>
        <row r="3941">
          <cell r="E3941">
            <v>0</v>
          </cell>
          <cell r="F3941">
            <v>0</v>
          </cell>
          <cell r="DN3941">
            <v>0</v>
          </cell>
        </row>
        <row r="3942">
          <cell r="E3942">
            <v>0</v>
          </cell>
          <cell r="F3942">
            <v>0</v>
          </cell>
          <cell r="DN3942">
            <v>0</v>
          </cell>
        </row>
        <row r="3943">
          <cell r="E3943">
            <v>0</v>
          </cell>
          <cell r="F3943">
            <v>0</v>
          </cell>
          <cell r="DN3943">
            <v>0</v>
          </cell>
        </row>
        <row r="3944">
          <cell r="E3944">
            <v>0</v>
          </cell>
          <cell r="F3944">
            <v>0</v>
          </cell>
          <cell r="DN3944">
            <v>0</v>
          </cell>
        </row>
        <row r="3945">
          <cell r="E3945">
            <v>0</v>
          </cell>
          <cell r="F3945">
            <v>0</v>
          </cell>
          <cell r="DN3945">
            <v>0</v>
          </cell>
        </row>
        <row r="3946">
          <cell r="E3946">
            <v>0</v>
          </cell>
          <cell r="F3946">
            <v>0</v>
          </cell>
          <cell r="DN3946">
            <v>0</v>
          </cell>
        </row>
        <row r="3947">
          <cell r="E3947">
            <v>0</v>
          </cell>
          <cell r="F3947">
            <v>0</v>
          </cell>
          <cell r="DN3947">
            <v>0</v>
          </cell>
        </row>
        <row r="3948">
          <cell r="E3948">
            <v>0</v>
          </cell>
          <cell r="F3948">
            <v>0</v>
          </cell>
          <cell r="DN3948">
            <v>0</v>
          </cell>
        </row>
        <row r="3949">
          <cell r="E3949">
            <v>0</v>
          </cell>
          <cell r="F3949">
            <v>0</v>
          </cell>
          <cell r="DN3949">
            <v>0</v>
          </cell>
        </row>
        <row r="3950">
          <cell r="E3950">
            <v>0</v>
          </cell>
          <cell r="F3950">
            <v>0</v>
          </cell>
          <cell r="DN3950">
            <v>0</v>
          </cell>
        </row>
        <row r="3951">
          <cell r="E3951">
            <v>0</v>
          </cell>
          <cell r="F3951">
            <v>0</v>
          </cell>
          <cell r="DN3951">
            <v>0</v>
          </cell>
        </row>
        <row r="3952">
          <cell r="E3952">
            <v>0</v>
          </cell>
          <cell r="F3952">
            <v>0</v>
          </cell>
          <cell r="DN3952">
            <v>0</v>
          </cell>
        </row>
        <row r="3953">
          <cell r="E3953">
            <v>0</v>
          </cell>
          <cell r="F3953">
            <v>0</v>
          </cell>
          <cell r="DN3953">
            <v>0</v>
          </cell>
        </row>
        <row r="3954">
          <cell r="E3954">
            <v>0</v>
          </cell>
          <cell r="F3954">
            <v>0</v>
          </cell>
          <cell r="DN3954">
            <v>0</v>
          </cell>
        </row>
        <row r="3955">
          <cell r="E3955">
            <v>0</v>
          </cell>
          <cell r="F3955">
            <v>0</v>
          </cell>
          <cell r="DN3955">
            <v>0</v>
          </cell>
        </row>
        <row r="3956">
          <cell r="E3956">
            <v>0</v>
          </cell>
          <cell r="F3956">
            <v>0</v>
          </cell>
          <cell r="DN3956">
            <v>0</v>
          </cell>
        </row>
        <row r="3957">
          <cell r="E3957">
            <v>0</v>
          </cell>
          <cell r="F3957">
            <v>0</v>
          </cell>
          <cell r="DN3957">
            <v>0</v>
          </cell>
        </row>
        <row r="3958">
          <cell r="E3958">
            <v>0</v>
          </cell>
          <cell r="F3958">
            <v>0</v>
          </cell>
          <cell r="DN3958">
            <v>0</v>
          </cell>
        </row>
        <row r="3959">
          <cell r="E3959">
            <v>0</v>
          </cell>
          <cell r="F3959">
            <v>0</v>
          </cell>
          <cell r="DN3959">
            <v>0</v>
          </cell>
        </row>
        <row r="3960">
          <cell r="E3960">
            <v>0</v>
          </cell>
          <cell r="F3960">
            <v>0</v>
          </cell>
          <cell r="DN3960">
            <v>0</v>
          </cell>
        </row>
        <row r="3961">
          <cell r="E3961">
            <v>0</v>
          </cell>
          <cell r="F3961">
            <v>0</v>
          </cell>
          <cell r="DN3961">
            <v>0</v>
          </cell>
        </row>
        <row r="3962">
          <cell r="E3962">
            <v>0</v>
          </cell>
          <cell r="F3962">
            <v>0</v>
          </cell>
          <cell r="DN3962">
            <v>0</v>
          </cell>
        </row>
        <row r="3963">
          <cell r="E3963">
            <v>0</v>
          </cell>
          <cell r="F3963">
            <v>0</v>
          </cell>
          <cell r="DN3963">
            <v>0</v>
          </cell>
        </row>
        <row r="3964">
          <cell r="E3964">
            <v>0</v>
          </cell>
          <cell r="F3964">
            <v>0</v>
          </cell>
          <cell r="DN3964">
            <v>0</v>
          </cell>
        </row>
        <row r="3965">
          <cell r="E3965">
            <v>0</v>
          </cell>
          <cell r="F3965">
            <v>0</v>
          </cell>
          <cell r="DN3965">
            <v>0</v>
          </cell>
        </row>
        <row r="3966">
          <cell r="E3966">
            <v>0</v>
          </cell>
          <cell r="F3966">
            <v>0</v>
          </cell>
          <cell r="DN3966">
            <v>0</v>
          </cell>
        </row>
        <row r="3967">
          <cell r="E3967">
            <v>0</v>
          </cell>
          <cell r="F3967">
            <v>0</v>
          </cell>
          <cell r="DN3967">
            <v>0</v>
          </cell>
        </row>
        <row r="3968">
          <cell r="E3968">
            <v>0</v>
          </cell>
          <cell r="F3968">
            <v>0</v>
          </cell>
          <cell r="DN3968">
            <v>0</v>
          </cell>
        </row>
        <row r="3969">
          <cell r="E3969">
            <v>0</v>
          </cell>
          <cell r="F3969">
            <v>0</v>
          </cell>
          <cell r="DN3969">
            <v>0</v>
          </cell>
        </row>
        <row r="3970">
          <cell r="E3970">
            <v>0</v>
          </cell>
          <cell r="F3970">
            <v>0</v>
          </cell>
          <cell r="DN3970">
            <v>0</v>
          </cell>
        </row>
        <row r="3971">
          <cell r="E3971">
            <v>0</v>
          </cell>
          <cell r="F3971">
            <v>0</v>
          </cell>
          <cell r="DN3971">
            <v>0</v>
          </cell>
        </row>
        <row r="3972">
          <cell r="E3972">
            <v>0</v>
          </cell>
          <cell r="F3972">
            <v>0</v>
          </cell>
          <cell r="DN3972">
            <v>0</v>
          </cell>
        </row>
        <row r="3973">
          <cell r="E3973">
            <v>0</v>
          </cell>
          <cell r="F3973">
            <v>0</v>
          </cell>
          <cell r="DN3973">
            <v>0</v>
          </cell>
        </row>
        <row r="3974">
          <cell r="E3974">
            <v>0</v>
          </cell>
          <cell r="F3974">
            <v>0</v>
          </cell>
          <cell r="DN3974">
            <v>0</v>
          </cell>
        </row>
        <row r="3975">
          <cell r="E3975">
            <v>0</v>
          </cell>
          <cell r="F3975">
            <v>0</v>
          </cell>
          <cell r="DN3975">
            <v>0</v>
          </cell>
        </row>
        <row r="3976">
          <cell r="E3976">
            <v>0</v>
          </cell>
          <cell r="F3976">
            <v>0</v>
          </cell>
          <cell r="DN3976">
            <v>0</v>
          </cell>
        </row>
        <row r="3977">
          <cell r="E3977">
            <v>0</v>
          </cell>
          <cell r="F3977">
            <v>0</v>
          </cell>
          <cell r="DN3977">
            <v>0</v>
          </cell>
        </row>
        <row r="3978">
          <cell r="E3978">
            <v>0</v>
          </cell>
          <cell r="F3978">
            <v>0</v>
          </cell>
          <cell r="DN3978">
            <v>0</v>
          </cell>
        </row>
        <row r="3979">
          <cell r="E3979">
            <v>0</v>
          </cell>
          <cell r="F3979">
            <v>0</v>
          </cell>
          <cell r="DN3979">
            <v>0</v>
          </cell>
        </row>
        <row r="3980">
          <cell r="E3980">
            <v>0</v>
          </cell>
          <cell r="F3980">
            <v>0</v>
          </cell>
          <cell r="DN3980">
            <v>0</v>
          </cell>
        </row>
        <row r="3981">
          <cell r="E3981">
            <v>0</v>
          </cell>
          <cell r="F3981">
            <v>0</v>
          </cell>
          <cell r="DN3981">
            <v>0</v>
          </cell>
        </row>
        <row r="3982">
          <cell r="E3982">
            <v>0</v>
          </cell>
          <cell r="F3982">
            <v>0</v>
          </cell>
          <cell r="DN3982">
            <v>0</v>
          </cell>
        </row>
        <row r="3983">
          <cell r="E3983">
            <v>0</v>
          </cell>
          <cell r="F3983">
            <v>0</v>
          </cell>
          <cell r="DN3983">
            <v>0</v>
          </cell>
        </row>
        <row r="3984">
          <cell r="E3984">
            <v>0</v>
          </cell>
          <cell r="F3984">
            <v>0</v>
          </cell>
          <cell r="DN3984">
            <v>0</v>
          </cell>
        </row>
        <row r="3985">
          <cell r="E3985">
            <v>0</v>
          </cell>
          <cell r="F3985">
            <v>0</v>
          </cell>
          <cell r="DN3985">
            <v>0</v>
          </cell>
        </row>
        <row r="3986">
          <cell r="E3986">
            <v>0</v>
          </cell>
          <cell r="F3986">
            <v>0</v>
          </cell>
          <cell r="DN3986">
            <v>0</v>
          </cell>
        </row>
        <row r="3987">
          <cell r="E3987">
            <v>0</v>
          </cell>
          <cell r="F3987">
            <v>0</v>
          </cell>
          <cell r="DN3987">
            <v>0</v>
          </cell>
        </row>
        <row r="3988">
          <cell r="E3988">
            <v>0</v>
          </cell>
          <cell r="F3988">
            <v>0</v>
          </cell>
          <cell r="DN3988">
            <v>0</v>
          </cell>
        </row>
        <row r="3989">
          <cell r="E3989">
            <v>0</v>
          </cell>
          <cell r="F3989">
            <v>0</v>
          </cell>
          <cell r="DN3989">
            <v>0</v>
          </cell>
        </row>
        <row r="3990">
          <cell r="E3990">
            <v>0</v>
          </cell>
          <cell r="F3990">
            <v>0</v>
          </cell>
          <cell r="DN3990">
            <v>0</v>
          </cell>
        </row>
        <row r="3991">
          <cell r="E3991">
            <v>0</v>
          </cell>
          <cell r="F3991">
            <v>0</v>
          </cell>
          <cell r="DN3991">
            <v>0</v>
          </cell>
        </row>
        <row r="3992">
          <cell r="E3992">
            <v>0</v>
          </cell>
          <cell r="F3992">
            <v>0</v>
          </cell>
          <cell r="DN3992">
            <v>0</v>
          </cell>
        </row>
        <row r="3993">
          <cell r="E3993">
            <v>0</v>
          </cell>
          <cell r="F3993">
            <v>0</v>
          </cell>
          <cell r="DN3993">
            <v>0</v>
          </cell>
        </row>
        <row r="3994">
          <cell r="E3994">
            <v>0</v>
          </cell>
          <cell r="F3994">
            <v>0</v>
          </cell>
          <cell r="DN3994">
            <v>0</v>
          </cell>
        </row>
        <row r="3995">
          <cell r="E3995">
            <v>0</v>
          </cell>
          <cell r="F3995">
            <v>0</v>
          </cell>
          <cell r="DN3995">
            <v>0</v>
          </cell>
        </row>
        <row r="3996">
          <cell r="E3996">
            <v>0</v>
          </cell>
          <cell r="F3996">
            <v>0</v>
          </cell>
          <cell r="DN3996">
            <v>0</v>
          </cell>
        </row>
        <row r="3997">
          <cell r="E3997">
            <v>0</v>
          </cell>
          <cell r="F3997">
            <v>0</v>
          </cell>
          <cell r="DN3997">
            <v>0</v>
          </cell>
        </row>
        <row r="3998">
          <cell r="E3998">
            <v>0</v>
          </cell>
          <cell r="F3998">
            <v>0</v>
          </cell>
          <cell r="DN3998">
            <v>0</v>
          </cell>
        </row>
        <row r="3999">
          <cell r="E3999">
            <v>0</v>
          </cell>
          <cell r="F3999">
            <v>0</v>
          </cell>
          <cell r="DN3999">
            <v>0</v>
          </cell>
        </row>
        <row r="4000">
          <cell r="E4000">
            <v>0</v>
          </cell>
          <cell r="F4000">
            <v>0</v>
          </cell>
          <cell r="DN4000">
            <v>0</v>
          </cell>
        </row>
        <row r="4001">
          <cell r="E4001">
            <v>0</v>
          </cell>
          <cell r="F4001">
            <v>0</v>
          </cell>
          <cell r="DN4001">
            <v>0</v>
          </cell>
        </row>
        <row r="4002">
          <cell r="E4002">
            <v>0</v>
          </cell>
          <cell r="F4002">
            <v>0</v>
          </cell>
          <cell r="DN4002">
            <v>0</v>
          </cell>
        </row>
        <row r="4003">
          <cell r="E4003">
            <v>0</v>
          </cell>
          <cell r="F4003">
            <v>0</v>
          </cell>
          <cell r="DN4003">
            <v>0</v>
          </cell>
        </row>
        <row r="4004">
          <cell r="E4004">
            <v>0</v>
          </cell>
          <cell r="F4004">
            <v>0</v>
          </cell>
          <cell r="DN4004">
            <v>0</v>
          </cell>
        </row>
        <row r="4005">
          <cell r="E4005">
            <v>0</v>
          </cell>
          <cell r="F4005">
            <v>0</v>
          </cell>
          <cell r="DN4005">
            <v>0</v>
          </cell>
        </row>
        <row r="4006">
          <cell r="E4006">
            <v>0</v>
          </cell>
          <cell r="F4006">
            <v>0</v>
          </cell>
          <cell r="DN4006">
            <v>0</v>
          </cell>
        </row>
        <row r="4007">
          <cell r="E4007">
            <v>0</v>
          </cell>
          <cell r="F4007">
            <v>0</v>
          </cell>
          <cell r="DN4007">
            <v>0</v>
          </cell>
        </row>
        <row r="4008">
          <cell r="E4008">
            <v>0</v>
          </cell>
          <cell r="F4008">
            <v>0</v>
          </cell>
          <cell r="DN4008">
            <v>0</v>
          </cell>
        </row>
        <row r="4009">
          <cell r="E4009">
            <v>0</v>
          </cell>
          <cell r="F4009">
            <v>0</v>
          </cell>
          <cell r="DN4009">
            <v>0</v>
          </cell>
        </row>
        <row r="4010">
          <cell r="E4010">
            <v>0</v>
          </cell>
          <cell r="F4010">
            <v>0</v>
          </cell>
          <cell r="DN4010">
            <v>0</v>
          </cell>
        </row>
        <row r="4011">
          <cell r="E4011">
            <v>0</v>
          </cell>
          <cell r="F4011">
            <v>0</v>
          </cell>
          <cell r="DN4011">
            <v>0</v>
          </cell>
        </row>
        <row r="4012">
          <cell r="E4012">
            <v>0</v>
          </cell>
          <cell r="F4012">
            <v>0</v>
          </cell>
          <cell r="DN4012">
            <v>0</v>
          </cell>
        </row>
        <row r="4013">
          <cell r="E4013">
            <v>0</v>
          </cell>
          <cell r="F4013">
            <v>0</v>
          </cell>
          <cell r="DN4013">
            <v>0</v>
          </cell>
        </row>
        <row r="4014">
          <cell r="E4014">
            <v>0</v>
          </cell>
          <cell r="F4014">
            <v>0</v>
          </cell>
          <cell r="DN4014">
            <v>0</v>
          </cell>
        </row>
        <row r="4015">
          <cell r="E4015">
            <v>0</v>
          </cell>
          <cell r="F4015">
            <v>0</v>
          </cell>
          <cell r="DN4015">
            <v>0</v>
          </cell>
        </row>
        <row r="4016">
          <cell r="E4016">
            <v>0</v>
          </cell>
          <cell r="F4016">
            <v>0</v>
          </cell>
          <cell r="DN4016">
            <v>0</v>
          </cell>
        </row>
        <row r="4017">
          <cell r="E4017">
            <v>0</v>
          </cell>
          <cell r="F4017">
            <v>0</v>
          </cell>
          <cell r="DN4017">
            <v>0</v>
          </cell>
        </row>
        <row r="4018">
          <cell r="E4018">
            <v>0</v>
          </cell>
          <cell r="F4018">
            <v>0</v>
          </cell>
          <cell r="DN4018">
            <v>0</v>
          </cell>
        </row>
        <row r="4019">
          <cell r="E4019">
            <v>0</v>
          </cell>
          <cell r="F4019">
            <v>0</v>
          </cell>
          <cell r="DN4019">
            <v>0</v>
          </cell>
        </row>
        <row r="4020">
          <cell r="E4020">
            <v>0</v>
          </cell>
          <cell r="F4020">
            <v>0</v>
          </cell>
          <cell r="DN4020">
            <v>0</v>
          </cell>
        </row>
        <row r="4021">
          <cell r="E4021">
            <v>0</v>
          </cell>
          <cell r="F4021">
            <v>0</v>
          </cell>
          <cell r="DN4021">
            <v>0</v>
          </cell>
        </row>
        <row r="4022">
          <cell r="E4022">
            <v>0</v>
          </cell>
          <cell r="F4022">
            <v>0</v>
          </cell>
          <cell r="DN4022">
            <v>0</v>
          </cell>
        </row>
        <row r="4023">
          <cell r="E4023">
            <v>0</v>
          </cell>
          <cell r="F4023">
            <v>0</v>
          </cell>
          <cell r="DN4023">
            <v>0</v>
          </cell>
        </row>
        <row r="4024">
          <cell r="E4024">
            <v>0</v>
          </cell>
          <cell r="F4024">
            <v>0</v>
          </cell>
          <cell r="DN4024">
            <v>0</v>
          </cell>
        </row>
        <row r="4025">
          <cell r="E4025">
            <v>0</v>
          </cell>
          <cell r="F4025">
            <v>0</v>
          </cell>
          <cell r="DN4025">
            <v>0</v>
          </cell>
        </row>
        <row r="4026">
          <cell r="E4026">
            <v>0</v>
          </cell>
          <cell r="F4026">
            <v>0</v>
          </cell>
          <cell r="DN4026">
            <v>0</v>
          </cell>
        </row>
        <row r="4027">
          <cell r="E4027">
            <v>0</v>
          </cell>
          <cell r="F4027">
            <v>0</v>
          </cell>
          <cell r="DN4027">
            <v>0</v>
          </cell>
        </row>
        <row r="4028">
          <cell r="E4028">
            <v>0</v>
          </cell>
          <cell r="F4028">
            <v>0</v>
          </cell>
          <cell r="DN4028">
            <v>0</v>
          </cell>
        </row>
        <row r="4029">
          <cell r="E4029">
            <v>0</v>
          </cell>
          <cell r="F4029">
            <v>0</v>
          </cell>
          <cell r="DN4029">
            <v>0</v>
          </cell>
        </row>
        <row r="4030">
          <cell r="E4030">
            <v>0</v>
          </cell>
          <cell r="F4030">
            <v>0</v>
          </cell>
          <cell r="DN4030">
            <v>0</v>
          </cell>
        </row>
        <row r="4031">
          <cell r="E4031">
            <v>0</v>
          </cell>
          <cell r="F4031">
            <v>0</v>
          </cell>
          <cell r="DN4031">
            <v>0</v>
          </cell>
        </row>
        <row r="4032">
          <cell r="E4032">
            <v>0</v>
          </cell>
          <cell r="F4032">
            <v>0</v>
          </cell>
          <cell r="DN4032">
            <v>0</v>
          </cell>
        </row>
        <row r="4033">
          <cell r="E4033">
            <v>0</v>
          </cell>
          <cell r="F4033">
            <v>0</v>
          </cell>
          <cell r="DN4033">
            <v>0</v>
          </cell>
        </row>
        <row r="4034">
          <cell r="E4034">
            <v>0</v>
          </cell>
          <cell r="F4034">
            <v>0</v>
          </cell>
          <cell r="DN4034">
            <v>0</v>
          </cell>
        </row>
        <row r="4035">
          <cell r="E4035">
            <v>0</v>
          </cell>
          <cell r="F4035">
            <v>0</v>
          </cell>
          <cell r="DN4035">
            <v>0</v>
          </cell>
        </row>
        <row r="4036">
          <cell r="E4036">
            <v>0</v>
          </cell>
          <cell r="F4036">
            <v>0</v>
          </cell>
          <cell r="DN4036">
            <v>0</v>
          </cell>
        </row>
        <row r="4037">
          <cell r="E4037">
            <v>0</v>
          </cell>
          <cell r="F4037">
            <v>0</v>
          </cell>
          <cell r="DN4037">
            <v>0</v>
          </cell>
        </row>
        <row r="4038">
          <cell r="E4038">
            <v>0</v>
          </cell>
          <cell r="F4038">
            <v>0</v>
          </cell>
          <cell r="DN4038">
            <v>0</v>
          </cell>
        </row>
        <row r="4039">
          <cell r="E4039">
            <v>0</v>
          </cell>
          <cell r="F4039">
            <v>0</v>
          </cell>
          <cell r="DN4039">
            <v>0</v>
          </cell>
        </row>
        <row r="4040">
          <cell r="E4040">
            <v>0</v>
          </cell>
          <cell r="F4040">
            <v>0</v>
          </cell>
          <cell r="DN4040">
            <v>0</v>
          </cell>
        </row>
        <row r="4041">
          <cell r="E4041">
            <v>0</v>
          </cell>
          <cell r="F4041">
            <v>0</v>
          </cell>
          <cell r="DN4041">
            <v>0</v>
          </cell>
        </row>
        <row r="4042">
          <cell r="E4042">
            <v>0</v>
          </cell>
          <cell r="F4042">
            <v>0</v>
          </cell>
          <cell r="DN4042">
            <v>0</v>
          </cell>
        </row>
        <row r="4043">
          <cell r="E4043">
            <v>0</v>
          </cell>
          <cell r="F4043">
            <v>0</v>
          </cell>
          <cell r="DN4043">
            <v>0</v>
          </cell>
        </row>
        <row r="4044">
          <cell r="E4044">
            <v>0</v>
          </cell>
          <cell r="F4044">
            <v>0</v>
          </cell>
          <cell r="DN4044">
            <v>0</v>
          </cell>
        </row>
        <row r="4045">
          <cell r="E4045">
            <v>0</v>
          </cell>
          <cell r="F4045">
            <v>0</v>
          </cell>
          <cell r="DN4045">
            <v>0</v>
          </cell>
        </row>
        <row r="4046">
          <cell r="E4046">
            <v>0</v>
          </cell>
          <cell r="F4046">
            <v>0</v>
          </cell>
          <cell r="DN4046">
            <v>0</v>
          </cell>
        </row>
        <row r="4047">
          <cell r="E4047">
            <v>0</v>
          </cell>
          <cell r="F4047">
            <v>0</v>
          </cell>
          <cell r="DN4047">
            <v>0</v>
          </cell>
        </row>
        <row r="4048">
          <cell r="E4048">
            <v>0</v>
          </cell>
          <cell r="F4048">
            <v>0</v>
          </cell>
          <cell r="DN4048">
            <v>0</v>
          </cell>
        </row>
        <row r="4049">
          <cell r="E4049">
            <v>0</v>
          </cell>
          <cell r="F4049">
            <v>0</v>
          </cell>
          <cell r="DN4049">
            <v>0</v>
          </cell>
        </row>
        <row r="4050">
          <cell r="E4050">
            <v>0</v>
          </cell>
          <cell r="F4050">
            <v>0</v>
          </cell>
          <cell r="DN4050">
            <v>0</v>
          </cell>
        </row>
        <row r="4051">
          <cell r="E4051">
            <v>0</v>
          </cell>
          <cell r="F4051">
            <v>0</v>
          </cell>
          <cell r="DN4051">
            <v>0</v>
          </cell>
        </row>
        <row r="4052">
          <cell r="E4052">
            <v>0</v>
          </cell>
          <cell r="F4052">
            <v>0</v>
          </cell>
          <cell r="DN4052">
            <v>0</v>
          </cell>
        </row>
        <row r="4053">
          <cell r="E4053">
            <v>0</v>
          </cell>
          <cell r="F4053">
            <v>0</v>
          </cell>
          <cell r="DN4053">
            <v>0</v>
          </cell>
        </row>
        <row r="4054">
          <cell r="E4054">
            <v>0</v>
          </cell>
          <cell r="F4054">
            <v>0</v>
          </cell>
          <cell r="DN4054">
            <v>0</v>
          </cell>
        </row>
        <row r="4055">
          <cell r="E4055">
            <v>0</v>
          </cell>
          <cell r="F4055">
            <v>0</v>
          </cell>
          <cell r="DN4055">
            <v>0</v>
          </cell>
        </row>
        <row r="4056">
          <cell r="E4056">
            <v>0</v>
          </cell>
          <cell r="F4056">
            <v>0</v>
          </cell>
          <cell r="DN4056">
            <v>0</v>
          </cell>
        </row>
        <row r="4057">
          <cell r="E4057">
            <v>0</v>
          </cell>
          <cell r="F4057">
            <v>0</v>
          </cell>
          <cell r="DN4057">
            <v>0</v>
          </cell>
        </row>
        <row r="4058">
          <cell r="E4058">
            <v>0</v>
          </cell>
          <cell r="F4058">
            <v>0</v>
          </cell>
          <cell r="DN4058">
            <v>0</v>
          </cell>
        </row>
        <row r="4059">
          <cell r="E4059">
            <v>0</v>
          </cell>
          <cell r="F4059">
            <v>0</v>
          </cell>
          <cell r="DN4059">
            <v>0</v>
          </cell>
        </row>
        <row r="4060">
          <cell r="E4060">
            <v>0</v>
          </cell>
          <cell r="F4060">
            <v>0</v>
          </cell>
          <cell r="DN4060">
            <v>0</v>
          </cell>
        </row>
        <row r="4061">
          <cell r="E4061">
            <v>0</v>
          </cell>
          <cell r="F4061">
            <v>0</v>
          </cell>
          <cell r="DN4061">
            <v>0</v>
          </cell>
        </row>
        <row r="4062">
          <cell r="E4062">
            <v>0</v>
          </cell>
          <cell r="F4062">
            <v>0</v>
          </cell>
          <cell r="DN4062">
            <v>0</v>
          </cell>
        </row>
        <row r="4063">
          <cell r="E4063">
            <v>0</v>
          </cell>
          <cell r="F4063">
            <v>0</v>
          </cell>
          <cell r="DN4063">
            <v>0</v>
          </cell>
        </row>
        <row r="4064">
          <cell r="E4064">
            <v>0</v>
          </cell>
          <cell r="F4064">
            <v>0</v>
          </cell>
          <cell r="DN4064">
            <v>0</v>
          </cell>
        </row>
        <row r="4065">
          <cell r="E4065">
            <v>0</v>
          </cell>
          <cell r="F4065">
            <v>0</v>
          </cell>
          <cell r="DN4065">
            <v>0</v>
          </cell>
        </row>
        <row r="4066">
          <cell r="E4066">
            <v>0</v>
          </cell>
          <cell r="F4066">
            <v>0</v>
          </cell>
          <cell r="DN4066">
            <v>0</v>
          </cell>
        </row>
        <row r="4067">
          <cell r="E4067">
            <v>0</v>
          </cell>
          <cell r="F4067">
            <v>0</v>
          </cell>
          <cell r="DN4067">
            <v>0</v>
          </cell>
        </row>
        <row r="4068">
          <cell r="E4068">
            <v>0</v>
          </cell>
          <cell r="F4068">
            <v>0</v>
          </cell>
          <cell r="DN4068">
            <v>0</v>
          </cell>
        </row>
        <row r="4069">
          <cell r="E4069">
            <v>0</v>
          </cell>
          <cell r="F4069">
            <v>0</v>
          </cell>
          <cell r="DN4069">
            <v>0</v>
          </cell>
        </row>
        <row r="4070">
          <cell r="E4070">
            <v>0</v>
          </cell>
          <cell r="F4070">
            <v>0</v>
          </cell>
          <cell r="DN4070">
            <v>0</v>
          </cell>
        </row>
        <row r="4071">
          <cell r="E4071">
            <v>0</v>
          </cell>
          <cell r="F4071">
            <v>0</v>
          </cell>
          <cell r="DN4071">
            <v>0</v>
          </cell>
        </row>
        <row r="4072">
          <cell r="E4072">
            <v>0</v>
          </cell>
          <cell r="F4072">
            <v>0</v>
          </cell>
          <cell r="DN4072">
            <v>0</v>
          </cell>
        </row>
        <row r="4073">
          <cell r="E4073">
            <v>0</v>
          </cell>
          <cell r="F4073">
            <v>0</v>
          </cell>
          <cell r="DN4073">
            <v>0</v>
          </cell>
        </row>
        <row r="4074">
          <cell r="E4074">
            <v>0</v>
          </cell>
          <cell r="F4074">
            <v>0</v>
          </cell>
          <cell r="DN4074">
            <v>0</v>
          </cell>
        </row>
        <row r="4075">
          <cell r="E4075">
            <v>0</v>
          </cell>
          <cell r="F4075">
            <v>0</v>
          </cell>
          <cell r="DN4075">
            <v>0</v>
          </cell>
        </row>
        <row r="4076">
          <cell r="E4076">
            <v>0</v>
          </cell>
          <cell r="F4076">
            <v>0</v>
          </cell>
          <cell r="DN4076">
            <v>0</v>
          </cell>
        </row>
        <row r="4077">
          <cell r="E4077">
            <v>0</v>
          </cell>
          <cell r="F4077">
            <v>0</v>
          </cell>
          <cell r="DN4077">
            <v>0</v>
          </cell>
        </row>
        <row r="4078">
          <cell r="E4078">
            <v>0</v>
          </cell>
          <cell r="F4078">
            <v>0</v>
          </cell>
          <cell r="DN4078">
            <v>0</v>
          </cell>
        </row>
        <row r="4079">
          <cell r="E4079">
            <v>0</v>
          </cell>
          <cell r="F4079">
            <v>0</v>
          </cell>
          <cell r="DN4079">
            <v>0</v>
          </cell>
        </row>
        <row r="4080">
          <cell r="E4080">
            <v>0</v>
          </cell>
          <cell r="F4080">
            <v>0</v>
          </cell>
          <cell r="DN4080">
            <v>0</v>
          </cell>
        </row>
        <row r="4081">
          <cell r="E4081">
            <v>0</v>
          </cell>
          <cell r="F4081">
            <v>0</v>
          </cell>
          <cell r="DN4081">
            <v>0</v>
          </cell>
        </row>
        <row r="4082">
          <cell r="E4082">
            <v>0</v>
          </cell>
          <cell r="F4082">
            <v>0</v>
          </cell>
          <cell r="DN4082">
            <v>0</v>
          </cell>
        </row>
        <row r="4083">
          <cell r="E4083">
            <v>0</v>
          </cell>
          <cell r="F4083">
            <v>0</v>
          </cell>
          <cell r="DN4083">
            <v>0</v>
          </cell>
        </row>
        <row r="4084">
          <cell r="E4084">
            <v>0</v>
          </cell>
          <cell r="F4084">
            <v>0</v>
          </cell>
          <cell r="DN4084">
            <v>0</v>
          </cell>
        </row>
        <row r="4085">
          <cell r="E4085">
            <v>0</v>
          </cell>
          <cell r="F4085">
            <v>0</v>
          </cell>
          <cell r="DN4085">
            <v>0</v>
          </cell>
        </row>
        <row r="4086">
          <cell r="E4086">
            <v>0</v>
          </cell>
          <cell r="F4086">
            <v>0</v>
          </cell>
          <cell r="DN4086">
            <v>0</v>
          </cell>
        </row>
        <row r="4087">
          <cell r="E4087">
            <v>0</v>
          </cell>
          <cell r="F4087">
            <v>0</v>
          </cell>
          <cell r="DN4087">
            <v>0</v>
          </cell>
        </row>
        <row r="4088">
          <cell r="E4088">
            <v>0</v>
          </cell>
          <cell r="F4088">
            <v>0</v>
          </cell>
          <cell r="DN4088">
            <v>0</v>
          </cell>
        </row>
        <row r="4089">
          <cell r="E4089">
            <v>0</v>
          </cell>
          <cell r="F4089">
            <v>0</v>
          </cell>
          <cell r="DN4089">
            <v>0</v>
          </cell>
        </row>
        <row r="4090">
          <cell r="E4090">
            <v>0</v>
          </cell>
          <cell r="F4090">
            <v>0</v>
          </cell>
          <cell r="DN4090">
            <v>0</v>
          </cell>
        </row>
        <row r="4091">
          <cell r="E4091">
            <v>0</v>
          </cell>
          <cell r="F4091">
            <v>0</v>
          </cell>
          <cell r="DN4091">
            <v>0</v>
          </cell>
        </row>
        <row r="4092">
          <cell r="E4092">
            <v>0</v>
          </cell>
          <cell r="F4092">
            <v>0</v>
          </cell>
          <cell r="DN4092">
            <v>0</v>
          </cell>
        </row>
        <row r="4093">
          <cell r="E4093">
            <v>0</v>
          </cell>
          <cell r="F4093">
            <v>0</v>
          </cell>
          <cell r="DN4093">
            <v>0</v>
          </cell>
        </row>
        <row r="4094">
          <cell r="E4094">
            <v>0</v>
          </cell>
          <cell r="F4094">
            <v>0</v>
          </cell>
          <cell r="DN4094">
            <v>0</v>
          </cell>
        </row>
        <row r="4095">
          <cell r="E4095">
            <v>0</v>
          </cell>
          <cell r="F4095">
            <v>0</v>
          </cell>
          <cell r="DN4095">
            <v>0</v>
          </cell>
        </row>
        <row r="4096">
          <cell r="E4096">
            <v>0</v>
          </cell>
          <cell r="F4096">
            <v>0</v>
          </cell>
          <cell r="DN4096">
            <v>0</v>
          </cell>
        </row>
        <row r="4097">
          <cell r="E4097">
            <v>0</v>
          </cell>
          <cell r="F4097">
            <v>0</v>
          </cell>
          <cell r="DN4097">
            <v>0</v>
          </cell>
        </row>
        <row r="4098">
          <cell r="E4098">
            <v>0</v>
          </cell>
          <cell r="F4098">
            <v>0</v>
          </cell>
          <cell r="DN4098">
            <v>0</v>
          </cell>
        </row>
        <row r="4099">
          <cell r="E4099">
            <v>0</v>
          </cell>
          <cell r="F4099">
            <v>0</v>
          </cell>
          <cell r="DN4099">
            <v>0</v>
          </cell>
        </row>
        <row r="4100">
          <cell r="E4100">
            <v>0</v>
          </cell>
          <cell r="F4100">
            <v>0</v>
          </cell>
          <cell r="DN4100">
            <v>0</v>
          </cell>
        </row>
        <row r="4101">
          <cell r="E4101">
            <v>0</v>
          </cell>
          <cell r="F4101">
            <v>0</v>
          </cell>
          <cell r="DN4101">
            <v>0</v>
          </cell>
        </row>
        <row r="4102">
          <cell r="E4102">
            <v>0</v>
          </cell>
          <cell r="F4102">
            <v>0</v>
          </cell>
          <cell r="DN4102">
            <v>0</v>
          </cell>
        </row>
        <row r="4103">
          <cell r="E4103">
            <v>0</v>
          </cell>
          <cell r="F4103">
            <v>0</v>
          </cell>
          <cell r="DN4103">
            <v>0</v>
          </cell>
        </row>
        <row r="4104">
          <cell r="E4104">
            <v>0</v>
          </cell>
          <cell r="F4104">
            <v>0</v>
          </cell>
          <cell r="DN4104">
            <v>0</v>
          </cell>
        </row>
        <row r="4105">
          <cell r="E4105">
            <v>0</v>
          </cell>
          <cell r="F4105">
            <v>0</v>
          </cell>
          <cell r="DN4105">
            <v>0</v>
          </cell>
        </row>
        <row r="4106">
          <cell r="E4106">
            <v>0</v>
          </cell>
          <cell r="F4106">
            <v>0</v>
          </cell>
          <cell r="DN4106">
            <v>0</v>
          </cell>
        </row>
        <row r="4107">
          <cell r="E4107">
            <v>0</v>
          </cell>
          <cell r="F4107">
            <v>0</v>
          </cell>
          <cell r="DN4107">
            <v>0</v>
          </cell>
        </row>
        <row r="4108">
          <cell r="E4108">
            <v>0</v>
          </cell>
          <cell r="F4108">
            <v>0</v>
          </cell>
          <cell r="DN4108">
            <v>0</v>
          </cell>
        </row>
        <row r="4109">
          <cell r="E4109">
            <v>0</v>
          </cell>
          <cell r="F4109">
            <v>0</v>
          </cell>
          <cell r="DN4109">
            <v>0</v>
          </cell>
        </row>
        <row r="4110">
          <cell r="E4110">
            <v>0</v>
          </cell>
          <cell r="F4110">
            <v>0</v>
          </cell>
          <cell r="DN4110">
            <v>0</v>
          </cell>
        </row>
        <row r="4111">
          <cell r="E4111">
            <v>0</v>
          </cell>
          <cell r="F4111">
            <v>0</v>
          </cell>
          <cell r="DN4111">
            <v>0</v>
          </cell>
        </row>
        <row r="4112">
          <cell r="E4112">
            <v>0</v>
          </cell>
          <cell r="F4112">
            <v>0</v>
          </cell>
          <cell r="DN4112">
            <v>0</v>
          </cell>
        </row>
        <row r="4113">
          <cell r="E4113">
            <v>0</v>
          </cell>
          <cell r="F4113">
            <v>0</v>
          </cell>
          <cell r="DN4113">
            <v>0</v>
          </cell>
        </row>
        <row r="4114">
          <cell r="E4114">
            <v>0</v>
          </cell>
          <cell r="F4114">
            <v>0</v>
          </cell>
          <cell r="DN4114">
            <v>0</v>
          </cell>
        </row>
        <row r="4115">
          <cell r="E4115">
            <v>0</v>
          </cell>
          <cell r="F4115">
            <v>0</v>
          </cell>
          <cell r="DN4115">
            <v>0</v>
          </cell>
        </row>
        <row r="4116">
          <cell r="E4116">
            <v>0</v>
          </cell>
          <cell r="F4116">
            <v>0</v>
          </cell>
          <cell r="DN4116">
            <v>0</v>
          </cell>
        </row>
        <row r="4117">
          <cell r="E4117">
            <v>0</v>
          </cell>
          <cell r="F4117">
            <v>0</v>
          </cell>
          <cell r="DN4117">
            <v>0</v>
          </cell>
        </row>
        <row r="4118">
          <cell r="E4118">
            <v>0</v>
          </cell>
          <cell r="F4118">
            <v>0</v>
          </cell>
          <cell r="DN4118">
            <v>0</v>
          </cell>
        </row>
        <row r="4119">
          <cell r="E4119">
            <v>0</v>
          </cell>
          <cell r="F4119">
            <v>0</v>
          </cell>
          <cell r="DN4119">
            <v>0</v>
          </cell>
        </row>
        <row r="4120">
          <cell r="E4120">
            <v>0</v>
          </cell>
          <cell r="F4120">
            <v>0</v>
          </cell>
          <cell r="DN4120">
            <v>0</v>
          </cell>
        </row>
        <row r="4121">
          <cell r="E4121">
            <v>0</v>
          </cell>
          <cell r="F4121">
            <v>0</v>
          </cell>
          <cell r="DN4121">
            <v>0</v>
          </cell>
        </row>
        <row r="4122">
          <cell r="E4122">
            <v>0</v>
          </cell>
          <cell r="F4122">
            <v>0</v>
          </cell>
          <cell r="DN4122">
            <v>0</v>
          </cell>
        </row>
        <row r="4123">
          <cell r="E4123">
            <v>0</v>
          </cell>
          <cell r="F4123">
            <v>0</v>
          </cell>
          <cell r="DN4123">
            <v>0</v>
          </cell>
        </row>
        <row r="4124">
          <cell r="E4124">
            <v>0</v>
          </cell>
          <cell r="F4124">
            <v>0</v>
          </cell>
          <cell r="DN4124">
            <v>0</v>
          </cell>
        </row>
        <row r="4125">
          <cell r="E4125">
            <v>0</v>
          </cell>
          <cell r="F4125">
            <v>0</v>
          </cell>
          <cell r="DN4125">
            <v>0</v>
          </cell>
        </row>
        <row r="4126">
          <cell r="E4126">
            <v>0</v>
          </cell>
          <cell r="F4126">
            <v>0</v>
          </cell>
          <cell r="DN4126">
            <v>0</v>
          </cell>
        </row>
        <row r="4127">
          <cell r="E4127">
            <v>0</v>
          </cell>
          <cell r="F4127">
            <v>0</v>
          </cell>
          <cell r="DN4127">
            <v>0</v>
          </cell>
        </row>
        <row r="4128">
          <cell r="E4128">
            <v>0</v>
          </cell>
          <cell r="F4128">
            <v>0</v>
          </cell>
          <cell r="DN4128">
            <v>0</v>
          </cell>
        </row>
        <row r="4129">
          <cell r="E4129">
            <v>0</v>
          </cell>
          <cell r="F4129">
            <v>0</v>
          </cell>
          <cell r="DN4129">
            <v>0</v>
          </cell>
        </row>
        <row r="4130">
          <cell r="E4130">
            <v>0</v>
          </cell>
          <cell r="F4130">
            <v>0</v>
          </cell>
          <cell r="DN4130">
            <v>0</v>
          </cell>
        </row>
        <row r="4131">
          <cell r="E4131">
            <v>0</v>
          </cell>
          <cell r="F4131">
            <v>0</v>
          </cell>
          <cell r="DN4131">
            <v>0</v>
          </cell>
        </row>
        <row r="4132">
          <cell r="E4132">
            <v>0</v>
          </cell>
          <cell r="F4132">
            <v>0</v>
          </cell>
          <cell r="DN4132">
            <v>0</v>
          </cell>
        </row>
        <row r="4133">
          <cell r="E4133">
            <v>0</v>
          </cell>
          <cell r="F4133">
            <v>0</v>
          </cell>
          <cell r="DN4133">
            <v>0</v>
          </cell>
        </row>
        <row r="4134">
          <cell r="E4134">
            <v>0</v>
          </cell>
          <cell r="F4134">
            <v>0</v>
          </cell>
          <cell r="DN4134">
            <v>0</v>
          </cell>
        </row>
        <row r="4135">
          <cell r="E4135">
            <v>0</v>
          </cell>
          <cell r="F4135">
            <v>0</v>
          </cell>
          <cell r="DN4135">
            <v>0</v>
          </cell>
        </row>
        <row r="4136">
          <cell r="E4136">
            <v>0</v>
          </cell>
          <cell r="F4136">
            <v>0</v>
          </cell>
          <cell r="DN4136">
            <v>0</v>
          </cell>
        </row>
        <row r="4137">
          <cell r="E4137">
            <v>0</v>
          </cell>
          <cell r="F4137">
            <v>0</v>
          </cell>
          <cell r="DN4137">
            <v>0</v>
          </cell>
        </row>
        <row r="4138">
          <cell r="E4138">
            <v>0</v>
          </cell>
          <cell r="F4138">
            <v>0</v>
          </cell>
          <cell r="DN4138">
            <v>0</v>
          </cell>
        </row>
        <row r="4139">
          <cell r="E4139">
            <v>0</v>
          </cell>
          <cell r="F4139">
            <v>0</v>
          </cell>
          <cell r="DN4139">
            <v>0</v>
          </cell>
        </row>
        <row r="4140">
          <cell r="E4140">
            <v>0</v>
          </cell>
          <cell r="F4140">
            <v>0</v>
          </cell>
          <cell r="DN4140">
            <v>0</v>
          </cell>
        </row>
        <row r="4141">
          <cell r="E4141">
            <v>0</v>
          </cell>
          <cell r="F4141">
            <v>0</v>
          </cell>
          <cell r="DN4141">
            <v>0</v>
          </cell>
        </row>
        <row r="4142">
          <cell r="E4142">
            <v>0</v>
          </cell>
          <cell r="F4142">
            <v>0</v>
          </cell>
          <cell r="DN4142">
            <v>0</v>
          </cell>
        </row>
        <row r="4143">
          <cell r="E4143">
            <v>0</v>
          </cell>
          <cell r="F4143">
            <v>0</v>
          </cell>
          <cell r="DN4143">
            <v>0</v>
          </cell>
        </row>
        <row r="4144">
          <cell r="E4144">
            <v>0</v>
          </cell>
          <cell r="F4144">
            <v>0</v>
          </cell>
          <cell r="DN4144">
            <v>0</v>
          </cell>
        </row>
        <row r="4145">
          <cell r="E4145">
            <v>0</v>
          </cell>
          <cell r="F4145">
            <v>0</v>
          </cell>
          <cell r="DN4145">
            <v>0</v>
          </cell>
        </row>
        <row r="4146">
          <cell r="E4146">
            <v>0</v>
          </cell>
          <cell r="F4146">
            <v>0</v>
          </cell>
          <cell r="DN4146">
            <v>0</v>
          </cell>
        </row>
        <row r="4147">
          <cell r="E4147">
            <v>0</v>
          </cell>
          <cell r="F4147">
            <v>0</v>
          </cell>
          <cell r="DN4147">
            <v>0</v>
          </cell>
        </row>
        <row r="4148">
          <cell r="E4148">
            <v>0</v>
          </cell>
          <cell r="F4148">
            <v>0</v>
          </cell>
          <cell r="DN4148">
            <v>0</v>
          </cell>
        </row>
        <row r="4149">
          <cell r="E4149">
            <v>0</v>
          </cell>
          <cell r="F4149">
            <v>0</v>
          </cell>
          <cell r="DN4149">
            <v>0</v>
          </cell>
        </row>
        <row r="4150">
          <cell r="E4150">
            <v>0</v>
          </cell>
          <cell r="F4150">
            <v>0</v>
          </cell>
          <cell r="DN4150">
            <v>0</v>
          </cell>
        </row>
        <row r="4151">
          <cell r="E4151">
            <v>0</v>
          </cell>
          <cell r="F4151">
            <v>0</v>
          </cell>
          <cell r="DN4151">
            <v>0</v>
          </cell>
        </row>
        <row r="4152">
          <cell r="E4152">
            <v>0</v>
          </cell>
          <cell r="F4152">
            <v>0</v>
          </cell>
          <cell r="DN4152">
            <v>0</v>
          </cell>
        </row>
        <row r="4153">
          <cell r="E4153">
            <v>0</v>
          </cell>
          <cell r="F4153">
            <v>0</v>
          </cell>
          <cell r="DN4153">
            <v>0</v>
          </cell>
        </row>
        <row r="4154">
          <cell r="E4154">
            <v>0</v>
          </cell>
          <cell r="F4154">
            <v>0</v>
          </cell>
          <cell r="DN4154">
            <v>0</v>
          </cell>
        </row>
        <row r="4155">
          <cell r="E4155">
            <v>0</v>
          </cell>
          <cell r="F4155">
            <v>0</v>
          </cell>
          <cell r="DN4155">
            <v>0</v>
          </cell>
        </row>
        <row r="4156">
          <cell r="E4156">
            <v>0</v>
          </cell>
          <cell r="F4156">
            <v>0</v>
          </cell>
          <cell r="DN4156">
            <v>0</v>
          </cell>
        </row>
        <row r="4157">
          <cell r="E4157">
            <v>0</v>
          </cell>
          <cell r="F4157">
            <v>0</v>
          </cell>
          <cell r="DN4157">
            <v>0</v>
          </cell>
        </row>
        <row r="4158">
          <cell r="E4158">
            <v>0</v>
          </cell>
          <cell r="F4158">
            <v>0</v>
          </cell>
          <cell r="DN4158">
            <v>0</v>
          </cell>
        </row>
        <row r="4159">
          <cell r="E4159">
            <v>0</v>
          </cell>
          <cell r="F4159">
            <v>0</v>
          </cell>
          <cell r="DN4159">
            <v>0</v>
          </cell>
        </row>
        <row r="4160">
          <cell r="E4160">
            <v>0</v>
          </cell>
          <cell r="F4160">
            <v>0</v>
          </cell>
          <cell r="DN4160">
            <v>0</v>
          </cell>
        </row>
        <row r="4161">
          <cell r="E4161">
            <v>0</v>
          </cell>
          <cell r="F4161">
            <v>0</v>
          </cell>
          <cell r="DN4161">
            <v>0</v>
          </cell>
        </row>
        <row r="4162">
          <cell r="E4162">
            <v>0</v>
          </cell>
          <cell r="F4162">
            <v>0</v>
          </cell>
          <cell r="DN4162">
            <v>0</v>
          </cell>
        </row>
        <row r="4163">
          <cell r="E4163">
            <v>0</v>
          </cell>
          <cell r="F4163">
            <v>0</v>
          </cell>
          <cell r="DN4163">
            <v>0</v>
          </cell>
        </row>
        <row r="4164">
          <cell r="E4164">
            <v>0</v>
          </cell>
          <cell r="F4164">
            <v>0</v>
          </cell>
          <cell r="DN4164">
            <v>0</v>
          </cell>
        </row>
        <row r="4165">
          <cell r="E4165">
            <v>0</v>
          </cell>
          <cell r="F4165">
            <v>0</v>
          </cell>
          <cell r="DN4165">
            <v>0</v>
          </cell>
        </row>
        <row r="4166">
          <cell r="E4166">
            <v>0</v>
          </cell>
          <cell r="F4166">
            <v>0</v>
          </cell>
          <cell r="DN4166">
            <v>0</v>
          </cell>
        </row>
        <row r="4167">
          <cell r="E4167">
            <v>0</v>
          </cell>
          <cell r="F4167">
            <v>0</v>
          </cell>
          <cell r="DN4167">
            <v>0</v>
          </cell>
        </row>
        <row r="4168">
          <cell r="E4168">
            <v>0</v>
          </cell>
          <cell r="F4168">
            <v>0</v>
          </cell>
          <cell r="DN4168">
            <v>0</v>
          </cell>
        </row>
        <row r="4169">
          <cell r="E4169">
            <v>0</v>
          </cell>
          <cell r="F4169">
            <v>0</v>
          </cell>
          <cell r="DN4169">
            <v>0</v>
          </cell>
        </row>
        <row r="4170">
          <cell r="E4170">
            <v>0</v>
          </cell>
          <cell r="F4170">
            <v>0</v>
          </cell>
          <cell r="DN4170">
            <v>0</v>
          </cell>
        </row>
        <row r="4171">
          <cell r="E4171">
            <v>0</v>
          </cell>
          <cell r="F4171">
            <v>0</v>
          </cell>
          <cell r="DN4171">
            <v>0</v>
          </cell>
        </row>
        <row r="4172">
          <cell r="E4172">
            <v>0</v>
          </cell>
          <cell r="F4172">
            <v>0</v>
          </cell>
          <cell r="DN4172">
            <v>0</v>
          </cell>
        </row>
        <row r="4173">
          <cell r="E4173">
            <v>0</v>
          </cell>
          <cell r="F4173">
            <v>0</v>
          </cell>
          <cell r="DN4173">
            <v>0</v>
          </cell>
        </row>
        <row r="4174">
          <cell r="E4174">
            <v>0</v>
          </cell>
          <cell r="F4174">
            <v>0</v>
          </cell>
          <cell r="DN4174">
            <v>0</v>
          </cell>
        </row>
        <row r="4175">
          <cell r="E4175">
            <v>0</v>
          </cell>
          <cell r="F4175">
            <v>0</v>
          </cell>
          <cell r="DN4175">
            <v>0</v>
          </cell>
        </row>
        <row r="4176">
          <cell r="E4176">
            <v>0</v>
          </cell>
          <cell r="F4176">
            <v>0</v>
          </cell>
          <cell r="DN4176">
            <v>0</v>
          </cell>
        </row>
        <row r="4177">
          <cell r="E4177">
            <v>0</v>
          </cell>
          <cell r="F4177">
            <v>0</v>
          </cell>
          <cell r="DN4177">
            <v>0</v>
          </cell>
        </row>
        <row r="4178">
          <cell r="E4178">
            <v>0</v>
          </cell>
          <cell r="F4178">
            <v>0</v>
          </cell>
          <cell r="DN4178">
            <v>0</v>
          </cell>
        </row>
        <row r="4179">
          <cell r="E4179">
            <v>0</v>
          </cell>
          <cell r="F4179">
            <v>0</v>
          </cell>
          <cell r="DN4179">
            <v>0</v>
          </cell>
        </row>
        <row r="4180">
          <cell r="E4180">
            <v>0</v>
          </cell>
          <cell r="F4180">
            <v>0</v>
          </cell>
          <cell r="DN4180">
            <v>0</v>
          </cell>
        </row>
        <row r="4181">
          <cell r="E4181">
            <v>0</v>
          </cell>
          <cell r="F4181">
            <v>0</v>
          </cell>
          <cell r="DN4181">
            <v>0</v>
          </cell>
        </row>
        <row r="4182">
          <cell r="E4182">
            <v>0</v>
          </cell>
          <cell r="F4182">
            <v>0</v>
          </cell>
          <cell r="DN4182">
            <v>0</v>
          </cell>
        </row>
        <row r="4183">
          <cell r="E4183">
            <v>0</v>
          </cell>
          <cell r="F4183">
            <v>0</v>
          </cell>
          <cell r="DN4183">
            <v>0</v>
          </cell>
        </row>
        <row r="4184">
          <cell r="E4184">
            <v>0</v>
          </cell>
          <cell r="F4184">
            <v>0</v>
          </cell>
          <cell r="DN4184">
            <v>0</v>
          </cell>
        </row>
        <row r="4185">
          <cell r="E4185">
            <v>0</v>
          </cell>
          <cell r="F4185">
            <v>0</v>
          </cell>
          <cell r="DN4185">
            <v>0</v>
          </cell>
        </row>
        <row r="4186">
          <cell r="E4186">
            <v>0</v>
          </cell>
          <cell r="F4186">
            <v>0</v>
          </cell>
          <cell r="DN4186">
            <v>0</v>
          </cell>
        </row>
        <row r="4187">
          <cell r="E4187">
            <v>0</v>
          </cell>
          <cell r="F4187">
            <v>0</v>
          </cell>
          <cell r="DN4187">
            <v>0</v>
          </cell>
        </row>
        <row r="4188">
          <cell r="E4188">
            <v>0</v>
          </cell>
          <cell r="F4188">
            <v>0</v>
          </cell>
          <cell r="DN4188">
            <v>0</v>
          </cell>
        </row>
        <row r="4189">
          <cell r="E4189">
            <v>0</v>
          </cell>
          <cell r="F4189">
            <v>0</v>
          </cell>
          <cell r="DN4189">
            <v>0</v>
          </cell>
        </row>
        <row r="4190">
          <cell r="E4190">
            <v>0</v>
          </cell>
          <cell r="F4190">
            <v>0</v>
          </cell>
          <cell r="DN4190">
            <v>0</v>
          </cell>
        </row>
        <row r="4191">
          <cell r="E4191">
            <v>0</v>
          </cell>
          <cell r="F4191">
            <v>0</v>
          </cell>
          <cell r="DN4191">
            <v>0</v>
          </cell>
        </row>
        <row r="4192">
          <cell r="E4192">
            <v>0</v>
          </cell>
          <cell r="F4192">
            <v>0</v>
          </cell>
          <cell r="DN4192">
            <v>0</v>
          </cell>
        </row>
        <row r="4193">
          <cell r="E4193">
            <v>0</v>
          </cell>
          <cell r="F4193">
            <v>0</v>
          </cell>
          <cell r="DN4193">
            <v>0</v>
          </cell>
        </row>
        <row r="4194">
          <cell r="E4194">
            <v>0</v>
          </cell>
          <cell r="F4194">
            <v>0</v>
          </cell>
          <cell r="DN4194">
            <v>0</v>
          </cell>
        </row>
        <row r="4195">
          <cell r="E4195">
            <v>0</v>
          </cell>
          <cell r="F4195">
            <v>0</v>
          </cell>
          <cell r="DN4195">
            <v>0</v>
          </cell>
        </row>
        <row r="4196">
          <cell r="E4196">
            <v>0</v>
          </cell>
          <cell r="F4196">
            <v>0</v>
          </cell>
          <cell r="DN4196">
            <v>0</v>
          </cell>
        </row>
        <row r="4197">
          <cell r="E4197">
            <v>0</v>
          </cell>
          <cell r="F4197">
            <v>0</v>
          </cell>
          <cell r="DN4197">
            <v>0</v>
          </cell>
        </row>
        <row r="4198">
          <cell r="E4198">
            <v>0</v>
          </cell>
          <cell r="F4198">
            <v>0</v>
          </cell>
          <cell r="DN4198">
            <v>0</v>
          </cell>
        </row>
        <row r="4199">
          <cell r="E4199">
            <v>0</v>
          </cell>
          <cell r="F4199">
            <v>0</v>
          </cell>
          <cell r="DN4199">
            <v>0</v>
          </cell>
        </row>
        <row r="4200">
          <cell r="E4200">
            <v>0</v>
          </cell>
          <cell r="F4200">
            <v>0</v>
          </cell>
          <cell r="DN4200">
            <v>0</v>
          </cell>
        </row>
        <row r="4201">
          <cell r="E4201">
            <v>0</v>
          </cell>
          <cell r="F4201">
            <v>0</v>
          </cell>
          <cell r="DN4201">
            <v>0</v>
          </cell>
        </row>
        <row r="4202">
          <cell r="E4202">
            <v>0</v>
          </cell>
          <cell r="F4202">
            <v>0</v>
          </cell>
          <cell r="DN4202">
            <v>0</v>
          </cell>
        </row>
        <row r="4203">
          <cell r="E4203">
            <v>0</v>
          </cell>
          <cell r="F4203">
            <v>0</v>
          </cell>
          <cell r="DN4203">
            <v>0</v>
          </cell>
        </row>
        <row r="4204">
          <cell r="E4204">
            <v>0</v>
          </cell>
          <cell r="F4204">
            <v>0</v>
          </cell>
          <cell r="DN4204">
            <v>0</v>
          </cell>
        </row>
        <row r="4205">
          <cell r="E4205">
            <v>0</v>
          </cell>
          <cell r="F4205">
            <v>0</v>
          </cell>
          <cell r="DN4205">
            <v>0</v>
          </cell>
        </row>
        <row r="4206">
          <cell r="E4206">
            <v>0</v>
          </cell>
          <cell r="F4206">
            <v>0</v>
          </cell>
          <cell r="DN4206">
            <v>0</v>
          </cell>
        </row>
        <row r="4207">
          <cell r="E4207">
            <v>0</v>
          </cell>
          <cell r="F4207">
            <v>0</v>
          </cell>
          <cell r="DN4207">
            <v>0</v>
          </cell>
        </row>
        <row r="4208">
          <cell r="E4208">
            <v>0</v>
          </cell>
          <cell r="F4208">
            <v>0</v>
          </cell>
          <cell r="DN4208">
            <v>0</v>
          </cell>
        </row>
        <row r="4209">
          <cell r="E4209">
            <v>0</v>
          </cell>
          <cell r="F4209">
            <v>0</v>
          </cell>
          <cell r="DN4209">
            <v>0</v>
          </cell>
        </row>
        <row r="4210">
          <cell r="E4210">
            <v>0</v>
          </cell>
          <cell r="F4210">
            <v>0</v>
          </cell>
          <cell r="DN4210">
            <v>0</v>
          </cell>
        </row>
        <row r="4211">
          <cell r="E4211">
            <v>0</v>
          </cell>
          <cell r="F4211">
            <v>0</v>
          </cell>
          <cell r="DN4211">
            <v>0</v>
          </cell>
        </row>
        <row r="4212">
          <cell r="E4212">
            <v>0</v>
          </cell>
          <cell r="F4212">
            <v>0</v>
          </cell>
          <cell r="DN4212">
            <v>0</v>
          </cell>
        </row>
        <row r="4213">
          <cell r="E4213">
            <v>0</v>
          </cell>
          <cell r="F4213">
            <v>0</v>
          </cell>
          <cell r="DN4213">
            <v>0</v>
          </cell>
        </row>
        <row r="4214">
          <cell r="E4214">
            <v>0</v>
          </cell>
          <cell r="F4214">
            <v>0</v>
          </cell>
          <cell r="DN4214">
            <v>0</v>
          </cell>
        </row>
        <row r="4215">
          <cell r="E4215">
            <v>0</v>
          </cell>
          <cell r="F4215">
            <v>0</v>
          </cell>
          <cell r="DN4215">
            <v>0</v>
          </cell>
        </row>
        <row r="4216">
          <cell r="E4216">
            <v>0</v>
          </cell>
          <cell r="F4216">
            <v>0</v>
          </cell>
          <cell r="DN4216">
            <v>0</v>
          </cell>
        </row>
        <row r="4217">
          <cell r="E4217">
            <v>0</v>
          </cell>
          <cell r="F4217">
            <v>0</v>
          </cell>
          <cell r="DN4217">
            <v>0</v>
          </cell>
        </row>
        <row r="4218">
          <cell r="E4218">
            <v>0</v>
          </cell>
          <cell r="F4218">
            <v>0</v>
          </cell>
          <cell r="DN4218">
            <v>0</v>
          </cell>
        </row>
        <row r="4219">
          <cell r="E4219">
            <v>0</v>
          </cell>
          <cell r="F4219">
            <v>0</v>
          </cell>
          <cell r="DN4219">
            <v>0</v>
          </cell>
        </row>
        <row r="4220">
          <cell r="E4220">
            <v>0</v>
          </cell>
          <cell r="F4220">
            <v>0</v>
          </cell>
          <cell r="DN4220">
            <v>0</v>
          </cell>
        </row>
        <row r="4221">
          <cell r="E4221">
            <v>0</v>
          </cell>
          <cell r="F4221">
            <v>0</v>
          </cell>
          <cell r="DN4221">
            <v>0</v>
          </cell>
        </row>
        <row r="4222">
          <cell r="E4222">
            <v>0</v>
          </cell>
          <cell r="F4222">
            <v>0</v>
          </cell>
          <cell r="DN4222">
            <v>0</v>
          </cell>
        </row>
        <row r="4223">
          <cell r="E4223">
            <v>0</v>
          </cell>
          <cell r="F4223">
            <v>0</v>
          </cell>
          <cell r="DN4223">
            <v>0</v>
          </cell>
        </row>
        <row r="4224">
          <cell r="E4224">
            <v>0</v>
          </cell>
          <cell r="F4224">
            <v>0</v>
          </cell>
          <cell r="DN4224">
            <v>0</v>
          </cell>
        </row>
        <row r="4225">
          <cell r="E4225">
            <v>0</v>
          </cell>
          <cell r="F4225">
            <v>0</v>
          </cell>
          <cell r="DN4225">
            <v>0</v>
          </cell>
        </row>
        <row r="4226">
          <cell r="E4226">
            <v>0</v>
          </cell>
          <cell r="F4226">
            <v>0</v>
          </cell>
          <cell r="DN4226">
            <v>0</v>
          </cell>
        </row>
        <row r="4227">
          <cell r="E4227">
            <v>0</v>
          </cell>
          <cell r="F4227">
            <v>0</v>
          </cell>
          <cell r="DN4227">
            <v>0</v>
          </cell>
        </row>
        <row r="4228">
          <cell r="E4228">
            <v>0</v>
          </cell>
          <cell r="F4228">
            <v>0</v>
          </cell>
          <cell r="DN4228">
            <v>0</v>
          </cell>
        </row>
        <row r="4229">
          <cell r="E4229">
            <v>0</v>
          </cell>
          <cell r="F4229">
            <v>0</v>
          </cell>
          <cell r="DN4229">
            <v>0</v>
          </cell>
        </row>
        <row r="4230">
          <cell r="E4230">
            <v>0</v>
          </cell>
          <cell r="F4230">
            <v>0</v>
          </cell>
          <cell r="DN4230">
            <v>0</v>
          </cell>
        </row>
        <row r="4231">
          <cell r="E4231">
            <v>0</v>
          </cell>
          <cell r="F4231">
            <v>0</v>
          </cell>
          <cell r="DN4231">
            <v>0</v>
          </cell>
        </row>
        <row r="4232">
          <cell r="E4232">
            <v>0</v>
          </cell>
          <cell r="F4232">
            <v>0</v>
          </cell>
          <cell r="DN4232">
            <v>0</v>
          </cell>
        </row>
        <row r="4233">
          <cell r="E4233">
            <v>0</v>
          </cell>
          <cell r="F4233">
            <v>0</v>
          </cell>
          <cell r="DN4233">
            <v>0</v>
          </cell>
        </row>
        <row r="4234">
          <cell r="E4234">
            <v>0</v>
          </cell>
          <cell r="F4234">
            <v>0</v>
          </cell>
          <cell r="DN4234">
            <v>0</v>
          </cell>
        </row>
        <row r="4235">
          <cell r="E4235">
            <v>0</v>
          </cell>
          <cell r="F4235">
            <v>0</v>
          </cell>
          <cell r="DN4235">
            <v>0</v>
          </cell>
        </row>
        <row r="4236">
          <cell r="E4236">
            <v>0</v>
          </cell>
          <cell r="F4236">
            <v>0</v>
          </cell>
          <cell r="DN4236">
            <v>0</v>
          </cell>
        </row>
        <row r="4237">
          <cell r="E4237">
            <v>0</v>
          </cell>
          <cell r="F4237">
            <v>0</v>
          </cell>
          <cell r="DN4237">
            <v>0</v>
          </cell>
        </row>
        <row r="4238">
          <cell r="E4238">
            <v>0</v>
          </cell>
          <cell r="F4238">
            <v>0</v>
          </cell>
          <cell r="DN4238">
            <v>0</v>
          </cell>
        </row>
        <row r="4239">
          <cell r="E4239">
            <v>0</v>
          </cell>
          <cell r="F4239">
            <v>0</v>
          </cell>
          <cell r="DN4239">
            <v>0</v>
          </cell>
        </row>
        <row r="4240">
          <cell r="E4240">
            <v>0</v>
          </cell>
          <cell r="F4240">
            <v>0</v>
          </cell>
          <cell r="DN4240">
            <v>0</v>
          </cell>
        </row>
        <row r="4241">
          <cell r="E4241">
            <v>0</v>
          </cell>
          <cell r="F4241">
            <v>0</v>
          </cell>
          <cell r="DN4241">
            <v>0</v>
          </cell>
        </row>
        <row r="4242">
          <cell r="E4242">
            <v>0</v>
          </cell>
          <cell r="F4242">
            <v>0</v>
          </cell>
          <cell r="DN4242">
            <v>0</v>
          </cell>
        </row>
        <row r="4243">
          <cell r="E4243">
            <v>0</v>
          </cell>
          <cell r="F4243">
            <v>0</v>
          </cell>
          <cell r="DN4243">
            <v>0</v>
          </cell>
        </row>
        <row r="4244">
          <cell r="E4244">
            <v>0</v>
          </cell>
          <cell r="F4244">
            <v>0</v>
          </cell>
          <cell r="DN4244">
            <v>0</v>
          </cell>
        </row>
        <row r="4245">
          <cell r="E4245">
            <v>0</v>
          </cell>
          <cell r="F4245">
            <v>0</v>
          </cell>
          <cell r="DN4245">
            <v>0</v>
          </cell>
        </row>
        <row r="4246">
          <cell r="E4246">
            <v>0</v>
          </cell>
          <cell r="F4246">
            <v>0</v>
          </cell>
          <cell r="DN4246">
            <v>0</v>
          </cell>
        </row>
        <row r="4247">
          <cell r="E4247">
            <v>0</v>
          </cell>
          <cell r="F4247">
            <v>0</v>
          </cell>
          <cell r="DN4247">
            <v>0</v>
          </cell>
        </row>
        <row r="4248">
          <cell r="E4248">
            <v>0</v>
          </cell>
          <cell r="F4248">
            <v>0</v>
          </cell>
          <cell r="DN4248">
            <v>0</v>
          </cell>
        </row>
        <row r="4249">
          <cell r="E4249">
            <v>0</v>
          </cell>
          <cell r="F4249">
            <v>0</v>
          </cell>
          <cell r="DN4249">
            <v>0</v>
          </cell>
        </row>
        <row r="4250">
          <cell r="E4250">
            <v>0</v>
          </cell>
          <cell r="F4250">
            <v>0</v>
          </cell>
          <cell r="DN4250">
            <v>0</v>
          </cell>
        </row>
        <row r="4251">
          <cell r="E4251">
            <v>0</v>
          </cell>
          <cell r="F4251">
            <v>0</v>
          </cell>
          <cell r="DN4251">
            <v>0</v>
          </cell>
        </row>
        <row r="4252">
          <cell r="E4252">
            <v>0</v>
          </cell>
          <cell r="F4252">
            <v>0</v>
          </cell>
          <cell r="DN4252">
            <v>0</v>
          </cell>
        </row>
        <row r="4253">
          <cell r="E4253">
            <v>0</v>
          </cell>
          <cell r="F4253">
            <v>0</v>
          </cell>
          <cell r="DN4253">
            <v>0</v>
          </cell>
        </row>
        <row r="4254">
          <cell r="E4254">
            <v>0</v>
          </cell>
          <cell r="F4254">
            <v>0</v>
          </cell>
          <cell r="DN4254">
            <v>0</v>
          </cell>
        </row>
        <row r="4255">
          <cell r="E4255">
            <v>0</v>
          </cell>
          <cell r="F4255">
            <v>0</v>
          </cell>
          <cell r="DN4255">
            <v>0</v>
          </cell>
        </row>
        <row r="4256">
          <cell r="E4256">
            <v>0</v>
          </cell>
          <cell r="F4256">
            <v>0</v>
          </cell>
          <cell r="DN4256">
            <v>0</v>
          </cell>
        </row>
        <row r="4257">
          <cell r="E4257">
            <v>0</v>
          </cell>
          <cell r="F4257">
            <v>0</v>
          </cell>
          <cell r="DN4257">
            <v>0</v>
          </cell>
        </row>
        <row r="4258">
          <cell r="E4258">
            <v>0</v>
          </cell>
          <cell r="F4258">
            <v>0</v>
          </cell>
          <cell r="DN4258">
            <v>0</v>
          </cell>
        </row>
        <row r="4259">
          <cell r="E4259">
            <v>0</v>
          </cell>
          <cell r="F4259">
            <v>0</v>
          </cell>
          <cell r="DN4259">
            <v>0</v>
          </cell>
        </row>
        <row r="4260">
          <cell r="E4260">
            <v>0</v>
          </cell>
          <cell r="F4260">
            <v>0</v>
          </cell>
          <cell r="DN4260">
            <v>0</v>
          </cell>
        </row>
        <row r="4261">
          <cell r="E4261">
            <v>0</v>
          </cell>
          <cell r="F4261">
            <v>0</v>
          </cell>
          <cell r="DN4261">
            <v>0</v>
          </cell>
        </row>
        <row r="4262">
          <cell r="E4262">
            <v>0</v>
          </cell>
          <cell r="F4262">
            <v>0</v>
          </cell>
          <cell r="DN4262">
            <v>0</v>
          </cell>
        </row>
        <row r="4263">
          <cell r="E4263">
            <v>0</v>
          </cell>
          <cell r="F4263">
            <v>0</v>
          </cell>
          <cell r="DN4263">
            <v>0</v>
          </cell>
        </row>
        <row r="4264">
          <cell r="E4264">
            <v>0</v>
          </cell>
          <cell r="F4264">
            <v>0</v>
          </cell>
          <cell r="DN4264">
            <v>0</v>
          </cell>
        </row>
        <row r="4265">
          <cell r="E4265">
            <v>0</v>
          </cell>
          <cell r="F4265">
            <v>0</v>
          </cell>
          <cell r="DN4265">
            <v>0</v>
          </cell>
        </row>
        <row r="4266">
          <cell r="E4266">
            <v>0</v>
          </cell>
          <cell r="F4266">
            <v>0</v>
          </cell>
          <cell r="DN4266">
            <v>0</v>
          </cell>
        </row>
        <row r="4267">
          <cell r="E4267">
            <v>0</v>
          </cell>
          <cell r="F4267">
            <v>0</v>
          </cell>
          <cell r="DN4267">
            <v>0</v>
          </cell>
        </row>
        <row r="4268">
          <cell r="E4268">
            <v>0</v>
          </cell>
          <cell r="F4268">
            <v>0</v>
          </cell>
          <cell r="DN4268">
            <v>0</v>
          </cell>
        </row>
        <row r="4269">
          <cell r="E4269">
            <v>0</v>
          </cell>
          <cell r="F4269">
            <v>0</v>
          </cell>
          <cell r="DN4269">
            <v>0</v>
          </cell>
        </row>
        <row r="4270">
          <cell r="E4270">
            <v>0</v>
          </cell>
          <cell r="F4270">
            <v>0</v>
          </cell>
          <cell r="DN4270">
            <v>0</v>
          </cell>
        </row>
        <row r="4271">
          <cell r="E4271">
            <v>0</v>
          </cell>
          <cell r="F4271">
            <v>0</v>
          </cell>
          <cell r="DN4271">
            <v>0</v>
          </cell>
        </row>
        <row r="4272">
          <cell r="E4272">
            <v>0</v>
          </cell>
          <cell r="F4272">
            <v>0</v>
          </cell>
          <cell r="DN4272">
            <v>0</v>
          </cell>
        </row>
        <row r="4273">
          <cell r="E4273">
            <v>0</v>
          </cell>
          <cell r="F4273">
            <v>0</v>
          </cell>
          <cell r="DN4273">
            <v>0</v>
          </cell>
        </row>
        <row r="4274">
          <cell r="E4274">
            <v>0</v>
          </cell>
          <cell r="F4274">
            <v>0</v>
          </cell>
          <cell r="DN4274">
            <v>0</v>
          </cell>
        </row>
        <row r="4275">
          <cell r="E4275">
            <v>0</v>
          </cell>
          <cell r="F4275">
            <v>0</v>
          </cell>
          <cell r="DN4275">
            <v>0</v>
          </cell>
        </row>
        <row r="4276">
          <cell r="E4276">
            <v>0</v>
          </cell>
          <cell r="F4276">
            <v>0</v>
          </cell>
          <cell r="DN4276">
            <v>0</v>
          </cell>
        </row>
        <row r="4277">
          <cell r="E4277">
            <v>0</v>
          </cell>
          <cell r="F4277">
            <v>0</v>
          </cell>
          <cell r="DN4277">
            <v>0</v>
          </cell>
        </row>
        <row r="4278">
          <cell r="E4278">
            <v>0</v>
          </cell>
          <cell r="F4278">
            <v>0</v>
          </cell>
          <cell r="DN4278">
            <v>0</v>
          </cell>
        </row>
        <row r="4279">
          <cell r="E4279">
            <v>0</v>
          </cell>
          <cell r="F4279">
            <v>0</v>
          </cell>
          <cell r="DN4279">
            <v>0</v>
          </cell>
        </row>
        <row r="4280">
          <cell r="E4280">
            <v>0</v>
          </cell>
          <cell r="F4280">
            <v>0</v>
          </cell>
          <cell r="DN4280">
            <v>0</v>
          </cell>
        </row>
        <row r="4281">
          <cell r="E4281">
            <v>0</v>
          </cell>
          <cell r="F4281">
            <v>0</v>
          </cell>
          <cell r="DN4281">
            <v>0</v>
          </cell>
        </row>
        <row r="4282">
          <cell r="E4282">
            <v>0</v>
          </cell>
          <cell r="F4282">
            <v>0</v>
          </cell>
          <cell r="DN4282">
            <v>0</v>
          </cell>
        </row>
        <row r="4283">
          <cell r="E4283">
            <v>0</v>
          </cell>
          <cell r="F4283">
            <v>0</v>
          </cell>
          <cell r="DN4283">
            <v>0</v>
          </cell>
        </row>
        <row r="4284">
          <cell r="E4284">
            <v>0</v>
          </cell>
          <cell r="F4284">
            <v>0</v>
          </cell>
          <cell r="DN4284">
            <v>0</v>
          </cell>
        </row>
        <row r="4285">
          <cell r="E4285">
            <v>0</v>
          </cell>
          <cell r="F4285">
            <v>0</v>
          </cell>
          <cell r="DN4285">
            <v>0</v>
          </cell>
        </row>
        <row r="4286">
          <cell r="E4286">
            <v>0</v>
          </cell>
          <cell r="F4286">
            <v>0</v>
          </cell>
          <cell r="DN4286">
            <v>0</v>
          </cell>
        </row>
        <row r="4287">
          <cell r="E4287">
            <v>0</v>
          </cell>
          <cell r="F4287">
            <v>0</v>
          </cell>
          <cell r="DN4287">
            <v>0</v>
          </cell>
        </row>
        <row r="4288">
          <cell r="E4288">
            <v>0</v>
          </cell>
          <cell r="F4288">
            <v>0</v>
          </cell>
          <cell r="DN4288">
            <v>0</v>
          </cell>
        </row>
        <row r="4289">
          <cell r="E4289">
            <v>0</v>
          </cell>
          <cell r="F4289">
            <v>0</v>
          </cell>
          <cell r="DN4289">
            <v>0</v>
          </cell>
        </row>
        <row r="4290">
          <cell r="E4290">
            <v>0</v>
          </cell>
          <cell r="F4290">
            <v>0</v>
          </cell>
          <cell r="DN4290">
            <v>0</v>
          </cell>
        </row>
        <row r="4291">
          <cell r="E4291">
            <v>0</v>
          </cell>
          <cell r="F4291">
            <v>0</v>
          </cell>
          <cell r="DN4291">
            <v>0</v>
          </cell>
        </row>
        <row r="4292">
          <cell r="E4292">
            <v>0</v>
          </cell>
          <cell r="F4292">
            <v>0</v>
          </cell>
          <cell r="DN4292">
            <v>0</v>
          </cell>
        </row>
        <row r="4293">
          <cell r="E4293">
            <v>0</v>
          </cell>
          <cell r="F4293">
            <v>0</v>
          </cell>
          <cell r="DN4293">
            <v>0</v>
          </cell>
        </row>
        <row r="4294">
          <cell r="E4294">
            <v>0</v>
          </cell>
          <cell r="F4294">
            <v>0</v>
          </cell>
          <cell r="DN4294">
            <v>0</v>
          </cell>
        </row>
        <row r="4295">
          <cell r="E4295">
            <v>0</v>
          </cell>
          <cell r="F4295">
            <v>0</v>
          </cell>
          <cell r="DN4295">
            <v>0</v>
          </cell>
        </row>
        <row r="4296">
          <cell r="E4296">
            <v>0</v>
          </cell>
          <cell r="F4296">
            <v>0</v>
          </cell>
          <cell r="DN4296">
            <v>0</v>
          </cell>
        </row>
        <row r="4297">
          <cell r="E4297">
            <v>0</v>
          </cell>
          <cell r="F4297">
            <v>0</v>
          </cell>
          <cell r="DN4297">
            <v>0</v>
          </cell>
        </row>
        <row r="4298">
          <cell r="E4298">
            <v>0</v>
          </cell>
          <cell r="F4298">
            <v>0</v>
          </cell>
          <cell r="DN4298">
            <v>0</v>
          </cell>
        </row>
        <row r="4299">
          <cell r="E4299">
            <v>0</v>
          </cell>
          <cell r="F4299">
            <v>0</v>
          </cell>
          <cell r="DN4299">
            <v>0</v>
          </cell>
        </row>
        <row r="4300">
          <cell r="E4300">
            <v>0</v>
          </cell>
          <cell r="F4300">
            <v>0</v>
          </cell>
          <cell r="DN4300">
            <v>0</v>
          </cell>
        </row>
        <row r="4301">
          <cell r="E4301">
            <v>0</v>
          </cell>
          <cell r="F4301">
            <v>0</v>
          </cell>
          <cell r="DN4301">
            <v>0</v>
          </cell>
        </row>
        <row r="4302">
          <cell r="E4302">
            <v>0</v>
          </cell>
          <cell r="F4302">
            <v>0</v>
          </cell>
          <cell r="DN4302">
            <v>0</v>
          </cell>
        </row>
        <row r="4303">
          <cell r="E4303">
            <v>0</v>
          </cell>
          <cell r="F4303">
            <v>0</v>
          </cell>
          <cell r="DN4303">
            <v>0</v>
          </cell>
        </row>
        <row r="4304">
          <cell r="E4304">
            <v>0</v>
          </cell>
          <cell r="F4304">
            <v>0</v>
          </cell>
          <cell r="DN4304">
            <v>0</v>
          </cell>
        </row>
        <row r="4305">
          <cell r="E4305">
            <v>0</v>
          </cell>
          <cell r="F4305">
            <v>0</v>
          </cell>
          <cell r="DN4305">
            <v>0</v>
          </cell>
        </row>
        <row r="4306">
          <cell r="E4306">
            <v>0</v>
          </cell>
          <cell r="F4306">
            <v>0</v>
          </cell>
          <cell r="DN4306">
            <v>0</v>
          </cell>
        </row>
        <row r="4307">
          <cell r="E4307">
            <v>0</v>
          </cell>
          <cell r="F4307">
            <v>0</v>
          </cell>
          <cell r="DN4307">
            <v>0</v>
          </cell>
        </row>
        <row r="4308">
          <cell r="E4308">
            <v>0</v>
          </cell>
          <cell r="F4308">
            <v>0</v>
          </cell>
          <cell r="DN4308">
            <v>0</v>
          </cell>
        </row>
        <row r="4309">
          <cell r="E4309">
            <v>0</v>
          </cell>
          <cell r="F4309">
            <v>0</v>
          </cell>
          <cell r="DN4309">
            <v>0</v>
          </cell>
        </row>
        <row r="4310">
          <cell r="E4310">
            <v>0</v>
          </cell>
          <cell r="F4310">
            <v>0</v>
          </cell>
          <cell r="DN4310">
            <v>0</v>
          </cell>
        </row>
        <row r="4311">
          <cell r="E4311">
            <v>0</v>
          </cell>
          <cell r="F4311">
            <v>0</v>
          </cell>
          <cell r="DN4311">
            <v>0</v>
          </cell>
        </row>
        <row r="4312">
          <cell r="E4312">
            <v>0</v>
          </cell>
          <cell r="F4312">
            <v>0</v>
          </cell>
          <cell r="DN4312">
            <v>0</v>
          </cell>
        </row>
        <row r="4313">
          <cell r="E4313">
            <v>0</v>
          </cell>
          <cell r="F4313">
            <v>0</v>
          </cell>
          <cell r="DN4313">
            <v>0</v>
          </cell>
        </row>
        <row r="4314">
          <cell r="E4314">
            <v>0</v>
          </cell>
          <cell r="F4314">
            <v>0</v>
          </cell>
          <cell r="DN4314">
            <v>0</v>
          </cell>
        </row>
        <row r="4315">
          <cell r="E4315">
            <v>0</v>
          </cell>
          <cell r="F4315">
            <v>0</v>
          </cell>
          <cell r="DN4315">
            <v>0</v>
          </cell>
        </row>
        <row r="4316">
          <cell r="E4316">
            <v>0</v>
          </cell>
          <cell r="F4316">
            <v>0</v>
          </cell>
          <cell r="DN4316">
            <v>0</v>
          </cell>
        </row>
        <row r="4317">
          <cell r="E4317">
            <v>0</v>
          </cell>
          <cell r="F4317">
            <v>0</v>
          </cell>
          <cell r="DN4317">
            <v>0</v>
          </cell>
        </row>
        <row r="4318">
          <cell r="E4318">
            <v>0</v>
          </cell>
          <cell r="F4318">
            <v>0</v>
          </cell>
          <cell r="DN4318">
            <v>0</v>
          </cell>
        </row>
        <row r="4319">
          <cell r="E4319">
            <v>0</v>
          </cell>
          <cell r="F4319">
            <v>0</v>
          </cell>
          <cell r="DN4319">
            <v>0</v>
          </cell>
        </row>
        <row r="4320">
          <cell r="E4320">
            <v>0</v>
          </cell>
          <cell r="F4320">
            <v>0</v>
          </cell>
          <cell r="DN4320">
            <v>0</v>
          </cell>
        </row>
        <row r="4321">
          <cell r="E4321">
            <v>0</v>
          </cell>
          <cell r="F4321">
            <v>0</v>
          </cell>
          <cell r="DN4321">
            <v>0</v>
          </cell>
        </row>
        <row r="4322">
          <cell r="E4322">
            <v>0</v>
          </cell>
          <cell r="F4322">
            <v>0</v>
          </cell>
          <cell r="DN4322">
            <v>0</v>
          </cell>
        </row>
        <row r="4323">
          <cell r="E4323">
            <v>0</v>
          </cell>
          <cell r="F4323">
            <v>0</v>
          </cell>
          <cell r="DN4323">
            <v>0</v>
          </cell>
        </row>
        <row r="4324">
          <cell r="E4324">
            <v>0</v>
          </cell>
          <cell r="F4324">
            <v>0</v>
          </cell>
          <cell r="DN4324">
            <v>0</v>
          </cell>
        </row>
        <row r="4325">
          <cell r="E4325">
            <v>0</v>
          </cell>
          <cell r="F4325">
            <v>0</v>
          </cell>
          <cell r="DN4325">
            <v>0</v>
          </cell>
        </row>
        <row r="4326">
          <cell r="E4326">
            <v>0</v>
          </cell>
          <cell r="F4326">
            <v>0</v>
          </cell>
          <cell r="DN4326">
            <v>0</v>
          </cell>
        </row>
        <row r="4327">
          <cell r="E4327">
            <v>0</v>
          </cell>
          <cell r="F4327">
            <v>0</v>
          </cell>
          <cell r="DN4327">
            <v>0</v>
          </cell>
        </row>
        <row r="4328">
          <cell r="E4328">
            <v>0</v>
          </cell>
          <cell r="F4328">
            <v>0</v>
          </cell>
          <cell r="DN4328">
            <v>0</v>
          </cell>
        </row>
        <row r="4329">
          <cell r="E4329">
            <v>0</v>
          </cell>
          <cell r="F4329">
            <v>0</v>
          </cell>
          <cell r="DN4329">
            <v>0</v>
          </cell>
        </row>
        <row r="4330">
          <cell r="E4330">
            <v>0</v>
          </cell>
          <cell r="F4330">
            <v>0</v>
          </cell>
          <cell r="DN4330">
            <v>0</v>
          </cell>
        </row>
        <row r="4331">
          <cell r="E4331">
            <v>0</v>
          </cell>
          <cell r="F4331">
            <v>0</v>
          </cell>
          <cell r="DN4331">
            <v>0</v>
          </cell>
        </row>
        <row r="4332">
          <cell r="E4332">
            <v>0</v>
          </cell>
          <cell r="F4332">
            <v>0</v>
          </cell>
          <cell r="DN4332">
            <v>0</v>
          </cell>
        </row>
        <row r="4333">
          <cell r="E4333">
            <v>0</v>
          </cell>
          <cell r="F4333">
            <v>0</v>
          </cell>
          <cell r="DN4333">
            <v>0</v>
          </cell>
        </row>
        <row r="4334">
          <cell r="E4334">
            <v>0</v>
          </cell>
          <cell r="F4334">
            <v>0</v>
          </cell>
          <cell r="DN4334">
            <v>0</v>
          </cell>
        </row>
        <row r="4335">
          <cell r="E4335">
            <v>0</v>
          </cell>
          <cell r="F4335">
            <v>0</v>
          </cell>
          <cell r="DN4335">
            <v>0</v>
          </cell>
        </row>
        <row r="4336">
          <cell r="E4336">
            <v>0</v>
          </cell>
          <cell r="F4336">
            <v>0</v>
          </cell>
          <cell r="DN4336">
            <v>0</v>
          </cell>
        </row>
        <row r="4337">
          <cell r="E4337">
            <v>0</v>
          </cell>
          <cell r="F4337">
            <v>0</v>
          </cell>
          <cell r="DN4337">
            <v>0</v>
          </cell>
        </row>
        <row r="4338">
          <cell r="E4338">
            <v>0</v>
          </cell>
          <cell r="F4338">
            <v>0</v>
          </cell>
          <cell r="DN4338">
            <v>0</v>
          </cell>
        </row>
        <row r="4339">
          <cell r="E4339">
            <v>0</v>
          </cell>
          <cell r="F4339">
            <v>0</v>
          </cell>
          <cell r="DN4339">
            <v>0</v>
          </cell>
        </row>
        <row r="4340">
          <cell r="E4340">
            <v>0</v>
          </cell>
          <cell r="F4340">
            <v>0</v>
          </cell>
          <cell r="DN4340">
            <v>0</v>
          </cell>
        </row>
        <row r="4341">
          <cell r="E4341">
            <v>0</v>
          </cell>
          <cell r="F4341">
            <v>0</v>
          </cell>
          <cell r="DN4341">
            <v>0</v>
          </cell>
        </row>
        <row r="4342">
          <cell r="E4342">
            <v>0</v>
          </cell>
          <cell r="F4342">
            <v>0</v>
          </cell>
          <cell r="DN4342">
            <v>0</v>
          </cell>
        </row>
        <row r="4343">
          <cell r="E4343">
            <v>0</v>
          </cell>
          <cell r="F4343">
            <v>0</v>
          </cell>
          <cell r="DN4343">
            <v>0</v>
          </cell>
        </row>
        <row r="4344">
          <cell r="E4344">
            <v>0</v>
          </cell>
          <cell r="F4344">
            <v>0</v>
          </cell>
          <cell r="DN4344">
            <v>0</v>
          </cell>
        </row>
        <row r="4345">
          <cell r="E4345">
            <v>0</v>
          </cell>
          <cell r="F4345">
            <v>0</v>
          </cell>
          <cell r="DN4345">
            <v>0</v>
          </cell>
        </row>
        <row r="4346">
          <cell r="E4346">
            <v>0</v>
          </cell>
          <cell r="F4346">
            <v>0</v>
          </cell>
          <cell r="DN4346">
            <v>0</v>
          </cell>
        </row>
        <row r="4347">
          <cell r="E4347">
            <v>0</v>
          </cell>
          <cell r="F4347">
            <v>0</v>
          </cell>
          <cell r="DN4347">
            <v>0</v>
          </cell>
        </row>
        <row r="4348">
          <cell r="E4348">
            <v>0</v>
          </cell>
          <cell r="F4348">
            <v>0</v>
          </cell>
          <cell r="DN4348">
            <v>0</v>
          </cell>
        </row>
        <row r="4349">
          <cell r="E4349">
            <v>0</v>
          </cell>
          <cell r="F4349">
            <v>0</v>
          </cell>
          <cell r="DN4349">
            <v>0</v>
          </cell>
        </row>
        <row r="4350">
          <cell r="E4350">
            <v>0</v>
          </cell>
          <cell r="F4350">
            <v>0</v>
          </cell>
          <cell r="DN4350">
            <v>0</v>
          </cell>
        </row>
        <row r="4351">
          <cell r="E4351">
            <v>0</v>
          </cell>
          <cell r="F4351">
            <v>0</v>
          </cell>
          <cell r="DN4351">
            <v>0</v>
          </cell>
        </row>
        <row r="4352">
          <cell r="E4352">
            <v>0</v>
          </cell>
          <cell r="F4352">
            <v>0</v>
          </cell>
          <cell r="DN4352">
            <v>0</v>
          </cell>
        </row>
        <row r="4353">
          <cell r="E4353">
            <v>0</v>
          </cell>
          <cell r="F4353">
            <v>0</v>
          </cell>
          <cell r="DN4353">
            <v>0</v>
          </cell>
        </row>
        <row r="4354">
          <cell r="E4354">
            <v>0</v>
          </cell>
          <cell r="F4354">
            <v>0</v>
          </cell>
          <cell r="DN4354">
            <v>0</v>
          </cell>
        </row>
        <row r="4355">
          <cell r="E4355">
            <v>0</v>
          </cell>
          <cell r="F4355">
            <v>0</v>
          </cell>
          <cell r="DN4355">
            <v>0</v>
          </cell>
        </row>
        <row r="4356">
          <cell r="E4356">
            <v>0</v>
          </cell>
          <cell r="F4356">
            <v>0</v>
          </cell>
          <cell r="DN4356">
            <v>0</v>
          </cell>
        </row>
        <row r="4357">
          <cell r="E4357">
            <v>0</v>
          </cell>
          <cell r="F4357">
            <v>0</v>
          </cell>
          <cell r="DN4357">
            <v>0</v>
          </cell>
        </row>
        <row r="4358">
          <cell r="E4358">
            <v>0</v>
          </cell>
          <cell r="F4358">
            <v>0</v>
          </cell>
          <cell r="DN4358">
            <v>0</v>
          </cell>
        </row>
        <row r="4359">
          <cell r="E4359">
            <v>0</v>
          </cell>
          <cell r="F4359">
            <v>0</v>
          </cell>
          <cell r="DN4359">
            <v>0</v>
          </cell>
        </row>
        <row r="4360">
          <cell r="E4360">
            <v>0</v>
          </cell>
          <cell r="F4360">
            <v>0</v>
          </cell>
          <cell r="DN4360">
            <v>0</v>
          </cell>
        </row>
        <row r="4361">
          <cell r="E4361">
            <v>0</v>
          </cell>
          <cell r="F4361">
            <v>0</v>
          </cell>
          <cell r="DN4361">
            <v>0</v>
          </cell>
        </row>
        <row r="4362">
          <cell r="E4362">
            <v>0</v>
          </cell>
          <cell r="F4362">
            <v>0</v>
          </cell>
          <cell r="DN4362">
            <v>0</v>
          </cell>
        </row>
        <row r="4363">
          <cell r="E4363">
            <v>0</v>
          </cell>
          <cell r="F4363">
            <v>0</v>
          </cell>
          <cell r="DN4363">
            <v>0</v>
          </cell>
        </row>
        <row r="4364">
          <cell r="E4364">
            <v>0</v>
          </cell>
          <cell r="F4364">
            <v>0</v>
          </cell>
          <cell r="DN4364">
            <v>0</v>
          </cell>
        </row>
        <row r="4365">
          <cell r="E4365">
            <v>0</v>
          </cell>
          <cell r="F4365">
            <v>0</v>
          </cell>
          <cell r="DN4365">
            <v>0</v>
          </cell>
        </row>
        <row r="4366">
          <cell r="E4366">
            <v>0</v>
          </cell>
          <cell r="F4366">
            <v>0</v>
          </cell>
          <cell r="DN4366">
            <v>0</v>
          </cell>
        </row>
        <row r="4367">
          <cell r="E4367">
            <v>0</v>
          </cell>
          <cell r="F4367">
            <v>0</v>
          </cell>
          <cell r="DN4367">
            <v>0</v>
          </cell>
        </row>
        <row r="4368">
          <cell r="E4368">
            <v>0</v>
          </cell>
          <cell r="F4368">
            <v>0</v>
          </cell>
          <cell r="DN4368">
            <v>0</v>
          </cell>
        </row>
        <row r="4369">
          <cell r="E4369">
            <v>0</v>
          </cell>
          <cell r="F4369">
            <v>0</v>
          </cell>
          <cell r="DN4369">
            <v>0</v>
          </cell>
        </row>
        <row r="4370">
          <cell r="E4370">
            <v>0</v>
          </cell>
          <cell r="F4370">
            <v>0</v>
          </cell>
          <cell r="DN4370">
            <v>0</v>
          </cell>
        </row>
        <row r="4371">
          <cell r="E4371">
            <v>0</v>
          </cell>
          <cell r="F4371">
            <v>0</v>
          </cell>
          <cell r="DN4371">
            <v>0</v>
          </cell>
        </row>
        <row r="4372">
          <cell r="E4372">
            <v>0</v>
          </cell>
          <cell r="F4372">
            <v>0</v>
          </cell>
          <cell r="DN4372">
            <v>0</v>
          </cell>
        </row>
        <row r="4373">
          <cell r="E4373">
            <v>0</v>
          </cell>
          <cell r="F4373">
            <v>0</v>
          </cell>
          <cell r="DN4373">
            <v>0</v>
          </cell>
        </row>
        <row r="4374">
          <cell r="E4374">
            <v>0</v>
          </cell>
          <cell r="F4374">
            <v>0</v>
          </cell>
          <cell r="DN4374">
            <v>0</v>
          </cell>
        </row>
        <row r="4375">
          <cell r="E4375">
            <v>0</v>
          </cell>
          <cell r="F4375">
            <v>0</v>
          </cell>
          <cell r="DN4375">
            <v>0</v>
          </cell>
        </row>
        <row r="4376">
          <cell r="E4376">
            <v>0</v>
          </cell>
          <cell r="F4376">
            <v>0</v>
          </cell>
          <cell r="DN4376">
            <v>0</v>
          </cell>
        </row>
        <row r="4377">
          <cell r="E4377">
            <v>0</v>
          </cell>
          <cell r="F4377">
            <v>0</v>
          </cell>
          <cell r="DN4377">
            <v>0</v>
          </cell>
        </row>
        <row r="4378">
          <cell r="E4378">
            <v>0</v>
          </cell>
          <cell r="F4378">
            <v>0</v>
          </cell>
          <cell r="DN4378">
            <v>0</v>
          </cell>
        </row>
        <row r="4379">
          <cell r="E4379">
            <v>0</v>
          </cell>
          <cell r="F4379">
            <v>0</v>
          </cell>
          <cell r="DN4379">
            <v>0</v>
          </cell>
        </row>
        <row r="4380">
          <cell r="E4380">
            <v>0</v>
          </cell>
          <cell r="F4380">
            <v>0</v>
          </cell>
          <cell r="DN4380">
            <v>0</v>
          </cell>
        </row>
        <row r="4381">
          <cell r="E4381">
            <v>0</v>
          </cell>
          <cell r="F4381">
            <v>0</v>
          </cell>
          <cell r="DN4381">
            <v>0</v>
          </cell>
        </row>
        <row r="4382">
          <cell r="E4382">
            <v>0</v>
          </cell>
          <cell r="F4382">
            <v>0</v>
          </cell>
          <cell r="DN4382">
            <v>0</v>
          </cell>
        </row>
        <row r="4383">
          <cell r="E4383">
            <v>0</v>
          </cell>
          <cell r="F4383">
            <v>0</v>
          </cell>
          <cell r="DN4383">
            <v>0</v>
          </cell>
        </row>
        <row r="4384">
          <cell r="E4384">
            <v>0</v>
          </cell>
          <cell r="F4384">
            <v>0</v>
          </cell>
          <cell r="DN4384">
            <v>0</v>
          </cell>
        </row>
        <row r="4385">
          <cell r="E4385">
            <v>0</v>
          </cell>
          <cell r="F4385">
            <v>0</v>
          </cell>
          <cell r="DN4385">
            <v>0</v>
          </cell>
        </row>
        <row r="4386">
          <cell r="E4386">
            <v>0</v>
          </cell>
          <cell r="F4386">
            <v>0</v>
          </cell>
          <cell r="DN4386">
            <v>0</v>
          </cell>
        </row>
        <row r="4387">
          <cell r="E4387">
            <v>0</v>
          </cell>
          <cell r="F4387">
            <v>0</v>
          </cell>
          <cell r="DN4387">
            <v>0</v>
          </cell>
        </row>
        <row r="4388">
          <cell r="E4388">
            <v>0</v>
          </cell>
          <cell r="F4388">
            <v>0</v>
          </cell>
          <cell r="DN4388">
            <v>0</v>
          </cell>
        </row>
        <row r="4389">
          <cell r="E4389">
            <v>0</v>
          </cell>
          <cell r="F4389">
            <v>0</v>
          </cell>
          <cell r="DN4389">
            <v>0</v>
          </cell>
        </row>
        <row r="4390">
          <cell r="E4390">
            <v>0</v>
          </cell>
          <cell r="F4390">
            <v>0</v>
          </cell>
          <cell r="DN4390">
            <v>0</v>
          </cell>
        </row>
        <row r="4391">
          <cell r="E4391">
            <v>0</v>
          </cell>
          <cell r="F4391">
            <v>0</v>
          </cell>
          <cell r="DN4391">
            <v>0</v>
          </cell>
        </row>
        <row r="4392">
          <cell r="E4392">
            <v>0</v>
          </cell>
          <cell r="F4392">
            <v>0</v>
          </cell>
          <cell r="DN4392">
            <v>0</v>
          </cell>
        </row>
        <row r="4393">
          <cell r="E4393">
            <v>0</v>
          </cell>
          <cell r="F4393">
            <v>0</v>
          </cell>
          <cell r="DN4393">
            <v>0</v>
          </cell>
        </row>
        <row r="4394">
          <cell r="E4394">
            <v>0</v>
          </cell>
          <cell r="F4394">
            <v>0</v>
          </cell>
          <cell r="DN4394">
            <v>0</v>
          </cell>
        </row>
        <row r="4395">
          <cell r="E4395">
            <v>0</v>
          </cell>
          <cell r="F4395">
            <v>0</v>
          </cell>
          <cell r="DN4395">
            <v>0</v>
          </cell>
        </row>
        <row r="4396">
          <cell r="E4396">
            <v>0</v>
          </cell>
          <cell r="F4396">
            <v>0</v>
          </cell>
          <cell r="DN4396">
            <v>0</v>
          </cell>
        </row>
        <row r="4397">
          <cell r="E4397">
            <v>0</v>
          </cell>
          <cell r="F4397">
            <v>0</v>
          </cell>
          <cell r="DN4397">
            <v>0</v>
          </cell>
        </row>
        <row r="4398">
          <cell r="E4398">
            <v>0</v>
          </cell>
          <cell r="F4398">
            <v>0</v>
          </cell>
          <cell r="DN4398">
            <v>0</v>
          </cell>
        </row>
        <row r="4399">
          <cell r="E4399">
            <v>0</v>
          </cell>
          <cell r="F4399">
            <v>0</v>
          </cell>
          <cell r="DN4399">
            <v>0</v>
          </cell>
        </row>
        <row r="4400">
          <cell r="E4400">
            <v>0</v>
          </cell>
          <cell r="F4400">
            <v>0</v>
          </cell>
          <cell r="DN4400">
            <v>0</v>
          </cell>
        </row>
        <row r="4401">
          <cell r="E4401">
            <v>0</v>
          </cell>
          <cell r="F4401">
            <v>0</v>
          </cell>
          <cell r="DN4401">
            <v>0</v>
          </cell>
        </row>
        <row r="4402">
          <cell r="E4402">
            <v>0</v>
          </cell>
          <cell r="F4402">
            <v>0</v>
          </cell>
          <cell r="DN4402">
            <v>0</v>
          </cell>
        </row>
        <row r="4403">
          <cell r="E4403">
            <v>0</v>
          </cell>
          <cell r="F4403">
            <v>0</v>
          </cell>
          <cell r="DN4403">
            <v>0</v>
          </cell>
        </row>
        <row r="4404">
          <cell r="E4404">
            <v>0</v>
          </cell>
          <cell r="F4404">
            <v>0</v>
          </cell>
          <cell r="DN4404">
            <v>0</v>
          </cell>
        </row>
        <row r="4405">
          <cell r="E4405">
            <v>0</v>
          </cell>
          <cell r="F4405">
            <v>0</v>
          </cell>
          <cell r="DN4405">
            <v>0</v>
          </cell>
        </row>
        <row r="4406">
          <cell r="E4406">
            <v>0</v>
          </cell>
          <cell r="F4406">
            <v>0</v>
          </cell>
          <cell r="DN4406">
            <v>0</v>
          </cell>
        </row>
        <row r="4407">
          <cell r="E4407">
            <v>0</v>
          </cell>
          <cell r="F4407">
            <v>0</v>
          </cell>
          <cell r="DN4407">
            <v>0</v>
          </cell>
        </row>
        <row r="4408">
          <cell r="E4408">
            <v>0</v>
          </cell>
          <cell r="F4408">
            <v>0</v>
          </cell>
          <cell r="DN4408">
            <v>0</v>
          </cell>
        </row>
        <row r="4409">
          <cell r="E4409">
            <v>0</v>
          </cell>
          <cell r="F4409">
            <v>0</v>
          </cell>
          <cell r="DN4409">
            <v>0</v>
          </cell>
        </row>
        <row r="4410">
          <cell r="E4410">
            <v>0</v>
          </cell>
          <cell r="F4410">
            <v>0</v>
          </cell>
          <cell r="DN4410">
            <v>0</v>
          </cell>
        </row>
        <row r="4411">
          <cell r="E4411">
            <v>0</v>
          </cell>
          <cell r="F4411">
            <v>0</v>
          </cell>
          <cell r="DN4411">
            <v>0</v>
          </cell>
        </row>
        <row r="4412">
          <cell r="E4412">
            <v>0</v>
          </cell>
          <cell r="F4412">
            <v>0</v>
          </cell>
          <cell r="DN4412">
            <v>0</v>
          </cell>
        </row>
        <row r="4413">
          <cell r="E4413">
            <v>0</v>
          </cell>
          <cell r="F4413">
            <v>0</v>
          </cell>
          <cell r="DN4413">
            <v>0</v>
          </cell>
        </row>
        <row r="4414">
          <cell r="E4414">
            <v>0</v>
          </cell>
          <cell r="F4414">
            <v>0</v>
          </cell>
          <cell r="DN4414">
            <v>0</v>
          </cell>
        </row>
        <row r="4415">
          <cell r="E4415">
            <v>0</v>
          </cell>
          <cell r="F4415">
            <v>0</v>
          </cell>
          <cell r="DN4415">
            <v>0</v>
          </cell>
        </row>
        <row r="4416">
          <cell r="E4416">
            <v>0</v>
          </cell>
          <cell r="F4416">
            <v>0</v>
          </cell>
          <cell r="DN4416">
            <v>0</v>
          </cell>
        </row>
        <row r="4417">
          <cell r="E4417">
            <v>0</v>
          </cell>
          <cell r="F4417">
            <v>0</v>
          </cell>
          <cell r="DN4417">
            <v>0</v>
          </cell>
        </row>
        <row r="4418">
          <cell r="E4418">
            <v>0</v>
          </cell>
          <cell r="F4418">
            <v>0</v>
          </cell>
          <cell r="DN4418">
            <v>0</v>
          </cell>
        </row>
        <row r="4419">
          <cell r="E4419">
            <v>0</v>
          </cell>
          <cell r="F4419">
            <v>0</v>
          </cell>
          <cell r="DN4419">
            <v>0</v>
          </cell>
        </row>
        <row r="4420">
          <cell r="E4420">
            <v>0</v>
          </cell>
          <cell r="F4420">
            <v>0</v>
          </cell>
          <cell r="DN4420">
            <v>0</v>
          </cell>
        </row>
        <row r="4421">
          <cell r="E4421">
            <v>0</v>
          </cell>
          <cell r="F4421">
            <v>0</v>
          </cell>
          <cell r="DN4421">
            <v>0</v>
          </cell>
        </row>
        <row r="4422">
          <cell r="E4422">
            <v>0</v>
          </cell>
          <cell r="F4422">
            <v>0</v>
          </cell>
          <cell r="DN4422">
            <v>0</v>
          </cell>
        </row>
        <row r="4423">
          <cell r="E4423">
            <v>0</v>
          </cell>
          <cell r="F4423">
            <v>0</v>
          </cell>
          <cell r="DN4423">
            <v>0</v>
          </cell>
        </row>
        <row r="4424">
          <cell r="E4424">
            <v>0</v>
          </cell>
          <cell r="F4424">
            <v>0</v>
          </cell>
          <cell r="DN4424">
            <v>0</v>
          </cell>
        </row>
        <row r="4425">
          <cell r="E4425">
            <v>0</v>
          </cell>
          <cell r="F4425">
            <v>0</v>
          </cell>
          <cell r="DN4425">
            <v>0</v>
          </cell>
        </row>
        <row r="4426">
          <cell r="E4426">
            <v>0</v>
          </cell>
          <cell r="F4426">
            <v>0</v>
          </cell>
          <cell r="DN4426">
            <v>0</v>
          </cell>
        </row>
        <row r="4427">
          <cell r="E4427">
            <v>0</v>
          </cell>
          <cell r="F4427">
            <v>0</v>
          </cell>
          <cell r="DN4427">
            <v>0</v>
          </cell>
        </row>
        <row r="4428">
          <cell r="E4428">
            <v>0</v>
          </cell>
          <cell r="F4428">
            <v>0</v>
          </cell>
          <cell r="DN4428">
            <v>0</v>
          </cell>
        </row>
        <row r="4429">
          <cell r="E4429">
            <v>0</v>
          </cell>
          <cell r="F4429">
            <v>0</v>
          </cell>
          <cell r="DN4429">
            <v>0</v>
          </cell>
        </row>
        <row r="4430">
          <cell r="E4430">
            <v>0</v>
          </cell>
          <cell r="F4430">
            <v>0</v>
          </cell>
          <cell r="DN4430">
            <v>0</v>
          </cell>
        </row>
        <row r="4431">
          <cell r="E4431">
            <v>0</v>
          </cell>
          <cell r="F4431">
            <v>0</v>
          </cell>
          <cell r="DN4431">
            <v>0</v>
          </cell>
        </row>
        <row r="4432">
          <cell r="E4432">
            <v>0</v>
          </cell>
          <cell r="F4432">
            <v>0</v>
          </cell>
          <cell r="DN4432">
            <v>0</v>
          </cell>
        </row>
        <row r="4433">
          <cell r="E4433">
            <v>0</v>
          </cell>
          <cell r="F4433">
            <v>0</v>
          </cell>
          <cell r="DN4433">
            <v>0</v>
          </cell>
        </row>
        <row r="4434">
          <cell r="E4434">
            <v>0</v>
          </cell>
          <cell r="F4434">
            <v>0</v>
          </cell>
          <cell r="DN4434">
            <v>0</v>
          </cell>
        </row>
        <row r="4435">
          <cell r="E4435">
            <v>0</v>
          </cell>
          <cell r="F4435">
            <v>0</v>
          </cell>
          <cell r="DN4435">
            <v>0</v>
          </cell>
        </row>
        <row r="4436">
          <cell r="E4436">
            <v>0</v>
          </cell>
          <cell r="F4436">
            <v>0</v>
          </cell>
          <cell r="DN4436">
            <v>0</v>
          </cell>
        </row>
        <row r="4437">
          <cell r="E4437">
            <v>0</v>
          </cell>
          <cell r="F4437">
            <v>0</v>
          </cell>
          <cell r="DN4437">
            <v>0</v>
          </cell>
        </row>
        <row r="4438">
          <cell r="E4438">
            <v>0</v>
          </cell>
          <cell r="F4438">
            <v>0</v>
          </cell>
          <cell r="DN4438">
            <v>0</v>
          </cell>
        </row>
        <row r="4439">
          <cell r="E4439">
            <v>0</v>
          </cell>
          <cell r="F4439">
            <v>0</v>
          </cell>
          <cell r="DN4439">
            <v>0</v>
          </cell>
        </row>
        <row r="4440">
          <cell r="E4440">
            <v>0</v>
          </cell>
          <cell r="F4440">
            <v>0</v>
          </cell>
          <cell r="DN4440">
            <v>0</v>
          </cell>
        </row>
        <row r="4441">
          <cell r="E4441">
            <v>0</v>
          </cell>
          <cell r="F4441">
            <v>0</v>
          </cell>
          <cell r="DN4441">
            <v>0</v>
          </cell>
        </row>
        <row r="4442">
          <cell r="E4442">
            <v>0</v>
          </cell>
          <cell r="F4442">
            <v>0</v>
          </cell>
          <cell r="DN4442">
            <v>0</v>
          </cell>
        </row>
        <row r="4443">
          <cell r="E4443">
            <v>0</v>
          </cell>
          <cell r="F4443">
            <v>0</v>
          </cell>
          <cell r="DN4443">
            <v>0</v>
          </cell>
        </row>
        <row r="4444">
          <cell r="E4444">
            <v>0</v>
          </cell>
          <cell r="F4444">
            <v>0</v>
          </cell>
          <cell r="DN4444">
            <v>0</v>
          </cell>
        </row>
        <row r="4445">
          <cell r="E4445">
            <v>0</v>
          </cell>
          <cell r="F4445">
            <v>0</v>
          </cell>
          <cell r="DN4445">
            <v>0</v>
          </cell>
        </row>
        <row r="4446">
          <cell r="E4446">
            <v>0</v>
          </cell>
          <cell r="F4446">
            <v>0</v>
          </cell>
          <cell r="DN4446">
            <v>0</v>
          </cell>
        </row>
        <row r="4447">
          <cell r="E4447">
            <v>0</v>
          </cell>
          <cell r="F4447">
            <v>0</v>
          </cell>
          <cell r="DN4447">
            <v>0</v>
          </cell>
        </row>
        <row r="4448">
          <cell r="E4448">
            <v>0</v>
          </cell>
          <cell r="F4448">
            <v>0</v>
          </cell>
          <cell r="DN4448">
            <v>0</v>
          </cell>
        </row>
        <row r="4449">
          <cell r="E4449">
            <v>0</v>
          </cell>
          <cell r="F4449">
            <v>0</v>
          </cell>
          <cell r="DN4449">
            <v>0</v>
          </cell>
        </row>
        <row r="4450">
          <cell r="E4450">
            <v>0</v>
          </cell>
          <cell r="F4450">
            <v>0</v>
          </cell>
          <cell r="DN4450">
            <v>0</v>
          </cell>
        </row>
        <row r="4451">
          <cell r="E4451">
            <v>0</v>
          </cell>
          <cell r="F4451">
            <v>0</v>
          </cell>
          <cell r="DN4451">
            <v>0</v>
          </cell>
        </row>
        <row r="4452">
          <cell r="E4452">
            <v>0</v>
          </cell>
          <cell r="F4452">
            <v>0</v>
          </cell>
          <cell r="DN4452">
            <v>0</v>
          </cell>
        </row>
        <row r="4453">
          <cell r="E4453">
            <v>0</v>
          </cell>
          <cell r="F4453">
            <v>0</v>
          </cell>
          <cell r="DN4453">
            <v>0</v>
          </cell>
        </row>
        <row r="4454">
          <cell r="E4454">
            <v>0</v>
          </cell>
          <cell r="F4454">
            <v>0</v>
          </cell>
          <cell r="DN4454">
            <v>0</v>
          </cell>
        </row>
        <row r="4455">
          <cell r="E4455">
            <v>0</v>
          </cell>
          <cell r="F4455">
            <v>0</v>
          </cell>
          <cell r="DN4455">
            <v>0</v>
          </cell>
        </row>
        <row r="4456">
          <cell r="E4456">
            <v>0</v>
          </cell>
          <cell r="F4456">
            <v>0</v>
          </cell>
          <cell r="DN4456">
            <v>0</v>
          </cell>
        </row>
        <row r="4457">
          <cell r="E4457">
            <v>0</v>
          </cell>
          <cell r="F4457">
            <v>0</v>
          </cell>
          <cell r="DN4457">
            <v>0</v>
          </cell>
        </row>
        <row r="4458">
          <cell r="E4458">
            <v>0</v>
          </cell>
          <cell r="F4458">
            <v>0</v>
          </cell>
          <cell r="DN4458">
            <v>0</v>
          </cell>
        </row>
        <row r="4459">
          <cell r="E4459">
            <v>0</v>
          </cell>
          <cell r="F4459">
            <v>0</v>
          </cell>
          <cell r="DN4459">
            <v>0</v>
          </cell>
        </row>
        <row r="4460">
          <cell r="E4460">
            <v>0</v>
          </cell>
          <cell r="F4460">
            <v>0</v>
          </cell>
          <cell r="DN4460">
            <v>0</v>
          </cell>
        </row>
        <row r="4461">
          <cell r="E4461">
            <v>0</v>
          </cell>
          <cell r="F4461">
            <v>0</v>
          </cell>
          <cell r="DN4461">
            <v>0</v>
          </cell>
        </row>
        <row r="4462">
          <cell r="E4462">
            <v>0</v>
          </cell>
          <cell r="F4462">
            <v>0</v>
          </cell>
          <cell r="DN4462">
            <v>0</v>
          </cell>
        </row>
        <row r="4463">
          <cell r="E4463">
            <v>0</v>
          </cell>
          <cell r="F4463">
            <v>0</v>
          </cell>
          <cell r="DN4463">
            <v>0</v>
          </cell>
        </row>
        <row r="4464">
          <cell r="E4464">
            <v>0</v>
          </cell>
          <cell r="F4464">
            <v>0</v>
          </cell>
          <cell r="DN4464">
            <v>0</v>
          </cell>
        </row>
        <row r="4465">
          <cell r="E4465">
            <v>0</v>
          </cell>
          <cell r="F4465">
            <v>0</v>
          </cell>
          <cell r="DN4465">
            <v>0</v>
          </cell>
        </row>
        <row r="4466">
          <cell r="E4466">
            <v>0</v>
          </cell>
          <cell r="F4466">
            <v>0</v>
          </cell>
          <cell r="DN4466">
            <v>0</v>
          </cell>
        </row>
        <row r="4467">
          <cell r="E4467">
            <v>0</v>
          </cell>
          <cell r="F4467">
            <v>0</v>
          </cell>
          <cell r="DN4467">
            <v>0</v>
          </cell>
        </row>
        <row r="4468">
          <cell r="E4468">
            <v>0</v>
          </cell>
          <cell r="F4468">
            <v>0</v>
          </cell>
          <cell r="DN4468">
            <v>0</v>
          </cell>
        </row>
        <row r="4469">
          <cell r="E4469">
            <v>0</v>
          </cell>
          <cell r="F4469">
            <v>0</v>
          </cell>
          <cell r="DN4469">
            <v>0</v>
          </cell>
        </row>
        <row r="4470">
          <cell r="E4470">
            <v>0</v>
          </cell>
          <cell r="F4470">
            <v>0</v>
          </cell>
          <cell r="DN4470">
            <v>0</v>
          </cell>
        </row>
        <row r="4471">
          <cell r="E4471">
            <v>0</v>
          </cell>
          <cell r="F4471">
            <v>0</v>
          </cell>
          <cell r="DN4471">
            <v>0</v>
          </cell>
        </row>
        <row r="4472">
          <cell r="E4472">
            <v>0</v>
          </cell>
          <cell r="F4472">
            <v>0</v>
          </cell>
          <cell r="DN4472">
            <v>0</v>
          </cell>
        </row>
        <row r="4473">
          <cell r="E4473">
            <v>0</v>
          </cell>
          <cell r="F4473">
            <v>0</v>
          </cell>
          <cell r="DN4473">
            <v>0</v>
          </cell>
        </row>
        <row r="4474">
          <cell r="E4474">
            <v>0</v>
          </cell>
          <cell r="F4474">
            <v>0</v>
          </cell>
          <cell r="DN4474">
            <v>0</v>
          </cell>
        </row>
        <row r="4475">
          <cell r="E4475">
            <v>0</v>
          </cell>
          <cell r="F4475">
            <v>0</v>
          </cell>
          <cell r="DN4475">
            <v>0</v>
          </cell>
        </row>
        <row r="4476">
          <cell r="E4476">
            <v>0</v>
          </cell>
          <cell r="F4476">
            <v>0</v>
          </cell>
          <cell r="DN4476">
            <v>0</v>
          </cell>
        </row>
        <row r="4477">
          <cell r="E4477">
            <v>0</v>
          </cell>
          <cell r="F4477">
            <v>0</v>
          </cell>
          <cell r="DN4477">
            <v>0</v>
          </cell>
        </row>
        <row r="4478">
          <cell r="E4478">
            <v>0</v>
          </cell>
          <cell r="F4478">
            <v>0</v>
          </cell>
          <cell r="DN4478">
            <v>0</v>
          </cell>
        </row>
        <row r="4479">
          <cell r="E4479">
            <v>0</v>
          </cell>
          <cell r="F4479">
            <v>0</v>
          </cell>
          <cell r="DN4479">
            <v>0</v>
          </cell>
        </row>
        <row r="4480">
          <cell r="E4480">
            <v>0</v>
          </cell>
          <cell r="F4480">
            <v>0</v>
          </cell>
          <cell r="DN4480">
            <v>0</v>
          </cell>
        </row>
        <row r="4481">
          <cell r="E4481">
            <v>0</v>
          </cell>
          <cell r="F4481">
            <v>0</v>
          </cell>
          <cell r="DN4481">
            <v>0</v>
          </cell>
        </row>
        <row r="4482">
          <cell r="E4482">
            <v>0</v>
          </cell>
          <cell r="F4482">
            <v>0</v>
          </cell>
          <cell r="DN4482">
            <v>0</v>
          </cell>
        </row>
        <row r="4483">
          <cell r="E4483">
            <v>0</v>
          </cell>
          <cell r="F4483">
            <v>0</v>
          </cell>
          <cell r="DN4483">
            <v>0</v>
          </cell>
        </row>
        <row r="4484">
          <cell r="E4484">
            <v>0</v>
          </cell>
          <cell r="F4484">
            <v>0</v>
          </cell>
          <cell r="DN4484">
            <v>0</v>
          </cell>
        </row>
        <row r="4485">
          <cell r="E4485">
            <v>0</v>
          </cell>
          <cell r="F4485">
            <v>0</v>
          </cell>
          <cell r="DN4485">
            <v>0</v>
          </cell>
        </row>
        <row r="4486">
          <cell r="E4486">
            <v>0</v>
          </cell>
          <cell r="F4486">
            <v>0</v>
          </cell>
          <cell r="DN4486">
            <v>0</v>
          </cell>
        </row>
        <row r="4487">
          <cell r="E4487">
            <v>0</v>
          </cell>
          <cell r="F4487">
            <v>0</v>
          </cell>
          <cell r="DN4487">
            <v>0</v>
          </cell>
        </row>
        <row r="4488">
          <cell r="E4488">
            <v>0</v>
          </cell>
          <cell r="F4488">
            <v>0</v>
          </cell>
          <cell r="DN4488">
            <v>0</v>
          </cell>
        </row>
        <row r="4489">
          <cell r="E4489">
            <v>0</v>
          </cell>
          <cell r="F4489">
            <v>0</v>
          </cell>
          <cell r="DN4489">
            <v>0</v>
          </cell>
        </row>
        <row r="4490">
          <cell r="E4490">
            <v>0</v>
          </cell>
          <cell r="F4490">
            <v>0</v>
          </cell>
          <cell r="DN4490">
            <v>0</v>
          </cell>
        </row>
        <row r="4491">
          <cell r="E4491">
            <v>0</v>
          </cell>
          <cell r="F4491">
            <v>0</v>
          </cell>
          <cell r="DN4491">
            <v>0</v>
          </cell>
        </row>
        <row r="4492">
          <cell r="E4492">
            <v>0</v>
          </cell>
          <cell r="F4492">
            <v>0</v>
          </cell>
          <cell r="DN4492">
            <v>0</v>
          </cell>
        </row>
        <row r="4493">
          <cell r="E4493">
            <v>0</v>
          </cell>
          <cell r="F4493">
            <v>0</v>
          </cell>
          <cell r="DN4493">
            <v>0</v>
          </cell>
        </row>
        <row r="4494">
          <cell r="E4494">
            <v>0</v>
          </cell>
          <cell r="F4494">
            <v>0</v>
          </cell>
          <cell r="DN4494">
            <v>0</v>
          </cell>
        </row>
        <row r="4495">
          <cell r="E4495">
            <v>0</v>
          </cell>
          <cell r="F4495">
            <v>0</v>
          </cell>
          <cell r="DN4495">
            <v>0</v>
          </cell>
        </row>
        <row r="4496">
          <cell r="E4496">
            <v>0</v>
          </cell>
          <cell r="F4496">
            <v>0</v>
          </cell>
          <cell r="DN4496">
            <v>0</v>
          </cell>
        </row>
        <row r="4497">
          <cell r="E4497">
            <v>0</v>
          </cell>
          <cell r="F4497">
            <v>0</v>
          </cell>
          <cell r="DN4497">
            <v>0</v>
          </cell>
        </row>
        <row r="4498">
          <cell r="E4498">
            <v>0</v>
          </cell>
          <cell r="F4498">
            <v>0</v>
          </cell>
          <cell r="DN4498">
            <v>0</v>
          </cell>
        </row>
        <row r="4499">
          <cell r="E4499">
            <v>0</v>
          </cell>
          <cell r="F4499">
            <v>0</v>
          </cell>
          <cell r="DN4499">
            <v>0</v>
          </cell>
        </row>
        <row r="4500">
          <cell r="E4500">
            <v>0</v>
          </cell>
          <cell r="F4500">
            <v>0</v>
          </cell>
          <cell r="DN4500">
            <v>0</v>
          </cell>
        </row>
        <row r="4501">
          <cell r="E4501">
            <v>0</v>
          </cell>
          <cell r="F4501">
            <v>0</v>
          </cell>
          <cell r="DN4501">
            <v>0</v>
          </cell>
        </row>
        <row r="4502">
          <cell r="E4502">
            <v>0</v>
          </cell>
          <cell r="F4502">
            <v>0</v>
          </cell>
          <cell r="DN4502">
            <v>0</v>
          </cell>
        </row>
        <row r="4503">
          <cell r="E4503">
            <v>0</v>
          </cell>
          <cell r="F4503">
            <v>0</v>
          </cell>
          <cell r="DN4503">
            <v>0</v>
          </cell>
        </row>
        <row r="4504">
          <cell r="E4504">
            <v>0</v>
          </cell>
          <cell r="F4504">
            <v>0</v>
          </cell>
          <cell r="DN4504">
            <v>0</v>
          </cell>
        </row>
        <row r="4505">
          <cell r="E4505">
            <v>0</v>
          </cell>
          <cell r="F4505">
            <v>0</v>
          </cell>
          <cell r="DN4505">
            <v>0</v>
          </cell>
        </row>
        <row r="4506">
          <cell r="E4506">
            <v>0</v>
          </cell>
          <cell r="F4506">
            <v>0</v>
          </cell>
          <cell r="DN4506">
            <v>0</v>
          </cell>
        </row>
        <row r="4507">
          <cell r="E4507">
            <v>0</v>
          </cell>
          <cell r="F4507">
            <v>0</v>
          </cell>
          <cell r="DN4507">
            <v>0</v>
          </cell>
        </row>
        <row r="4508">
          <cell r="E4508">
            <v>0</v>
          </cell>
          <cell r="F4508">
            <v>0</v>
          </cell>
          <cell r="DN4508">
            <v>0</v>
          </cell>
        </row>
        <row r="4509">
          <cell r="E4509">
            <v>0</v>
          </cell>
          <cell r="F4509">
            <v>0</v>
          </cell>
          <cell r="DN4509">
            <v>0</v>
          </cell>
        </row>
        <row r="4510">
          <cell r="E4510">
            <v>0</v>
          </cell>
          <cell r="F4510">
            <v>0</v>
          </cell>
          <cell r="DN4510">
            <v>0</v>
          </cell>
        </row>
        <row r="4511">
          <cell r="E4511">
            <v>0</v>
          </cell>
          <cell r="F4511">
            <v>0</v>
          </cell>
          <cell r="DN4511">
            <v>0</v>
          </cell>
        </row>
        <row r="4512">
          <cell r="E4512">
            <v>0</v>
          </cell>
          <cell r="F4512">
            <v>0</v>
          </cell>
          <cell r="DN4512">
            <v>0</v>
          </cell>
        </row>
        <row r="4513">
          <cell r="E4513">
            <v>0</v>
          </cell>
          <cell r="F4513">
            <v>0</v>
          </cell>
          <cell r="DN4513">
            <v>0</v>
          </cell>
        </row>
        <row r="4514">
          <cell r="E4514">
            <v>0</v>
          </cell>
          <cell r="F4514">
            <v>0</v>
          </cell>
          <cell r="DN4514">
            <v>0</v>
          </cell>
        </row>
        <row r="4515">
          <cell r="E4515">
            <v>0</v>
          </cell>
          <cell r="F4515">
            <v>0</v>
          </cell>
          <cell r="DN4515">
            <v>0</v>
          </cell>
        </row>
        <row r="4516">
          <cell r="E4516">
            <v>0</v>
          </cell>
          <cell r="F4516">
            <v>0</v>
          </cell>
          <cell r="DN4516">
            <v>0</v>
          </cell>
        </row>
        <row r="4517">
          <cell r="E4517">
            <v>0</v>
          </cell>
          <cell r="F4517">
            <v>0</v>
          </cell>
          <cell r="DN4517">
            <v>0</v>
          </cell>
        </row>
        <row r="4518">
          <cell r="E4518">
            <v>0</v>
          </cell>
          <cell r="F4518">
            <v>0</v>
          </cell>
          <cell r="DN4518">
            <v>0</v>
          </cell>
        </row>
        <row r="4519">
          <cell r="E4519">
            <v>0</v>
          </cell>
          <cell r="F4519">
            <v>0</v>
          </cell>
          <cell r="DN4519">
            <v>0</v>
          </cell>
        </row>
        <row r="4520">
          <cell r="E4520">
            <v>0</v>
          </cell>
          <cell r="F4520">
            <v>0</v>
          </cell>
          <cell r="DN4520">
            <v>0</v>
          </cell>
        </row>
        <row r="4521">
          <cell r="E4521">
            <v>0</v>
          </cell>
          <cell r="F4521">
            <v>0</v>
          </cell>
          <cell r="DN4521">
            <v>0</v>
          </cell>
        </row>
        <row r="4522">
          <cell r="E4522">
            <v>0</v>
          </cell>
          <cell r="F4522">
            <v>0</v>
          </cell>
          <cell r="DN4522">
            <v>0</v>
          </cell>
        </row>
        <row r="4523">
          <cell r="E4523">
            <v>0</v>
          </cell>
          <cell r="F4523">
            <v>0</v>
          </cell>
          <cell r="DN4523">
            <v>0</v>
          </cell>
        </row>
        <row r="4524">
          <cell r="E4524">
            <v>0</v>
          </cell>
          <cell r="F4524">
            <v>0</v>
          </cell>
          <cell r="DN4524">
            <v>0</v>
          </cell>
        </row>
        <row r="4525">
          <cell r="E4525">
            <v>0</v>
          </cell>
          <cell r="F4525">
            <v>0</v>
          </cell>
          <cell r="DN4525">
            <v>0</v>
          </cell>
        </row>
        <row r="4526">
          <cell r="E4526">
            <v>0</v>
          </cell>
          <cell r="F4526">
            <v>0</v>
          </cell>
          <cell r="DN4526">
            <v>0</v>
          </cell>
        </row>
        <row r="4527">
          <cell r="E4527">
            <v>0</v>
          </cell>
          <cell r="F4527">
            <v>0</v>
          </cell>
          <cell r="DN4527">
            <v>0</v>
          </cell>
        </row>
        <row r="4528">
          <cell r="E4528">
            <v>0</v>
          </cell>
          <cell r="F4528">
            <v>0</v>
          </cell>
          <cell r="DN4528">
            <v>0</v>
          </cell>
        </row>
        <row r="4529">
          <cell r="E4529">
            <v>0</v>
          </cell>
          <cell r="F4529">
            <v>0</v>
          </cell>
          <cell r="DN4529">
            <v>0</v>
          </cell>
        </row>
        <row r="4530">
          <cell r="E4530">
            <v>0</v>
          </cell>
          <cell r="F4530">
            <v>0</v>
          </cell>
          <cell r="DN4530">
            <v>0</v>
          </cell>
        </row>
        <row r="4531">
          <cell r="E4531">
            <v>0</v>
          </cell>
          <cell r="F4531">
            <v>0</v>
          </cell>
          <cell r="DN4531">
            <v>0</v>
          </cell>
        </row>
        <row r="4532">
          <cell r="E4532">
            <v>0</v>
          </cell>
          <cell r="F4532">
            <v>0</v>
          </cell>
          <cell r="DN4532">
            <v>0</v>
          </cell>
        </row>
        <row r="4533">
          <cell r="E4533">
            <v>0</v>
          </cell>
          <cell r="F4533">
            <v>0</v>
          </cell>
          <cell r="DN4533">
            <v>0</v>
          </cell>
        </row>
        <row r="4534">
          <cell r="E4534">
            <v>0</v>
          </cell>
          <cell r="F4534">
            <v>0</v>
          </cell>
          <cell r="DN4534">
            <v>0</v>
          </cell>
        </row>
        <row r="4535">
          <cell r="E4535">
            <v>0</v>
          </cell>
          <cell r="F4535">
            <v>0</v>
          </cell>
          <cell r="DN4535">
            <v>0</v>
          </cell>
        </row>
        <row r="4536">
          <cell r="E4536">
            <v>0</v>
          </cell>
          <cell r="F4536">
            <v>0</v>
          </cell>
          <cell r="DN4536">
            <v>0</v>
          </cell>
        </row>
        <row r="4537">
          <cell r="E4537">
            <v>0</v>
          </cell>
          <cell r="F4537">
            <v>0</v>
          </cell>
          <cell r="DN4537">
            <v>0</v>
          </cell>
        </row>
        <row r="4538">
          <cell r="E4538">
            <v>0</v>
          </cell>
          <cell r="F4538">
            <v>0</v>
          </cell>
          <cell r="DN4538">
            <v>0</v>
          </cell>
        </row>
        <row r="4539">
          <cell r="E4539">
            <v>0</v>
          </cell>
          <cell r="F4539">
            <v>0</v>
          </cell>
          <cell r="DN4539">
            <v>0</v>
          </cell>
        </row>
        <row r="4540">
          <cell r="E4540">
            <v>0</v>
          </cell>
          <cell r="F4540">
            <v>0</v>
          </cell>
          <cell r="DN4540">
            <v>0</v>
          </cell>
        </row>
        <row r="4541">
          <cell r="E4541">
            <v>0</v>
          </cell>
          <cell r="F4541">
            <v>0</v>
          </cell>
          <cell r="DN4541">
            <v>0</v>
          </cell>
        </row>
        <row r="4542">
          <cell r="E4542">
            <v>0</v>
          </cell>
          <cell r="F4542">
            <v>0</v>
          </cell>
          <cell r="DN4542">
            <v>0</v>
          </cell>
        </row>
        <row r="4543">
          <cell r="E4543">
            <v>0</v>
          </cell>
          <cell r="F4543">
            <v>0</v>
          </cell>
          <cell r="DN4543">
            <v>0</v>
          </cell>
        </row>
        <row r="4544">
          <cell r="E4544">
            <v>0</v>
          </cell>
          <cell r="F4544">
            <v>0</v>
          </cell>
          <cell r="DN4544">
            <v>0</v>
          </cell>
        </row>
        <row r="4545">
          <cell r="E4545">
            <v>0</v>
          </cell>
          <cell r="F4545">
            <v>0</v>
          </cell>
          <cell r="DN4545">
            <v>0</v>
          </cell>
        </row>
        <row r="4546">
          <cell r="E4546">
            <v>0</v>
          </cell>
          <cell r="F4546">
            <v>0</v>
          </cell>
          <cell r="DN4546">
            <v>0</v>
          </cell>
        </row>
        <row r="4547">
          <cell r="E4547">
            <v>0</v>
          </cell>
          <cell r="F4547">
            <v>0</v>
          </cell>
          <cell r="DN4547">
            <v>0</v>
          </cell>
        </row>
        <row r="4548">
          <cell r="E4548">
            <v>0</v>
          </cell>
          <cell r="F4548">
            <v>0</v>
          </cell>
          <cell r="DN4548">
            <v>0</v>
          </cell>
        </row>
        <row r="4549">
          <cell r="E4549">
            <v>0</v>
          </cell>
          <cell r="F4549">
            <v>0</v>
          </cell>
          <cell r="DN4549">
            <v>0</v>
          </cell>
        </row>
        <row r="4550">
          <cell r="E4550">
            <v>0</v>
          </cell>
          <cell r="F4550">
            <v>0</v>
          </cell>
          <cell r="DN4550">
            <v>0</v>
          </cell>
        </row>
        <row r="4551">
          <cell r="E4551">
            <v>0</v>
          </cell>
          <cell r="F4551">
            <v>0</v>
          </cell>
          <cell r="DN4551">
            <v>0</v>
          </cell>
        </row>
        <row r="4552">
          <cell r="E4552">
            <v>0</v>
          </cell>
          <cell r="F4552">
            <v>0</v>
          </cell>
          <cell r="DN4552">
            <v>0</v>
          </cell>
        </row>
        <row r="4553">
          <cell r="E4553">
            <v>0</v>
          </cell>
          <cell r="F4553">
            <v>0</v>
          </cell>
          <cell r="DN4553">
            <v>0</v>
          </cell>
        </row>
        <row r="4554">
          <cell r="E4554">
            <v>0</v>
          </cell>
          <cell r="F4554">
            <v>0</v>
          </cell>
          <cell r="DN4554">
            <v>0</v>
          </cell>
        </row>
        <row r="4555">
          <cell r="E4555">
            <v>0</v>
          </cell>
          <cell r="F4555">
            <v>0</v>
          </cell>
          <cell r="DN4555">
            <v>0</v>
          </cell>
        </row>
        <row r="4556">
          <cell r="E4556">
            <v>0</v>
          </cell>
          <cell r="F4556">
            <v>0</v>
          </cell>
          <cell r="DN4556">
            <v>0</v>
          </cell>
        </row>
        <row r="4557">
          <cell r="E4557">
            <v>0</v>
          </cell>
          <cell r="F4557">
            <v>0</v>
          </cell>
          <cell r="DN4557">
            <v>0</v>
          </cell>
        </row>
        <row r="4558">
          <cell r="E4558">
            <v>0</v>
          </cell>
          <cell r="F4558">
            <v>0</v>
          </cell>
          <cell r="DN4558">
            <v>0</v>
          </cell>
        </row>
        <row r="4559">
          <cell r="E4559">
            <v>0</v>
          </cell>
          <cell r="F4559">
            <v>0</v>
          </cell>
          <cell r="DN4559">
            <v>0</v>
          </cell>
        </row>
        <row r="4560">
          <cell r="E4560">
            <v>0</v>
          </cell>
          <cell r="F4560">
            <v>0</v>
          </cell>
          <cell r="DN4560">
            <v>0</v>
          </cell>
        </row>
        <row r="4561">
          <cell r="E4561">
            <v>0</v>
          </cell>
          <cell r="F4561">
            <v>0</v>
          </cell>
          <cell r="DN4561">
            <v>0</v>
          </cell>
        </row>
        <row r="4562">
          <cell r="E4562">
            <v>0</v>
          </cell>
          <cell r="F4562">
            <v>0</v>
          </cell>
          <cell r="DN4562">
            <v>0</v>
          </cell>
        </row>
        <row r="4563">
          <cell r="E4563">
            <v>0</v>
          </cell>
          <cell r="F4563">
            <v>0</v>
          </cell>
          <cell r="DN4563">
            <v>0</v>
          </cell>
        </row>
        <row r="4564">
          <cell r="E4564">
            <v>0</v>
          </cell>
          <cell r="F4564">
            <v>0</v>
          </cell>
          <cell r="DN4564">
            <v>0</v>
          </cell>
        </row>
        <row r="4565">
          <cell r="E4565">
            <v>0</v>
          </cell>
          <cell r="F4565">
            <v>0</v>
          </cell>
          <cell r="DN4565">
            <v>0</v>
          </cell>
        </row>
        <row r="4566">
          <cell r="E4566">
            <v>0</v>
          </cell>
          <cell r="F4566">
            <v>0</v>
          </cell>
          <cell r="DN4566">
            <v>0</v>
          </cell>
        </row>
        <row r="4567">
          <cell r="E4567">
            <v>0</v>
          </cell>
          <cell r="F4567">
            <v>0</v>
          </cell>
          <cell r="DN4567">
            <v>0</v>
          </cell>
        </row>
        <row r="4568">
          <cell r="E4568">
            <v>0</v>
          </cell>
          <cell r="F4568">
            <v>0</v>
          </cell>
          <cell r="DN4568">
            <v>0</v>
          </cell>
        </row>
        <row r="4569">
          <cell r="E4569">
            <v>0</v>
          </cell>
          <cell r="F4569">
            <v>0</v>
          </cell>
          <cell r="DN4569">
            <v>0</v>
          </cell>
        </row>
        <row r="4570">
          <cell r="E4570">
            <v>0</v>
          </cell>
          <cell r="F4570">
            <v>0</v>
          </cell>
          <cell r="DN4570">
            <v>0</v>
          </cell>
        </row>
        <row r="4571">
          <cell r="E4571">
            <v>0</v>
          </cell>
          <cell r="F4571">
            <v>0</v>
          </cell>
          <cell r="DN4571">
            <v>0</v>
          </cell>
        </row>
        <row r="4572">
          <cell r="E4572">
            <v>0</v>
          </cell>
          <cell r="F4572">
            <v>0</v>
          </cell>
          <cell r="DN4572">
            <v>0</v>
          </cell>
        </row>
        <row r="4573">
          <cell r="E4573">
            <v>0</v>
          </cell>
          <cell r="F4573">
            <v>0</v>
          </cell>
          <cell r="DN4573">
            <v>0</v>
          </cell>
        </row>
        <row r="4574">
          <cell r="E4574">
            <v>0</v>
          </cell>
          <cell r="F4574">
            <v>0</v>
          </cell>
          <cell r="DN4574">
            <v>0</v>
          </cell>
        </row>
        <row r="4575">
          <cell r="E4575">
            <v>0</v>
          </cell>
          <cell r="F4575">
            <v>0</v>
          </cell>
          <cell r="DN4575">
            <v>0</v>
          </cell>
        </row>
        <row r="4576">
          <cell r="E4576">
            <v>0</v>
          </cell>
          <cell r="F4576">
            <v>0</v>
          </cell>
          <cell r="DN4576">
            <v>0</v>
          </cell>
        </row>
        <row r="4577">
          <cell r="E4577">
            <v>0</v>
          </cell>
          <cell r="F4577">
            <v>0</v>
          </cell>
          <cell r="DN4577">
            <v>0</v>
          </cell>
        </row>
        <row r="4578">
          <cell r="E4578">
            <v>0</v>
          </cell>
          <cell r="F4578">
            <v>0</v>
          </cell>
          <cell r="DN4578">
            <v>0</v>
          </cell>
        </row>
        <row r="4579">
          <cell r="E4579">
            <v>0</v>
          </cell>
          <cell r="F4579">
            <v>0</v>
          </cell>
          <cell r="DN4579">
            <v>0</v>
          </cell>
        </row>
        <row r="4580">
          <cell r="E4580">
            <v>0</v>
          </cell>
          <cell r="F4580">
            <v>0</v>
          </cell>
          <cell r="DN4580">
            <v>0</v>
          </cell>
        </row>
        <row r="4581">
          <cell r="E4581">
            <v>0</v>
          </cell>
          <cell r="F4581">
            <v>0</v>
          </cell>
          <cell r="DN4581">
            <v>0</v>
          </cell>
        </row>
        <row r="4582">
          <cell r="E4582">
            <v>0</v>
          </cell>
          <cell r="F4582">
            <v>0</v>
          </cell>
          <cell r="DN4582">
            <v>0</v>
          </cell>
        </row>
        <row r="4583">
          <cell r="E4583">
            <v>0</v>
          </cell>
          <cell r="F4583">
            <v>0</v>
          </cell>
          <cell r="DN4583">
            <v>0</v>
          </cell>
        </row>
        <row r="4584">
          <cell r="E4584">
            <v>0</v>
          </cell>
          <cell r="F4584">
            <v>0</v>
          </cell>
          <cell r="DN4584">
            <v>0</v>
          </cell>
        </row>
        <row r="4585">
          <cell r="E4585">
            <v>0</v>
          </cell>
          <cell r="F4585">
            <v>0</v>
          </cell>
          <cell r="DN4585">
            <v>0</v>
          </cell>
        </row>
        <row r="4586">
          <cell r="E4586">
            <v>0</v>
          </cell>
          <cell r="F4586">
            <v>0</v>
          </cell>
          <cell r="DN4586">
            <v>0</v>
          </cell>
        </row>
        <row r="4587">
          <cell r="E4587">
            <v>0</v>
          </cell>
          <cell r="F4587">
            <v>0</v>
          </cell>
          <cell r="DN4587">
            <v>0</v>
          </cell>
        </row>
        <row r="4588">
          <cell r="E4588">
            <v>0</v>
          </cell>
          <cell r="F4588">
            <v>0</v>
          </cell>
          <cell r="DN4588">
            <v>0</v>
          </cell>
        </row>
        <row r="4589">
          <cell r="E4589">
            <v>0</v>
          </cell>
          <cell r="F4589">
            <v>0</v>
          </cell>
          <cell r="DN4589">
            <v>0</v>
          </cell>
        </row>
        <row r="4590">
          <cell r="E4590">
            <v>0</v>
          </cell>
          <cell r="F4590">
            <v>0</v>
          </cell>
          <cell r="DN4590">
            <v>0</v>
          </cell>
        </row>
        <row r="4591">
          <cell r="E4591">
            <v>0</v>
          </cell>
          <cell r="F4591">
            <v>0</v>
          </cell>
          <cell r="DN4591">
            <v>0</v>
          </cell>
        </row>
        <row r="4592">
          <cell r="E4592">
            <v>0</v>
          </cell>
          <cell r="F4592">
            <v>0</v>
          </cell>
          <cell r="DN4592">
            <v>0</v>
          </cell>
        </row>
        <row r="4593">
          <cell r="E4593">
            <v>0</v>
          </cell>
          <cell r="F4593">
            <v>0</v>
          </cell>
          <cell r="DN4593">
            <v>0</v>
          </cell>
        </row>
        <row r="4594">
          <cell r="E4594">
            <v>0</v>
          </cell>
          <cell r="F4594">
            <v>0</v>
          </cell>
          <cell r="DN4594">
            <v>0</v>
          </cell>
        </row>
        <row r="4595">
          <cell r="E4595">
            <v>0</v>
          </cell>
          <cell r="F4595">
            <v>0</v>
          </cell>
          <cell r="DN4595">
            <v>0</v>
          </cell>
        </row>
        <row r="4596">
          <cell r="E4596">
            <v>0</v>
          </cell>
          <cell r="F4596">
            <v>0</v>
          </cell>
          <cell r="DN4596">
            <v>0</v>
          </cell>
        </row>
        <row r="4597">
          <cell r="E4597">
            <v>0</v>
          </cell>
          <cell r="F4597">
            <v>0</v>
          </cell>
          <cell r="DN4597">
            <v>0</v>
          </cell>
        </row>
        <row r="4598">
          <cell r="E4598">
            <v>0</v>
          </cell>
          <cell r="F4598">
            <v>0</v>
          </cell>
          <cell r="DN4598">
            <v>0</v>
          </cell>
        </row>
        <row r="4599">
          <cell r="E4599">
            <v>0</v>
          </cell>
          <cell r="F4599">
            <v>0</v>
          </cell>
          <cell r="DN4599">
            <v>0</v>
          </cell>
        </row>
        <row r="4600">
          <cell r="E4600">
            <v>0</v>
          </cell>
          <cell r="F4600">
            <v>0</v>
          </cell>
          <cell r="DN4600">
            <v>0</v>
          </cell>
        </row>
        <row r="4601">
          <cell r="E4601">
            <v>0</v>
          </cell>
          <cell r="F4601">
            <v>0</v>
          </cell>
          <cell r="DN4601">
            <v>0</v>
          </cell>
        </row>
        <row r="4602">
          <cell r="E4602">
            <v>0</v>
          </cell>
          <cell r="F4602">
            <v>0</v>
          </cell>
          <cell r="DN4602">
            <v>0</v>
          </cell>
        </row>
        <row r="4603">
          <cell r="E4603">
            <v>0</v>
          </cell>
          <cell r="F4603">
            <v>0</v>
          </cell>
          <cell r="DN4603">
            <v>0</v>
          </cell>
        </row>
        <row r="4604">
          <cell r="E4604">
            <v>0</v>
          </cell>
          <cell r="F4604">
            <v>0</v>
          </cell>
          <cell r="DN4604">
            <v>0</v>
          </cell>
        </row>
        <row r="4605">
          <cell r="E4605">
            <v>0</v>
          </cell>
          <cell r="F4605">
            <v>0</v>
          </cell>
          <cell r="DN4605">
            <v>0</v>
          </cell>
        </row>
        <row r="4606">
          <cell r="E4606">
            <v>0</v>
          </cell>
          <cell r="F4606">
            <v>0</v>
          </cell>
          <cell r="DN4606">
            <v>0</v>
          </cell>
        </row>
        <row r="4607">
          <cell r="E4607">
            <v>0</v>
          </cell>
          <cell r="F4607">
            <v>0</v>
          </cell>
          <cell r="DN4607">
            <v>0</v>
          </cell>
        </row>
        <row r="4608">
          <cell r="E4608">
            <v>0</v>
          </cell>
          <cell r="F4608">
            <v>0</v>
          </cell>
          <cell r="DN4608">
            <v>0</v>
          </cell>
        </row>
        <row r="4609">
          <cell r="E4609">
            <v>0</v>
          </cell>
          <cell r="F4609">
            <v>0</v>
          </cell>
          <cell r="DN4609">
            <v>0</v>
          </cell>
        </row>
        <row r="4610">
          <cell r="E4610">
            <v>0</v>
          </cell>
          <cell r="F4610">
            <v>0</v>
          </cell>
          <cell r="DN4610">
            <v>0</v>
          </cell>
        </row>
        <row r="4611">
          <cell r="E4611">
            <v>0</v>
          </cell>
          <cell r="F4611">
            <v>0</v>
          </cell>
          <cell r="DN4611">
            <v>0</v>
          </cell>
        </row>
        <row r="4612">
          <cell r="E4612">
            <v>0</v>
          </cell>
          <cell r="F4612">
            <v>0</v>
          </cell>
          <cell r="DN4612">
            <v>0</v>
          </cell>
        </row>
        <row r="4613">
          <cell r="E4613">
            <v>0</v>
          </cell>
          <cell r="F4613">
            <v>0</v>
          </cell>
          <cell r="DN4613">
            <v>0</v>
          </cell>
        </row>
        <row r="4614">
          <cell r="E4614">
            <v>0</v>
          </cell>
          <cell r="F4614">
            <v>0</v>
          </cell>
          <cell r="DN4614">
            <v>0</v>
          </cell>
        </row>
        <row r="4615">
          <cell r="E4615">
            <v>0</v>
          </cell>
          <cell r="F4615">
            <v>0</v>
          </cell>
          <cell r="DN4615">
            <v>0</v>
          </cell>
        </row>
        <row r="4616">
          <cell r="E4616">
            <v>0</v>
          </cell>
          <cell r="F4616">
            <v>0</v>
          </cell>
          <cell r="DN4616">
            <v>0</v>
          </cell>
        </row>
        <row r="4617">
          <cell r="E4617">
            <v>0</v>
          </cell>
          <cell r="F4617">
            <v>0</v>
          </cell>
          <cell r="DN4617">
            <v>0</v>
          </cell>
        </row>
        <row r="4618">
          <cell r="E4618">
            <v>0</v>
          </cell>
          <cell r="F4618">
            <v>0</v>
          </cell>
          <cell r="DN4618">
            <v>0</v>
          </cell>
        </row>
        <row r="4619">
          <cell r="E4619">
            <v>0</v>
          </cell>
          <cell r="F4619">
            <v>0</v>
          </cell>
          <cell r="DN4619">
            <v>0</v>
          </cell>
        </row>
        <row r="4620">
          <cell r="E4620">
            <v>0</v>
          </cell>
          <cell r="F4620">
            <v>0</v>
          </cell>
          <cell r="DN4620">
            <v>0</v>
          </cell>
        </row>
        <row r="4621">
          <cell r="E4621">
            <v>0</v>
          </cell>
          <cell r="F4621">
            <v>0</v>
          </cell>
          <cell r="DN4621">
            <v>0</v>
          </cell>
        </row>
        <row r="4622">
          <cell r="E4622">
            <v>0</v>
          </cell>
          <cell r="F4622">
            <v>0</v>
          </cell>
          <cell r="DN4622">
            <v>0</v>
          </cell>
        </row>
        <row r="4623">
          <cell r="E4623">
            <v>0</v>
          </cell>
          <cell r="F4623">
            <v>0</v>
          </cell>
          <cell r="DN4623">
            <v>0</v>
          </cell>
        </row>
        <row r="4624">
          <cell r="E4624">
            <v>0</v>
          </cell>
          <cell r="F4624">
            <v>0</v>
          </cell>
          <cell r="DN4624">
            <v>0</v>
          </cell>
        </row>
        <row r="4625">
          <cell r="E4625">
            <v>0</v>
          </cell>
          <cell r="F4625">
            <v>0</v>
          </cell>
          <cell r="DN4625">
            <v>0</v>
          </cell>
        </row>
        <row r="4626">
          <cell r="E4626">
            <v>0</v>
          </cell>
          <cell r="F4626">
            <v>0</v>
          </cell>
          <cell r="DN4626">
            <v>0</v>
          </cell>
        </row>
        <row r="4627">
          <cell r="E4627">
            <v>0</v>
          </cell>
          <cell r="F4627">
            <v>0</v>
          </cell>
          <cell r="DN4627">
            <v>0</v>
          </cell>
        </row>
        <row r="4628">
          <cell r="E4628">
            <v>0</v>
          </cell>
          <cell r="F4628">
            <v>0</v>
          </cell>
          <cell r="DN4628">
            <v>0</v>
          </cell>
        </row>
        <row r="4629">
          <cell r="E4629">
            <v>0</v>
          </cell>
          <cell r="F4629">
            <v>0</v>
          </cell>
          <cell r="DN4629">
            <v>0</v>
          </cell>
        </row>
        <row r="4630">
          <cell r="E4630">
            <v>0</v>
          </cell>
          <cell r="F4630">
            <v>0</v>
          </cell>
          <cell r="DN4630">
            <v>0</v>
          </cell>
        </row>
        <row r="4631">
          <cell r="E4631">
            <v>0</v>
          </cell>
          <cell r="F4631">
            <v>0</v>
          </cell>
          <cell r="DN4631">
            <v>0</v>
          </cell>
        </row>
        <row r="4632">
          <cell r="E4632">
            <v>0</v>
          </cell>
          <cell r="F4632">
            <v>0</v>
          </cell>
          <cell r="DN4632">
            <v>0</v>
          </cell>
        </row>
        <row r="4633">
          <cell r="E4633">
            <v>0</v>
          </cell>
          <cell r="F4633">
            <v>0</v>
          </cell>
          <cell r="DN4633">
            <v>0</v>
          </cell>
        </row>
        <row r="4634">
          <cell r="E4634">
            <v>0</v>
          </cell>
          <cell r="F4634">
            <v>0</v>
          </cell>
          <cell r="DN4634">
            <v>0</v>
          </cell>
        </row>
        <row r="4635">
          <cell r="E4635">
            <v>0</v>
          </cell>
          <cell r="F4635">
            <v>0</v>
          </cell>
          <cell r="DN4635">
            <v>0</v>
          </cell>
        </row>
        <row r="4636">
          <cell r="E4636">
            <v>0</v>
          </cell>
          <cell r="F4636">
            <v>0</v>
          </cell>
          <cell r="DN4636">
            <v>0</v>
          </cell>
        </row>
        <row r="4637">
          <cell r="E4637">
            <v>0</v>
          </cell>
          <cell r="F4637">
            <v>0</v>
          </cell>
          <cell r="DN4637">
            <v>0</v>
          </cell>
        </row>
        <row r="4638">
          <cell r="E4638">
            <v>0</v>
          </cell>
          <cell r="F4638">
            <v>0</v>
          </cell>
          <cell r="DN4638">
            <v>0</v>
          </cell>
        </row>
        <row r="4639">
          <cell r="E4639">
            <v>0</v>
          </cell>
          <cell r="F4639">
            <v>0</v>
          </cell>
          <cell r="DN4639">
            <v>0</v>
          </cell>
        </row>
        <row r="4640">
          <cell r="E4640">
            <v>0</v>
          </cell>
          <cell r="F4640">
            <v>0</v>
          </cell>
          <cell r="DN4640">
            <v>0</v>
          </cell>
        </row>
        <row r="4641">
          <cell r="E4641">
            <v>0</v>
          </cell>
          <cell r="F4641">
            <v>0</v>
          </cell>
          <cell r="DN4641">
            <v>0</v>
          </cell>
        </row>
        <row r="4642">
          <cell r="E4642">
            <v>0</v>
          </cell>
          <cell r="F4642">
            <v>0</v>
          </cell>
          <cell r="DN4642">
            <v>0</v>
          </cell>
        </row>
        <row r="4643">
          <cell r="E4643">
            <v>0</v>
          </cell>
          <cell r="F4643">
            <v>0</v>
          </cell>
          <cell r="DN4643">
            <v>0</v>
          </cell>
        </row>
        <row r="4644">
          <cell r="E4644">
            <v>0</v>
          </cell>
          <cell r="F4644">
            <v>0</v>
          </cell>
          <cell r="DN4644">
            <v>0</v>
          </cell>
        </row>
        <row r="4645">
          <cell r="E4645">
            <v>0</v>
          </cell>
          <cell r="F4645">
            <v>0</v>
          </cell>
          <cell r="DN4645">
            <v>0</v>
          </cell>
        </row>
        <row r="4646">
          <cell r="E4646">
            <v>0</v>
          </cell>
          <cell r="F4646">
            <v>0</v>
          </cell>
          <cell r="DN4646">
            <v>0</v>
          </cell>
        </row>
        <row r="4647">
          <cell r="E4647">
            <v>0</v>
          </cell>
          <cell r="F4647">
            <v>0</v>
          </cell>
          <cell r="DN4647">
            <v>0</v>
          </cell>
        </row>
        <row r="4648">
          <cell r="E4648">
            <v>0</v>
          </cell>
          <cell r="F4648">
            <v>0</v>
          </cell>
          <cell r="DN4648">
            <v>0</v>
          </cell>
        </row>
        <row r="4649">
          <cell r="E4649">
            <v>0</v>
          </cell>
          <cell r="F4649">
            <v>0</v>
          </cell>
          <cell r="DN4649">
            <v>0</v>
          </cell>
        </row>
        <row r="4650">
          <cell r="E4650">
            <v>0</v>
          </cell>
          <cell r="F4650">
            <v>0</v>
          </cell>
          <cell r="DN4650">
            <v>0</v>
          </cell>
        </row>
        <row r="4651">
          <cell r="E4651">
            <v>0</v>
          </cell>
          <cell r="F4651">
            <v>0</v>
          </cell>
          <cell r="DN4651">
            <v>0</v>
          </cell>
        </row>
        <row r="4652">
          <cell r="E4652">
            <v>0</v>
          </cell>
          <cell r="F4652">
            <v>0</v>
          </cell>
          <cell r="DN4652">
            <v>0</v>
          </cell>
        </row>
        <row r="4653">
          <cell r="E4653">
            <v>0</v>
          </cell>
          <cell r="F4653">
            <v>0</v>
          </cell>
          <cell r="DN4653">
            <v>0</v>
          </cell>
        </row>
        <row r="4654">
          <cell r="E4654">
            <v>0</v>
          </cell>
          <cell r="F4654">
            <v>0</v>
          </cell>
          <cell r="DN4654">
            <v>0</v>
          </cell>
        </row>
        <row r="4655">
          <cell r="E4655">
            <v>0</v>
          </cell>
          <cell r="F4655">
            <v>0</v>
          </cell>
          <cell r="DN4655">
            <v>0</v>
          </cell>
        </row>
        <row r="4656">
          <cell r="E4656">
            <v>0</v>
          </cell>
          <cell r="F4656">
            <v>0</v>
          </cell>
          <cell r="DN4656">
            <v>0</v>
          </cell>
        </row>
        <row r="4657">
          <cell r="E4657">
            <v>0</v>
          </cell>
          <cell r="F4657">
            <v>0</v>
          </cell>
          <cell r="DN4657">
            <v>0</v>
          </cell>
        </row>
        <row r="4658">
          <cell r="E4658">
            <v>0</v>
          </cell>
          <cell r="F4658">
            <v>0</v>
          </cell>
          <cell r="DN4658">
            <v>0</v>
          </cell>
        </row>
        <row r="4659">
          <cell r="E4659">
            <v>0</v>
          </cell>
          <cell r="F4659">
            <v>0</v>
          </cell>
          <cell r="DN4659">
            <v>0</v>
          </cell>
        </row>
        <row r="4660">
          <cell r="E4660">
            <v>0</v>
          </cell>
          <cell r="F4660">
            <v>0</v>
          </cell>
          <cell r="DN4660">
            <v>0</v>
          </cell>
        </row>
        <row r="4661">
          <cell r="E4661">
            <v>0</v>
          </cell>
          <cell r="F4661">
            <v>0</v>
          </cell>
          <cell r="DN4661">
            <v>0</v>
          </cell>
        </row>
        <row r="4662">
          <cell r="E4662">
            <v>0</v>
          </cell>
          <cell r="F4662">
            <v>0</v>
          </cell>
          <cell r="DN4662">
            <v>0</v>
          </cell>
        </row>
        <row r="4663">
          <cell r="E4663">
            <v>0</v>
          </cell>
          <cell r="F4663">
            <v>0</v>
          </cell>
          <cell r="DN4663">
            <v>0</v>
          </cell>
        </row>
        <row r="4664">
          <cell r="E4664">
            <v>0</v>
          </cell>
          <cell r="F4664">
            <v>0</v>
          </cell>
          <cell r="DN4664">
            <v>0</v>
          </cell>
        </row>
        <row r="4665">
          <cell r="E4665">
            <v>0</v>
          </cell>
          <cell r="F4665">
            <v>0</v>
          </cell>
          <cell r="DN4665">
            <v>0</v>
          </cell>
        </row>
        <row r="4666">
          <cell r="E4666">
            <v>0</v>
          </cell>
          <cell r="F4666">
            <v>0</v>
          </cell>
          <cell r="DN4666">
            <v>0</v>
          </cell>
        </row>
        <row r="4667">
          <cell r="E4667">
            <v>0</v>
          </cell>
          <cell r="F4667">
            <v>0</v>
          </cell>
          <cell r="DN4667">
            <v>0</v>
          </cell>
        </row>
        <row r="4668">
          <cell r="E4668">
            <v>0</v>
          </cell>
          <cell r="F4668">
            <v>0</v>
          </cell>
          <cell r="DN4668">
            <v>0</v>
          </cell>
        </row>
        <row r="4669">
          <cell r="E4669">
            <v>0</v>
          </cell>
          <cell r="F4669">
            <v>0</v>
          </cell>
          <cell r="DN4669">
            <v>0</v>
          </cell>
        </row>
        <row r="4670">
          <cell r="E4670">
            <v>0</v>
          </cell>
          <cell r="F4670">
            <v>0</v>
          </cell>
          <cell r="DN4670">
            <v>0</v>
          </cell>
        </row>
        <row r="4671">
          <cell r="E4671">
            <v>0</v>
          </cell>
          <cell r="F4671">
            <v>0</v>
          </cell>
          <cell r="DN4671">
            <v>0</v>
          </cell>
        </row>
        <row r="4672">
          <cell r="E4672">
            <v>0</v>
          </cell>
          <cell r="F4672">
            <v>0</v>
          </cell>
          <cell r="DN4672">
            <v>0</v>
          </cell>
        </row>
        <row r="4673">
          <cell r="E4673">
            <v>0</v>
          </cell>
          <cell r="F4673">
            <v>0</v>
          </cell>
          <cell r="DN4673">
            <v>0</v>
          </cell>
        </row>
        <row r="4674">
          <cell r="E4674">
            <v>0</v>
          </cell>
          <cell r="F4674">
            <v>0</v>
          </cell>
          <cell r="DN4674">
            <v>0</v>
          </cell>
        </row>
        <row r="4675">
          <cell r="E4675">
            <v>0</v>
          </cell>
          <cell r="F4675">
            <v>0</v>
          </cell>
          <cell r="DN4675">
            <v>0</v>
          </cell>
        </row>
        <row r="4676">
          <cell r="E4676">
            <v>0</v>
          </cell>
          <cell r="F4676">
            <v>0</v>
          </cell>
          <cell r="DN4676">
            <v>0</v>
          </cell>
        </row>
        <row r="4677">
          <cell r="E4677">
            <v>0</v>
          </cell>
          <cell r="F4677">
            <v>0</v>
          </cell>
          <cell r="DN4677">
            <v>0</v>
          </cell>
        </row>
        <row r="4678">
          <cell r="E4678">
            <v>0</v>
          </cell>
          <cell r="F4678">
            <v>0</v>
          </cell>
          <cell r="DN4678">
            <v>0</v>
          </cell>
        </row>
        <row r="4679">
          <cell r="E4679">
            <v>0</v>
          </cell>
          <cell r="F4679">
            <v>0</v>
          </cell>
          <cell r="DN4679">
            <v>0</v>
          </cell>
        </row>
        <row r="4680">
          <cell r="E4680">
            <v>0</v>
          </cell>
          <cell r="F4680">
            <v>0</v>
          </cell>
          <cell r="DN4680">
            <v>0</v>
          </cell>
        </row>
        <row r="4681">
          <cell r="E4681">
            <v>0</v>
          </cell>
          <cell r="F4681">
            <v>0</v>
          </cell>
          <cell r="DN4681">
            <v>0</v>
          </cell>
        </row>
        <row r="4682">
          <cell r="E4682">
            <v>0</v>
          </cell>
          <cell r="F4682">
            <v>0</v>
          </cell>
          <cell r="DN4682">
            <v>0</v>
          </cell>
        </row>
        <row r="4683">
          <cell r="E4683">
            <v>0</v>
          </cell>
          <cell r="F4683">
            <v>0</v>
          </cell>
          <cell r="DN4683">
            <v>0</v>
          </cell>
        </row>
        <row r="4684">
          <cell r="E4684">
            <v>0</v>
          </cell>
          <cell r="F4684">
            <v>0</v>
          </cell>
          <cell r="DN4684">
            <v>0</v>
          </cell>
        </row>
        <row r="4685">
          <cell r="E4685">
            <v>0</v>
          </cell>
          <cell r="F4685">
            <v>0</v>
          </cell>
          <cell r="DN4685">
            <v>0</v>
          </cell>
        </row>
        <row r="4686">
          <cell r="E4686">
            <v>0</v>
          </cell>
          <cell r="F4686">
            <v>0</v>
          </cell>
          <cell r="DN4686">
            <v>0</v>
          </cell>
        </row>
        <row r="4687">
          <cell r="E4687">
            <v>0</v>
          </cell>
          <cell r="F4687">
            <v>0</v>
          </cell>
          <cell r="DN4687">
            <v>0</v>
          </cell>
        </row>
        <row r="4688">
          <cell r="E4688">
            <v>0</v>
          </cell>
          <cell r="F4688">
            <v>0</v>
          </cell>
          <cell r="DN4688">
            <v>0</v>
          </cell>
        </row>
        <row r="4689">
          <cell r="E4689">
            <v>0</v>
          </cell>
          <cell r="F4689">
            <v>0</v>
          </cell>
          <cell r="DN4689">
            <v>0</v>
          </cell>
        </row>
        <row r="4690">
          <cell r="E4690">
            <v>0</v>
          </cell>
          <cell r="F4690">
            <v>0</v>
          </cell>
          <cell r="DN4690">
            <v>0</v>
          </cell>
        </row>
        <row r="4691">
          <cell r="E4691">
            <v>0</v>
          </cell>
          <cell r="F4691">
            <v>0</v>
          </cell>
          <cell r="DN4691">
            <v>0</v>
          </cell>
        </row>
        <row r="4692">
          <cell r="E4692">
            <v>0</v>
          </cell>
          <cell r="F4692">
            <v>0</v>
          </cell>
          <cell r="DN4692">
            <v>0</v>
          </cell>
        </row>
        <row r="4693">
          <cell r="E4693">
            <v>0</v>
          </cell>
          <cell r="F4693">
            <v>0</v>
          </cell>
          <cell r="DN4693">
            <v>0</v>
          </cell>
        </row>
        <row r="4694">
          <cell r="E4694">
            <v>0</v>
          </cell>
          <cell r="F4694">
            <v>0</v>
          </cell>
          <cell r="DN4694">
            <v>0</v>
          </cell>
        </row>
        <row r="4695">
          <cell r="E4695">
            <v>0</v>
          </cell>
          <cell r="F4695">
            <v>0</v>
          </cell>
          <cell r="DN4695">
            <v>0</v>
          </cell>
        </row>
        <row r="4696">
          <cell r="E4696">
            <v>0</v>
          </cell>
          <cell r="F4696">
            <v>0</v>
          </cell>
          <cell r="DN4696">
            <v>0</v>
          </cell>
        </row>
        <row r="4697">
          <cell r="E4697">
            <v>0</v>
          </cell>
          <cell r="F4697">
            <v>0</v>
          </cell>
          <cell r="DN4697">
            <v>0</v>
          </cell>
        </row>
        <row r="4698">
          <cell r="E4698">
            <v>0</v>
          </cell>
          <cell r="F4698">
            <v>0</v>
          </cell>
          <cell r="DN4698">
            <v>0</v>
          </cell>
        </row>
        <row r="4699">
          <cell r="E4699">
            <v>0</v>
          </cell>
          <cell r="F4699">
            <v>0</v>
          </cell>
          <cell r="DN4699">
            <v>0</v>
          </cell>
        </row>
        <row r="4700">
          <cell r="E4700">
            <v>0</v>
          </cell>
          <cell r="F4700">
            <v>0</v>
          </cell>
          <cell r="DN4700">
            <v>0</v>
          </cell>
        </row>
        <row r="4701">
          <cell r="E4701">
            <v>0</v>
          </cell>
          <cell r="F4701">
            <v>0</v>
          </cell>
          <cell r="DN4701">
            <v>0</v>
          </cell>
        </row>
        <row r="4702">
          <cell r="E4702">
            <v>0</v>
          </cell>
          <cell r="F4702">
            <v>0</v>
          </cell>
          <cell r="DN4702">
            <v>0</v>
          </cell>
        </row>
        <row r="4703">
          <cell r="E4703">
            <v>0</v>
          </cell>
          <cell r="F4703">
            <v>0</v>
          </cell>
          <cell r="DN4703">
            <v>0</v>
          </cell>
        </row>
        <row r="4704">
          <cell r="E4704">
            <v>0</v>
          </cell>
          <cell r="F4704">
            <v>0</v>
          </cell>
          <cell r="DN4704">
            <v>0</v>
          </cell>
        </row>
        <row r="4705">
          <cell r="E4705">
            <v>0</v>
          </cell>
          <cell r="F4705">
            <v>0</v>
          </cell>
          <cell r="DN4705">
            <v>0</v>
          </cell>
        </row>
        <row r="4706">
          <cell r="E4706">
            <v>0</v>
          </cell>
          <cell r="F4706">
            <v>0</v>
          </cell>
          <cell r="DN4706">
            <v>0</v>
          </cell>
        </row>
        <row r="4707">
          <cell r="E4707">
            <v>0</v>
          </cell>
          <cell r="F4707">
            <v>0</v>
          </cell>
          <cell r="DN4707">
            <v>0</v>
          </cell>
        </row>
        <row r="4708">
          <cell r="E4708">
            <v>0</v>
          </cell>
          <cell r="F4708">
            <v>0</v>
          </cell>
          <cell r="DN4708">
            <v>0</v>
          </cell>
        </row>
        <row r="4709">
          <cell r="E4709">
            <v>0</v>
          </cell>
          <cell r="F4709">
            <v>0</v>
          </cell>
          <cell r="DN4709">
            <v>0</v>
          </cell>
        </row>
        <row r="4710">
          <cell r="E4710">
            <v>0</v>
          </cell>
          <cell r="F4710">
            <v>0</v>
          </cell>
          <cell r="DN4710">
            <v>0</v>
          </cell>
        </row>
        <row r="4711">
          <cell r="E4711">
            <v>0</v>
          </cell>
          <cell r="F4711">
            <v>0</v>
          </cell>
          <cell r="DN4711">
            <v>0</v>
          </cell>
        </row>
        <row r="4712">
          <cell r="E4712">
            <v>0</v>
          </cell>
          <cell r="F4712">
            <v>0</v>
          </cell>
          <cell r="DN4712">
            <v>0</v>
          </cell>
        </row>
        <row r="4713">
          <cell r="E4713">
            <v>0</v>
          </cell>
          <cell r="F4713">
            <v>0</v>
          </cell>
          <cell r="DN4713">
            <v>0</v>
          </cell>
        </row>
        <row r="4714">
          <cell r="E4714">
            <v>0</v>
          </cell>
          <cell r="F4714">
            <v>0</v>
          </cell>
          <cell r="DN4714">
            <v>0</v>
          </cell>
        </row>
        <row r="4715">
          <cell r="E4715">
            <v>0</v>
          </cell>
          <cell r="F4715">
            <v>0</v>
          </cell>
          <cell r="DN4715">
            <v>0</v>
          </cell>
        </row>
        <row r="4716">
          <cell r="E4716">
            <v>0</v>
          </cell>
          <cell r="F4716">
            <v>0</v>
          </cell>
          <cell r="DN4716">
            <v>0</v>
          </cell>
        </row>
        <row r="4717">
          <cell r="E4717">
            <v>0</v>
          </cell>
          <cell r="F4717">
            <v>0</v>
          </cell>
          <cell r="DN4717">
            <v>0</v>
          </cell>
        </row>
        <row r="4718">
          <cell r="E4718">
            <v>0</v>
          </cell>
          <cell r="F4718">
            <v>0</v>
          </cell>
          <cell r="DN4718">
            <v>0</v>
          </cell>
        </row>
        <row r="4719">
          <cell r="E4719">
            <v>0</v>
          </cell>
          <cell r="F4719">
            <v>0</v>
          </cell>
          <cell r="DN4719">
            <v>0</v>
          </cell>
        </row>
        <row r="4720">
          <cell r="E4720">
            <v>0</v>
          </cell>
          <cell r="F4720">
            <v>0</v>
          </cell>
          <cell r="DN4720">
            <v>0</v>
          </cell>
        </row>
        <row r="4721">
          <cell r="E4721">
            <v>0</v>
          </cell>
          <cell r="F4721">
            <v>0</v>
          </cell>
          <cell r="DN4721">
            <v>0</v>
          </cell>
        </row>
        <row r="4722">
          <cell r="E4722">
            <v>0</v>
          </cell>
          <cell r="F4722">
            <v>0</v>
          </cell>
          <cell r="DN4722">
            <v>0</v>
          </cell>
        </row>
        <row r="4723">
          <cell r="E4723">
            <v>0</v>
          </cell>
          <cell r="F4723">
            <v>0</v>
          </cell>
          <cell r="DN4723">
            <v>0</v>
          </cell>
        </row>
        <row r="4724">
          <cell r="E4724">
            <v>0</v>
          </cell>
          <cell r="F4724">
            <v>0</v>
          </cell>
          <cell r="DN4724">
            <v>0</v>
          </cell>
        </row>
        <row r="4725">
          <cell r="E4725">
            <v>0</v>
          </cell>
          <cell r="F4725">
            <v>0</v>
          </cell>
          <cell r="DN4725">
            <v>0</v>
          </cell>
        </row>
        <row r="4726">
          <cell r="E4726">
            <v>0</v>
          </cell>
          <cell r="F4726">
            <v>0</v>
          </cell>
          <cell r="DN4726">
            <v>0</v>
          </cell>
        </row>
        <row r="4727">
          <cell r="E4727">
            <v>0</v>
          </cell>
          <cell r="F4727">
            <v>0</v>
          </cell>
          <cell r="DN4727">
            <v>0</v>
          </cell>
        </row>
        <row r="4728">
          <cell r="E4728">
            <v>0</v>
          </cell>
          <cell r="F4728">
            <v>0</v>
          </cell>
          <cell r="DN4728">
            <v>0</v>
          </cell>
        </row>
        <row r="4729">
          <cell r="E4729">
            <v>0</v>
          </cell>
          <cell r="F4729">
            <v>0</v>
          </cell>
          <cell r="DN4729">
            <v>0</v>
          </cell>
        </row>
        <row r="4730">
          <cell r="E4730">
            <v>0</v>
          </cell>
          <cell r="F4730">
            <v>0</v>
          </cell>
          <cell r="DN4730">
            <v>0</v>
          </cell>
        </row>
        <row r="4731">
          <cell r="E4731">
            <v>0</v>
          </cell>
          <cell r="F4731">
            <v>0</v>
          </cell>
          <cell r="DN4731">
            <v>0</v>
          </cell>
        </row>
        <row r="4732">
          <cell r="E4732">
            <v>0</v>
          </cell>
          <cell r="F4732">
            <v>0</v>
          </cell>
          <cell r="DN4732">
            <v>0</v>
          </cell>
        </row>
        <row r="4733">
          <cell r="E4733">
            <v>0</v>
          </cell>
          <cell r="F4733">
            <v>0</v>
          </cell>
          <cell r="DN4733">
            <v>0</v>
          </cell>
        </row>
        <row r="4734">
          <cell r="E4734">
            <v>0</v>
          </cell>
          <cell r="F4734">
            <v>0</v>
          </cell>
          <cell r="DN4734">
            <v>0</v>
          </cell>
        </row>
        <row r="4735">
          <cell r="E4735">
            <v>0</v>
          </cell>
          <cell r="F4735">
            <v>0</v>
          </cell>
          <cell r="DN4735">
            <v>0</v>
          </cell>
        </row>
        <row r="4736">
          <cell r="E4736">
            <v>0</v>
          </cell>
          <cell r="F4736">
            <v>0</v>
          </cell>
          <cell r="DN4736">
            <v>0</v>
          </cell>
        </row>
        <row r="4737">
          <cell r="E4737">
            <v>0</v>
          </cell>
          <cell r="F4737">
            <v>0</v>
          </cell>
          <cell r="DN4737">
            <v>0</v>
          </cell>
        </row>
        <row r="4738">
          <cell r="E4738">
            <v>0</v>
          </cell>
          <cell r="F4738">
            <v>0</v>
          </cell>
          <cell r="DN4738">
            <v>0</v>
          </cell>
        </row>
        <row r="4739">
          <cell r="E4739">
            <v>0</v>
          </cell>
          <cell r="F4739">
            <v>0</v>
          </cell>
          <cell r="DN4739">
            <v>0</v>
          </cell>
        </row>
        <row r="4740">
          <cell r="E4740">
            <v>0</v>
          </cell>
          <cell r="F4740">
            <v>0</v>
          </cell>
          <cell r="DN4740">
            <v>0</v>
          </cell>
        </row>
        <row r="4741">
          <cell r="E4741">
            <v>0</v>
          </cell>
          <cell r="F4741">
            <v>0</v>
          </cell>
          <cell r="DN4741">
            <v>0</v>
          </cell>
        </row>
        <row r="4742">
          <cell r="E4742">
            <v>0</v>
          </cell>
          <cell r="F4742">
            <v>0</v>
          </cell>
          <cell r="DN4742">
            <v>0</v>
          </cell>
        </row>
        <row r="4743">
          <cell r="E4743">
            <v>0</v>
          </cell>
          <cell r="F4743">
            <v>0</v>
          </cell>
          <cell r="DN4743">
            <v>0</v>
          </cell>
        </row>
        <row r="4744">
          <cell r="E4744">
            <v>0</v>
          </cell>
          <cell r="F4744">
            <v>0</v>
          </cell>
          <cell r="DN4744">
            <v>0</v>
          </cell>
        </row>
        <row r="4745">
          <cell r="E4745">
            <v>0</v>
          </cell>
          <cell r="F4745">
            <v>0</v>
          </cell>
          <cell r="DN4745">
            <v>0</v>
          </cell>
        </row>
        <row r="4746">
          <cell r="E4746">
            <v>0</v>
          </cell>
          <cell r="F4746">
            <v>0</v>
          </cell>
          <cell r="DN4746">
            <v>0</v>
          </cell>
        </row>
        <row r="4747">
          <cell r="E4747">
            <v>0</v>
          </cell>
          <cell r="F4747">
            <v>0</v>
          </cell>
          <cell r="DN4747">
            <v>0</v>
          </cell>
        </row>
        <row r="4748">
          <cell r="E4748">
            <v>0</v>
          </cell>
          <cell r="F4748">
            <v>0</v>
          </cell>
          <cell r="DN4748">
            <v>0</v>
          </cell>
        </row>
        <row r="4749">
          <cell r="E4749">
            <v>0</v>
          </cell>
          <cell r="F4749">
            <v>0</v>
          </cell>
          <cell r="DN4749">
            <v>0</v>
          </cell>
        </row>
        <row r="4750">
          <cell r="E4750">
            <v>0</v>
          </cell>
          <cell r="F4750">
            <v>0</v>
          </cell>
          <cell r="DN4750">
            <v>0</v>
          </cell>
        </row>
        <row r="4751">
          <cell r="E4751">
            <v>0</v>
          </cell>
          <cell r="F4751">
            <v>0</v>
          </cell>
          <cell r="DN4751">
            <v>0</v>
          </cell>
        </row>
        <row r="4752">
          <cell r="E4752">
            <v>0</v>
          </cell>
          <cell r="F4752">
            <v>0</v>
          </cell>
          <cell r="DN4752">
            <v>0</v>
          </cell>
        </row>
        <row r="4753">
          <cell r="E4753">
            <v>0</v>
          </cell>
          <cell r="F4753">
            <v>0</v>
          </cell>
          <cell r="DN4753">
            <v>0</v>
          </cell>
        </row>
        <row r="4754">
          <cell r="E4754">
            <v>0</v>
          </cell>
          <cell r="F4754">
            <v>0</v>
          </cell>
          <cell r="DN4754">
            <v>0</v>
          </cell>
        </row>
        <row r="4755">
          <cell r="E4755">
            <v>0</v>
          </cell>
          <cell r="F4755">
            <v>0</v>
          </cell>
          <cell r="DN4755">
            <v>0</v>
          </cell>
        </row>
        <row r="4756">
          <cell r="E4756">
            <v>0</v>
          </cell>
          <cell r="F4756">
            <v>0</v>
          </cell>
          <cell r="DN4756">
            <v>0</v>
          </cell>
        </row>
        <row r="4757">
          <cell r="E4757">
            <v>0</v>
          </cell>
          <cell r="F4757">
            <v>0</v>
          </cell>
          <cell r="DN4757">
            <v>0</v>
          </cell>
        </row>
        <row r="4758">
          <cell r="E4758">
            <v>0</v>
          </cell>
          <cell r="F4758">
            <v>0</v>
          </cell>
          <cell r="DN4758">
            <v>0</v>
          </cell>
        </row>
        <row r="4759">
          <cell r="E4759">
            <v>0</v>
          </cell>
          <cell r="F4759">
            <v>0</v>
          </cell>
          <cell r="DN4759">
            <v>0</v>
          </cell>
        </row>
        <row r="4760">
          <cell r="E4760">
            <v>0</v>
          </cell>
          <cell r="F4760">
            <v>0</v>
          </cell>
          <cell r="DN4760">
            <v>0</v>
          </cell>
        </row>
        <row r="4761">
          <cell r="E4761">
            <v>0</v>
          </cell>
          <cell r="F4761">
            <v>0</v>
          </cell>
          <cell r="DN4761">
            <v>0</v>
          </cell>
        </row>
        <row r="4762">
          <cell r="E4762">
            <v>0</v>
          </cell>
          <cell r="F4762">
            <v>0</v>
          </cell>
          <cell r="DN4762">
            <v>0</v>
          </cell>
        </row>
        <row r="4763">
          <cell r="E4763">
            <v>0</v>
          </cell>
          <cell r="F4763">
            <v>0</v>
          </cell>
          <cell r="DN4763">
            <v>0</v>
          </cell>
        </row>
        <row r="4764">
          <cell r="E4764">
            <v>0</v>
          </cell>
          <cell r="F4764">
            <v>0</v>
          </cell>
          <cell r="DN4764">
            <v>0</v>
          </cell>
        </row>
        <row r="4765">
          <cell r="E4765">
            <v>0</v>
          </cell>
          <cell r="F4765">
            <v>0</v>
          </cell>
          <cell r="DN4765">
            <v>0</v>
          </cell>
        </row>
        <row r="4766">
          <cell r="E4766">
            <v>0</v>
          </cell>
          <cell r="F4766">
            <v>0</v>
          </cell>
          <cell r="DN4766">
            <v>0</v>
          </cell>
        </row>
        <row r="4767">
          <cell r="E4767">
            <v>0</v>
          </cell>
          <cell r="F4767">
            <v>0</v>
          </cell>
          <cell r="DN4767">
            <v>0</v>
          </cell>
        </row>
        <row r="4768">
          <cell r="E4768">
            <v>0</v>
          </cell>
          <cell r="F4768">
            <v>0</v>
          </cell>
          <cell r="DN4768">
            <v>0</v>
          </cell>
        </row>
        <row r="4769">
          <cell r="E4769">
            <v>0</v>
          </cell>
          <cell r="F4769">
            <v>0</v>
          </cell>
          <cell r="DN4769">
            <v>0</v>
          </cell>
        </row>
        <row r="4770">
          <cell r="E4770">
            <v>0</v>
          </cell>
          <cell r="F4770">
            <v>0</v>
          </cell>
          <cell r="DN4770">
            <v>0</v>
          </cell>
        </row>
        <row r="4771">
          <cell r="E4771">
            <v>0</v>
          </cell>
          <cell r="F4771">
            <v>0</v>
          </cell>
          <cell r="DN4771">
            <v>0</v>
          </cell>
        </row>
        <row r="4772">
          <cell r="E4772">
            <v>0</v>
          </cell>
          <cell r="F4772">
            <v>0</v>
          </cell>
          <cell r="DN4772">
            <v>0</v>
          </cell>
        </row>
        <row r="4773">
          <cell r="E4773">
            <v>0</v>
          </cell>
          <cell r="F4773">
            <v>0</v>
          </cell>
          <cell r="DN4773">
            <v>0</v>
          </cell>
        </row>
        <row r="4774">
          <cell r="E4774">
            <v>0</v>
          </cell>
          <cell r="F4774">
            <v>0</v>
          </cell>
          <cell r="DN4774">
            <v>0</v>
          </cell>
        </row>
        <row r="4775">
          <cell r="E4775">
            <v>0</v>
          </cell>
          <cell r="F4775">
            <v>0</v>
          </cell>
          <cell r="DN4775">
            <v>0</v>
          </cell>
        </row>
        <row r="4776">
          <cell r="E4776">
            <v>0</v>
          </cell>
          <cell r="F4776">
            <v>0</v>
          </cell>
          <cell r="DN4776">
            <v>0</v>
          </cell>
        </row>
        <row r="4777">
          <cell r="E4777">
            <v>0</v>
          </cell>
          <cell r="F4777">
            <v>0</v>
          </cell>
          <cell r="DN4777">
            <v>0</v>
          </cell>
        </row>
        <row r="4778">
          <cell r="E4778">
            <v>0</v>
          </cell>
          <cell r="F4778">
            <v>0</v>
          </cell>
          <cell r="DN4778">
            <v>0</v>
          </cell>
        </row>
        <row r="4779">
          <cell r="E4779">
            <v>0</v>
          </cell>
          <cell r="F4779">
            <v>0</v>
          </cell>
          <cell r="DN4779">
            <v>0</v>
          </cell>
        </row>
        <row r="4780">
          <cell r="E4780">
            <v>0</v>
          </cell>
          <cell r="F4780">
            <v>0</v>
          </cell>
          <cell r="DN4780">
            <v>0</v>
          </cell>
        </row>
        <row r="4781">
          <cell r="E4781">
            <v>0</v>
          </cell>
          <cell r="F4781">
            <v>0</v>
          </cell>
          <cell r="DN4781">
            <v>0</v>
          </cell>
        </row>
        <row r="4782">
          <cell r="E4782">
            <v>0</v>
          </cell>
          <cell r="F4782">
            <v>0</v>
          </cell>
          <cell r="DN4782">
            <v>0</v>
          </cell>
        </row>
        <row r="4783">
          <cell r="E4783">
            <v>0</v>
          </cell>
          <cell r="F4783">
            <v>0</v>
          </cell>
          <cell r="DN4783">
            <v>0</v>
          </cell>
        </row>
        <row r="4784">
          <cell r="E4784">
            <v>0</v>
          </cell>
          <cell r="F4784">
            <v>0</v>
          </cell>
          <cell r="DN4784">
            <v>0</v>
          </cell>
        </row>
        <row r="4785">
          <cell r="E4785">
            <v>0</v>
          </cell>
          <cell r="F4785">
            <v>0</v>
          </cell>
          <cell r="DN4785">
            <v>0</v>
          </cell>
        </row>
        <row r="4786">
          <cell r="E4786">
            <v>0</v>
          </cell>
          <cell r="F4786">
            <v>0</v>
          </cell>
          <cell r="DN4786">
            <v>0</v>
          </cell>
        </row>
        <row r="4787">
          <cell r="E4787">
            <v>0</v>
          </cell>
          <cell r="F4787">
            <v>0</v>
          </cell>
          <cell r="DN4787">
            <v>0</v>
          </cell>
        </row>
        <row r="4788">
          <cell r="E4788">
            <v>0</v>
          </cell>
          <cell r="F4788">
            <v>0</v>
          </cell>
          <cell r="DN4788">
            <v>0</v>
          </cell>
        </row>
        <row r="4789">
          <cell r="E4789">
            <v>0</v>
          </cell>
          <cell r="F4789">
            <v>0</v>
          </cell>
          <cell r="DN4789">
            <v>0</v>
          </cell>
        </row>
        <row r="4790">
          <cell r="E4790">
            <v>0</v>
          </cell>
          <cell r="F4790">
            <v>0</v>
          </cell>
          <cell r="DN4790">
            <v>0</v>
          </cell>
        </row>
        <row r="4791">
          <cell r="E4791">
            <v>0</v>
          </cell>
          <cell r="F4791">
            <v>0</v>
          </cell>
          <cell r="DN4791">
            <v>0</v>
          </cell>
        </row>
        <row r="4792">
          <cell r="E4792">
            <v>0</v>
          </cell>
          <cell r="F4792">
            <v>0</v>
          </cell>
          <cell r="DN4792">
            <v>0</v>
          </cell>
        </row>
        <row r="4793">
          <cell r="E4793">
            <v>0</v>
          </cell>
          <cell r="F4793">
            <v>0</v>
          </cell>
          <cell r="DN4793">
            <v>0</v>
          </cell>
        </row>
        <row r="4794">
          <cell r="E4794">
            <v>0</v>
          </cell>
          <cell r="F4794">
            <v>0</v>
          </cell>
          <cell r="DN4794">
            <v>0</v>
          </cell>
        </row>
        <row r="4795">
          <cell r="E4795">
            <v>0</v>
          </cell>
          <cell r="F4795">
            <v>0</v>
          </cell>
          <cell r="DN4795">
            <v>0</v>
          </cell>
        </row>
        <row r="4796">
          <cell r="E4796">
            <v>0</v>
          </cell>
          <cell r="F4796">
            <v>0</v>
          </cell>
          <cell r="DN4796">
            <v>0</v>
          </cell>
        </row>
        <row r="4797">
          <cell r="E4797">
            <v>0</v>
          </cell>
          <cell r="F4797">
            <v>0</v>
          </cell>
          <cell r="DN4797">
            <v>0</v>
          </cell>
        </row>
        <row r="4798">
          <cell r="E4798">
            <v>0</v>
          </cell>
          <cell r="F4798">
            <v>0</v>
          </cell>
          <cell r="DN4798">
            <v>0</v>
          </cell>
        </row>
        <row r="4799">
          <cell r="E4799">
            <v>0</v>
          </cell>
          <cell r="F4799">
            <v>0</v>
          </cell>
          <cell r="DN4799">
            <v>0</v>
          </cell>
        </row>
        <row r="4800">
          <cell r="E4800">
            <v>0</v>
          </cell>
          <cell r="F4800">
            <v>0</v>
          </cell>
          <cell r="DN4800">
            <v>0</v>
          </cell>
        </row>
        <row r="4801">
          <cell r="E4801">
            <v>0</v>
          </cell>
          <cell r="F4801">
            <v>0</v>
          </cell>
          <cell r="DN4801">
            <v>0</v>
          </cell>
        </row>
        <row r="4802">
          <cell r="E4802">
            <v>0</v>
          </cell>
          <cell r="F4802">
            <v>0</v>
          </cell>
          <cell r="DN4802">
            <v>0</v>
          </cell>
        </row>
        <row r="4803">
          <cell r="E4803">
            <v>0</v>
          </cell>
          <cell r="F4803">
            <v>0</v>
          </cell>
          <cell r="DN4803">
            <v>0</v>
          </cell>
        </row>
        <row r="4804">
          <cell r="E4804">
            <v>0</v>
          </cell>
          <cell r="F4804">
            <v>0</v>
          </cell>
          <cell r="DN4804">
            <v>0</v>
          </cell>
        </row>
        <row r="4805">
          <cell r="E4805">
            <v>0</v>
          </cell>
          <cell r="F4805">
            <v>0</v>
          </cell>
          <cell r="DN4805">
            <v>0</v>
          </cell>
        </row>
        <row r="4806">
          <cell r="E4806">
            <v>0</v>
          </cell>
          <cell r="F4806">
            <v>0</v>
          </cell>
          <cell r="DN4806">
            <v>0</v>
          </cell>
        </row>
        <row r="4807">
          <cell r="E4807">
            <v>0</v>
          </cell>
          <cell r="F4807">
            <v>0</v>
          </cell>
          <cell r="DN4807">
            <v>0</v>
          </cell>
        </row>
        <row r="4808">
          <cell r="E4808">
            <v>0</v>
          </cell>
          <cell r="F4808">
            <v>0</v>
          </cell>
          <cell r="DN4808">
            <v>0</v>
          </cell>
        </row>
        <row r="4809">
          <cell r="E4809">
            <v>0</v>
          </cell>
          <cell r="F4809">
            <v>0</v>
          </cell>
          <cell r="DN4809">
            <v>0</v>
          </cell>
        </row>
        <row r="4810">
          <cell r="E4810">
            <v>0</v>
          </cell>
          <cell r="F4810">
            <v>0</v>
          </cell>
          <cell r="DN4810">
            <v>0</v>
          </cell>
        </row>
        <row r="4811">
          <cell r="E4811">
            <v>0</v>
          </cell>
          <cell r="F4811">
            <v>0</v>
          </cell>
          <cell r="DN4811">
            <v>0</v>
          </cell>
        </row>
        <row r="4812">
          <cell r="E4812">
            <v>0</v>
          </cell>
          <cell r="F4812">
            <v>0</v>
          </cell>
          <cell r="DN4812">
            <v>0</v>
          </cell>
        </row>
        <row r="4813">
          <cell r="E4813">
            <v>0</v>
          </cell>
          <cell r="F4813">
            <v>0</v>
          </cell>
          <cell r="DN4813">
            <v>0</v>
          </cell>
        </row>
        <row r="4814">
          <cell r="E4814">
            <v>0</v>
          </cell>
          <cell r="F4814">
            <v>0</v>
          </cell>
          <cell r="DN4814">
            <v>0</v>
          </cell>
        </row>
        <row r="4815">
          <cell r="E4815">
            <v>0</v>
          </cell>
          <cell r="F4815">
            <v>0</v>
          </cell>
          <cell r="DN4815">
            <v>0</v>
          </cell>
        </row>
        <row r="4816">
          <cell r="E4816">
            <v>0</v>
          </cell>
          <cell r="F4816">
            <v>0</v>
          </cell>
          <cell r="DN4816">
            <v>0</v>
          </cell>
        </row>
        <row r="4817">
          <cell r="E4817">
            <v>0</v>
          </cell>
          <cell r="F4817">
            <v>0</v>
          </cell>
          <cell r="DN4817">
            <v>0</v>
          </cell>
        </row>
        <row r="4818">
          <cell r="E4818">
            <v>0</v>
          </cell>
          <cell r="F4818">
            <v>0</v>
          </cell>
          <cell r="DN4818">
            <v>0</v>
          </cell>
        </row>
        <row r="4819">
          <cell r="E4819">
            <v>0</v>
          </cell>
          <cell r="F4819">
            <v>0</v>
          </cell>
          <cell r="DN4819">
            <v>0</v>
          </cell>
        </row>
        <row r="4820">
          <cell r="E4820">
            <v>0</v>
          </cell>
          <cell r="F4820">
            <v>0</v>
          </cell>
          <cell r="DN4820">
            <v>0</v>
          </cell>
        </row>
        <row r="4821">
          <cell r="E4821">
            <v>0</v>
          </cell>
          <cell r="F4821">
            <v>0</v>
          </cell>
          <cell r="DN4821">
            <v>0</v>
          </cell>
        </row>
        <row r="4822">
          <cell r="E4822">
            <v>0</v>
          </cell>
          <cell r="F4822">
            <v>0</v>
          </cell>
          <cell r="DN4822">
            <v>0</v>
          </cell>
        </row>
        <row r="4823">
          <cell r="E4823">
            <v>0</v>
          </cell>
          <cell r="F4823">
            <v>0</v>
          </cell>
          <cell r="DN4823">
            <v>0</v>
          </cell>
        </row>
        <row r="4824">
          <cell r="E4824">
            <v>0</v>
          </cell>
          <cell r="F4824">
            <v>0</v>
          </cell>
          <cell r="DN4824">
            <v>0</v>
          </cell>
        </row>
        <row r="4825">
          <cell r="E4825">
            <v>0</v>
          </cell>
          <cell r="F4825">
            <v>0</v>
          </cell>
          <cell r="DN4825">
            <v>0</v>
          </cell>
        </row>
        <row r="4826">
          <cell r="E4826">
            <v>0</v>
          </cell>
          <cell r="F4826">
            <v>0</v>
          </cell>
          <cell r="DN4826">
            <v>0</v>
          </cell>
        </row>
        <row r="4827">
          <cell r="E4827">
            <v>0</v>
          </cell>
          <cell r="F4827">
            <v>0</v>
          </cell>
          <cell r="DN4827">
            <v>0</v>
          </cell>
        </row>
        <row r="4828">
          <cell r="E4828">
            <v>0</v>
          </cell>
          <cell r="F4828">
            <v>0</v>
          </cell>
          <cell r="DN4828">
            <v>0</v>
          </cell>
        </row>
        <row r="4829">
          <cell r="E4829">
            <v>0</v>
          </cell>
          <cell r="F4829">
            <v>0</v>
          </cell>
          <cell r="DN4829">
            <v>0</v>
          </cell>
        </row>
        <row r="4830">
          <cell r="E4830">
            <v>0</v>
          </cell>
          <cell r="F4830">
            <v>0</v>
          </cell>
          <cell r="DN4830">
            <v>0</v>
          </cell>
        </row>
        <row r="4831">
          <cell r="E4831">
            <v>0</v>
          </cell>
          <cell r="F4831">
            <v>0</v>
          </cell>
          <cell r="DN4831">
            <v>0</v>
          </cell>
        </row>
        <row r="4832">
          <cell r="E4832">
            <v>0</v>
          </cell>
          <cell r="F4832">
            <v>0</v>
          </cell>
          <cell r="DN4832">
            <v>0</v>
          </cell>
        </row>
        <row r="4833">
          <cell r="E4833">
            <v>0</v>
          </cell>
          <cell r="F4833">
            <v>0</v>
          </cell>
          <cell r="DN4833">
            <v>0</v>
          </cell>
        </row>
        <row r="4834">
          <cell r="E4834">
            <v>0</v>
          </cell>
          <cell r="F4834">
            <v>0</v>
          </cell>
          <cell r="DN4834">
            <v>0</v>
          </cell>
        </row>
        <row r="4835">
          <cell r="E4835">
            <v>0</v>
          </cell>
          <cell r="F4835">
            <v>0</v>
          </cell>
          <cell r="DN4835">
            <v>0</v>
          </cell>
        </row>
        <row r="4836">
          <cell r="E4836">
            <v>0</v>
          </cell>
          <cell r="F4836">
            <v>0</v>
          </cell>
          <cell r="DN4836">
            <v>0</v>
          </cell>
        </row>
        <row r="4837">
          <cell r="E4837">
            <v>0</v>
          </cell>
          <cell r="F4837">
            <v>0</v>
          </cell>
          <cell r="DN4837">
            <v>0</v>
          </cell>
        </row>
        <row r="4838">
          <cell r="E4838">
            <v>0</v>
          </cell>
          <cell r="F4838">
            <v>0</v>
          </cell>
          <cell r="DN4838">
            <v>0</v>
          </cell>
        </row>
        <row r="4839">
          <cell r="E4839">
            <v>0</v>
          </cell>
          <cell r="F4839">
            <v>0</v>
          </cell>
          <cell r="DN4839">
            <v>0</v>
          </cell>
        </row>
        <row r="4840">
          <cell r="E4840">
            <v>0</v>
          </cell>
          <cell r="F4840">
            <v>0</v>
          </cell>
          <cell r="DN4840">
            <v>0</v>
          </cell>
        </row>
        <row r="4841">
          <cell r="E4841">
            <v>0</v>
          </cell>
          <cell r="F4841">
            <v>0</v>
          </cell>
          <cell r="DN4841">
            <v>0</v>
          </cell>
        </row>
        <row r="4842">
          <cell r="E4842">
            <v>0</v>
          </cell>
          <cell r="F4842">
            <v>0</v>
          </cell>
          <cell r="DN4842">
            <v>0</v>
          </cell>
        </row>
        <row r="4843">
          <cell r="E4843">
            <v>0</v>
          </cell>
          <cell r="F4843">
            <v>0</v>
          </cell>
          <cell r="DN4843">
            <v>0</v>
          </cell>
        </row>
        <row r="4844">
          <cell r="E4844">
            <v>0</v>
          </cell>
          <cell r="F4844">
            <v>0</v>
          </cell>
          <cell r="DN4844">
            <v>0</v>
          </cell>
        </row>
        <row r="4845">
          <cell r="E4845">
            <v>0</v>
          </cell>
          <cell r="F4845">
            <v>0</v>
          </cell>
          <cell r="DN4845">
            <v>0</v>
          </cell>
        </row>
        <row r="4846">
          <cell r="E4846">
            <v>0</v>
          </cell>
          <cell r="F4846">
            <v>0</v>
          </cell>
          <cell r="DN4846">
            <v>0</v>
          </cell>
        </row>
        <row r="4847">
          <cell r="E4847">
            <v>0</v>
          </cell>
          <cell r="F4847">
            <v>0</v>
          </cell>
          <cell r="DN4847">
            <v>0</v>
          </cell>
        </row>
        <row r="4848">
          <cell r="E4848">
            <v>0</v>
          </cell>
          <cell r="F4848">
            <v>0</v>
          </cell>
          <cell r="DN4848">
            <v>0</v>
          </cell>
        </row>
        <row r="4849">
          <cell r="E4849">
            <v>0</v>
          </cell>
          <cell r="F4849">
            <v>0</v>
          </cell>
          <cell r="DN4849">
            <v>0</v>
          </cell>
        </row>
        <row r="4850">
          <cell r="E4850">
            <v>0</v>
          </cell>
          <cell r="F4850">
            <v>0</v>
          </cell>
          <cell r="DN4850">
            <v>0</v>
          </cell>
        </row>
        <row r="4851">
          <cell r="E4851">
            <v>0</v>
          </cell>
          <cell r="F4851">
            <v>0</v>
          </cell>
          <cell r="DN4851">
            <v>0</v>
          </cell>
        </row>
        <row r="4852">
          <cell r="E4852">
            <v>0</v>
          </cell>
          <cell r="F4852">
            <v>0</v>
          </cell>
          <cell r="DN4852">
            <v>0</v>
          </cell>
        </row>
        <row r="4853">
          <cell r="E4853">
            <v>0</v>
          </cell>
          <cell r="F4853">
            <v>0</v>
          </cell>
          <cell r="DN4853">
            <v>0</v>
          </cell>
        </row>
        <row r="4854">
          <cell r="E4854">
            <v>0</v>
          </cell>
          <cell r="F4854">
            <v>0</v>
          </cell>
          <cell r="DN4854">
            <v>0</v>
          </cell>
        </row>
        <row r="4855">
          <cell r="E4855">
            <v>0</v>
          </cell>
          <cell r="F4855">
            <v>0</v>
          </cell>
          <cell r="DN4855">
            <v>0</v>
          </cell>
        </row>
        <row r="4856">
          <cell r="E4856">
            <v>0</v>
          </cell>
          <cell r="F4856">
            <v>0</v>
          </cell>
          <cell r="DN4856">
            <v>0</v>
          </cell>
        </row>
        <row r="4857">
          <cell r="E4857">
            <v>0</v>
          </cell>
          <cell r="F4857">
            <v>0</v>
          </cell>
          <cell r="DN4857">
            <v>0</v>
          </cell>
        </row>
        <row r="4858">
          <cell r="E4858">
            <v>0</v>
          </cell>
          <cell r="F4858">
            <v>0</v>
          </cell>
          <cell r="DN4858">
            <v>0</v>
          </cell>
        </row>
        <row r="4859">
          <cell r="E4859">
            <v>0</v>
          </cell>
          <cell r="F4859">
            <v>0</v>
          </cell>
          <cell r="DN4859">
            <v>0</v>
          </cell>
        </row>
        <row r="4860">
          <cell r="E4860">
            <v>0</v>
          </cell>
          <cell r="F4860">
            <v>0</v>
          </cell>
          <cell r="DN4860">
            <v>0</v>
          </cell>
        </row>
        <row r="4861">
          <cell r="E4861">
            <v>0</v>
          </cell>
          <cell r="F4861">
            <v>0</v>
          </cell>
          <cell r="DN4861">
            <v>0</v>
          </cell>
        </row>
        <row r="4862">
          <cell r="E4862">
            <v>0</v>
          </cell>
          <cell r="F4862">
            <v>0</v>
          </cell>
          <cell r="DN4862">
            <v>0</v>
          </cell>
        </row>
        <row r="4863">
          <cell r="E4863">
            <v>0</v>
          </cell>
          <cell r="F4863">
            <v>0</v>
          </cell>
          <cell r="DN4863">
            <v>0</v>
          </cell>
        </row>
        <row r="4864">
          <cell r="E4864">
            <v>0</v>
          </cell>
          <cell r="F4864">
            <v>0</v>
          </cell>
          <cell r="DN4864">
            <v>0</v>
          </cell>
        </row>
        <row r="4865">
          <cell r="E4865">
            <v>0</v>
          </cell>
          <cell r="F4865">
            <v>0</v>
          </cell>
          <cell r="DN4865">
            <v>0</v>
          </cell>
        </row>
        <row r="4866">
          <cell r="E4866">
            <v>0</v>
          </cell>
          <cell r="F4866">
            <v>0</v>
          </cell>
          <cell r="DN4866">
            <v>0</v>
          </cell>
        </row>
        <row r="4867">
          <cell r="E4867">
            <v>0</v>
          </cell>
          <cell r="F4867">
            <v>0</v>
          </cell>
          <cell r="DN4867">
            <v>0</v>
          </cell>
        </row>
        <row r="4868">
          <cell r="E4868">
            <v>0</v>
          </cell>
          <cell r="F4868">
            <v>0</v>
          </cell>
          <cell r="DN4868">
            <v>0</v>
          </cell>
        </row>
        <row r="4869">
          <cell r="E4869">
            <v>0</v>
          </cell>
          <cell r="F4869">
            <v>0</v>
          </cell>
          <cell r="DN4869">
            <v>0</v>
          </cell>
        </row>
        <row r="4870">
          <cell r="E4870">
            <v>0</v>
          </cell>
          <cell r="F4870">
            <v>0</v>
          </cell>
          <cell r="DN4870">
            <v>0</v>
          </cell>
        </row>
        <row r="4871">
          <cell r="E4871">
            <v>0</v>
          </cell>
          <cell r="F4871">
            <v>0</v>
          </cell>
          <cell r="DN4871">
            <v>0</v>
          </cell>
        </row>
        <row r="4872">
          <cell r="E4872">
            <v>0</v>
          </cell>
          <cell r="F4872">
            <v>0</v>
          </cell>
          <cell r="DN4872">
            <v>0</v>
          </cell>
        </row>
        <row r="4873">
          <cell r="E4873">
            <v>0</v>
          </cell>
          <cell r="F4873">
            <v>0</v>
          </cell>
          <cell r="DN4873">
            <v>0</v>
          </cell>
        </row>
        <row r="4874">
          <cell r="E4874">
            <v>0</v>
          </cell>
          <cell r="F4874">
            <v>0</v>
          </cell>
          <cell r="DN4874">
            <v>0</v>
          </cell>
        </row>
        <row r="4875">
          <cell r="E4875">
            <v>0</v>
          </cell>
          <cell r="F4875">
            <v>0</v>
          </cell>
          <cell r="DN4875">
            <v>0</v>
          </cell>
        </row>
        <row r="4876">
          <cell r="E4876">
            <v>0</v>
          </cell>
          <cell r="F4876">
            <v>0</v>
          </cell>
          <cell r="DN4876">
            <v>0</v>
          </cell>
        </row>
        <row r="4877">
          <cell r="E4877">
            <v>0</v>
          </cell>
          <cell r="F4877">
            <v>0</v>
          </cell>
          <cell r="DN4877">
            <v>0</v>
          </cell>
        </row>
        <row r="4878">
          <cell r="E4878">
            <v>0</v>
          </cell>
          <cell r="F4878">
            <v>0</v>
          </cell>
          <cell r="DN4878">
            <v>0</v>
          </cell>
        </row>
        <row r="4879">
          <cell r="E4879">
            <v>0</v>
          </cell>
          <cell r="F4879">
            <v>0</v>
          </cell>
          <cell r="DN4879">
            <v>0</v>
          </cell>
        </row>
        <row r="4880">
          <cell r="E4880">
            <v>0</v>
          </cell>
          <cell r="F4880">
            <v>0</v>
          </cell>
          <cell r="DN4880">
            <v>0</v>
          </cell>
        </row>
        <row r="4881">
          <cell r="E4881">
            <v>0</v>
          </cell>
          <cell r="F4881">
            <v>0</v>
          </cell>
          <cell r="DN4881">
            <v>0</v>
          </cell>
        </row>
        <row r="4882">
          <cell r="E4882">
            <v>0</v>
          </cell>
          <cell r="F4882">
            <v>0</v>
          </cell>
          <cell r="DN4882">
            <v>0</v>
          </cell>
        </row>
        <row r="4883">
          <cell r="E4883">
            <v>0</v>
          </cell>
          <cell r="F4883">
            <v>0</v>
          </cell>
          <cell r="DN4883">
            <v>0</v>
          </cell>
        </row>
        <row r="4884">
          <cell r="E4884">
            <v>0</v>
          </cell>
          <cell r="F4884">
            <v>0</v>
          </cell>
          <cell r="DN4884">
            <v>0</v>
          </cell>
        </row>
        <row r="4885">
          <cell r="E4885">
            <v>0</v>
          </cell>
          <cell r="F4885">
            <v>0</v>
          </cell>
          <cell r="DN4885">
            <v>0</v>
          </cell>
        </row>
        <row r="4886">
          <cell r="E4886">
            <v>0</v>
          </cell>
          <cell r="F4886">
            <v>0</v>
          </cell>
          <cell r="DN4886">
            <v>0</v>
          </cell>
        </row>
        <row r="4887">
          <cell r="E4887">
            <v>0</v>
          </cell>
          <cell r="F4887">
            <v>0</v>
          </cell>
          <cell r="DN4887">
            <v>0</v>
          </cell>
        </row>
        <row r="4888">
          <cell r="E4888">
            <v>0</v>
          </cell>
          <cell r="F4888">
            <v>0</v>
          </cell>
          <cell r="DN4888">
            <v>0</v>
          </cell>
        </row>
        <row r="4889">
          <cell r="E4889">
            <v>0</v>
          </cell>
          <cell r="F4889">
            <v>0</v>
          </cell>
          <cell r="DN4889">
            <v>0</v>
          </cell>
        </row>
        <row r="4890">
          <cell r="E4890">
            <v>0</v>
          </cell>
          <cell r="F4890">
            <v>0</v>
          </cell>
          <cell r="DN4890">
            <v>0</v>
          </cell>
        </row>
        <row r="4891">
          <cell r="E4891">
            <v>0</v>
          </cell>
          <cell r="F4891">
            <v>0</v>
          </cell>
          <cell r="DN4891">
            <v>0</v>
          </cell>
        </row>
        <row r="4892">
          <cell r="E4892">
            <v>0</v>
          </cell>
          <cell r="F4892">
            <v>0</v>
          </cell>
          <cell r="DN4892">
            <v>0</v>
          </cell>
        </row>
        <row r="4893">
          <cell r="E4893">
            <v>0</v>
          </cell>
          <cell r="F4893">
            <v>0</v>
          </cell>
          <cell r="DN4893">
            <v>0</v>
          </cell>
        </row>
        <row r="4894">
          <cell r="E4894">
            <v>0</v>
          </cell>
          <cell r="F4894">
            <v>0</v>
          </cell>
          <cell r="DN4894">
            <v>0</v>
          </cell>
        </row>
        <row r="4895">
          <cell r="E4895">
            <v>0</v>
          </cell>
          <cell r="F4895">
            <v>0</v>
          </cell>
          <cell r="DN4895">
            <v>0</v>
          </cell>
        </row>
        <row r="4896">
          <cell r="E4896">
            <v>0</v>
          </cell>
          <cell r="F4896">
            <v>0</v>
          </cell>
          <cell r="DN4896">
            <v>0</v>
          </cell>
        </row>
        <row r="4897">
          <cell r="E4897">
            <v>0</v>
          </cell>
          <cell r="F4897">
            <v>0</v>
          </cell>
          <cell r="DN4897">
            <v>0</v>
          </cell>
        </row>
        <row r="4898">
          <cell r="E4898">
            <v>0</v>
          </cell>
          <cell r="F4898">
            <v>0</v>
          </cell>
          <cell r="DN4898">
            <v>0</v>
          </cell>
        </row>
        <row r="4899">
          <cell r="E4899">
            <v>0</v>
          </cell>
          <cell r="F4899">
            <v>0</v>
          </cell>
          <cell r="DN4899">
            <v>0</v>
          </cell>
        </row>
        <row r="4900">
          <cell r="E4900">
            <v>0</v>
          </cell>
          <cell r="F4900">
            <v>0</v>
          </cell>
          <cell r="DN4900">
            <v>0</v>
          </cell>
        </row>
        <row r="4901">
          <cell r="E4901">
            <v>0</v>
          </cell>
          <cell r="F4901">
            <v>0</v>
          </cell>
          <cell r="DN4901">
            <v>0</v>
          </cell>
        </row>
        <row r="4902">
          <cell r="E4902">
            <v>0</v>
          </cell>
          <cell r="F4902">
            <v>0</v>
          </cell>
          <cell r="DN4902">
            <v>0</v>
          </cell>
        </row>
        <row r="4903">
          <cell r="E4903">
            <v>0</v>
          </cell>
          <cell r="F4903">
            <v>0</v>
          </cell>
          <cell r="DN4903">
            <v>0</v>
          </cell>
        </row>
        <row r="4904">
          <cell r="E4904">
            <v>0</v>
          </cell>
          <cell r="F4904">
            <v>0</v>
          </cell>
          <cell r="DN4904">
            <v>0</v>
          </cell>
        </row>
        <row r="4905">
          <cell r="E4905">
            <v>0</v>
          </cell>
          <cell r="F4905">
            <v>0</v>
          </cell>
          <cell r="DN4905">
            <v>0</v>
          </cell>
        </row>
        <row r="4906">
          <cell r="E4906">
            <v>0</v>
          </cell>
          <cell r="F4906">
            <v>0</v>
          </cell>
          <cell r="DN4906">
            <v>0</v>
          </cell>
        </row>
        <row r="4907">
          <cell r="E4907">
            <v>0</v>
          </cell>
          <cell r="F4907">
            <v>0</v>
          </cell>
          <cell r="DN4907">
            <v>0</v>
          </cell>
        </row>
        <row r="4908">
          <cell r="E4908">
            <v>0</v>
          </cell>
          <cell r="F4908">
            <v>0</v>
          </cell>
          <cell r="DN4908">
            <v>0</v>
          </cell>
        </row>
        <row r="4909">
          <cell r="E4909">
            <v>0</v>
          </cell>
          <cell r="F4909">
            <v>0</v>
          </cell>
          <cell r="DN4909">
            <v>0</v>
          </cell>
        </row>
        <row r="4910">
          <cell r="E4910">
            <v>0</v>
          </cell>
          <cell r="F4910">
            <v>0</v>
          </cell>
          <cell r="DN4910">
            <v>0</v>
          </cell>
        </row>
        <row r="4911">
          <cell r="E4911">
            <v>0</v>
          </cell>
          <cell r="F4911">
            <v>0</v>
          </cell>
          <cell r="DN4911">
            <v>0</v>
          </cell>
        </row>
        <row r="4912">
          <cell r="E4912">
            <v>0</v>
          </cell>
          <cell r="F4912">
            <v>0</v>
          </cell>
          <cell r="DN4912">
            <v>0</v>
          </cell>
        </row>
        <row r="4913">
          <cell r="E4913">
            <v>0</v>
          </cell>
          <cell r="F4913">
            <v>0</v>
          </cell>
          <cell r="DN4913">
            <v>0</v>
          </cell>
        </row>
        <row r="4914">
          <cell r="E4914">
            <v>0</v>
          </cell>
          <cell r="F4914">
            <v>0</v>
          </cell>
          <cell r="DN4914">
            <v>0</v>
          </cell>
        </row>
        <row r="4915">
          <cell r="E4915">
            <v>0</v>
          </cell>
          <cell r="F4915">
            <v>0</v>
          </cell>
          <cell r="DN4915">
            <v>0</v>
          </cell>
        </row>
        <row r="4916">
          <cell r="E4916">
            <v>0</v>
          </cell>
          <cell r="F4916">
            <v>0</v>
          </cell>
          <cell r="DN4916">
            <v>0</v>
          </cell>
        </row>
        <row r="4917">
          <cell r="E4917">
            <v>0</v>
          </cell>
          <cell r="F4917">
            <v>0</v>
          </cell>
          <cell r="DN4917">
            <v>0</v>
          </cell>
        </row>
        <row r="4918">
          <cell r="E4918">
            <v>0</v>
          </cell>
          <cell r="F4918">
            <v>0</v>
          </cell>
          <cell r="DN4918">
            <v>0</v>
          </cell>
        </row>
        <row r="4919">
          <cell r="E4919">
            <v>0</v>
          </cell>
          <cell r="F4919">
            <v>0</v>
          </cell>
          <cell r="DN4919">
            <v>0</v>
          </cell>
        </row>
        <row r="4920">
          <cell r="E4920">
            <v>0</v>
          </cell>
          <cell r="F4920">
            <v>0</v>
          </cell>
          <cell r="DN4920">
            <v>0</v>
          </cell>
        </row>
        <row r="4921">
          <cell r="E4921">
            <v>0</v>
          </cell>
          <cell r="F4921">
            <v>0</v>
          </cell>
          <cell r="DN4921">
            <v>0</v>
          </cell>
        </row>
        <row r="4922">
          <cell r="E4922">
            <v>0</v>
          </cell>
          <cell r="F4922">
            <v>0</v>
          </cell>
          <cell r="DN4922">
            <v>0</v>
          </cell>
        </row>
        <row r="4923">
          <cell r="E4923">
            <v>0</v>
          </cell>
          <cell r="F4923">
            <v>0</v>
          </cell>
          <cell r="DN4923">
            <v>0</v>
          </cell>
        </row>
        <row r="4924">
          <cell r="E4924">
            <v>0</v>
          </cell>
          <cell r="F4924">
            <v>0</v>
          </cell>
          <cell r="DN4924">
            <v>0</v>
          </cell>
        </row>
        <row r="4925">
          <cell r="E4925">
            <v>0</v>
          </cell>
          <cell r="F4925">
            <v>0</v>
          </cell>
          <cell r="DN4925">
            <v>0</v>
          </cell>
        </row>
        <row r="4926">
          <cell r="E4926">
            <v>0</v>
          </cell>
          <cell r="F4926">
            <v>0</v>
          </cell>
          <cell r="DN4926">
            <v>0</v>
          </cell>
        </row>
        <row r="4927">
          <cell r="E4927">
            <v>0</v>
          </cell>
          <cell r="F4927">
            <v>0</v>
          </cell>
          <cell r="DN4927">
            <v>0</v>
          </cell>
        </row>
        <row r="4928">
          <cell r="E4928">
            <v>0</v>
          </cell>
          <cell r="F4928">
            <v>0</v>
          </cell>
          <cell r="DN4928">
            <v>0</v>
          </cell>
        </row>
        <row r="4929">
          <cell r="E4929">
            <v>0</v>
          </cell>
          <cell r="F4929">
            <v>0</v>
          </cell>
          <cell r="DN4929">
            <v>0</v>
          </cell>
        </row>
        <row r="4930">
          <cell r="E4930">
            <v>0</v>
          </cell>
          <cell r="F4930">
            <v>0</v>
          </cell>
          <cell r="DN4930">
            <v>0</v>
          </cell>
        </row>
        <row r="4931">
          <cell r="E4931">
            <v>0</v>
          </cell>
          <cell r="F4931">
            <v>0</v>
          </cell>
          <cell r="DN4931">
            <v>0</v>
          </cell>
        </row>
        <row r="4932">
          <cell r="E4932">
            <v>0</v>
          </cell>
          <cell r="F4932">
            <v>0</v>
          </cell>
          <cell r="DN4932">
            <v>0</v>
          </cell>
        </row>
        <row r="4933">
          <cell r="E4933">
            <v>0</v>
          </cell>
          <cell r="F4933">
            <v>0</v>
          </cell>
          <cell r="DN4933">
            <v>0</v>
          </cell>
        </row>
        <row r="4934">
          <cell r="E4934">
            <v>0</v>
          </cell>
          <cell r="F4934">
            <v>0</v>
          </cell>
          <cell r="DN4934">
            <v>0</v>
          </cell>
        </row>
        <row r="4935">
          <cell r="E4935">
            <v>0</v>
          </cell>
          <cell r="F4935">
            <v>0</v>
          </cell>
          <cell r="DN4935">
            <v>0</v>
          </cell>
        </row>
        <row r="4936">
          <cell r="E4936">
            <v>0</v>
          </cell>
          <cell r="F4936">
            <v>0</v>
          </cell>
          <cell r="DN4936">
            <v>0</v>
          </cell>
        </row>
        <row r="4937">
          <cell r="E4937">
            <v>0</v>
          </cell>
          <cell r="F4937">
            <v>0</v>
          </cell>
          <cell r="DN4937">
            <v>0</v>
          </cell>
        </row>
        <row r="4938">
          <cell r="E4938">
            <v>0</v>
          </cell>
          <cell r="F4938">
            <v>0</v>
          </cell>
          <cell r="DN4938">
            <v>0</v>
          </cell>
        </row>
        <row r="4939">
          <cell r="E4939">
            <v>0</v>
          </cell>
          <cell r="F4939">
            <v>0</v>
          </cell>
          <cell r="DN4939">
            <v>0</v>
          </cell>
        </row>
        <row r="4940">
          <cell r="E4940">
            <v>0</v>
          </cell>
          <cell r="F4940">
            <v>0</v>
          </cell>
          <cell r="DN4940">
            <v>0</v>
          </cell>
        </row>
        <row r="4941">
          <cell r="E4941">
            <v>0</v>
          </cell>
          <cell r="F4941">
            <v>0</v>
          </cell>
          <cell r="DN4941">
            <v>0</v>
          </cell>
        </row>
        <row r="4942">
          <cell r="E4942">
            <v>0</v>
          </cell>
          <cell r="F4942">
            <v>0</v>
          </cell>
          <cell r="DN4942">
            <v>0</v>
          </cell>
        </row>
        <row r="4943">
          <cell r="E4943">
            <v>0</v>
          </cell>
          <cell r="F4943">
            <v>0</v>
          </cell>
          <cell r="DN4943">
            <v>0</v>
          </cell>
        </row>
        <row r="4944">
          <cell r="E4944">
            <v>0</v>
          </cell>
          <cell r="F4944">
            <v>0</v>
          </cell>
          <cell r="DN4944">
            <v>0</v>
          </cell>
        </row>
        <row r="4945">
          <cell r="E4945">
            <v>0</v>
          </cell>
          <cell r="F4945">
            <v>0</v>
          </cell>
          <cell r="DN4945">
            <v>0</v>
          </cell>
        </row>
        <row r="4946">
          <cell r="E4946">
            <v>0</v>
          </cell>
          <cell r="F4946">
            <v>0</v>
          </cell>
          <cell r="DN4946">
            <v>0</v>
          </cell>
        </row>
        <row r="4947">
          <cell r="E4947">
            <v>0</v>
          </cell>
          <cell r="F4947">
            <v>0</v>
          </cell>
          <cell r="DN4947">
            <v>0</v>
          </cell>
        </row>
        <row r="4948">
          <cell r="E4948">
            <v>0</v>
          </cell>
          <cell r="F4948">
            <v>0</v>
          </cell>
          <cell r="DN4948">
            <v>0</v>
          </cell>
        </row>
        <row r="4949">
          <cell r="E4949">
            <v>0</v>
          </cell>
          <cell r="F4949">
            <v>0</v>
          </cell>
          <cell r="DN4949">
            <v>0</v>
          </cell>
        </row>
        <row r="4950">
          <cell r="E4950">
            <v>0</v>
          </cell>
          <cell r="F4950">
            <v>0</v>
          </cell>
          <cell r="DN4950">
            <v>0</v>
          </cell>
        </row>
        <row r="4951">
          <cell r="E4951">
            <v>0</v>
          </cell>
          <cell r="F4951">
            <v>0</v>
          </cell>
          <cell r="DN4951">
            <v>0</v>
          </cell>
        </row>
        <row r="4952">
          <cell r="E4952">
            <v>0</v>
          </cell>
          <cell r="F4952">
            <v>0</v>
          </cell>
          <cell r="DN4952">
            <v>0</v>
          </cell>
        </row>
        <row r="4953">
          <cell r="E4953">
            <v>0</v>
          </cell>
          <cell r="F4953">
            <v>0</v>
          </cell>
          <cell r="DN4953">
            <v>0</v>
          </cell>
        </row>
        <row r="4954">
          <cell r="E4954">
            <v>0</v>
          </cell>
          <cell r="F4954">
            <v>0</v>
          </cell>
          <cell r="DN4954">
            <v>0</v>
          </cell>
        </row>
        <row r="4955">
          <cell r="E4955">
            <v>0</v>
          </cell>
          <cell r="F4955">
            <v>0</v>
          </cell>
          <cell r="DN4955">
            <v>0</v>
          </cell>
        </row>
        <row r="4956">
          <cell r="E4956">
            <v>0</v>
          </cell>
          <cell r="F4956">
            <v>0</v>
          </cell>
          <cell r="DN4956">
            <v>0</v>
          </cell>
        </row>
        <row r="4957">
          <cell r="E4957">
            <v>0</v>
          </cell>
          <cell r="F4957">
            <v>0</v>
          </cell>
          <cell r="DN4957">
            <v>0</v>
          </cell>
        </row>
        <row r="4958">
          <cell r="E4958">
            <v>0</v>
          </cell>
          <cell r="F4958">
            <v>0</v>
          </cell>
          <cell r="DN4958">
            <v>0</v>
          </cell>
        </row>
        <row r="4959">
          <cell r="E4959">
            <v>0</v>
          </cell>
          <cell r="F4959">
            <v>0</v>
          </cell>
          <cell r="DN4959">
            <v>0</v>
          </cell>
        </row>
        <row r="4960">
          <cell r="E4960">
            <v>0</v>
          </cell>
          <cell r="F4960">
            <v>0</v>
          </cell>
          <cell r="DN4960">
            <v>0</v>
          </cell>
        </row>
        <row r="4961">
          <cell r="E4961">
            <v>0</v>
          </cell>
          <cell r="F4961">
            <v>0</v>
          </cell>
          <cell r="DN4961">
            <v>0</v>
          </cell>
        </row>
        <row r="4962">
          <cell r="E4962">
            <v>0</v>
          </cell>
          <cell r="F4962">
            <v>0</v>
          </cell>
          <cell r="DN4962">
            <v>0</v>
          </cell>
        </row>
        <row r="4963">
          <cell r="E4963">
            <v>0</v>
          </cell>
          <cell r="F4963">
            <v>0</v>
          </cell>
          <cell r="DN4963">
            <v>0</v>
          </cell>
        </row>
        <row r="4964">
          <cell r="E4964">
            <v>0</v>
          </cell>
          <cell r="F4964">
            <v>0</v>
          </cell>
          <cell r="DN4964">
            <v>0</v>
          </cell>
        </row>
        <row r="4965">
          <cell r="E4965">
            <v>0</v>
          </cell>
          <cell r="F4965">
            <v>0</v>
          </cell>
          <cell r="DN4965">
            <v>0</v>
          </cell>
        </row>
        <row r="4966">
          <cell r="E4966">
            <v>0</v>
          </cell>
          <cell r="F4966">
            <v>0</v>
          </cell>
          <cell r="DN4966">
            <v>0</v>
          </cell>
        </row>
        <row r="4967">
          <cell r="E4967">
            <v>0</v>
          </cell>
          <cell r="F4967">
            <v>0</v>
          </cell>
          <cell r="DN4967">
            <v>0</v>
          </cell>
        </row>
        <row r="4968">
          <cell r="E4968">
            <v>0</v>
          </cell>
          <cell r="F4968">
            <v>0</v>
          </cell>
          <cell r="DN4968">
            <v>0</v>
          </cell>
        </row>
        <row r="4969">
          <cell r="E4969">
            <v>0</v>
          </cell>
          <cell r="F4969">
            <v>0</v>
          </cell>
          <cell r="DN4969">
            <v>0</v>
          </cell>
        </row>
        <row r="4970">
          <cell r="E4970">
            <v>0</v>
          </cell>
          <cell r="F4970">
            <v>0</v>
          </cell>
          <cell r="DN4970">
            <v>0</v>
          </cell>
        </row>
        <row r="4971">
          <cell r="E4971">
            <v>0</v>
          </cell>
          <cell r="F4971">
            <v>0</v>
          </cell>
          <cell r="DN4971">
            <v>0</v>
          </cell>
        </row>
        <row r="4972">
          <cell r="E4972">
            <v>0</v>
          </cell>
          <cell r="F4972">
            <v>0</v>
          </cell>
          <cell r="DN4972">
            <v>0</v>
          </cell>
        </row>
        <row r="4973">
          <cell r="E4973">
            <v>0</v>
          </cell>
          <cell r="F4973">
            <v>0</v>
          </cell>
          <cell r="DN4973">
            <v>0</v>
          </cell>
        </row>
        <row r="4974">
          <cell r="E4974">
            <v>0</v>
          </cell>
          <cell r="F4974">
            <v>0</v>
          </cell>
          <cell r="DN4974">
            <v>0</v>
          </cell>
        </row>
        <row r="4975">
          <cell r="E4975">
            <v>0</v>
          </cell>
          <cell r="F4975">
            <v>0</v>
          </cell>
          <cell r="DN4975">
            <v>0</v>
          </cell>
        </row>
        <row r="4976">
          <cell r="E4976">
            <v>0</v>
          </cell>
          <cell r="F4976">
            <v>0</v>
          </cell>
          <cell r="DN4976">
            <v>0</v>
          </cell>
        </row>
        <row r="4977">
          <cell r="E4977">
            <v>0</v>
          </cell>
          <cell r="F4977">
            <v>0</v>
          </cell>
          <cell r="DN4977">
            <v>0</v>
          </cell>
        </row>
        <row r="4978">
          <cell r="E4978">
            <v>0</v>
          </cell>
          <cell r="F4978">
            <v>0</v>
          </cell>
          <cell r="DN4978">
            <v>0</v>
          </cell>
        </row>
        <row r="4979">
          <cell r="E4979">
            <v>0</v>
          </cell>
          <cell r="F4979">
            <v>0</v>
          </cell>
          <cell r="DN4979">
            <v>0</v>
          </cell>
        </row>
        <row r="4980">
          <cell r="E4980">
            <v>0</v>
          </cell>
          <cell r="F4980">
            <v>0</v>
          </cell>
          <cell r="DN4980">
            <v>0</v>
          </cell>
        </row>
        <row r="4981">
          <cell r="E4981">
            <v>0</v>
          </cell>
          <cell r="F4981">
            <v>0</v>
          </cell>
          <cell r="DN4981">
            <v>0</v>
          </cell>
        </row>
        <row r="4982">
          <cell r="E4982">
            <v>0</v>
          </cell>
          <cell r="F4982">
            <v>0</v>
          </cell>
          <cell r="DN4982">
            <v>0</v>
          </cell>
        </row>
        <row r="4983">
          <cell r="E4983">
            <v>0</v>
          </cell>
          <cell r="F4983">
            <v>0</v>
          </cell>
          <cell r="DN4983">
            <v>0</v>
          </cell>
        </row>
        <row r="4984">
          <cell r="E4984">
            <v>0</v>
          </cell>
          <cell r="F4984">
            <v>0</v>
          </cell>
          <cell r="DN4984">
            <v>0</v>
          </cell>
        </row>
        <row r="4985">
          <cell r="E4985">
            <v>0</v>
          </cell>
          <cell r="F4985">
            <v>0</v>
          </cell>
          <cell r="DN4985">
            <v>0</v>
          </cell>
        </row>
        <row r="4986">
          <cell r="E4986">
            <v>0</v>
          </cell>
          <cell r="F4986">
            <v>0</v>
          </cell>
          <cell r="DN4986">
            <v>0</v>
          </cell>
        </row>
        <row r="4987">
          <cell r="E4987">
            <v>0</v>
          </cell>
          <cell r="F4987">
            <v>0</v>
          </cell>
          <cell r="DN4987">
            <v>0</v>
          </cell>
        </row>
        <row r="4988">
          <cell r="E4988">
            <v>0</v>
          </cell>
          <cell r="F4988">
            <v>0</v>
          </cell>
          <cell r="DN4988">
            <v>0</v>
          </cell>
        </row>
        <row r="4989">
          <cell r="E4989">
            <v>0</v>
          </cell>
          <cell r="F4989">
            <v>0</v>
          </cell>
          <cell r="DN4989">
            <v>0</v>
          </cell>
        </row>
        <row r="4990">
          <cell r="E4990">
            <v>0</v>
          </cell>
          <cell r="F4990">
            <v>0</v>
          </cell>
          <cell r="DN4990">
            <v>0</v>
          </cell>
        </row>
        <row r="4991">
          <cell r="E4991">
            <v>0</v>
          </cell>
          <cell r="F4991">
            <v>0</v>
          </cell>
          <cell r="DN4991">
            <v>0</v>
          </cell>
        </row>
        <row r="4992">
          <cell r="E4992">
            <v>0</v>
          </cell>
          <cell r="F4992">
            <v>0</v>
          </cell>
          <cell r="DN4992">
            <v>0</v>
          </cell>
        </row>
        <row r="4993">
          <cell r="E4993">
            <v>0</v>
          </cell>
          <cell r="F4993">
            <v>0</v>
          </cell>
          <cell r="DN4993">
            <v>0</v>
          </cell>
        </row>
        <row r="4994">
          <cell r="E4994">
            <v>0</v>
          </cell>
          <cell r="F4994">
            <v>0</v>
          </cell>
          <cell r="DN4994">
            <v>0</v>
          </cell>
        </row>
        <row r="4995">
          <cell r="E4995">
            <v>0</v>
          </cell>
          <cell r="F4995">
            <v>0</v>
          </cell>
          <cell r="DN4995">
            <v>0</v>
          </cell>
        </row>
        <row r="4996">
          <cell r="E4996">
            <v>0</v>
          </cell>
          <cell r="F4996">
            <v>0</v>
          </cell>
          <cell r="DN4996">
            <v>0</v>
          </cell>
        </row>
        <row r="4997">
          <cell r="E4997">
            <v>0</v>
          </cell>
          <cell r="F4997">
            <v>0</v>
          </cell>
          <cell r="DN4997">
            <v>0</v>
          </cell>
        </row>
        <row r="4998">
          <cell r="E4998">
            <v>0</v>
          </cell>
          <cell r="F4998">
            <v>0</v>
          </cell>
          <cell r="DN4998">
            <v>0</v>
          </cell>
        </row>
        <row r="4999">
          <cell r="E4999">
            <v>0</v>
          </cell>
          <cell r="F4999">
            <v>0</v>
          </cell>
          <cell r="DN4999">
            <v>0</v>
          </cell>
        </row>
        <row r="5000">
          <cell r="E5000">
            <v>0</v>
          </cell>
          <cell r="F5000">
            <v>0</v>
          </cell>
          <cell r="DN5000">
            <v>0</v>
          </cell>
        </row>
        <row r="5001">
          <cell r="E5001">
            <v>0</v>
          </cell>
          <cell r="F5001">
            <v>0</v>
          </cell>
          <cell r="DN5001">
            <v>0</v>
          </cell>
        </row>
        <row r="5002">
          <cell r="E5002">
            <v>0</v>
          </cell>
          <cell r="F5002">
            <v>0</v>
          </cell>
          <cell r="DN5002">
            <v>0</v>
          </cell>
        </row>
        <row r="5003">
          <cell r="E5003">
            <v>0</v>
          </cell>
          <cell r="F5003">
            <v>0</v>
          </cell>
          <cell r="DN5003">
            <v>0</v>
          </cell>
        </row>
        <row r="5004">
          <cell r="E5004">
            <v>0</v>
          </cell>
          <cell r="F5004">
            <v>0</v>
          </cell>
          <cell r="DN5004">
            <v>0</v>
          </cell>
        </row>
        <row r="5005">
          <cell r="E5005">
            <v>0</v>
          </cell>
          <cell r="F5005">
            <v>0</v>
          </cell>
          <cell r="DN5005">
            <v>0</v>
          </cell>
        </row>
        <row r="5006">
          <cell r="E5006">
            <v>0</v>
          </cell>
          <cell r="F5006">
            <v>0</v>
          </cell>
          <cell r="DN5006">
            <v>0</v>
          </cell>
        </row>
        <row r="5007">
          <cell r="E5007">
            <v>0</v>
          </cell>
          <cell r="F5007">
            <v>0</v>
          </cell>
          <cell r="DN5007">
            <v>0</v>
          </cell>
        </row>
        <row r="5008">
          <cell r="E5008">
            <v>0</v>
          </cell>
          <cell r="F5008">
            <v>0</v>
          </cell>
          <cell r="DN5008">
            <v>0</v>
          </cell>
        </row>
        <row r="5009">
          <cell r="E5009">
            <v>0</v>
          </cell>
          <cell r="F5009">
            <v>0</v>
          </cell>
          <cell r="DN5009">
            <v>0</v>
          </cell>
        </row>
        <row r="5010">
          <cell r="E5010">
            <v>0</v>
          </cell>
          <cell r="F5010">
            <v>0</v>
          </cell>
          <cell r="DN5010">
            <v>0</v>
          </cell>
        </row>
        <row r="5011">
          <cell r="E5011">
            <v>0</v>
          </cell>
          <cell r="F5011">
            <v>0</v>
          </cell>
          <cell r="DN5011">
            <v>0</v>
          </cell>
        </row>
        <row r="5012">
          <cell r="E5012">
            <v>0</v>
          </cell>
          <cell r="F5012">
            <v>0</v>
          </cell>
          <cell r="DN5012">
            <v>0</v>
          </cell>
        </row>
        <row r="5013">
          <cell r="E5013">
            <v>0</v>
          </cell>
          <cell r="F5013">
            <v>0</v>
          </cell>
          <cell r="DN5013">
            <v>0</v>
          </cell>
        </row>
        <row r="5014">
          <cell r="E5014">
            <v>0</v>
          </cell>
          <cell r="F5014">
            <v>0</v>
          </cell>
          <cell r="DN5014">
            <v>0</v>
          </cell>
        </row>
        <row r="5015">
          <cell r="E5015">
            <v>0</v>
          </cell>
          <cell r="F5015">
            <v>0</v>
          </cell>
          <cell r="DN5015">
            <v>0</v>
          </cell>
        </row>
        <row r="5016">
          <cell r="E5016">
            <v>0</v>
          </cell>
          <cell r="F5016">
            <v>0</v>
          </cell>
          <cell r="DN5016">
            <v>0</v>
          </cell>
        </row>
        <row r="5017">
          <cell r="E5017">
            <v>0</v>
          </cell>
          <cell r="F5017">
            <v>0</v>
          </cell>
          <cell r="DN5017">
            <v>0</v>
          </cell>
        </row>
        <row r="5018">
          <cell r="E5018">
            <v>0</v>
          </cell>
          <cell r="F5018">
            <v>0</v>
          </cell>
          <cell r="DN5018">
            <v>0</v>
          </cell>
        </row>
        <row r="5019">
          <cell r="E5019">
            <v>0</v>
          </cell>
          <cell r="F5019">
            <v>0</v>
          </cell>
          <cell r="DN5019">
            <v>0</v>
          </cell>
        </row>
        <row r="5020">
          <cell r="E5020">
            <v>0</v>
          </cell>
          <cell r="F5020">
            <v>0</v>
          </cell>
          <cell r="DN5020">
            <v>0</v>
          </cell>
        </row>
        <row r="5021">
          <cell r="E5021">
            <v>0</v>
          </cell>
          <cell r="F5021">
            <v>0</v>
          </cell>
          <cell r="DN5021">
            <v>0</v>
          </cell>
        </row>
        <row r="5022">
          <cell r="E5022">
            <v>0</v>
          </cell>
          <cell r="F5022">
            <v>0</v>
          </cell>
          <cell r="DN5022">
            <v>0</v>
          </cell>
        </row>
        <row r="5023">
          <cell r="E5023">
            <v>0</v>
          </cell>
          <cell r="F5023">
            <v>0</v>
          </cell>
          <cell r="DN5023">
            <v>0</v>
          </cell>
        </row>
        <row r="5024">
          <cell r="E5024">
            <v>0</v>
          </cell>
          <cell r="F5024">
            <v>0</v>
          </cell>
          <cell r="DN5024">
            <v>0</v>
          </cell>
        </row>
        <row r="5025">
          <cell r="E5025">
            <v>0</v>
          </cell>
          <cell r="F5025">
            <v>0</v>
          </cell>
          <cell r="DN5025">
            <v>0</v>
          </cell>
        </row>
        <row r="5026">
          <cell r="E5026">
            <v>0</v>
          </cell>
          <cell r="F5026">
            <v>0</v>
          </cell>
          <cell r="DN5026">
            <v>0</v>
          </cell>
        </row>
        <row r="5027">
          <cell r="E5027">
            <v>0</v>
          </cell>
          <cell r="F5027">
            <v>0</v>
          </cell>
          <cell r="DN5027">
            <v>0</v>
          </cell>
        </row>
        <row r="5028">
          <cell r="E5028">
            <v>0</v>
          </cell>
          <cell r="F5028">
            <v>0</v>
          </cell>
          <cell r="DN5028">
            <v>0</v>
          </cell>
        </row>
        <row r="5029">
          <cell r="E5029">
            <v>0</v>
          </cell>
          <cell r="F5029">
            <v>0</v>
          </cell>
          <cell r="DN5029">
            <v>0</v>
          </cell>
        </row>
        <row r="5030">
          <cell r="E5030">
            <v>0</v>
          </cell>
          <cell r="F5030">
            <v>0</v>
          </cell>
          <cell r="DN5030">
            <v>0</v>
          </cell>
        </row>
        <row r="5031">
          <cell r="E5031">
            <v>0</v>
          </cell>
          <cell r="F5031">
            <v>0</v>
          </cell>
          <cell r="DN5031">
            <v>0</v>
          </cell>
        </row>
        <row r="5032">
          <cell r="E5032">
            <v>0</v>
          </cell>
          <cell r="F5032">
            <v>0</v>
          </cell>
          <cell r="DN5032">
            <v>0</v>
          </cell>
        </row>
        <row r="5033">
          <cell r="E5033">
            <v>0</v>
          </cell>
          <cell r="F5033">
            <v>0</v>
          </cell>
          <cell r="DN5033">
            <v>0</v>
          </cell>
        </row>
        <row r="5034">
          <cell r="E5034">
            <v>0</v>
          </cell>
          <cell r="F5034">
            <v>0</v>
          </cell>
          <cell r="DN5034">
            <v>0</v>
          </cell>
        </row>
        <row r="5035">
          <cell r="E5035">
            <v>0</v>
          </cell>
          <cell r="F5035">
            <v>0</v>
          </cell>
          <cell r="DN5035">
            <v>0</v>
          </cell>
        </row>
        <row r="5036">
          <cell r="E5036">
            <v>0</v>
          </cell>
          <cell r="F5036">
            <v>0</v>
          </cell>
          <cell r="DN5036">
            <v>0</v>
          </cell>
        </row>
        <row r="5037">
          <cell r="E5037">
            <v>0</v>
          </cell>
          <cell r="F5037">
            <v>0</v>
          </cell>
          <cell r="DN5037">
            <v>0</v>
          </cell>
        </row>
        <row r="5038">
          <cell r="E5038">
            <v>0</v>
          </cell>
          <cell r="F5038">
            <v>0</v>
          </cell>
          <cell r="DN5038">
            <v>0</v>
          </cell>
        </row>
        <row r="5039">
          <cell r="E5039">
            <v>0</v>
          </cell>
          <cell r="F5039">
            <v>0</v>
          </cell>
          <cell r="DN5039">
            <v>0</v>
          </cell>
        </row>
        <row r="5040">
          <cell r="E5040">
            <v>0</v>
          </cell>
          <cell r="F5040">
            <v>0</v>
          </cell>
          <cell r="DN5040">
            <v>0</v>
          </cell>
        </row>
        <row r="5041">
          <cell r="E5041">
            <v>0</v>
          </cell>
          <cell r="F5041">
            <v>0</v>
          </cell>
          <cell r="DN5041">
            <v>0</v>
          </cell>
        </row>
        <row r="5042">
          <cell r="E5042">
            <v>0</v>
          </cell>
          <cell r="F5042">
            <v>0</v>
          </cell>
          <cell r="DN5042">
            <v>0</v>
          </cell>
        </row>
        <row r="5043">
          <cell r="E5043">
            <v>0</v>
          </cell>
          <cell r="F5043">
            <v>0</v>
          </cell>
          <cell r="DN5043">
            <v>0</v>
          </cell>
        </row>
        <row r="5044">
          <cell r="E5044">
            <v>0</v>
          </cell>
          <cell r="F5044">
            <v>0</v>
          </cell>
          <cell r="DN5044">
            <v>0</v>
          </cell>
        </row>
        <row r="5045">
          <cell r="E5045">
            <v>0</v>
          </cell>
          <cell r="F5045">
            <v>0</v>
          </cell>
          <cell r="DN5045">
            <v>0</v>
          </cell>
        </row>
        <row r="5046">
          <cell r="E5046">
            <v>0</v>
          </cell>
          <cell r="F5046">
            <v>0</v>
          </cell>
          <cell r="DN5046">
            <v>0</v>
          </cell>
        </row>
        <row r="5047">
          <cell r="E5047">
            <v>0</v>
          </cell>
          <cell r="F5047">
            <v>0</v>
          </cell>
          <cell r="DN5047">
            <v>0</v>
          </cell>
        </row>
        <row r="5048">
          <cell r="E5048">
            <v>0</v>
          </cell>
          <cell r="F5048">
            <v>0</v>
          </cell>
          <cell r="DN5048">
            <v>0</v>
          </cell>
        </row>
        <row r="5049">
          <cell r="E5049">
            <v>0</v>
          </cell>
          <cell r="F5049">
            <v>0</v>
          </cell>
          <cell r="DN5049">
            <v>0</v>
          </cell>
        </row>
        <row r="5050">
          <cell r="E5050">
            <v>0</v>
          </cell>
          <cell r="F5050">
            <v>0</v>
          </cell>
          <cell r="DN5050">
            <v>0</v>
          </cell>
        </row>
        <row r="5051">
          <cell r="E5051">
            <v>0</v>
          </cell>
          <cell r="F5051">
            <v>0</v>
          </cell>
          <cell r="DN5051">
            <v>0</v>
          </cell>
        </row>
        <row r="5052">
          <cell r="E5052">
            <v>0</v>
          </cell>
          <cell r="F5052">
            <v>0</v>
          </cell>
          <cell r="DN5052">
            <v>0</v>
          </cell>
        </row>
        <row r="5053">
          <cell r="E5053">
            <v>0</v>
          </cell>
          <cell r="F5053">
            <v>0</v>
          </cell>
          <cell r="DN5053">
            <v>0</v>
          </cell>
        </row>
        <row r="5054">
          <cell r="E5054">
            <v>0</v>
          </cell>
          <cell r="F5054">
            <v>0</v>
          </cell>
          <cell r="DN5054">
            <v>0</v>
          </cell>
        </row>
        <row r="5055">
          <cell r="E5055">
            <v>0</v>
          </cell>
          <cell r="F5055">
            <v>0</v>
          </cell>
          <cell r="DN5055">
            <v>0</v>
          </cell>
        </row>
        <row r="5056">
          <cell r="E5056">
            <v>0</v>
          </cell>
          <cell r="F5056">
            <v>0</v>
          </cell>
          <cell r="DN5056">
            <v>0</v>
          </cell>
        </row>
        <row r="5057">
          <cell r="E5057">
            <v>0</v>
          </cell>
          <cell r="F5057">
            <v>0</v>
          </cell>
          <cell r="DN5057">
            <v>0</v>
          </cell>
        </row>
        <row r="5058">
          <cell r="E5058">
            <v>0</v>
          </cell>
          <cell r="F5058">
            <v>0</v>
          </cell>
          <cell r="DN5058">
            <v>0</v>
          </cell>
        </row>
        <row r="5059">
          <cell r="E5059">
            <v>0</v>
          </cell>
          <cell r="F5059">
            <v>0</v>
          </cell>
          <cell r="DN5059">
            <v>0</v>
          </cell>
        </row>
        <row r="5060">
          <cell r="E5060">
            <v>0</v>
          </cell>
          <cell r="F5060">
            <v>0</v>
          </cell>
          <cell r="DN5060">
            <v>0</v>
          </cell>
        </row>
        <row r="5061">
          <cell r="E5061">
            <v>0</v>
          </cell>
          <cell r="F5061">
            <v>0</v>
          </cell>
          <cell r="DN5061">
            <v>0</v>
          </cell>
        </row>
        <row r="5062">
          <cell r="E5062">
            <v>0</v>
          </cell>
          <cell r="F5062">
            <v>0</v>
          </cell>
          <cell r="DN5062">
            <v>0</v>
          </cell>
        </row>
        <row r="5063">
          <cell r="E5063">
            <v>0</v>
          </cell>
          <cell r="F5063">
            <v>0</v>
          </cell>
          <cell r="DN5063">
            <v>0</v>
          </cell>
        </row>
        <row r="5064">
          <cell r="E5064">
            <v>0</v>
          </cell>
          <cell r="F5064">
            <v>0</v>
          </cell>
          <cell r="DN5064">
            <v>0</v>
          </cell>
        </row>
        <row r="5065">
          <cell r="E5065">
            <v>0</v>
          </cell>
          <cell r="F5065">
            <v>0</v>
          </cell>
          <cell r="DN5065">
            <v>0</v>
          </cell>
        </row>
        <row r="5066">
          <cell r="E5066">
            <v>0</v>
          </cell>
          <cell r="F5066">
            <v>0</v>
          </cell>
          <cell r="DN5066">
            <v>0</v>
          </cell>
        </row>
        <row r="5067">
          <cell r="E5067">
            <v>0</v>
          </cell>
          <cell r="F5067">
            <v>0</v>
          </cell>
          <cell r="DN5067">
            <v>0</v>
          </cell>
        </row>
        <row r="5068">
          <cell r="E5068">
            <v>0</v>
          </cell>
          <cell r="F5068">
            <v>0</v>
          </cell>
          <cell r="DN5068">
            <v>0</v>
          </cell>
        </row>
        <row r="5069">
          <cell r="E5069">
            <v>0</v>
          </cell>
          <cell r="F5069">
            <v>0</v>
          </cell>
          <cell r="DN5069">
            <v>0</v>
          </cell>
        </row>
        <row r="5070">
          <cell r="E5070">
            <v>0</v>
          </cell>
          <cell r="F5070">
            <v>0</v>
          </cell>
          <cell r="DN5070">
            <v>0</v>
          </cell>
        </row>
        <row r="5071">
          <cell r="E5071">
            <v>0</v>
          </cell>
          <cell r="F5071">
            <v>0</v>
          </cell>
          <cell r="DN5071">
            <v>0</v>
          </cell>
        </row>
        <row r="5072">
          <cell r="E5072">
            <v>0</v>
          </cell>
          <cell r="F5072">
            <v>0</v>
          </cell>
          <cell r="DN5072">
            <v>0</v>
          </cell>
        </row>
        <row r="5073">
          <cell r="E5073">
            <v>0</v>
          </cell>
          <cell r="F5073">
            <v>0</v>
          </cell>
          <cell r="DN5073">
            <v>0</v>
          </cell>
        </row>
        <row r="5074">
          <cell r="E5074">
            <v>0</v>
          </cell>
          <cell r="F5074">
            <v>0</v>
          </cell>
          <cell r="DN5074">
            <v>0</v>
          </cell>
        </row>
        <row r="5075">
          <cell r="E5075">
            <v>0</v>
          </cell>
          <cell r="F5075">
            <v>0</v>
          </cell>
          <cell r="DN5075">
            <v>0</v>
          </cell>
        </row>
        <row r="5076">
          <cell r="E5076">
            <v>0</v>
          </cell>
          <cell r="F5076">
            <v>0</v>
          </cell>
          <cell r="DN5076">
            <v>0</v>
          </cell>
        </row>
        <row r="5077">
          <cell r="E5077">
            <v>0</v>
          </cell>
          <cell r="F5077">
            <v>0</v>
          </cell>
          <cell r="DN5077">
            <v>0</v>
          </cell>
        </row>
        <row r="5078">
          <cell r="E5078">
            <v>0</v>
          </cell>
          <cell r="F5078">
            <v>0</v>
          </cell>
          <cell r="DN5078">
            <v>0</v>
          </cell>
        </row>
        <row r="5079">
          <cell r="E5079">
            <v>0</v>
          </cell>
          <cell r="F5079">
            <v>0</v>
          </cell>
          <cell r="DN5079">
            <v>0</v>
          </cell>
        </row>
        <row r="5080">
          <cell r="E5080">
            <v>0</v>
          </cell>
          <cell r="F5080">
            <v>0</v>
          </cell>
          <cell r="DN5080">
            <v>0</v>
          </cell>
        </row>
        <row r="5081">
          <cell r="E5081">
            <v>0</v>
          </cell>
          <cell r="F5081">
            <v>0</v>
          </cell>
          <cell r="DN5081">
            <v>0</v>
          </cell>
        </row>
        <row r="5082">
          <cell r="E5082">
            <v>0</v>
          </cell>
          <cell r="F5082">
            <v>0</v>
          </cell>
          <cell r="DN5082">
            <v>0</v>
          </cell>
        </row>
        <row r="5083">
          <cell r="E5083">
            <v>0</v>
          </cell>
          <cell r="F5083">
            <v>0</v>
          </cell>
          <cell r="DN5083">
            <v>0</v>
          </cell>
        </row>
        <row r="5084">
          <cell r="E5084">
            <v>0</v>
          </cell>
          <cell r="F5084">
            <v>0</v>
          </cell>
          <cell r="DN5084">
            <v>0</v>
          </cell>
        </row>
        <row r="5085">
          <cell r="E5085">
            <v>0</v>
          </cell>
          <cell r="F5085">
            <v>0</v>
          </cell>
          <cell r="DN5085">
            <v>0</v>
          </cell>
        </row>
        <row r="5086">
          <cell r="E5086">
            <v>0</v>
          </cell>
          <cell r="F5086">
            <v>0</v>
          </cell>
          <cell r="DN5086">
            <v>0</v>
          </cell>
        </row>
        <row r="5087">
          <cell r="E5087">
            <v>0</v>
          </cell>
          <cell r="F5087">
            <v>0</v>
          </cell>
          <cell r="DN5087">
            <v>0</v>
          </cell>
        </row>
        <row r="5088">
          <cell r="E5088">
            <v>0</v>
          </cell>
          <cell r="F5088">
            <v>0</v>
          </cell>
          <cell r="DN5088">
            <v>0</v>
          </cell>
        </row>
        <row r="5089">
          <cell r="E5089">
            <v>0</v>
          </cell>
          <cell r="F5089">
            <v>0</v>
          </cell>
          <cell r="DN5089">
            <v>0</v>
          </cell>
        </row>
        <row r="5090">
          <cell r="E5090">
            <v>0</v>
          </cell>
          <cell r="F5090">
            <v>0</v>
          </cell>
          <cell r="DN5090">
            <v>0</v>
          </cell>
        </row>
        <row r="5091">
          <cell r="E5091">
            <v>0</v>
          </cell>
          <cell r="F5091">
            <v>0</v>
          </cell>
          <cell r="DN5091">
            <v>0</v>
          </cell>
        </row>
        <row r="5092">
          <cell r="E5092">
            <v>0</v>
          </cell>
          <cell r="F5092">
            <v>0</v>
          </cell>
          <cell r="DN5092">
            <v>0</v>
          </cell>
        </row>
        <row r="5093">
          <cell r="E5093">
            <v>0</v>
          </cell>
          <cell r="F5093">
            <v>0</v>
          </cell>
          <cell r="DN5093">
            <v>0</v>
          </cell>
        </row>
        <row r="5094">
          <cell r="E5094">
            <v>0</v>
          </cell>
          <cell r="F5094">
            <v>0</v>
          </cell>
          <cell r="DN5094">
            <v>0</v>
          </cell>
        </row>
        <row r="5095">
          <cell r="E5095">
            <v>0</v>
          </cell>
          <cell r="F5095">
            <v>0</v>
          </cell>
          <cell r="DN5095">
            <v>0</v>
          </cell>
        </row>
        <row r="5096">
          <cell r="E5096">
            <v>0</v>
          </cell>
          <cell r="F5096">
            <v>0</v>
          </cell>
          <cell r="DN5096">
            <v>0</v>
          </cell>
        </row>
        <row r="5097">
          <cell r="E5097">
            <v>0</v>
          </cell>
          <cell r="F5097">
            <v>0</v>
          </cell>
          <cell r="DN5097">
            <v>0</v>
          </cell>
        </row>
        <row r="5098">
          <cell r="E5098">
            <v>0</v>
          </cell>
          <cell r="F5098">
            <v>0</v>
          </cell>
          <cell r="DN5098">
            <v>0</v>
          </cell>
        </row>
        <row r="5099">
          <cell r="E5099">
            <v>0</v>
          </cell>
          <cell r="F5099">
            <v>0</v>
          </cell>
          <cell r="DN5099">
            <v>0</v>
          </cell>
        </row>
        <row r="5100">
          <cell r="E5100">
            <v>0</v>
          </cell>
          <cell r="F5100">
            <v>0</v>
          </cell>
          <cell r="DN5100">
            <v>0</v>
          </cell>
        </row>
        <row r="5101">
          <cell r="E5101">
            <v>0</v>
          </cell>
          <cell r="F5101">
            <v>0</v>
          </cell>
          <cell r="DN5101">
            <v>0</v>
          </cell>
        </row>
        <row r="5102">
          <cell r="E5102">
            <v>0</v>
          </cell>
          <cell r="F5102">
            <v>0</v>
          </cell>
          <cell r="DN5102">
            <v>0</v>
          </cell>
        </row>
        <row r="5103">
          <cell r="E5103">
            <v>0</v>
          </cell>
          <cell r="F5103">
            <v>0</v>
          </cell>
          <cell r="DN5103">
            <v>0</v>
          </cell>
        </row>
        <row r="5104">
          <cell r="E5104">
            <v>0</v>
          </cell>
          <cell r="F5104">
            <v>0</v>
          </cell>
          <cell r="DN5104">
            <v>0</v>
          </cell>
        </row>
        <row r="5105">
          <cell r="E5105">
            <v>0</v>
          </cell>
          <cell r="F5105">
            <v>0</v>
          </cell>
          <cell r="DN5105">
            <v>0</v>
          </cell>
        </row>
        <row r="5106">
          <cell r="E5106">
            <v>0</v>
          </cell>
          <cell r="F5106">
            <v>0</v>
          </cell>
          <cell r="DN5106">
            <v>0</v>
          </cell>
        </row>
        <row r="5107">
          <cell r="E5107">
            <v>0</v>
          </cell>
          <cell r="F5107">
            <v>0</v>
          </cell>
          <cell r="DN5107">
            <v>0</v>
          </cell>
        </row>
        <row r="5108">
          <cell r="E5108">
            <v>0</v>
          </cell>
          <cell r="F5108">
            <v>0</v>
          </cell>
          <cell r="DN5108">
            <v>0</v>
          </cell>
        </row>
        <row r="5109">
          <cell r="E5109">
            <v>0</v>
          </cell>
          <cell r="F5109">
            <v>0</v>
          </cell>
          <cell r="DN5109">
            <v>0</v>
          </cell>
        </row>
        <row r="5110">
          <cell r="E5110">
            <v>0</v>
          </cell>
          <cell r="F5110">
            <v>0</v>
          </cell>
          <cell r="DN5110">
            <v>0</v>
          </cell>
        </row>
        <row r="5111">
          <cell r="E5111">
            <v>0</v>
          </cell>
          <cell r="F5111">
            <v>0</v>
          </cell>
          <cell r="DN5111">
            <v>0</v>
          </cell>
        </row>
        <row r="5112">
          <cell r="E5112">
            <v>0</v>
          </cell>
          <cell r="F5112">
            <v>0</v>
          </cell>
          <cell r="DN5112">
            <v>0</v>
          </cell>
        </row>
        <row r="5113">
          <cell r="E5113">
            <v>0</v>
          </cell>
          <cell r="F5113">
            <v>0</v>
          </cell>
          <cell r="DN5113">
            <v>0</v>
          </cell>
        </row>
        <row r="5114">
          <cell r="E5114">
            <v>0</v>
          </cell>
          <cell r="F5114">
            <v>0</v>
          </cell>
          <cell r="DN5114">
            <v>0</v>
          </cell>
        </row>
        <row r="5115">
          <cell r="E5115">
            <v>0</v>
          </cell>
          <cell r="F5115">
            <v>0</v>
          </cell>
          <cell r="DN5115">
            <v>0</v>
          </cell>
        </row>
        <row r="5116">
          <cell r="E5116">
            <v>0</v>
          </cell>
          <cell r="F5116">
            <v>0</v>
          </cell>
          <cell r="DN5116">
            <v>0</v>
          </cell>
        </row>
        <row r="5117">
          <cell r="E5117">
            <v>0</v>
          </cell>
          <cell r="F5117">
            <v>0</v>
          </cell>
          <cell r="DN5117">
            <v>0</v>
          </cell>
        </row>
        <row r="5118">
          <cell r="E5118">
            <v>0</v>
          </cell>
          <cell r="F5118">
            <v>0</v>
          </cell>
          <cell r="DN5118">
            <v>0</v>
          </cell>
        </row>
        <row r="5119">
          <cell r="E5119">
            <v>0</v>
          </cell>
          <cell r="F5119">
            <v>0</v>
          </cell>
          <cell r="DN5119">
            <v>0</v>
          </cell>
        </row>
        <row r="5120">
          <cell r="E5120">
            <v>0</v>
          </cell>
          <cell r="F5120">
            <v>0</v>
          </cell>
          <cell r="DN5120">
            <v>0</v>
          </cell>
        </row>
        <row r="5121">
          <cell r="E5121">
            <v>0</v>
          </cell>
          <cell r="F5121">
            <v>0</v>
          </cell>
          <cell r="DN5121">
            <v>0</v>
          </cell>
        </row>
        <row r="5122">
          <cell r="E5122">
            <v>0</v>
          </cell>
          <cell r="F5122">
            <v>0</v>
          </cell>
          <cell r="DN5122">
            <v>0</v>
          </cell>
        </row>
        <row r="5123">
          <cell r="E5123">
            <v>0</v>
          </cell>
          <cell r="F5123">
            <v>0</v>
          </cell>
          <cell r="DN5123">
            <v>0</v>
          </cell>
        </row>
        <row r="5124">
          <cell r="E5124">
            <v>0</v>
          </cell>
          <cell r="F5124">
            <v>0</v>
          </cell>
          <cell r="DN5124">
            <v>0</v>
          </cell>
        </row>
        <row r="5125">
          <cell r="E5125">
            <v>0</v>
          </cell>
          <cell r="F5125">
            <v>0</v>
          </cell>
          <cell r="DN5125">
            <v>0</v>
          </cell>
        </row>
        <row r="5126">
          <cell r="E5126">
            <v>0</v>
          </cell>
          <cell r="F5126">
            <v>0</v>
          </cell>
          <cell r="DN5126">
            <v>0</v>
          </cell>
        </row>
        <row r="5127">
          <cell r="E5127">
            <v>0</v>
          </cell>
          <cell r="F5127">
            <v>0</v>
          </cell>
          <cell r="DN5127">
            <v>0</v>
          </cell>
        </row>
        <row r="5128">
          <cell r="E5128">
            <v>0</v>
          </cell>
          <cell r="F5128">
            <v>0</v>
          </cell>
          <cell r="DN5128">
            <v>0</v>
          </cell>
        </row>
        <row r="5129">
          <cell r="E5129">
            <v>0</v>
          </cell>
          <cell r="F5129">
            <v>0</v>
          </cell>
          <cell r="DN5129">
            <v>0</v>
          </cell>
        </row>
        <row r="5130">
          <cell r="E5130">
            <v>0</v>
          </cell>
          <cell r="F5130">
            <v>0</v>
          </cell>
          <cell r="DN5130">
            <v>0</v>
          </cell>
        </row>
        <row r="5131">
          <cell r="E5131">
            <v>0</v>
          </cell>
          <cell r="F5131">
            <v>0</v>
          </cell>
          <cell r="DN5131">
            <v>0</v>
          </cell>
        </row>
        <row r="5132">
          <cell r="E5132">
            <v>0</v>
          </cell>
          <cell r="F5132">
            <v>0</v>
          </cell>
          <cell r="DN5132">
            <v>0</v>
          </cell>
        </row>
        <row r="5133">
          <cell r="E5133">
            <v>0</v>
          </cell>
          <cell r="F5133">
            <v>0</v>
          </cell>
          <cell r="DN5133">
            <v>0</v>
          </cell>
        </row>
        <row r="5134">
          <cell r="E5134">
            <v>0</v>
          </cell>
          <cell r="F5134">
            <v>0</v>
          </cell>
          <cell r="DN5134">
            <v>0</v>
          </cell>
        </row>
        <row r="5135">
          <cell r="E5135">
            <v>0</v>
          </cell>
          <cell r="F5135">
            <v>0</v>
          </cell>
          <cell r="DN5135">
            <v>0</v>
          </cell>
        </row>
        <row r="5136">
          <cell r="E5136">
            <v>0</v>
          </cell>
          <cell r="F5136">
            <v>0</v>
          </cell>
          <cell r="DN5136">
            <v>0</v>
          </cell>
        </row>
        <row r="5137">
          <cell r="E5137">
            <v>0</v>
          </cell>
          <cell r="F5137">
            <v>0</v>
          </cell>
          <cell r="DN5137">
            <v>0</v>
          </cell>
        </row>
        <row r="5138">
          <cell r="E5138">
            <v>0</v>
          </cell>
          <cell r="F5138">
            <v>0</v>
          </cell>
          <cell r="DN5138">
            <v>0</v>
          </cell>
        </row>
        <row r="5139">
          <cell r="E5139">
            <v>0</v>
          </cell>
          <cell r="F5139">
            <v>0</v>
          </cell>
          <cell r="DN5139">
            <v>0</v>
          </cell>
        </row>
        <row r="5140">
          <cell r="E5140">
            <v>0</v>
          </cell>
          <cell r="F5140">
            <v>0</v>
          </cell>
          <cell r="DN5140">
            <v>0</v>
          </cell>
        </row>
        <row r="5141">
          <cell r="E5141">
            <v>0</v>
          </cell>
          <cell r="F5141">
            <v>0</v>
          </cell>
          <cell r="DN5141">
            <v>0</v>
          </cell>
        </row>
        <row r="5142">
          <cell r="E5142">
            <v>0</v>
          </cell>
          <cell r="F5142">
            <v>0</v>
          </cell>
          <cell r="DN5142">
            <v>0</v>
          </cell>
        </row>
        <row r="5143">
          <cell r="E5143">
            <v>0</v>
          </cell>
          <cell r="F5143">
            <v>0</v>
          </cell>
          <cell r="DN5143">
            <v>0</v>
          </cell>
        </row>
        <row r="5144">
          <cell r="E5144">
            <v>0</v>
          </cell>
          <cell r="F5144">
            <v>0</v>
          </cell>
          <cell r="DN5144">
            <v>0</v>
          </cell>
        </row>
        <row r="5145">
          <cell r="E5145">
            <v>0</v>
          </cell>
          <cell r="F5145">
            <v>0</v>
          </cell>
          <cell r="DN5145">
            <v>0</v>
          </cell>
        </row>
        <row r="5146">
          <cell r="E5146">
            <v>0</v>
          </cell>
          <cell r="F5146">
            <v>0</v>
          </cell>
          <cell r="DN5146">
            <v>0</v>
          </cell>
        </row>
        <row r="5147">
          <cell r="E5147">
            <v>0</v>
          </cell>
          <cell r="F5147">
            <v>0</v>
          </cell>
          <cell r="DN5147">
            <v>0</v>
          </cell>
        </row>
        <row r="5148">
          <cell r="E5148">
            <v>0</v>
          </cell>
          <cell r="F5148">
            <v>0</v>
          </cell>
          <cell r="DN5148">
            <v>0</v>
          </cell>
        </row>
        <row r="5149">
          <cell r="E5149">
            <v>0</v>
          </cell>
          <cell r="F5149">
            <v>0</v>
          </cell>
          <cell r="DN5149">
            <v>0</v>
          </cell>
        </row>
        <row r="5150">
          <cell r="E5150">
            <v>0</v>
          </cell>
          <cell r="F5150">
            <v>0</v>
          </cell>
          <cell r="DN5150">
            <v>0</v>
          </cell>
        </row>
        <row r="5151">
          <cell r="E5151">
            <v>0</v>
          </cell>
          <cell r="F5151">
            <v>0</v>
          </cell>
          <cell r="DN5151">
            <v>0</v>
          </cell>
        </row>
        <row r="5152">
          <cell r="E5152">
            <v>0</v>
          </cell>
          <cell r="F5152">
            <v>0</v>
          </cell>
          <cell r="DN5152">
            <v>0</v>
          </cell>
        </row>
        <row r="5153">
          <cell r="E5153">
            <v>0</v>
          </cell>
          <cell r="F5153">
            <v>0</v>
          </cell>
          <cell r="DN5153">
            <v>0</v>
          </cell>
        </row>
        <row r="5154">
          <cell r="E5154">
            <v>0</v>
          </cell>
          <cell r="F5154">
            <v>0</v>
          </cell>
          <cell r="DN5154">
            <v>0</v>
          </cell>
        </row>
        <row r="5155">
          <cell r="E5155">
            <v>0</v>
          </cell>
          <cell r="F5155">
            <v>0</v>
          </cell>
          <cell r="DN5155">
            <v>0</v>
          </cell>
        </row>
        <row r="5156">
          <cell r="E5156">
            <v>0</v>
          </cell>
          <cell r="F5156">
            <v>0</v>
          </cell>
          <cell r="DN5156">
            <v>0</v>
          </cell>
        </row>
        <row r="5157">
          <cell r="E5157">
            <v>0</v>
          </cell>
          <cell r="F5157">
            <v>0</v>
          </cell>
          <cell r="DN5157">
            <v>0</v>
          </cell>
        </row>
        <row r="5158">
          <cell r="E5158">
            <v>0</v>
          </cell>
          <cell r="F5158">
            <v>0</v>
          </cell>
          <cell r="DN5158">
            <v>0</v>
          </cell>
        </row>
        <row r="5159">
          <cell r="E5159">
            <v>0</v>
          </cell>
          <cell r="F5159">
            <v>0</v>
          </cell>
          <cell r="DN5159">
            <v>0</v>
          </cell>
        </row>
        <row r="5160">
          <cell r="E5160">
            <v>0</v>
          </cell>
          <cell r="F5160">
            <v>0</v>
          </cell>
          <cell r="DN5160">
            <v>0</v>
          </cell>
        </row>
        <row r="5161">
          <cell r="E5161">
            <v>0</v>
          </cell>
          <cell r="F5161">
            <v>0</v>
          </cell>
          <cell r="DN5161">
            <v>0</v>
          </cell>
        </row>
        <row r="5162">
          <cell r="E5162">
            <v>0</v>
          </cell>
          <cell r="F5162">
            <v>0</v>
          </cell>
          <cell r="DN5162">
            <v>0</v>
          </cell>
        </row>
        <row r="5163">
          <cell r="E5163">
            <v>0</v>
          </cell>
          <cell r="F5163">
            <v>0</v>
          </cell>
          <cell r="DN5163">
            <v>0</v>
          </cell>
        </row>
        <row r="5164">
          <cell r="E5164">
            <v>0</v>
          </cell>
          <cell r="F5164">
            <v>0</v>
          </cell>
          <cell r="DN5164">
            <v>0</v>
          </cell>
        </row>
        <row r="5165">
          <cell r="E5165">
            <v>0</v>
          </cell>
          <cell r="F5165">
            <v>0</v>
          </cell>
          <cell r="DN5165">
            <v>0</v>
          </cell>
        </row>
        <row r="5166">
          <cell r="E5166">
            <v>0</v>
          </cell>
          <cell r="F5166">
            <v>0</v>
          </cell>
          <cell r="DN5166">
            <v>0</v>
          </cell>
        </row>
        <row r="5167">
          <cell r="E5167">
            <v>0</v>
          </cell>
          <cell r="F5167">
            <v>0</v>
          </cell>
          <cell r="DN5167">
            <v>0</v>
          </cell>
        </row>
        <row r="5168">
          <cell r="E5168">
            <v>0</v>
          </cell>
          <cell r="F5168">
            <v>0</v>
          </cell>
          <cell r="DN5168">
            <v>0</v>
          </cell>
        </row>
        <row r="5169">
          <cell r="E5169">
            <v>0</v>
          </cell>
          <cell r="F5169">
            <v>0</v>
          </cell>
          <cell r="DN5169">
            <v>0</v>
          </cell>
        </row>
        <row r="5170">
          <cell r="E5170">
            <v>0</v>
          </cell>
          <cell r="F5170">
            <v>0</v>
          </cell>
          <cell r="DN5170">
            <v>0</v>
          </cell>
        </row>
        <row r="5171">
          <cell r="E5171">
            <v>0</v>
          </cell>
          <cell r="F5171">
            <v>0</v>
          </cell>
          <cell r="DN5171">
            <v>0</v>
          </cell>
        </row>
        <row r="5172">
          <cell r="E5172">
            <v>0</v>
          </cell>
          <cell r="F5172">
            <v>0</v>
          </cell>
          <cell r="DN5172">
            <v>0</v>
          </cell>
        </row>
        <row r="5173">
          <cell r="E5173">
            <v>0</v>
          </cell>
          <cell r="F5173">
            <v>0</v>
          </cell>
          <cell r="DN5173">
            <v>0</v>
          </cell>
        </row>
        <row r="5174">
          <cell r="E5174">
            <v>0</v>
          </cell>
          <cell r="F5174">
            <v>0</v>
          </cell>
          <cell r="DN5174">
            <v>0</v>
          </cell>
        </row>
        <row r="5175">
          <cell r="E5175">
            <v>0</v>
          </cell>
          <cell r="F5175">
            <v>0</v>
          </cell>
          <cell r="DN5175">
            <v>0</v>
          </cell>
        </row>
        <row r="5176">
          <cell r="E5176">
            <v>0</v>
          </cell>
          <cell r="F5176">
            <v>0</v>
          </cell>
          <cell r="DN5176">
            <v>0</v>
          </cell>
        </row>
        <row r="5177">
          <cell r="E5177">
            <v>0</v>
          </cell>
          <cell r="F5177">
            <v>0</v>
          </cell>
          <cell r="DN5177">
            <v>0</v>
          </cell>
        </row>
        <row r="5178">
          <cell r="E5178">
            <v>0</v>
          </cell>
          <cell r="F5178">
            <v>0</v>
          </cell>
          <cell r="DN5178">
            <v>0</v>
          </cell>
        </row>
        <row r="5179">
          <cell r="E5179">
            <v>0</v>
          </cell>
          <cell r="F5179">
            <v>0</v>
          </cell>
          <cell r="DN5179">
            <v>0</v>
          </cell>
        </row>
        <row r="5180">
          <cell r="E5180">
            <v>0</v>
          </cell>
          <cell r="F5180">
            <v>0</v>
          </cell>
          <cell r="DN5180">
            <v>0</v>
          </cell>
        </row>
        <row r="5181">
          <cell r="E5181">
            <v>0</v>
          </cell>
          <cell r="F5181">
            <v>0</v>
          </cell>
          <cell r="DN5181">
            <v>0</v>
          </cell>
        </row>
        <row r="5182">
          <cell r="E5182">
            <v>0</v>
          </cell>
          <cell r="F5182">
            <v>0</v>
          </cell>
          <cell r="DN5182">
            <v>0</v>
          </cell>
        </row>
        <row r="5183">
          <cell r="E5183">
            <v>0</v>
          </cell>
          <cell r="F5183">
            <v>0</v>
          </cell>
          <cell r="DN5183">
            <v>0</v>
          </cell>
        </row>
        <row r="5184">
          <cell r="E5184">
            <v>0</v>
          </cell>
          <cell r="F5184">
            <v>0</v>
          </cell>
          <cell r="DN5184">
            <v>0</v>
          </cell>
        </row>
        <row r="5185">
          <cell r="E5185">
            <v>0</v>
          </cell>
          <cell r="F5185">
            <v>0</v>
          </cell>
          <cell r="DN5185">
            <v>0</v>
          </cell>
        </row>
        <row r="5186">
          <cell r="E5186">
            <v>0</v>
          </cell>
          <cell r="F5186">
            <v>0</v>
          </cell>
          <cell r="DN5186">
            <v>0</v>
          </cell>
        </row>
        <row r="5187">
          <cell r="E5187">
            <v>0</v>
          </cell>
          <cell r="F5187">
            <v>0</v>
          </cell>
          <cell r="DN5187">
            <v>0</v>
          </cell>
        </row>
        <row r="5188">
          <cell r="E5188">
            <v>0</v>
          </cell>
          <cell r="F5188">
            <v>0</v>
          </cell>
          <cell r="DN5188">
            <v>0</v>
          </cell>
        </row>
        <row r="5189">
          <cell r="E5189">
            <v>0</v>
          </cell>
          <cell r="F5189">
            <v>0</v>
          </cell>
          <cell r="DN5189">
            <v>0</v>
          </cell>
        </row>
        <row r="5190">
          <cell r="E5190">
            <v>0</v>
          </cell>
          <cell r="F5190">
            <v>0</v>
          </cell>
          <cell r="DN5190">
            <v>0</v>
          </cell>
        </row>
        <row r="5191">
          <cell r="E5191">
            <v>0</v>
          </cell>
          <cell r="F5191">
            <v>0</v>
          </cell>
          <cell r="DN5191">
            <v>0</v>
          </cell>
        </row>
        <row r="5192">
          <cell r="E5192">
            <v>0</v>
          </cell>
          <cell r="F5192">
            <v>0</v>
          </cell>
          <cell r="DN5192">
            <v>0</v>
          </cell>
        </row>
        <row r="5193">
          <cell r="E5193">
            <v>0</v>
          </cell>
          <cell r="F5193">
            <v>0</v>
          </cell>
          <cell r="DN5193">
            <v>0</v>
          </cell>
        </row>
        <row r="5194">
          <cell r="E5194">
            <v>0</v>
          </cell>
          <cell r="F5194">
            <v>0</v>
          </cell>
          <cell r="DN5194">
            <v>0</v>
          </cell>
        </row>
        <row r="5195">
          <cell r="E5195">
            <v>0</v>
          </cell>
          <cell r="F5195">
            <v>0</v>
          </cell>
          <cell r="DN5195">
            <v>0</v>
          </cell>
        </row>
        <row r="5196">
          <cell r="E5196">
            <v>0</v>
          </cell>
          <cell r="F5196">
            <v>0</v>
          </cell>
          <cell r="DN5196">
            <v>0</v>
          </cell>
        </row>
        <row r="5197">
          <cell r="E5197">
            <v>0</v>
          </cell>
          <cell r="F5197">
            <v>0</v>
          </cell>
          <cell r="DN5197">
            <v>0</v>
          </cell>
        </row>
        <row r="5198">
          <cell r="E5198">
            <v>0</v>
          </cell>
          <cell r="F5198">
            <v>0</v>
          </cell>
          <cell r="DN5198">
            <v>0</v>
          </cell>
        </row>
        <row r="5199">
          <cell r="E5199">
            <v>0</v>
          </cell>
          <cell r="F5199">
            <v>0</v>
          </cell>
          <cell r="DN5199">
            <v>0</v>
          </cell>
        </row>
        <row r="5200">
          <cell r="E5200">
            <v>0</v>
          </cell>
          <cell r="F5200">
            <v>0</v>
          </cell>
          <cell r="DN5200">
            <v>0</v>
          </cell>
        </row>
        <row r="5201">
          <cell r="E5201">
            <v>0</v>
          </cell>
          <cell r="F5201">
            <v>0</v>
          </cell>
          <cell r="DN5201">
            <v>0</v>
          </cell>
        </row>
        <row r="5202">
          <cell r="E5202">
            <v>0</v>
          </cell>
          <cell r="F5202">
            <v>0</v>
          </cell>
          <cell r="DN5202">
            <v>0</v>
          </cell>
        </row>
        <row r="5203">
          <cell r="E5203">
            <v>0</v>
          </cell>
          <cell r="F5203">
            <v>0</v>
          </cell>
          <cell r="DN5203">
            <v>0</v>
          </cell>
        </row>
        <row r="5204">
          <cell r="E5204">
            <v>0</v>
          </cell>
          <cell r="F5204">
            <v>0</v>
          </cell>
          <cell r="DN5204">
            <v>0</v>
          </cell>
        </row>
        <row r="5205">
          <cell r="E5205">
            <v>0</v>
          </cell>
          <cell r="F5205">
            <v>0</v>
          </cell>
          <cell r="DN5205">
            <v>0</v>
          </cell>
        </row>
        <row r="5206">
          <cell r="E5206">
            <v>0</v>
          </cell>
          <cell r="F5206">
            <v>0</v>
          </cell>
          <cell r="DN5206">
            <v>0</v>
          </cell>
        </row>
        <row r="5207">
          <cell r="E5207">
            <v>0</v>
          </cell>
          <cell r="F5207">
            <v>0</v>
          </cell>
          <cell r="DN5207">
            <v>0</v>
          </cell>
        </row>
        <row r="5208">
          <cell r="E5208">
            <v>0</v>
          </cell>
          <cell r="F5208">
            <v>0</v>
          </cell>
          <cell r="DN5208">
            <v>0</v>
          </cell>
        </row>
        <row r="5209">
          <cell r="E5209">
            <v>0</v>
          </cell>
          <cell r="F5209">
            <v>0</v>
          </cell>
          <cell r="DN5209">
            <v>0</v>
          </cell>
        </row>
        <row r="5210">
          <cell r="E5210">
            <v>0</v>
          </cell>
          <cell r="F5210">
            <v>0</v>
          </cell>
          <cell r="DN5210">
            <v>0</v>
          </cell>
        </row>
        <row r="5211">
          <cell r="E5211">
            <v>0</v>
          </cell>
          <cell r="F5211">
            <v>0</v>
          </cell>
          <cell r="DN5211">
            <v>0</v>
          </cell>
        </row>
        <row r="5212">
          <cell r="E5212">
            <v>0</v>
          </cell>
          <cell r="F5212">
            <v>0</v>
          </cell>
          <cell r="DN5212">
            <v>0</v>
          </cell>
        </row>
        <row r="5213">
          <cell r="E5213">
            <v>0</v>
          </cell>
          <cell r="F5213">
            <v>0</v>
          </cell>
          <cell r="DN5213">
            <v>0</v>
          </cell>
        </row>
        <row r="5214">
          <cell r="E5214">
            <v>0</v>
          </cell>
          <cell r="F5214">
            <v>0</v>
          </cell>
          <cell r="DN5214">
            <v>0</v>
          </cell>
        </row>
        <row r="5215">
          <cell r="E5215">
            <v>0</v>
          </cell>
          <cell r="F5215">
            <v>0</v>
          </cell>
          <cell r="DN5215">
            <v>0</v>
          </cell>
        </row>
        <row r="5216">
          <cell r="E5216">
            <v>0</v>
          </cell>
          <cell r="F5216">
            <v>0</v>
          </cell>
          <cell r="DN5216">
            <v>0</v>
          </cell>
        </row>
        <row r="5217">
          <cell r="E5217">
            <v>0</v>
          </cell>
          <cell r="F5217">
            <v>0</v>
          </cell>
          <cell r="DN5217">
            <v>0</v>
          </cell>
        </row>
        <row r="5218">
          <cell r="E5218">
            <v>0</v>
          </cell>
          <cell r="F5218">
            <v>0</v>
          </cell>
          <cell r="DN5218">
            <v>0</v>
          </cell>
        </row>
        <row r="5219">
          <cell r="E5219">
            <v>0</v>
          </cell>
          <cell r="F5219">
            <v>0</v>
          </cell>
          <cell r="DN5219">
            <v>0</v>
          </cell>
        </row>
        <row r="5220">
          <cell r="E5220">
            <v>0</v>
          </cell>
          <cell r="F5220">
            <v>0</v>
          </cell>
          <cell r="DN5220">
            <v>0</v>
          </cell>
        </row>
        <row r="5221">
          <cell r="E5221">
            <v>0</v>
          </cell>
          <cell r="F5221">
            <v>0</v>
          </cell>
          <cell r="DN5221">
            <v>0</v>
          </cell>
        </row>
        <row r="5222">
          <cell r="E5222">
            <v>0</v>
          </cell>
          <cell r="F5222">
            <v>0</v>
          </cell>
          <cell r="DN5222">
            <v>0</v>
          </cell>
        </row>
        <row r="5223">
          <cell r="E5223">
            <v>0</v>
          </cell>
          <cell r="F5223">
            <v>0</v>
          </cell>
          <cell r="DN5223">
            <v>0</v>
          </cell>
        </row>
        <row r="5224">
          <cell r="E5224">
            <v>0</v>
          </cell>
          <cell r="F5224">
            <v>0</v>
          </cell>
          <cell r="DN5224">
            <v>0</v>
          </cell>
        </row>
        <row r="5225">
          <cell r="E5225">
            <v>0</v>
          </cell>
          <cell r="F5225">
            <v>0</v>
          </cell>
          <cell r="DN5225">
            <v>0</v>
          </cell>
        </row>
        <row r="5226">
          <cell r="E5226">
            <v>0</v>
          </cell>
          <cell r="F5226">
            <v>0</v>
          </cell>
          <cell r="DN5226">
            <v>0</v>
          </cell>
        </row>
        <row r="5227">
          <cell r="E5227">
            <v>0</v>
          </cell>
          <cell r="F5227">
            <v>0</v>
          </cell>
          <cell r="DN5227">
            <v>0</v>
          </cell>
        </row>
        <row r="5228">
          <cell r="E5228">
            <v>0</v>
          </cell>
          <cell r="F5228">
            <v>0</v>
          </cell>
          <cell r="DN5228">
            <v>0</v>
          </cell>
        </row>
        <row r="5229">
          <cell r="E5229">
            <v>0</v>
          </cell>
          <cell r="F5229">
            <v>0</v>
          </cell>
          <cell r="DN5229">
            <v>0</v>
          </cell>
        </row>
        <row r="5230">
          <cell r="E5230">
            <v>0</v>
          </cell>
          <cell r="F5230">
            <v>0</v>
          </cell>
          <cell r="DN5230">
            <v>0</v>
          </cell>
        </row>
        <row r="5231">
          <cell r="E5231">
            <v>0</v>
          </cell>
          <cell r="F5231">
            <v>0</v>
          </cell>
          <cell r="DN5231">
            <v>0</v>
          </cell>
        </row>
        <row r="5232">
          <cell r="E5232">
            <v>0</v>
          </cell>
          <cell r="F5232">
            <v>0</v>
          </cell>
          <cell r="DN5232">
            <v>0</v>
          </cell>
        </row>
        <row r="5233">
          <cell r="E5233">
            <v>0</v>
          </cell>
          <cell r="F5233">
            <v>0</v>
          </cell>
          <cell r="DN5233">
            <v>0</v>
          </cell>
        </row>
        <row r="5234">
          <cell r="E5234">
            <v>0</v>
          </cell>
          <cell r="F5234">
            <v>0</v>
          </cell>
          <cell r="DN5234">
            <v>0</v>
          </cell>
        </row>
        <row r="5235">
          <cell r="E5235">
            <v>0</v>
          </cell>
          <cell r="F5235">
            <v>0</v>
          </cell>
          <cell r="DN5235">
            <v>0</v>
          </cell>
        </row>
        <row r="5236">
          <cell r="E5236">
            <v>0</v>
          </cell>
          <cell r="F5236">
            <v>0</v>
          </cell>
          <cell r="DN5236">
            <v>0</v>
          </cell>
        </row>
        <row r="5237">
          <cell r="E5237">
            <v>0</v>
          </cell>
          <cell r="F5237">
            <v>0</v>
          </cell>
          <cell r="DN5237">
            <v>0</v>
          </cell>
        </row>
        <row r="5238">
          <cell r="E5238">
            <v>0</v>
          </cell>
          <cell r="F5238">
            <v>0</v>
          </cell>
          <cell r="DN5238">
            <v>0</v>
          </cell>
        </row>
        <row r="5239">
          <cell r="E5239">
            <v>0</v>
          </cell>
          <cell r="F5239">
            <v>0</v>
          </cell>
          <cell r="DN5239">
            <v>0</v>
          </cell>
        </row>
        <row r="5240">
          <cell r="E5240">
            <v>0</v>
          </cell>
          <cell r="F5240">
            <v>0</v>
          </cell>
          <cell r="DN5240">
            <v>0</v>
          </cell>
        </row>
        <row r="5241">
          <cell r="E5241">
            <v>0</v>
          </cell>
          <cell r="F5241">
            <v>0</v>
          </cell>
          <cell r="DN5241">
            <v>0</v>
          </cell>
        </row>
        <row r="5242">
          <cell r="E5242">
            <v>0</v>
          </cell>
          <cell r="F5242">
            <v>0</v>
          </cell>
          <cell r="DN5242">
            <v>0</v>
          </cell>
        </row>
        <row r="5243">
          <cell r="E5243">
            <v>0</v>
          </cell>
          <cell r="F5243">
            <v>0</v>
          </cell>
          <cell r="DN5243">
            <v>0</v>
          </cell>
        </row>
        <row r="5244">
          <cell r="E5244">
            <v>0</v>
          </cell>
          <cell r="F5244">
            <v>0</v>
          </cell>
          <cell r="DN5244">
            <v>0</v>
          </cell>
        </row>
        <row r="5245">
          <cell r="E5245">
            <v>0</v>
          </cell>
          <cell r="F5245">
            <v>0</v>
          </cell>
          <cell r="DN5245">
            <v>0</v>
          </cell>
        </row>
        <row r="5246">
          <cell r="E5246">
            <v>0</v>
          </cell>
          <cell r="F5246">
            <v>0</v>
          </cell>
          <cell r="DN5246">
            <v>0</v>
          </cell>
        </row>
        <row r="5247">
          <cell r="E5247">
            <v>0</v>
          </cell>
          <cell r="F5247">
            <v>0</v>
          </cell>
          <cell r="DN5247">
            <v>0</v>
          </cell>
        </row>
        <row r="5248">
          <cell r="E5248">
            <v>0</v>
          </cell>
          <cell r="F5248">
            <v>0</v>
          </cell>
          <cell r="DN5248">
            <v>0</v>
          </cell>
        </row>
        <row r="5249">
          <cell r="E5249">
            <v>0</v>
          </cell>
          <cell r="F5249">
            <v>0</v>
          </cell>
          <cell r="DN5249">
            <v>0</v>
          </cell>
        </row>
        <row r="5250">
          <cell r="E5250">
            <v>0</v>
          </cell>
          <cell r="F5250">
            <v>0</v>
          </cell>
          <cell r="DN5250">
            <v>0</v>
          </cell>
        </row>
        <row r="5251">
          <cell r="E5251">
            <v>0</v>
          </cell>
          <cell r="F5251">
            <v>0</v>
          </cell>
          <cell r="DN5251">
            <v>0</v>
          </cell>
        </row>
        <row r="5252">
          <cell r="E5252">
            <v>0</v>
          </cell>
          <cell r="F5252">
            <v>0</v>
          </cell>
          <cell r="DN5252">
            <v>0</v>
          </cell>
        </row>
        <row r="5253">
          <cell r="E5253">
            <v>0</v>
          </cell>
          <cell r="F5253">
            <v>0</v>
          </cell>
          <cell r="DN5253">
            <v>0</v>
          </cell>
        </row>
        <row r="5254">
          <cell r="E5254">
            <v>0</v>
          </cell>
          <cell r="F5254">
            <v>0</v>
          </cell>
          <cell r="DN5254">
            <v>0</v>
          </cell>
        </row>
        <row r="5255">
          <cell r="E5255">
            <v>0</v>
          </cell>
          <cell r="F5255">
            <v>0</v>
          </cell>
          <cell r="DN5255">
            <v>0</v>
          </cell>
        </row>
        <row r="5256">
          <cell r="E5256">
            <v>0</v>
          </cell>
          <cell r="F5256">
            <v>0</v>
          </cell>
          <cell r="DN5256">
            <v>0</v>
          </cell>
        </row>
        <row r="5257">
          <cell r="E5257">
            <v>0</v>
          </cell>
          <cell r="F5257">
            <v>0</v>
          </cell>
          <cell r="DN5257">
            <v>0</v>
          </cell>
        </row>
        <row r="5258">
          <cell r="E5258">
            <v>0</v>
          </cell>
          <cell r="F5258">
            <v>0</v>
          </cell>
          <cell r="DN5258">
            <v>0</v>
          </cell>
        </row>
        <row r="5259">
          <cell r="E5259">
            <v>0</v>
          </cell>
          <cell r="F5259">
            <v>0</v>
          </cell>
          <cell r="DN5259">
            <v>0</v>
          </cell>
        </row>
        <row r="5260">
          <cell r="E5260">
            <v>0</v>
          </cell>
          <cell r="F5260">
            <v>0</v>
          </cell>
          <cell r="DN5260">
            <v>0</v>
          </cell>
        </row>
        <row r="5261">
          <cell r="E5261">
            <v>0</v>
          </cell>
          <cell r="F5261">
            <v>0</v>
          </cell>
          <cell r="DN5261">
            <v>0</v>
          </cell>
        </row>
        <row r="5262">
          <cell r="E5262">
            <v>0</v>
          </cell>
          <cell r="F5262">
            <v>0</v>
          </cell>
          <cell r="DN5262">
            <v>0</v>
          </cell>
        </row>
        <row r="5263">
          <cell r="E5263">
            <v>0</v>
          </cell>
          <cell r="F5263">
            <v>0</v>
          </cell>
          <cell r="DN5263">
            <v>0</v>
          </cell>
        </row>
        <row r="5264">
          <cell r="E5264">
            <v>0</v>
          </cell>
          <cell r="F5264">
            <v>0</v>
          </cell>
          <cell r="DN5264">
            <v>0</v>
          </cell>
        </row>
        <row r="5265">
          <cell r="E5265">
            <v>0</v>
          </cell>
          <cell r="F5265">
            <v>0</v>
          </cell>
          <cell r="DN5265">
            <v>0</v>
          </cell>
        </row>
        <row r="5266">
          <cell r="E5266">
            <v>0</v>
          </cell>
          <cell r="F5266">
            <v>0</v>
          </cell>
          <cell r="DN5266">
            <v>0</v>
          </cell>
        </row>
        <row r="5267">
          <cell r="E5267">
            <v>0</v>
          </cell>
          <cell r="F5267">
            <v>0</v>
          </cell>
          <cell r="DN5267">
            <v>0</v>
          </cell>
        </row>
        <row r="5268">
          <cell r="E5268">
            <v>0</v>
          </cell>
          <cell r="F5268">
            <v>0</v>
          </cell>
          <cell r="DN5268">
            <v>0</v>
          </cell>
        </row>
        <row r="5269">
          <cell r="E5269">
            <v>0</v>
          </cell>
          <cell r="F5269">
            <v>0</v>
          </cell>
          <cell r="DN5269">
            <v>0</v>
          </cell>
        </row>
        <row r="5270">
          <cell r="E5270">
            <v>0</v>
          </cell>
          <cell r="F5270">
            <v>0</v>
          </cell>
          <cell r="DN5270">
            <v>0</v>
          </cell>
        </row>
        <row r="5271">
          <cell r="E5271">
            <v>0</v>
          </cell>
          <cell r="F5271">
            <v>0</v>
          </cell>
          <cell r="DN5271">
            <v>0</v>
          </cell>
        </row>
        <row r="5272">
          <cell r="E5272">
            <v>0</v>
          </cell>
          <cell r="F5272">
            <v>0</v>
          </cell>
          <cell r="DN5272">
            <v>0</v>
          </cell>
        </row>
        <row r="5273">
          <cell r="E5273">
            <v>0</v>
          </cell>
          <cell r="F5273">
            <v>0</v>
          </cell>
          <cell r="DN5273">
            <v>0</v>
          </cell>
        </row>
        <row r="5274">
          <cell r="E5274">
            <v>0</v>
          </cell>
          <cell r="F5274">
            <v>0</v>
          </cell>
          <cell r="DN5274">
            <v>0</v>
          </cell>
        </row>
        <row r="5275">
          <cell r="E5275">
            <v>0</v>
          </cell>
          <cell r="F5275">
            <v>0</v>
          </cell>
          <cell r="DN5275">
            <v>0</v>
          </cell>
        </row>
        <row r="5276">
          <cell r="E5276">
            <v>0</v>
          </cell>
          <cell r="F5276">
            <v>0</v>
          </cell>
          <cell r="DN5276">
            <v>0</v>
          </cell>
        </row>
        <row r="5277">
          <cell r="E5277">
            <v>0</v>
          </cell>
          <cell r="F5277">
            <v>0</v>
          </cell>
          <cell r="DN5277">
            <v>0</v>
          </cell>
        </row>
        <row r="5278">
          <cell r="E5278">
            <v>0</v>
          </cell>
          <cell r="F5278">
            <v>0</v>
          </cell>
          <cell r="DN5278">
            <v>0</v>
          </cell>
        </row>
        <row r="5279">
          <cell r="E5279">
            <v>0</v>
          </cell>
          <cell r="F5279">
            <v>0</v>
          </cell>
          <cell r="DN5279">
            <v>0</v>
          </cell>
        </row>
        <row r="5280">
          <cell r="E5280">
            <v>0</v>
          </cell>
          <cell r="F5280">
            <v>0</v>
          </cell>
          <cell r="DN5280">
            <v>0</v>
          </cell>
        </row>
        <row r="5281">
          <cell r="E5281">
            <v>0</v>
          </cell>
          <cell r="F5281">
            <v>0</v>
          </cell>
          <cell r="DN5281">
            <v>0</v>
          </cell>
        </row>
        <row r="5282">
          <cell r="E5282">
            <v>0</v>
          </cell>
          <cell r="F5282">
            <v>0</v>
          </cell>
          <cell r="DN5282">
            <v>0</v>
          </cell>
        </row>
        <row r="5283">
          <cell r="E5283">
            <v>0</v>
          </cell>
          <cell r="F5283">
            <v>0</v>
          </cell>
          <cell r="DN5283">
            <v>0</v>
          </cell>
        </row>
        <row r="5284">
          <cell r="E5284">
            <v>0</v>
          </cell>
          <cell r="F5284">
            <v>0</v>
          </cell>
          <cell r="DN5284">
            <v>0</v>
          </cell>
        </row>
        <row r="5285">
          <cell r="E5285">
            <v>0</v>
          </cell>
          <cell r="F5285">
            <v>0</v>
          </cell>
          <cell r="DN5285">
            <v>0</v>
          </cell>
        </row>
        <row r="5286">
          <cell r="E5286">
            <v>0</v>
          </cell>
          <cell r="F5286">
            <v>0</v>
          </cell>
          <cell r="DN5286">
            <v>0</v>
          </cell>
        </row>
        <row r="5287">
          <cell r="E5287">
            <v>0</v>
          </cell>
          <cell r="F5287">
            <v>0</v>
          </cell>
          <cell r="DN5287">
            <v>0</v>
          </cell>
        </row>
        <row r="5288">
          <cell r="E5288">
            <v>0</v>
          </cell>
          <cell r="F5288">
            <v>0</v>
          </cell>
          <cell r="DN5288">
            <v>0</v>
          </cell>
        </row>
        <row r="5289">
          <cell r="E5289">
            <v>0</v>
          </cell>
          <cell r="F5289">
            <v>0</v>
          </cell>
          <cell r="DN5289">
            <v>0</v>
          </cell>
        </row>
        <row r="5290">
          <cell r="E5290">
            <v>0</v>
          </cell>
          <cell r="F5290">
            <v>0</v>
          </cell>
          <cell r="DN5290">
            <v>0</v>
          </cell>
        </row>
        <row r="5291">
          <cell r="E5291">
            <v>0</v>
          </cell>
          <cell r="F5291">
            <v>0</v>
          </cell>
          <cell r="DN5291">
            <v>0</v>
          </cell>
        </row>
        <row r="5292">
          <cell r="E5292">
            <v>0</v>
          </cell>
          <cell r="F5292">
            <v>0</v>
          </cell>
          <cell r="DN5292">
            <v>0</v>
          </cell>
        </row>
        <row r="5293">
          <cell r="E5293">
            <v>0</v>
          </cell>
          <cell r="F5293">
            <v>0</v>
          </cell>
          <cell r="DN5293">
            <v>0</v>
          </cell>
        </row>
        <row r="5294">
          <cell r="E5294">
            <v>0</v>
          </cell>
          <cell r="F5294">
            <v>0</v>
          </cell>
          <cell r="DN5294">
            <v>0</v>
          </cell>
        </row>
        <row r="5295">
          <cell r="E5295">
            <v>0</v>
          </cell>
          <cell r="F5295">
            <v>0</v>
          </cell>
          <cell r="DN5295">
            <v>0</v>
          </cell>
        </row>
        <row r="5296">
          <cell r="E5296">
            <v>0</v>
          </cell>
          <cell r="F5296">
            <v>0</v>
          </cell>
          <cell r="DN5296">
            <v>0</v>
          </cell>
        </row>
        <row r="5297">
          <cell r="E5297">
            <v>0</v>
          </cell>
          <cell r="F5297">
            <v>0</v>
          </cell>
          <cell r="DN5297">
            <v>0</v>
          </cell>
        </row>
        <row r="5298">
          <cell r="E5298">
            <v>0</v>
          </cell>
          <cell r="F5298">
            <v>0</v>
          </cell>
          <cell r="DN5298">
            <v>0</v>
          </cell>
        </row>
        <row r="5299">
          <cell r="E5299">
            <v>0</v>
          </cell>
          <cell r="F5299">
            <v>0</v>
          </cell>
          <cell r="DN5299">
            <v>0</v>
          </cell>
        </row>
        <row r="5300">
          <cell r="E5300">
            <v>0</v>
          </cell>
          <cell r="F5300">
            <v>0</v>
          </cell>
          <cell r="DN5300">
            <v>0</v>
          </cell>
        </row>
        <row r="5301">
          <cell r="E5301">
            <v>0</v>
          </cell>
          <cell r="F5301">
            <v>0</v>
          </cell>
          <cell r="DN5301">
            <v>0</v>
          </cell>
        </row>
        <row r="5302">
          <cell r="E5302">
            <v>0</v>
          </cell>
          <cell r="F5302">
            <v>0</v>
          </cell>
          <cell r="DN5302">
            <v>0</v>
          </cell>
        </row>
        <row r="5303">
          <cell r="E5303">
            <v>0</v>
          </cell>
          <cell r="F5303">
            <v>0</v>
          </cell>
          <cell r="DN5303">
            <v>0</v>
          </cell>
        </row>
        <row r="5304">
          <cell r="E5304">
            <v>0</v>
          </cell>
          <cell r="F5304">
            <v>0</v>
          </cell>
          <cell r="DN5304">
            <v>0</v>
          </cell>
        </row>
        <row r="5305">
          <cell r="E5305">
            <v>0</v>
          </cell>
          <cell r="F5305">
            <v>0</v>
          </cell>
          <cell r="DN5305">
            <v>0</v>
          </cell>
        </row>
        <row r="5306">
          <cell r="E5306">
            <v>0</v>
          </cell>
          <cell r="F5306">
            <v>0</v>
          </cell>
          <cell r="DN5306">
            <v>0</v>
          </cell>
        </row>
        <row r="5307">
          <cell r="E5307">
            <v>0</v>
          </cell>
          <cell r="F5307">
            <v>0</v>
          </cell>
          <cell r="DN5307">
            <v>0</v>
          </cell>
        </row>
        <row r="5308">
          <cell r="E5308">
            <v>0</v>
          </cell>
          <cell r="F5308">
            <v>0</v>
          </cell>
          <cell r="DN5308">
            <v>0</v>
          </cell>
        </row>
        <row r="5309">
          <cell r="E5309">
            <v>0</v>
          </cell>
          <cell r="F5309">
            <v>0</v>
          </cell>
          <cell r="DN5309">
            <v>0</v>
          </cell>
        </row>
        <row r="5310">
          <cell r="E5310">
            <v>0</v>
          </cell>
          <cell r="F5310">
            <v>0</v>
          </cell>
          <cell r="DN5310">
            <v>0</v>
          </cell>
        </row>
        <row r="5311">
          <cell r="E5311">
            <v>0</v>
          </cell>
          <cell r="F5311">
            <v>0</v>
          </cell>
          <cell r="DN5311">
            <v>0</v>
          </cell>
        </row>
        <row r="5312">
          <cell r="E5312">
            <v>0</v>
          </cell>
          <cell r="F5312">
            <v>0</v>
          </cell>
          <cell r="DN5312">
            <v>0</v>
          </cell>
        </row>
        <row r="5313">
          <cell r="E5313">
            <v>0</v>
          </cell>
          <cell r="F5313">
            <v>0</v>
          </cell>
          <cell r="DN5313">
            <v>0</v>
          </cell>
        </row>
        <row r="5314">
          <cell r="E5314">
            <v>0</v>
          </cell>
          <cell r="F5314">
            <v>0</v>
          </cell>
          <cell r="DN5314">
            <v>0</v>
          </cell>
        </row>
        <row r="5315">
          <cell r="E5315">
            <v>0</v>
          </cell>
          <cell r="F5315">
            <v>0</v>
          </cell>
          <cell r="DN5315">
            <v>0</v>
          </cell>
        </row>
        <row r="5316">
          <cell r="E5316">
            <v>0</v>
          </cell>
          <cell r="F5316">
            <v>0</v>
          </cell>
          <cell r="DN5316">
            <v>0</v>
          </cell>
        </row>
        <row r="5317">
          <cell r="E5317">
            <v>0</v>
          </cell>
          <cell r="F5317">
            <v>0</v>
          </cell>
          <cell r="DN5317">
            <v>0</v>
          </cell>
        </row>
        <row r="5318">
          <cell r="E5318">
            <v>0</v>
          </cell>
          <cell r="F5318">
            <v>0</v>
          </cell>
          <cell r="DN5318">
            <v>0</v>
          </cell>
        </row>
        <row r="5319">
          <cell r="E5319">
            <v>0</v>
          </cell>
          <cell r="F5319">
            <v>0</v>
          </cell>
          <cell r="DN5319">
            <v>0</v>
          </cell>
        </row>
        <row r="5320">
          <cell r="E5320">
            <v>0</v>
          </cell>
          <cell r="F5320">
            <v>0</v>
          </cell>
          <cell r="DN5320">
            <v>0</v>
          </cell>
        </row>
        <row r="5321">
          <cell r="E5321">
            <v>0</v>
          </cell>
          <cell r="F5321">
            <v>0</v>
          </cell>
          <cell r="DN5321">
            <v>0</v>
          </cell>
        </row>
        <row r="5322">
          <cell r="E5322">
            <v>0</v>
          </cell>
          <cell r="F5322">
            <v>0</v>
          </cell>
          <cell r="DN5322">
            <v>0</v>
          </cell>
        </row>
        <row r="5323">
          <cell r="E5323">
            <v>0</v>
          </cell>
          <cell r="F5323">
            <v>0</v>
          </cell>
          <cell r="DN5323">
            <v>0</v>
          </cell>
        </row>
        <row r="5324">
          <cell r="E5324">
            <v>0</v>
          </cell>
          <cell r="F5324">
            <v>0</v>
          </cell>
          <cell r="DN5324">
            <v>0</v>
          </cell>
        </row>
        <row r="5325">
          <cell r="E5325">
            <v>0</v>
          </cell>
          <cell r="F5325">
            <v>0</v>
          </cell>
          <cell r="DN5325">
            <v>0</v>
          </cell>
        </row>
        <row r="5326">
          <cell r="E5326">
            <v>0</v>
          </cell>
          <cell r="F5326">
            <v>0</v>
          </cell>
          <cell r="DN5326">
            <v>0</v>
          </cell>
        </row>
        <row r="5327">
          <cell r="E5327">
            <v>0</v>
          </cell>
          <cell r="F5327">
            <v>0</v>
          </cell>
          <cell r="DN5327">
            <v>0</v>
          </cell>
        </row>
        <row r="5328">
          <cell r="E5328">
            <v>0</v>
          </cell>
          <cell r="F5328">
            <v>0</v>
          </cell>
          <cell r="DN5328">
            <v>0</v>
          </cell>
        </row>
        <row r="5329">
          <cell r="E5329">
            <v>0</v>
          </cell>
          <cell r="F5329">
            <v>0</v>
          </cell>
          <cell r="DN5329">
            <v>0</v>
          </cell>
        </row>
        <row r="5330">
          <cell r="E5330">
            <v>0</v>
          </cell>
          <cell r="F5330">
            <v>0</v>
          </cell>
          <cell r="DN5330">
            <v>0</v>
          </cell>
        </row>
        <row r="5331">
          <cell r="E5331">
            <v>0</v>
          </cell>
          <cell r="F5331">
            <v>0</v>
          </cell>
          <cell r="DN5331">
            <v>0</v>
          </cell>
        </row>
        <row r="5332">
          <cell r="E5332">
            <v>0</v>
          </cell>
          <cell r="F5332">
            <v>0</v>
          </cell>
          <cell r="DN5332">
            <v>0</v>
          </cell>
        </row>
        <row r="5333">
          <cell r="E5333">
            <v>0</v>
          </cell>
          <cell r="F5333">
            <v>0</v>
          </cell>
          <cell r="DN5333">
            <v>0</v>
          </cell>
        </row>
        <row r="5334">
          <cell r="E5334">
            <v>0</v>
          </cell>
          <cell r="F5334">
            <v>0</v>
          </cell>
          <cell r="DN5334">
            <v>0</v>
          </cell>
        </row>
        <row r="5335">
          <cell r="E5335">
            <v>0</v>
          </cell>
          <cell r="F5335">
            <v>0</v>
          </cell>
          <cell r="DN5335">
            <v>0</v>
          </cell>
        </row>
        <row r="5336">
          <cell r="E5336">
            <v>0</v>
          </cell>
          <cell r="F5336">
            <v>0</v>
          </cell>
          <cell r="DN5336">
            <v>0</v>
          </cell>
        </row>
        <row r="5337">
          <cell r="E5337">
            <v>0</v>
          </cell>
          <cell r="F5337">
            <v>0</v>
          </cell>
          <cell r="DN5337">
            <v>0</v>
          </cell>
        </row>
        <row r="5338">
          <cell r="E5338">
            <v>0</v>
          </cell>
          <cell r="F5338">
            <v>0</v>
          </cell>
          <cell r="DN5338">
            <v>0</v>
          </cell>
        </row>
        <row r="5339">
          <cell r="E5339">
            <v>0</v>
          </cell>
          <cell r="F5339">
            <v>0</v>
          </cell>
          <cell r="DN5339">
            <v>0</v>
          </cell>
        </row>
        <row r="5340">
          <cell r="E5340">
            <v>0</v>
          </cell>
          <cell r="F5340">
            <v>0</v>
          </cell>
          <cell r="DN5340">
            <v>0</v>
          </cell>
        </row>
        <row r="5341">
          <cell r="E5341">
            <v>0</v>
          </cell>
          <cell r="F5341">
            <v>0</v>
          </cell>
          <cell r="DN5341">
            <v>0</v>
          </cell>
        </row>
        <row r="5342">
          <cell r="E5342">
            <v>0</v>
          </cell>
          <cell r="F5342">
            <v>0</v>
          </cell>
          <cell r="DN5342">
            <v>0</v>
          </cell>
        </row>
        <row r="5343">
          <cell r="E5343">
            <v>0</v>
          </cell>
          <cell r="F5343">
            <v>0</v>
          </cell>
          <cell r="DN5343">
            <v>0</v>
          </cell>
        </row>
        <row r="5344">
          <cell r="E5344">
            <v>0</v>
          </cell>
          <cell r="F5344">
            <v>0</v>
          </cell>
          <cell r="DN5344">
            <v>0</v>
          </cell>
        </row>
        <row r="5345">
          <cell r="E5345">
            <v>0</v>
          </cell>
          <cell r="F5345">
            <v>0</v>
          </cell>
          <cell r="DN5345">
            <v>0</v>
          </cell>
        </row>
        <row r="5346">
          <cell r="E5346">
            <v>0</v>
          </cell>
          <cell r="F5346">
            <v>0</v>
          </cell>
          <cell r="DN5346">
            <v>0</v>
          </cell>
        </row>
        <row r="5347">
          <cell r="E5347">
            <v>0</v>
          </cell>
          <cell r="F5347">
            <v>0</v>
          </cell>
          <cell r="DN5347">
            <v>0</v>
          </cell>
        </row>
        <row r="5348">
          <cell r="E5348">
            <v>0</v>
          </cell>
          <cell r="F5348">
            <v>0</v>
          </cell>
          <cell r="DN5348">
            <v>0</v>
          </cell>
        </row>
        <row r="5349">
          <cell r="E5349">
            <v>0</v>
          </cell>
          <cell r="F5349">
            <v>0</v>
          </cell>
          <cell r="DN5349">
            <v>0</v>
          </cell>
        </row>
        <row r="5350">
          <cell r="E5350">
            <v>0</v>
          </cell>
          <cell r="F5350">
            <v>0</v>
          </cell>
          <cell r="DN5350">
            <v>0</v>
          </cell>
        </row>
        <row r="5351">
          <cell r="E5351">
            <v>0</v>
          </cell>
          <cell r="F5351">
            <v>0</v>
          </cell>
          <cell r="DN5351">
            <v>0</v>
          </cell>
        </row>
        <row r="5352">
          <cell r="E5352">
            <v>0</v>
          </cell>
          <cell r="F5352">
            <v>0</v>
          </cell>
          <cell r="DN5352">
            <v>0</v>
          </cell>
        </row>
        <row r="5353">
          <cell r="E5353">
            <v>0</v>
          </cell>
          <cell r="F5353">
            <v>0</v>
          </cell>
          <cell r="DN5353">
            <v>0</v>
          </cell>
        </row>
        <row r="5354">
          <cell r="E5354">
            <v>0</v>
          </cell>
          <cell r="F5354">
            <v>0</v>
          </cell>
          <cell r="DN5354">
            <v>0</v>
          </cell>
        </row>
        <row r="5355">
          <cell r="E5355">
            <v>0</v>
          </cell>
          <cell r="F5355">
            <v>0</v>
          </cell>
          <cell r="DN5355">
            <v>0</v>
          </cell>
        </row>
        <row r="5356">
          <cell r="E5356">
            <v>0</v>
          </cell>
          <cell r="F5356">
            <v>0</v>
          </cell>
          <cell r="DN5356">
            <v>0</v>
          </cell>
        </row>
        <row r="5357">
          <cell r="E5357">
            <v>0</v>
          </cell>
          <cell r="F5357">
            <v>0</v>
          </cell>
          <cell r="DN5357">
            <v>0</v>
          </cell>
        </row>
        <row r="5358">
          <cell r="E5358">
            <v>0</v>
          </cell>
          <cell r="F5358">
            <v>0</v>
          </cell>
          <cell r="DN5358">
            <v>0</v>
          </cell>
        </row>
        <row r="5359">
          <cell r="E5359">
            <v>0</v>
          </cell>
          <cell r="F5359">
            <v>0</v>
          </cell>
          <cell r="DN5359">
            <v>0</v>
          </cell>
        </row>
        <row r="5360">
          <cell r="E5360">
            <v>0</v>
          </cell>
          <cell r="F5360">
            <v>0</v>
          </cell>
          <cell r="DN5360">
            <v>0</v>
          </cell>
        </row>
        <row r="5361">
          <cell r="E5361">
            <v>0</v>
          </cell>
          <cell r="F5361">
            <v>0</v>
          </cell>
          <cell r="DN5361">
            <v>0</v>
          </cell>
        </row>
        <row r="5362">
          <cell r="E5362">
            <v>0</v>
          </cell>
          <cell r="F5362">
            <v>0</v>
          </cell>
          <cell r="DN5362">
            <v>0</v>
          </cell>
        </row>
        <row r="5363">
          <cell r="E5363">
            <v>0</v>
          </cell>
          <cell r="F5363">
            <v>0</v>
          </cell>
          <cell r="DN5363">
            <v>0</v>
          </cell>
        </row>
        <row r="5364">
          <cell r="E5364">
            <v>0</v>
          </cell>
          <cell r="F5364">
            <v>0</v>
          </cell>
          <cell r="DN5364">
            <v>0</v>
          </cell>
        </row>
        <row r="5365">
          <cell r="E5365">
            <v>0</v>
          </cell>
          <cell r="F5365">
            <v>0</v>
          </cell>
          <cell r="DN5365">
            <v>0</v>
          </cell>
        </row>
        <row r="5366">
          <cell r="E5366">
            <v>0</v>
          </cell>
          <cell r="F5366">
            <v>0</v>
          </cell>
          <cell r="DN5366">
            <v>0</v>
          </cell>
        </row>
        <row r="5367">
          <cell r="E5367">
            <v>0</v>
          </cell>
          <cell r="F5367">
            <v>0</v>
          </cell>
          <cell r="DN5367">
            <v>0</v>
          </cell>
        </row>
        <row r="5368">
          <cell r="E5368">
            <v>0</v>
          </cell>
          <cell r="F5368">
            <v>0</v>
          </cell>
          <cell r="DN5368">
            <v>0</v>
          </cell>
        </row>
        <row r="5369">
          <cell r="E5369">
            <v>0</v>
          </cell>
          <cell r="F5369">
            <v>0</v>
          </cell>
          <cell r="DN5369">
            <v>0</v>
          </cell>
        </row>
        <row r="5370">
          <cell r="E5370">
            <v>0</v>
          </cell>
          <cell r="F5370">
            <v>0</v>
          </cell>
          <cell r="DN5370">
            <v>0</v>
          </cell>
        </row>
        <row r="5371">
          <cell r="E5371">
            <v>0</v>
          </cell>
          <cell r="F5371">
            <v>0</v>
          </cell>
          <cell r="DN5371">
            <v>0</v>
          </cell>
        </row>
        <row r="5372">
          <cell r="E5372">
            <v>0</v>
          </cell>
          <cell r="F5372">
            <v>0</v>
          </cell>
          <cell r="DN5372">
            <v>0</v>
          </cell>
        </row>
        <row r="5373">
          <cell r="E5373">
            <v>0</v>
          </cell>
          <cell r="F5373">
            <v>0</v>
          </cell>
          <cell r="DN5373">
            <v>0</v>
          </cell>
        </row>
        <row r="5374">
          <cell r="E5374">
            <v>0</v>
          </cell>
          <cell r="F5374">
            <v>0</v>
          </cell>
          <cell r="DN5374">
            <v>0</v>
          </cell>
        </row>
        <row r="5375">
          <cell r="E5375">
            <v>0</v>
          </cell>
          <cell r="F5375">
            <v>0</v>
          </cell>
          <cell r="DN5375">
            <v>0</v>
          </cell>
        </row>
        <row r="5376">
          <cell r="E5376">
            <v>0</v>
          </cell>
          <cell r="F5376">
            <v>0</v>
          </cell>
          <cell r="DN5376">
            <v>0</v>
          </cell>
        </row>
        <row r="5377">
          <cell r="E5377">
            <v>0</v>
          </cell>
          <cell r="F5377">
            <v>0</v>
          </cell>
          <cell r="DN5377">
            <v>0</v>
          </cell>
        </row>
        <row r="5378">
          <cell r="E5378">
            <v>0</v>
          </cell>
          <cell r="F5378">
            <v>0</v>
          </cell>
          <cell r="DN5378">
            <v>0</v>
          </cell>
        </row>
        <row r="5379">
          <cell r="E5379">
            <v>0</v>
          </cell>
          <cell r="F5379">
            <v>0</v>
          </cell>
          <cell r="DN5379">
            <v>0</v>
          </cell>
        </row>
        <row r="5380">
          <cell r="E5380">
            <v>0</v>
          </cell>
          <cell r="F5380">
            <v>0</v>
          </cell>
          <cell r="DN5380">
            <v>0</v>
          </cell>
        </row>
        <row r="5381">
          <cell r="E5381">
            <v>0</v>
          </cell>
          <cell r="F5381">
            <v>0</v>
          </cell>
          <cell r="DN5381">
            <v>0</v>
          </cell>
        </row>
        <row r="5382">
          <cell r="E5382">
            <v>0</v>
          </cell>
          <cell r="F5382">
            <v>0</v>
          </cell>
          <cell r="DN5382">
            <v>0</v>
          </cell>
        </row>
        <row r="5383">
          <cell r="E5383">
            <v>0</v>
          </cell>
          <cell r="F5383">
            <v>0</v>
          </cell>
          <cell r="DN5383">
            <v>0</v>
          </cell>
        </row>
        <row r="5384">
          <cell r="E5384">
            <v>0</v>
          </cell>
          <cell r="F5384">
            <v>0</v>
          </cell>
          <cell r="DN5384">
            <v>0</v>
          </cell>
        </row>
        <row r="5385">
          <cell r="E5385">
            <v>0</v>
          </cell>
          <cell r="F5385">
            <v>0</v>
          </cell>
          <cell r="DN5385">
            <v>0</v>
          </cell>
        </row>
        <row r="5386">
          <cell r="E5386">
            <v>0</v>
          </cell>
          <cell r="F5386">
            <v>0</v>
          </cell>
          <cell r="DN5386">
            <v>0</v>
          </cell>
        </row>
        <row r="5387">
          <cell r="E5387">
            <v>0</v>
          </cell>
          <cell r="F5387">
            <v>0</v>
          </cell>
          <cell r="DN5387">
            <v>0</v>
          </cell>
        </row>
        <row r="5388">
          <cell r="E5388">
            <v>0</v>
          </cell>
          <cell r="F5388">
            <v>0</v>
          </cell>
          <cell r="DN5388">
            <v>0</v>
          </cell>
        </row>
        <row r="5389">
          <cell r="E5389">
            <v>0</v>
          </cell>
          <cell r="F5389">
            <v>0</v>
          </cell>
          <cell r="DN5389">
            <v>0</v>
          </cell>
        </row>
        <row r="5390">
          <cell r="E5390">
            <v>0</v>
          </cell>
          <cell r="F5390">
            <v>0</v>
          </cell>
          <cell r="DN5390">
            <v>0</v>
          </cell>
        </row>
        <row r="5391">
          <cell r="E5391">
            <v>0</v>
          </cell>
          <cell r="F5391">
            <v>0</v>
          </cell>
          <cell r="DN5391">
            <v>0</v>
          </cell>
        </row>
        <row r="5392">
          <cell r="E5392">
            <v>0</v>
          </cell>
          <cell r="F5392">
            <v>0</v>
          </cell>
          <cell r="DN5392">
            <v>0</v>
          </cell>
        </row>
        <row r="5393">
          <cell r="E5393">
            <v>0</v>
          </cell>
          <cell r="F5393">
            <v>0</v>
          </cell>
          <cell r="DN5393">
            <v>0</v>
          </cell>
        </row>
        <row r="5394">
          <cell r="E5394">
            <v>0</v>
          </cell>
          <cell r="F5394">
            <v>0</v>
          </cell>
          <cell r="DN5394">
            <v>0</v>
          </cell>
        </row>
        <row r="5395">
          <cell r="E5395">
            <v>0</v>
          </cell>
          <cell r="F5395">
            <v>0</v>
          </cell>
          <cell r="DN5395">
            <v>0</v>
          </cell>
        </row>
        <row r="5396">
          <cell r="E5396">
            <v>0</v>
          </cell>
          <cell r="F5396">
            <v>0</v>
          </cell>
          <cell r="DN5396">
            <v>0</v>
          </cell>
        </row>
        <row r="5397">
          <cell r="E5397">
            <v>0</v>
          </cell>
          <cell r="F5397">
            <v>0</v>
          </cell>
          <cell r="DN5397">
            <v>0</v>
          </cell>
        </row>
        <row r="5398">
          <cell r="E5398">
            <v>0</v>
          </cell>
          <cell r="F5398">
            <v>0</v>
          </cell>
          <cell r="DN5398">
            <v>0</v>
          </cell>
        </row>
        <row r="5399">
          <cell r="E5399">
            <v>0</v>
          </cell>
          <cell r="F5399">
            <v>0</v>
          </cell>
          <cell r="DN5399">
            <v>0</v>
          </cell>
        </row>
        <row r="5400">
          <cell r="E5400">
            <v>0</v>
          </cell>
          <cell r="F5400">
            <v>0</v>
          </cell>
          <cell r="DN5400">
            <v>0</v>
          </cell>
        </row>
        <row r="5401">
          <cell r="E5401">
            <v>0</v>
          </cell>
          <cell r="F5401">
            <v>0</v>
          </cell>
          <cell r="DN5401">
            <v>0</v>
          </cell>
        </row>
        <row r="5402">
          <cell r="E5402">
            <v>0</v>
          </cell>
          <cell r="F5402">
            <v>0</v>
          </cell>
          <cell r="DN5402">
            <v>0</v>
          </cell>
        </row>
        <row r="5403">
          <cell r="E5403">
            <v>0</v>
          </cell>
          <cell r="F5403">
            <v>0</v>
          </cell>
          <cell r="DN5403">
            <v>0</v>
          </cell>
        </row>
        <row r="5404">
          <cell r="E5404">
            <v>0</v>
          </cell>
          <cell r="F5404">
            <v>0</v>
          </cell>
          <cell r="DN5404">
            <v>0</v>
          </cell>
        </row>
        <row r="5405">
          <cell r="E5405">
            <v>0</v>
          </cell>
          <cell r="F5405">
            <v>0</v>
          </cell>
          <cell r="DN5405">
            <v>0</v>
          </cell>
        </row>
        <row r="5406">
          <cell r="E5406">
            <v>0</v>
          </cell>
          <cell r="F5406">
            <v>0</v>
          </cell>
          <cell r="DN5406">
            <v>0</v>
          </cell>
        </row>
        <row r="5407">
          <cell r="E5407">
            <v>0</v>
          </cell>
          <cell r="F5407">
            <v>0</v>
          </cell>
          <cell r="DN5407">
            <v>0</v>
          </cell>
        </row>
        <row r="5408">
          <cell r="E5408">
            <v>0</v>
          </cell>
          <cell r="F5408">
            <v>0</v>
          </cell>
          <cell r="DN5408">
            <v>0</v>
          </cell>
        </row>
        <row r="5409">
          <cell r="E5409">
            <v>0</v>
          </cell>
          <cell r="F5409">
            <v>0</v>
          </cell>
          <cell r="DN5409">
            <v>0</v>
          </cell>
        </row>
        <row r="5410">
          <cell r="E5410">
            <v>0</v>
          </cell>
          <cell r="F5410">
            <v>0</v>
          </cell>
          <cell r="DN5410">
            <v>0</v>
          </cell>
        </row>
        <row r="5411">
          <cell r="E5411">
            <v>0</v>
          </cell>
          <cell r="F5411">
            <v>0</v>
          </cell>
          <cell r="DN5411">
            <v>0</v>
          </cell>
        </row>
        <row r="5412">
          <cell r="E5412">
            <v>0</v>
          </cell>
          <cell r="F5412">
            <v>0</v>
          </cell>
          <cell r="DN5412">
            <v>0</v>
          </cell>
        </row>
        <row r="5413">
          <cell r="E5413">
            <v>0</v>
          </cell>
          <cell r="F5413">
            <v>0</v>
          </cell>
          <cell r="DN5413">
            <v>0</v>
          </cell>
        </row>
        <row r="5414">
          <cell r="E5414">
            <v>0</v>
          </cell>
          <cell r="F5414">
            <v>0</v>
          </cell>
          <cell r="DN5414">
            <v>0</v>
          </cell>
        </row>
        <row r="5415">
          <cell r="E5415">
            <v>0</v>
          </cell>
          <cell r="F5415">
            <v>0</v>
          </cell>
          <cell r="DN5415">
            <v>0</v>
          </cell>
        </row>
        <row r="5416">
          <cell r="E5416">
            <v>0</v>
          </cell>
          <cell r="F5416">
            <v>0</v>
          </cell>
          <cell r="DN5416">
            <v>0</v>
          </cell>
        </row>
        <row r="5417">
          <cell r="E5417">
            <v>0</v>
          </cell>
          <cell r="F5417">
            <v>0</v>
          </cell>
          <cell r="DN5417">
            <v>0</v>
          </cell>
        </row>
        <row r="5418">
          <cell r="E5418">
            <v>0</v>
          </cell>
          <cell r="F5418">
            <v>0</v>
          </cell>
          <cell r="DN5418">
            <v>0</v>
          </cell>
        </row>
        <row r="5419">
          <cell r="E5419">
            <v>0</v>
          </cell>
          <cell r="F5419">
            <v>0</v>
          </cell>
          <cell r="DN5419">
            <v>0</v>
          </cell>
        </row>
        <row r="5420">
          <cell r="E5420">
            <v>0</v>
          </cell>
          <cell r="F5420">
            <v>0</v>
          </cell>
          <cell r="DN5420">
            <v>0</v>
          </cell>
        </row>
        <row r="5421">
          <cell r="E5421">
            <v>0</v>
          </cell>
          <cell r="F5421">
            <v>0</v>
          </cell>
          <cell r="DN5421">
            <v>0</v>
          </cell>
        </row>
        <row r="5422">
          <cell r="E5422">
            <v>0</v>
          </cell>
          <cell r="F5422">
            <v>0</v>
          </cell>
          <cell r="DN5422">
            <v>0</v>
          </cell>
        </row>
        <row r="5423">
          <cell r="E5423">
            <v>0</v>
          </cell>
          <cell r="F5423">
            <v>0</v>
          </cell>
          <cell r="DN5423">
            <v>0</v>
          </cell>
        </row>
        <row r="5424">
          <cell r="E5424">
            <v>0</v>
          </cell>
          <cell r="F5424">
            <v>0</v>
          </cell>
          <cell r="DN5424">
            <v>0</v>
          </cell>
        </row>
        <row r="5425">
          <cell r="E5425">
            <v>0</v>
          </cell>
          <cell r="F5425">
            <v>0</v>
          </cell>
          <cell r="DN5425">
            <v>0</v>
          </cell>
        </row>
        <row r="5426">
          <cell r="E5426">
            <v>0</v>
          </cell>
          <cell r="F5426">
            <v>0</v>
          </cell>
          <cell r="DN5426">
            <v>0</v>
          </cell>
        </row>
        <row r="5427">
          <cell r="E5427">
            <v>0</v>
          </cell>
          <cell r="F5427">
            <v>0</v>
          </cell>
          <cell r="DN5427">
            <v>0</v>
          </cell>
        </row>
        <row r="5428">
          <cell r="E5428">
            <v>0</v>
          </cell>
          <cell r="F5428">
            <v>0</v>
          </cell>
          <cell r="DN5428">
            <v>0</v>
          </cell>
        </row>
        <row r="5429">
          <cell r="E5429">
            <v>0</v>
          </cell>
          <cell r="F5429">
            <v>0</v>
          </cell>
          <cell r="DN5429">
            <v>0</v>
          </cell>
        </row>
        <row r="5430">
          <cell r="E5430">
            <v>0</v>
          </cell>
          <cell r="F5430">
            <v>0</v>
          </cell>
          <cell r="DN5430">
            <v>0</v>
          </cell>
        </row>
        <row r="5431">
          <cell r="E5431">
            <v>0</v>
          </cell>
          <cell r="F5431">
            <v>0</v>
          </cell>
          <cell r="DN5431">
            <v>0</v>
          </cell>
        </row>
        <row r="5432">
          <cell r="E5432">
            <v>0</v>
          </cell>
          <cell r="F5432">
            <v>0</v>
          </cell>
          <cell r="DN5432">
            <v>0</v>
          </cell>
        </row>
        <row r="5433">
          <cell r="E5433">
            <v>0</v>
          </cell>
          <cell r="F5433">
            <v>0</v>
          </cell>
          <cell r="DN5433">
            <v>0</v>
          </cell>
        </row>
        <row r="5434">
          <cell r="E5434">
            <v>0</v>
          </cell>
          <cell r="F5434">
            <v>0</v>
          </cell>
          <cell r="DN5434">
            <v>0</v>
          </cell>
        </row>
        <row r="5435">
          <cell r="E5435">
            <v>0</v>
          </cell>
          <cell r="F5435">
            <v>0</v>
          </cell>
          <cell r="DN5435">
            <v>0</v>
          </cell>
        </row>
        <row r="5436">
          <cell r="E5436">
            <v>0</v>
          </cell>
          <cell r="F5436">
            <v>0</v>
          </cell>
          <cell r="DN5436">
            <v>0</v>
          </cell>
        </row>
        <row r="5437">
          <cell r="E5437">
            <v>0</v>
          </cell>
          <cell r="F5437">
            <v>0</v>
          </cell>
          <cell r="DN5437">
            <v>0</v>
          </cell>
        </row>
        <row r="5438">
          <cell r="E5438">
            <v>0</v>
          </cell>
          <cell r="F5438">
            <v>0</v>
          </cell>
          <cell r="DN5438">
            <v>0</v>
          </cell>
        </row>
        <row r="5439">
          <cell r="E5439">
            <v>0</v>
          </cell>
          <cell r="F5439">
            <v>0</v>
          </cell>
          <cell r="DN5439">
            <v>0</v>
          </cell>
        </row>
        <row r="5440">
          <cell r="E5440">
            <v>0</v>
          </cell>
          <cell r="F5440">
            <v>0</v>
          </cell>
          <cell r="DN5440">
            <v>0</v>
          </cell>
        </row>
        <row r="5441">
          <cell r="E5441">
            <v>0</v>
          </cell>
          <cell r="F5441">
            <v>0</v>
          </cell>
          <cell r="DN5441">
            <v>0</v>
          </cell>
        </row>
        <row r="5442">
          <cell r="E5442">
            <v>0</v>
          </cell>
          <cell r="F5442">
            <v>0</v>
          </cell>
          <cell r="DN5442">
            <v>0</v>
          </cell>
        </row>
        <row r="5443">
          <cell r="E5443">
            <v>0</v>
          </cell>
          <cell r="F5443">
            <v>0</v>
          </cell>
          <cell r="DN5443">
            <v>0</v>
          </cell>
        </row>
        <row r="5444">
          <cell r="E5444">
            <v>0</v>
          </cell>
          <cell r="F5444">
            <v>0</v>
          </cell>
          <cell r="DN5444">
            <v>0</v>
          </cell>
        </row>
        <row r="5445">
          <cell r="E5445">
            <v>0</v>
          </cell>
          <cell r="F5445">
            <v>0</v>
          </cell>
          <cell r="DN5445">
            <v>0</v>
          </cell>
        </row>
        <row r="5446">
          <cell r="E5446">
            <v>0</v>
          </cell>
          <cell r="F5446">
            <v>0</v>
          </cell>
          <cell r="DN5446">
            <v>0</v>
          </cell>
        </row>
        <row r="5447">
          <cell r="E5447">
            <v>0</v>
          </cell>
          <cell r="F5447">
            <v>0</v>
          </cell>
          <cell r="DN5447">
            <v>0</v>
          </cell>
        </row>
        <row r="5448">
          <cell r="E5448">
            <v>0</v>
          </cell>
          <cell r="F5448">
            <v>0</v>
          </cell>
          <cell r="DN5448">
            <v>0</v>
          </cell>
        </row>
        <row r="5449">
          <cell r="E5449">
            <v>0</v>
          </cell>
          <cell r="F5449">
            <v>0</v>
          </cell>
          <cell r="DN5449">
            <v>0</v>
          </cell>
        </row>
        <row r="5450">
          <cell r="E5450">
            <v>0</v>
          </cell>
          <cell r="F5450">
            <v>0</v>
          </cell>
          <cell r="DN5450">
            <v>0</v>
          </cell>
        </row>
        <row r="5451">
          <cell r="E5451">
            <v>0</v>
          </cell>
          <cell r="F5451">
            <v>0</v>
          </cell>
          <cell r="DN5451">
            <v>0</v>
          </cell>
        </row>
        <row r="5452">
          <cell r="E5452">
            <v>0</v>
          </cell>
          <cell r="F5452">
            <v>0</v>
          </cell>
          <cell r="DN5452">
            <v>0</v>
          </cell>
        </row>
        <row r="5453">
          <cell r="E5453">
            <v>0</v>
          </cell>
          <cell r="F5453">
            <v>0</v>
          </cell>
          <cell r="DN5453">
            <v>0</v>
          </cell>
        </row>
        <row r="5454">
          <cell r="E5454">
            <v>0</v>
          </cell>
          <cell r="F5454">
            <v>0</v>
          </cell>
          <cell r="DN5454">
            <v>0</v>
          </cell>
        </row>
        <row r="5455">
          <cell r="E5455">
            <v>0</v>
          </cell>
          <cell r="F5455">
            <v>0</v>
          </cell>
          <cell r="DN5455">
            <v>0</v>
          </cell>
        </row>
        <row r="5456">
          <cell r="E5456">
            <v>0</v>
          </cell>
          <cell r="F5456">
            <v>0</v>
          </cell>
          <cell r="DN5456">
            <v>0</v>
          </cell>
        </row>
        <row r="5457">
          <cell r="E5457">
            <v>0</v>
          </cell>
          <cell r="F5457">
            <v>0</v>
          </cell>
          <cell r="DN5457">
            <v>0</v>
          </cell>
        </row>
        <row r="5458">
          <cell r="E5458">
            <v>0</v>
          </cell>
          <cell r="F5458">
            <v>0</v>
          </cell>
          <cell r="DN5458">
            <v>0</v>
          </cell>
        </row>
        <row r="5459">
          <cell r="E5459">
            <v>0</v>
          </cell>
          <cell r="F5459">
            <v>0</v>
          </cell>
          <cell r="DN5459">
            <v>0</v>
          </cell>
        </row>
        <row r="5460">
          <cell r="E5460">
            <v>0</v>
          </cell>
          <cell r="F5460">
            <v>0</v>
          </cell>
          <cell r="DN5460">
            <v>0</v>
          </cell>
        </row>
        <row r="5461">
          <cell r="E5461">
            <v>0</v>
          </cell>
          <cell r="F5461">
            <v>0</v>
          </cell>
          <cell r="DN5461">
            <v>0</v>
          </cell>
        </row>
        <row r="5462">
          <cell r="E5462">
            <v>0</v>
          </cell>
          <cell r="F5462">
            <v>0</v>
          </cell>
          <cell r="DN5462">
            <v>0</v>
          </cell>
        </row>
        <row r="5463">
          <cell r="E5463">
            <v>0</v>
          </cell>
          <cell r="F5463">
            <v>0</v>
          </cell>
          <cell r="DN5463">
            <v>0</v>
          </cell>
        </row>
        <row r="5464">
          <cell r="E5464">
            <v>0</v>
          </cell>
          <cell r="F5464">
            <v>0</v>
          </cell>
          <cell r="DN5464">
            <v>0</v>
          </cell>
        </row>
        <row r="5465">
          <cell r="E5465">
            <v>0</v>
          </cell>
          <cell r="F5465">
            <v>0</v>
          </cell>
          <cell r="DN5465">
            <v>0</v>
          </cell>
        </row>
        <row r="5466">
          <cell r="E5466">
            <v>0</v>
          </cell>
          <cell r="F5466">
            <v>0</v>
          </cell>
          <cell r="DN5466">
            <v>0</v>
          </cell>
        </row>
        <row r="5467">
          <cell r="E5467">
            <v>0</v>
          </cell>
          <cell r="F5467">
            <v>0</v>
          </cell>
          <cell r="DN5467">
            <v>0</v>
          </cell>
        </row>
        <row r="5468">
          <cell r="E5468">
            <v>0</v>
          </cell>
          <cell r="F5468">
            <v>0</v>
          </cell>
          <cell r="DN5468">
            <v>0</v>
          </cell>
        </row>
        <row r="5469">
          <cell r="E5469">
            <v>0</v>
          </cell>
          <cell r="F5469">
            <v>0</v>
          </cell>
          <cell r="DN5469">
            <v>0</v>
          </cell>
        </row>
        <row r="5470">
          <cell r="E5470">
            <v>0</v>
          </cell>
          <cell r="F5470">
            <v>0</v>
          </cell>
          <cell r="DN5470">
            <v>0</v>
          </cell>
        </row>
        <row r="5471">
          <cell r="E5471">
            <v>0</v>
          </cell>
          <cell r="F5471">
            <v>0</v>
          </cell>
          <cell r="DN5471">
            <v>0</v>
          </cell>
        </row>
        <row r="5472">
          <cell r="E5472">
            <v>0</v>
          </cell>
          <cell r="F5472">
            <v>0</v>
          </cell>
          <cell r="DN5472">
            <v>0</v>
          </cell>
        </row>
        <row r="5473">
          <cell r="E5473">
            <v>0</v>
          </cell>
          <cell r="F5473">
            <v>0</v>
          </cell>
          <cell r="DN5473">
            <v>0</v>
          </cell>
        </row>
        <row r="5474">
          <cell r="E5474">
            <v>0</v>
          </cell>
          <cell r="F5474">
            <v>0</v>
          </cell>
          <cell r="DN5474">
            <v>0</v>
          </cell>
        </row>
        <row r="5475">
          <cell r="E5475">
            <v>0</v>
          </cell>
          <cell r="F5475">
            <v>0</v>
          </cell>
          <cell r="DN5475">
            <v>0</v>
          </cell>
        </row>
        <row r="5476">
          <cell r="E5476">
            <v>0</v>
          </cell>
          <cell r="F5476">
            <v>0</v>
          </cell>
          <cell r="DN5476">
            <v>0</v>
          </cell>
        </row>
        <row r="5477">
          <cell r="E5477">
            <v>0</v>
          </cell>
          <cell r="F5477">
            <v>0</v>
          </cell>
          <cell r="DN5477">
            <v>0</v>
          </cell>
        </row>
        <row r="5478">
          <cell r="E5478">
            <v>0</v>
          </cell>
          <cell r="F5478">
            <v>0</v>
          </cell>
          <cell r="DN5478">
            <v>0</v>
          </cell>
        </row>
        <row r="5479">
          <cell r="E5479">
            <v>0</v>
          </cell>
          <cell r="F5479">
            <v>0</v>
          </cell>
          <cell r="DN5479">
            <v>0</v>
          </cell>
        </row>
        <row r="5480">
          <cell r="E5480">
            <v>0</v>
          </cell>
          <cell r="F5480">
            <v>0</v>
          </cell>
          <cell r="DN5480">
            <v>0</v>
          </cell>
        </row>
        <row r="5481">
          <cell r="E5481">
            <v>0</v>
          </cell>
          <cell r="F5481">
            <v>0</v>
          </cell>
          <cell r="DN5481">
            <v>0</v>
          </cell>
        </row>
        <row r="5482">
          <cell r="E5482">
            <v>0</v>
          </cell>
          <cell r="F5482">
            <v>0</v>
          </cell>
          <cell r="DN5482">
            <v>0</v>
          </cell>
        </row>
        <row r="5483">
          <cell r="E5483">
            <v>0</v>
          </cell>
          <cell r="F5483">
            <v>0</v>
          </cell>
          <cell r="DN5483">
            <v>0</v>
          </cell>
        </row>
        <row r="5484">
          <cell r="E5484">
            <v>0</v>
          </cell>
          <cell r="F5484">
            <v>0</v>
          </cell>
          <cell r="DN5484">
            <v>0</v>
          </cell>
        </row>
        <row r="5485">
          <cell r="E5485">
            <v>0</v>
          </cell>
          <cell r="F5485">
            <v>0</v>
          </cell>
          <cell r="DN5485">
            <v>0</v>
          </cell>
        </row>
        <row r="5486">
          <cell r="E5486">
            <v>0</v>
          </cell>
          <cell r="F5486">
            <v>0</v>
          </cell>
          <cell r="DN5486">
            <v>0</v>
          </cell>
        </row>
        <row r="5487">
          <cell r="E5487">
            <v>0</v>
          </cell>
          <cell r="F5487">
            <v>0</v>
          </cell>
          <cell r="DN5487">
            <v>0</v>
          </cell>
        </row>
        <row r="5488">
          <cell r="E5488">
            <v>0</v>
          </cell>
          <cell r="F5488">
            <v>0</v>
          </cell>
          <cell r="DN5488">
            <v>0</v>
          </cell>
        </row>
        <row r="5489">
          <cell r="E5489">
            <v>0</v>
          </cell>
          <cell r="F5489">
            <v>0</v>
          </cell>
          <cell r="DN5489">
            <v>0</v>
          </cell>
        </row>
        <row r="5490">
          <cell r="E5490">
            <v>0</v>
          </cell>
          <cell r="F5490">
            <v>0</v>
          </cell>
          <cell r="DN5490">
            <v>0</v>
          </cell>
        </row>
        <row r="5491">
          <cell r="E5491">
            <v>0</v>
          </cell>
          <cell r="F5491">
            <v>0</v>
          </cell>
          <cell r="DN5491">
            <v>0</v>
          </cell>
        </row>
        <row r="5492">
          <cell r="E5492">
            <v>0</v>
          </cell>
          <cell r="F5492">
            <v>0</v>
          </cell>
          <cell r="DN5492">
            <v>0</v>
          </cell>
        </row>
        <row r="5493">
          <cell r="E5493">
            <v>0</v>
          </cell>
          <cell r="F5493">
            <v>0</v>
          </cell>
          <cell r="DN5493">
            <v>0</v>
          </cell>
        </row>
        <row r="5494">
          <cell r="E5494">
            <v>0</v>
          </cell>
          <cell r="F5494">
            <v>0</v>
          </cell>
          <cell r="DN5494">
            <v>0</v>
          </cell>
        </row>
        <row r="5495">
          <cell r="E5495">
            <v>0</v>
          </cell>
          <cell r="F5495">
            <v>0</v>
          </cell>
          <cell r="DN5495">
            <v>0</v>
          </cell>
        </row>
        <row r="5496">
          <cell r="E5496">
            <v>0</v>
          </cell>
          <cell r="F5496">
            <v>0</v>
          </cell>
          <cell r="DN5496">
            <v>0</v>
          </cell>
        </row>
        <row r="5497">
          <cell r="E5497">
            <v>0</v>
          </cell>
          <cell r="F5497">
            <v>0</v>
          </cell>
          <cell r="DN5497">
            <v>0</v>
          </cell>
        </row>
        <row r="5498">
          <cell r="E5498">
            <v>0</v>
          </cell>
          <cell r="F5498">
            <v>0</v>
          </cell>
          <cell r="DN5498">
            <v>0</v>
          </cell>
        </row>
        <row r="5499">
          <cell r="E5499">
            <v>0</v>
          </cell>
          <cell r="F5499">
            <v>0</v>
          </cell>
          <cell r="DN5499">
            <v>0</v>
          </cell>
        </row>
        <row r="5500">
          <cell r="E5500">
            <v>0</v>
          </cell>
          <cell r="F5500">
            <v>0</v>
          </cell>
          <cell r="DN5500">
            <v>0</v>
          </cell>
        </row>
        <row r="5501">
          <cell r="E5501">
            <v>0</v>
          </cell>
          <cell r="F5501">
            <v>0</v>
          </cell>
          <cell r="DN5501">
            <v>0</v>
          </cell>
        </row>
        <row r="5502">
          <cell r="E5502">
            <v>0</v>
          </cell>
          <cell r="F5502">
            <v>0</v>
          </cell>
          <cell r="DN5502">
            <v>0</v>
          </cell>
        </row>
        <row r="5503">
          <cell r="E5503">
            <v>0</v>
          </cell>
          <cell r="F5503">
            <v>0</v>
          </cell>
          <cell r="DN5503">
            <v>0</v>
          </cell>
        </row>
        <row r="5504">
          <cell r="E5504">
            <v>0</v>
          </cell>
          <cell r="F5504">
            <v>0</v>
          </cell>
          <cell r="DN5504">
            <v>0</v>
          </cell>
        </row>
        <row r="5505">
          <cell r="E5505">
            <v>0</v>
          </cell>
          <cell r="F5505">
            <v>0</v>
          </cell>
          <cell r="DN5505">
            <v>0</v>
          </cell>
        </row>
        <row r="5506">
          <cell r="E5506">
            <v>0</v>
          </cell>
          <cell r="F5506">
            <v>0</v>
          </cell>
          <cell r="DN5506">
            <v>0</v>
          </cell>
        </row>
        <row r="5507">
          <cell r="E5507">
            <v>0</v>
          </cell>
          <cell r="F5507">
            <v>0</v>
          </cell>
          <cell r="DN5507">
            <v>0</v>
          </cell>
        </row>
        <row r="5508">
          <cell r="E5508">
            <v>0</v>
          </cell>
          <cell r="F5508">
            <v>0</v>
          </cell>
          <cell r="DN5508">
            <v>0</v>
          </cell>
        </row>
        <row r="5509">
          <cell r="E5509">
            <v>0</v>
          </cell>
          <cell r="F5509">
            <v>0</v>
          </cell>
          <cell r="DN5509">
            <v>0</v>
          </cell>
        </row>
        <row r="5510">
          <cell r="E5510">
            <v>0</v>
          </cell>
          <cell r="F5510">
            <v>0</v>
          </cell>
          <cell r="DN5510">
            <v>0</v>
          </cell>
        </row>
        <row r="5511">
          <cell r="E5511">
            <v>0</v>
          </cell>
          <cell r="F5511">
            <v>0</v>
          </cell>
          <cell r="DN5511">
            <v>0</v>
          </cell>
        </row>
        <row r="5512">
          <cell r="E5512">
            <v>0</v>
          </cell>
          <cell r="F5512">
            <v>0</v>
          </cell>
          <cell r="DN5512">
            <v>0</v>
          </cell>
        </row>
        <row r="5513">
          <cell r="E5513">
            <v>0</v>
          </cell>
          <cell r="F5513">
            <v>0</v>
          </cell>
          <cell r="DN5513">
            <v>0</v>
          </cell>
        </row>
        <row r="5514">
          <cell r="E5514">
            <v>0</v>
          </cell>
          <cell r="F5514">
            <v>0</v>
          </cell>
          <cell r="DN5514">
            <v>0</v>
          </cell>
        </row>
        <row r="5515">
          <cell r="E5515">
            <v>0</v>
          </cell>
          <cell r="F5515">
            <v>0</v>
          </cell>
          <cell r="DN5515">
            <v>0</v>
          </cell>
        </row>
        <row r="5516">
          <cell r="E5516">
            <v>0</v>
          </cell>
          <cell r="F5516">
            <v>0</v>
          </cell>
          <cell r="DN5516">
            <v>0</v>
          </cell>
        </row>
        <row r="5517">
          <cell r="E5517">
            <v>0</v>
          </cell>
          <cell r="F5517">
            <v>0</v>
          </cell>
          <cell r="DN5517">
            <v>0</v>
          </cell>
        </row>
        <row r="5518">
          <cell r="E5518">
            <v>0</v>
          </cell>
          <cell r="F5518">
            <v>0</v>
          </cell>
          <cell r="DN5518">
            <v>0</v>
          </cell>
        </row>
        <row r="5519">
          <cell r="E5519">
            <v>0</v>
          </cell>
          <cell r="F5519">
            <v>0</v>
          </cell>
          <cell r="DN5519">
            <v>0</v>
          </cell>
        </row>
        <row r="5520">
          <cell r="E5520">
            <v>0</v>
          </cell>
          <cell r="F5520">
            <v>0</v>
          </cell>
          <cell r="DN5520">
            <v>0</v>
          </cell>
        </row>
        <row r="5521">
          <cell r="E5521">
            <v>0</v>
          </cell>
          <cell r="F5521">
            <v>0</v>
          </cell>
          <cell r="DN5521">
            <v>0</v>
          </cell>
        </row>
        <row r="5522">
          <cell r="E5522">
            <v>0</v>
          </cell>
          <cell r="F5522">
            <v>0</v>
          </cell>
          <cell r="DN5522">
            <v>0</v>
          </cell>
        </row>
        <row r="5523">
          <cell r="E5523">
            <v>0</v>
          </cell>
          <cell r="F5523">
            <v>0</v>
          </cell>
          <cell r="DN5523">
            <v>0</v>
          </cell>
        </row>
        <row r="5524">
          <cell r="E5524">
            <v>0</v>
          </cell>
          <cell r="F5524">
            <v>0</v>
          </cell>
          <cell r="DN5524">
            <v>0</v>
          </cell>
        </row>
        <row r="5525">
          <cell r="E5525">
            <v>0</v>
          </cell>
          <cell r="F5525">
            <v>0</v>
          </cell>
          <cell r="DN5525">
            <v>0</v>
          </cell>
        </row>
        <row r="5526">
          <cell r="E5526">
            <v>0</v>
          </cell>
          <cell r="F5526">
            <v>0</v>
          </cell>
          <cell r="DN5526">
            <v>0</v>
          </cell>
        </row>
        <row r="5527">
          <cell r="E5527">
            <v>0</v>
          </cell>
          <cell r="F5527">
            <v>0</v>
          </cell>
          <cell r="DN5527">
            <v>0</v>
          </cell>
        </row>
        <row r="5528">
          <cell r="E5528">
            <v>0</v>
          </cell>
          <cell r="F5528">
            <v>0</v>
          </cell>
          <cell r="DN5528">
            <v>0</v>
          </cell>
        </row>
        <row r="5529">
          <cell r="E5529">
            <v>0</v>
          </cell>
          <cell r="F5529">
            <v>0</v>
          </cell>
          <cell r="DN5529">
            <v>0</v>
          </cell>
        </row>
        <row r="5530">
          <cell r="E5530">
            <v>0</v>
          </cell>
          <cell r="F5530">
            <v>0</v>
          </cell>
          <cell r="DN5530">
            <v>0</v>
          </cell>
        </row>
        <row r="5531">
          <cell r="E5531">
            <v>0</v>
          </cell>
          <cell r="F5531">
            <v>0</v>
          </cell>
          <cell r="DN5531">
            <v>0</v>
          </cell>
        </row>
        <row r="5532">
          <cell r="E5532">
            <v>0</v>
          </cell>
          <cell r="F5532">
            <v>0</v>
          </cell>
          <cell r="DN5532">
            <v>0</v>
          </cell>
        </row>
        <row r="5533">
          <cell r="E5533">
            <v>0</v>
          </cell>
          <cell r="F5533">
            <v>0</v>
          </cell>
          <cell r="DN5533">
            <v>0</v>
          </cell>
        </row>
        <row r="5534">
          <cell r="E5534">
            <v>0</v>
          </cell>
          <cell r="F5534">
            <v>0</v>
          </cell>
          <cell r="DN5534">
            <v>0</v>
          </cell>
        </row>
        <row r="5535">
          <cell r="E5535">
            <v>0</v>
          </cell>
          <cell r="F5535">
            <v>0</v>
          </cell>
          <cell r="DN5535">
            <v>0</v>
          </cell>
        </row>
        <row r="5536">
          <cell r="E5536">
            <v>0</v>
          </cell>
          <cell r="F5536">
            <v>0</v>
          </cell>
          <cell r="DN5536">
            <v>0</v>
          </cell>
        </row>
        <row r="5537">
          <cell r="E5537">
            <v>0</v>
          </cell>
          <cell r="F5537">
            <v>0</v>
          </cell>
          <cell r="DN5537">
            <v>0</v>
          </cell>
        </row>
        <row r="5538">
          <cell r="E5538">
            <v>0</v>
          </cell>
          <cell r="F5538">
            <v>0</v>
          </cell>
          <cell r="DN5538">
            <v>0</v>
          </cell>
        </row>
        <row r="5539">
          <cell r="E5539">
            <v>0</v>
          </cell>
          <cell r="F5539">
            <v>0</v>
          </cell>
          <cell r="DN5539">
            <v>0</v>
          </cell>
        </row>
        <row r="5540">
          <cell r="E5540">
            <v>0</v>
          </cell>
          <cell r="F5540">
            <v>0</v>
          </cell>
          <cell r="DN5540">
            <v>0</v>
          </cell>
        </row>
        <row r="5541">
          <cell r="E5541">
            <v>0</v>
          </cell>
          <cell r="F5541">
            <v>0</v>
          </cell>
          <cell r="DN5541">
            <v>0</v>
          </cell>
        </row>
        <row r="5542">
          <cell r="E5542">
            <v>0</v>
          </cell>
          <cell r="F5542">
            <v>0</v>
          </cell>
          <cell r="DN5542">
            <v>0</v>
          </cell>
        </row>
        <row r="5543">
          <cell r="E5543">
            <v>0</v>
          </cell>
          <cell r="F5543">
            <v>0</v>
          </cell>
          <cell r="DN5543">
            <v>0</v>
          </cell>
        </row>
        <row r="5544">
          <cell r="E5544">
            <v>0</v>
          </cell>
          <cell r="F5544">
            <v>0</v>
          </cell>
          <cell r="DN5544">
            <v>0</v>
          </cell>
        </row>
        <row r="5545">
          <cell r="E5545">
            <v>0</v>
          </cell>
          <cell r="F5545">
            <v>0</v>
          </cell>
          <cell r="DN5545">
            <v>0</v>
          </cell>
        </row>
        <row r="5546">
          <cell r="E5546">
            <v>0</v>
          </cell>
          <cell r="F5546">
            <v>0</v>
          </cell>
          <cell r="DN5546">
            <v>0</v>
          </cell>
        </row>
        <row r="5547">
          <cell r="E5547">
            <v>0</v>
          </cell>
          <cell r="F5547">
            <v>0</v>
          </cell>
          <cell r="DN5547">
            <v>0</v>
          </cell>
        </row>
        <row r="5548">
          <cell r="E5548">
            <v>0</v>
          </cell>
          <cell r="F5548">
            <v>0</v>
          </cell>
          <cell r="DN5548">
            <v>0</v>
          </cell>
        </row>
        <row r="5549">
          <cell r="E5549">
            <v>0</v>
          </cell>
          <cell r="F5549">
            <v>0</v>
          </cell>
          <cell r="DN5549">
            <v>0</v>
          </cell>
        </row>
        <row r="5550">
          <cell r="E5550">
            <v>0</v>
          </cell>
          <cell r="F5550">
            <v>0</v>
          </cell>
          <cell r="DN5550">
            <v>0</v>
          </cell>
        </row>
        <row r="5551">
          <cell r="E5551">
            <v>0</v>
          </cell>
          <cell r="F5551">
            <v>0</v>
          </cell>
          <cell r="DN5551">
            <v>0</v>
          </cell>
        </row>
        <row r="5552">
          <cell r="E5552">
            <v>0</v>
          </cell>
          <cell r="F5552">
            <v>0</v>
          </cell>
          <cell r="DN5552">
            <v>0</v>
          </cell>
        </row>
        <row r="5553">
          <cell r="E5553">
            <v>0</v>
          </cell>
          <cell r="F5553">
            <v>0</v>
          </cell>
          <cell r="DN5553">
            <v>0</v>
          </cell>
        </row>
        <row r="5554">
          <cell r="E5554">
            <v>0</v>
          </cell>
          <cell r="F5554">
            <v>0</v>
          </cell>
          <cell r="DN5554">
            <v>0</v>
          </cell>
        </row>
        <row r="5555">
          <cell r="E5555">
            <v>0</v>
          </cell>
          <cell r="F5555">
            <v>0</v>
          </cell>
          <cell r="DN5555">
            <v>0</v>
          </cell>
        </row>
        <row r="5556">
          <cell r="E5556">
            <v>0</v>
          </cell>
          <cell r="F5556">
            <v>0</v>
          </cell>
          <cell r="DN5556">
            <v>0</v>
          </cell>
        </row>
        <row r="5557">
          <cell r="E5557">
            <v>0</v>
          </cell>
          <cell r="F5557">
            <v>0</v>
          </cell>
          <cell r="DN5557">
            <v>0</v>
          </cell>
        </row>
        <row r="5558">
          <cell r="E5558">
            <v>0</v>
          </cell>
          <cell r="F5558">
            <v>0</v>
          </cell>
          <cell r="DN5558">
            <v>0</v>
          </cell>
        </row>
        <row r="5559">
          <cell r="E5559">
            <v>0</v>
          </cell>
          <cell r="F5559">
            <v>0</v>
          </cell>
          <cell r="DN5559">
            <v>0</v>
          </cell>
        </row>
        <row r="5560">
          <cell r="E5560">
            <v>0</v>
          </cell>
          <cell r="F5560">
            <v>0</v>
          </cell>
          <cell r="DN5560">
            <v>0</v>
          </cell>
        </row>
        <row r="5561">
          <cell r="E5561">
            <v>0</v>
          </cell>
          <cell r="F5561">
            <v>0</v>
          </cell>
          <cell r="DN5561">
            <v>0</v>
          </cell>
        </row>
        <row r="5562">
          <cell r="E5562">
            <v>0</v>
          </cell>
          <cell r="F5562">
            <v>0</v>
          </cell>
          <cell r="DN5562">
            <v>0</v>
          </cell>
        </row>
        <row r="5563">
          <cell r="E5563">
            <v>0</v>
          </cell>
          <cell r="F5563">
            <v>0</v>
          </cell>
          <cell r="DN5563">
            <v>0</v>
          </cell>
        </row>
        <row r="5564">
          <cell r="E5564">
            <v>0</v>
          </cell>
          <cell r="F5564">
            <v>0</v>
          </cell>
          <cell r="DN5564">
            <v>0</v>
          </cell>
        </row>
        <row r="5565">
          <cell r="E5565">
            <v>0</v>
          </cell>
          <cell r="F5565">
            <v>0</v>
          </cell>
          <cell r="DN5565">
            <v>0</v>
          </cell>
        </row>
        <row r="5566">
          <cell r="E5566">
            <v>0</v>
          </cell>
          <cell r="F5566">
            <v>0</v>
          </cell>
          <cell r="DN5566">
            <v>0</v>
          </cell>
        </row>
        <row r="5567">
          <cell r="E5567">
            <v>0</v>
          </cell>
          <cell r="F5567">
            <v>0</v>
          </cell>
          <cell r="DN5567">
            <v>0</v>
          </cell>
        </row>
        <row r="5568">
          <cell r="E5568">
            <v>0</v>
          </cell>
          <cell r="F5568">
            <v>0</v>
          </cell>
          <cell r="DN5568">
            <v>0</v>
          </cell>
        </row>
        <row r="5569">
          <cell r="E5569">
            <v>0</v>
          </cell>
          <cell r="F5569">
            <v>0</v>
          </cell>
          <cell r="DN5569">
            <v>0</v>
          </cell>
        </row>
        <row r="5570">
          <cell r="E5570">
            <v>0</v>
          </cell>
          <cell r="F5570">
            <v>0</v>
          </cell>
          <cell r="DN5570">
            <v>0</v>
          </cell>
        </row>
        <row r="5571">
          <cell r="E5571">
            <v>0</v>
          </cell>
          <cell r="F5571">
            <v>0</v>
          </cell>
          <cell r="DN5571">
            <v>0</v>
          </cell>
        </row>
        <row r="5572">
          <cell r="E5572">
            <v>0</v>
          </cell>
          <cell r="F5572">
            <v>0</v>
          </cell>
          <cell r="DN5572">
            <v>0</v>
          </cell>
        </row>
        <row r="5573">
          <cell r="E5573">
            <v>0</v>
          </cell>
          <cell r="F5573">
            <v>0</v>
          </cell>
          <cell r="DN5573">
            <v>0</v>
          </cell>
        </row>
        <row r="5574">
          <cell r="E5574">
            <v>0</v>
          </cell>
          <cell r="F5574">
            <v>0</v>
          </cell>
          <cell r="DN5574">
            <v>0</v>
          </cell>
        </row>
        <row r="5575">
          <cell r="E5575">
            <v>0</v>
          </cell>
          <cell r="F5575">
            <v>0</v>
          </cell>
          <cell r="DN5575">
            <v>0</v>
          </cell>
        </row>
        <row r="5576">
          <cell r="E5576">
            <v>0</v>
          </cell>
          <cell r="F5576">
            <v>0</v>
          </cell>
          <cell r="DN5576">
            <v>0</v>
          </cell>
        </row>
        <row r="5577">
          <cell r="E5577">
            <v>0</v>
          </cell>
          <cell r="F5577">
            <v>0</v>
          </cell>
          <cell r="DN5577">
            <v>0</v>
          </cell>
        </row>
        <row r="5578">
          <cell r="E5578">
            <v>0</v>
          </cell>
          <cell r="F5578">
            <v>0</v>
          </cell>
          <cell r="DN5578">
            <v>0</v>
          </cell>
        </row>
        <row r="5579">
          <cell r="E5579">
            <v>0</v>
          </cell>
          <cell r="F5579">
            <v>0</v>
          </cell>
          <cell r="DN5579">
            <v>0</v>
          </cell>
        </row>
        <row r="5580">
          <cell r="E5580">
            <v>0</v>
          </cell>
          <cell r="F5580">
            <v>0</v>
          </cell>
          <cell r="DN5580">
            <v>0</v>
          </cell>
        </row>
        <row r="5581">
          <cell r="E5581">
            <v>0</v>
          </cell>
          <cell r="F5581">
            <v>0</v>
          </cell>
          <cell r="DN5581">
            <v>0</v>
          </cell>
        </row>
        <row r="5582">
          <cell r="E5582">
            <v>0</v>
          </cell>
          <cell r="F5582">
            <v>0</v>
          </cell>
          <cell r="DN5582">
            <v>0</v>
          </cell>
        </row>
        <row r="5583">
          <cell r="E5583">
            <v>0</v>
          </cell>
          <cell r="F5583">
            <v>0</v>
          </cell>
          <cell r="DN5583">
            <v>0</v>
          </cell>
        </row>
        <row r="5584">
          <cell r="E5584">
            <v>0</v>
          </cell>
          <cell r="F5584">
            <v>0</v>
          </cell>
          <cell r="DN5584">
            <v>0</v>
          </cell>
        </row>
        <row r="5585">
          <cell r="E5585">
            <v>0</v>
          </cell>
          <cell r="F5585">
            <v>0</v>
          </cell>
          <cell r="DN5585">
            <v>0</v>
          </cell>
        </row>
        <row r="5586">
          <cell r="E5586">
            <v>0</v>
          </cell>
          <cell r="F5586">
            <v>0</v>
          </cell>
          <cell r="DN5586">
            <v>0</v>
          </cell>
        </row>
        <row r="5587">
          <cell r="E5587">
            <v>0</v>
          </cell>
          <cell r="F5587">
            <v>0</v>
          </cell>
          <cell r="DN5587">
            <v>0</v>
          </cell>
        </row>
        <row r="5588">
          <cell r="E5588">
            <v>0</v>
          </cell>
          <cell r="F5588">
            <v>0</v>
          </cell>
          <cell r="DN5588">
            <v>0</v>
          </cell>
        </row>
        <row r="5589">
          <cell r="E5589">
            <v>0</v>
          </cell>
          <cell r="F5589">
            <v>0</v>
          </cell>
          <cell r="DN5589">
            <v>0</v>
          </cell>
        </row>
        <row r="5590">
          <cell r="E5590">
            <v>0</v>
          </cell>
          <cell r="F5590">
            <v>0</v>
          </cell>
          <cell r="DN5590">
            <v>0</v>
          </cell>
        </row>
        <row r="5591">
          <cell r="E5591">
            <v>0</v>
          </cell>
          <cell r="F5591">
            <v>0</v>
          </cell>
          <cell r="DN5591">
            <v>0</v>
          </cell>
        </row>
        <row r="5592">
          <cell r="E5592">
            <v>0</v>
          </cell>
          <cell r="F5592">
            <v>0</v>
          </cell>
          <cell r="DN5592">
            <v>0</v>
          </cell>
        </row>
        <row r="5593">
          <cell r="E5593">
            <v>0</v>
          </cell>
          <cell r="F5593">
            <v>0</v>
          </cell>
          <cell r="DN5593">
            <v>0</v>
          </cell>
        </row>
        <row r="5594">
          <cell r="E5594">
            <v>0</v>
          </cell>
          <cell r="F5594">
            <v>0</v>
          </cell>
          <cell r="DN5594">
            <v>0</v>
          </cell>
        </row>
        <row r="5595">
          <cell r="E5595">
            <v>0</v>
          </cell>
          <cell r="F5595">
            <v>0</v>
          </cell>
          <cell r="DN5595">
            <v>0</v>
          </cell>
        </row>
        <row r="5596">
          <cell r="E5596">
            <v>0</v>
          </cell>
          <cell r="F5596">
            <v>0</v>
          </cell>
          <cell r="DN5596">
            <v>0</v>
          </cell>
        </row>
        <row r="5597">
          <cell r="E5597">
            <v>0</v>
          </cell>
          <cell r="F5597">
            <v>0</v>
          </cell>
          <cell r="DN5597">
            <v>0</v>
          </cell>
        </row>
        <row r="5598">
          <cell r="E5598">
            <v>0</v>
          </cell>
          <cell r="F5598">
            <v>0</v>
          </cell>
          <cell r="DN5598">
            <v>0</v>
          </cell>
        </row>
        <row r="5599">
          <cell r="E5599">
            <v>0</v>
          </cell>
          <cell r="F5599">
            <v>0</v>
          </cell>
          <cell r="DN5599">
            <v>0</v>
          </cell>
        </row>
        <row r="5600">
          <cell r="E5600">
            <v>0</v>
          </cell>
          <cell r="F5600">
            <v>0</v>
          </cell>
          <cell r="DN5600">
            <v>0</v>
          </cell>
        </row>
        <row r="5601">
          <cell r="E5601">
            <v>0</v>
          </cell>
          <cell r="F5601">
            <v>0</v>
          </cell>
          <cell r="DN5601">
            <v>0</v>
          </cell>
        </row>
        <row r="5602">
          <cell r="E5602">
            <v>0</v>
          </cell>
          <cell r="F5602">
            <v>0</v>
          </cell>
          <cell r="DN5602">
            <v>0</v>
          </cell>
        </row>
        <row r="5603">
          <cell r="E5603">
            <v>0</v>
          </cell>
          <cell r="F5603">
            <v>0</v>
          </cell>
          <cell r="DN5603">
            <v>0</v>
          </cell>
        </row>
        <row r="5604">
          <cell r="E5604">
            <v>0</v>
          </cell>
          <cell r="F5604">
            <v>0</v>
          </cell>
          <cell r="DN5604">
            <v>0</v>
          </cell>
        </row>
        <row r="5605">
          <cell r="E5605">
            <v>0</v>
          </cell>
          <cell r="F5605">
            <v>0</v>
          </cell>
          <cell r="DN5605">
            <v>0</v>
          </cell>
        </row>
        <row r="5606">
          <cell r="E5606">
            <v>0</v>
          </cell>
          <cell r="F5606">
            <v>0</v>
          </cell>
          <cell r="DN5606">
            <v>0</v>
          </cell>
        </row>
        <row r="5607">
          <cell r="E5607">
            <v>0</v>
          </cell>
          <cell r="F5607">
            <v>0</v>
          </cell>
          <cell r="DN5607">
            <v>0</v>
          </cell>
        </row>
        <row r="5608">
          <cell r="E5608">
            <v>0</v>
          </cell>
          <cell r="F5608">
            <v>0</v>
          </cell>
          <cell r="DN5608">
            <v>0</v>
          </cell>
        </row>
        <row r="5609">
          <cell r="E5609">
            <v>0</v>
          </cell>
          <cell r="F5609">
            <v>0</v>
          </cell>
          <cell r="DN5609">
            <v>0</v>
          </cell>
        </row>
        <row r="5610">
          <cell r="E5610">
            <v>0</v>
          </cell>
          <cell r="F5610">
            <v>0</v>
          </cell>
          <cell r="DN5610">
            <v>0</v>
          </cell>
        </row>
        <row r="5611">
          <cell r="E5611">
            <v>0</v>
          </cell>
          <cell r="F5611">
            <v>0</v>
          </cell>
          <cell r="DN5611">
            <v>0</v>
          </cell>
        </row>
        <row r="5612">
          <cell r="E5612">
            <v>0</v>
          </cell>
          <cell r="F5612">
            <v>0</v>
          </cell>
          <cell r="DN5612">
            <v>0</v>
          </cell>
        </row>
        <row r="5613">
          <cell r="E5613">
            <v>0</v>
          </cell>
          <cell r="F5613">
            <v>0</v>
          </cell>
          <cell r="DN5613">
            <v>0</v>
          </cell>
        </row>
        <row r="5614">
          <cell r="E5614">
            <v>0</v>
          </cell>
          <cell r="F5614">
            <v>0</v>
          </cell>
          <cell r="DN5614">
            <v>0</v>
          </cell>
        </row>
        <row r="5615">
          <cell r="E5615">
            <v>0</v>
          </cell>
          <cell r="F5615">
            <v>0</v>
          </cell>
          <cell r="DN5615">
            <v>0</v>
          </cell>
        </row>
        <row r="5616">
          <cell r="E5616">
            <v>0</v>
          </cell>
          <cell r="F5616">
            <v>0</v>
          </cell>
          <cell r="DN5616">
            <v>0</v>
          </cell>
        </row>
        <row r="5617">
          <cell r="E5617">
            <v>0</v>
          </cell>
          <cell r="F5617">
            <v>0</v>
          </cell>
          <cell r="DN5617">
            <v>0</v>
          </cell>
        </row>
        <row r="5618">
          <cell r="E5618">
            <v>0</v>
          </cell>
          <cell r="F5618">
            <v>0</v>
          </cell>
          <cell r="DN5618">
            <v>0</v>
          </cell>
        </row>
        <row r="5619">
          <cell r="E5619">
            <v>0</v>
          </cell>
          <cell r="F5619">
            <v>0</v>
          </cell>
          <cell r="DN5619">
            <v>0</v>
          </cell>
        </row>
        <row r="5620">
          <cell r="E5620">
            <v>0</v>
          </cell>
          <cell r="F5620">
            <v>0</v>
          </cell>
          <cell r="DN5620">
            <v>0</v>
          </cell>
        </row>
        <row r="5621">
          <cell r="E5621">
            <v>0</v>
          </cell>
          <cell r="F5621">
            <v>0</v>
          </cell>
          <cell r="DN5621">
            <v>0</v>
          </cell>
        </row>
        <row r="5622">
          <cell r="E5622">
            <v>0</v>
          </cell>
          <cell r="F5622">
            <v>0</v>
          </cell>
          <cell r="DN5622">
            <v>0</v>
          </cell>
        </row>
        <row r="5623">
          <cell r="E5623">
            <v>0</v>
          </cell>
          <cell r="F5623">
            <v>0</v>
          </cell>
          <cell r="DN5623">
            <v>0</v>
          </cell>
        </row>
        <row r="5624">
          <cell r="E5624">
            <v>0</v>
          </cell>
          <cell r="F5624">
            <v>0</v>
          </cell>
          <cell r="DN5624">
            <v>0</v>
          </cell>
        </row>
        <row r="5625">
          <cell r="E5625">
            <v>0</v>
          </cell>
          <cell r="F5625">
            <v>0</v>
          </cell>
          <cell r="DN5625">
            <v>0</v>
          </cell>
        </row>
        <row r="5626">
          <cell r="E5626">
            <v>0</v>
          </cell>
          <cell r="F5626">
            <v>0</v>
          </cell>
          <cell r="DN5626">
            <v>0</v>
          </cell>
        </row>
        <row r="5627">
          <cell r="E5627">
            <v>0</v>
          </cell>
          <cell r="F5627">
            <v>0</v>
          </cell>
          <cell r="DN5627">
            <v>0</v>
          </cell>
        </row>
        <row r="5628">
          <cell r="E5628">
            <v>0</v>
          </cell>
          <cell r="F5628">
            <v>0</v>
          </cell>
          <cell r="DN5628">
            <v>0</v>
          </cell>
        </row>
        <row r="5629">
          <cell r="E5629">
            <v>0</v>
          </cell>
          <cell r="F5629">
            <v>0</v>
          </cell>
          <cell r="DN5629">
            <v>0</v>
          </cell>
        </row>
        <row r="5630">
          <cell r="E5630">
            <v>0</v>
          </cell>
          <cell r="F5630">
            <v>0</v>
          </cell>
          <cell r="DN5630">
            <v>0</v>
          </cell>
        </row>
        <row r="5631">
          <cell r="E5631">
            <v>0</v>
          </cell>
          <cell r="F5631">
            <v>0</v>
          </cell>
          <cell r="DN5631">
            <v>0</v>
          </cell>
        </row>
        <row r="5632">
          <cell r="E5632">
            <v>0</v>
          </cell>
          <cell r="F5632">
            <v>0</v>
          </cell>
          <cell r="DN5632">
            <v>0</v>
          </cell>
        </row>
        <row r="5633">
          <cell r="E5633">
            <v>0</v>
          </cell>
          <cell r="F5633">
            <v>0</v>
          </cell>
          <cell r="DN5633">
            <v>0</v>
          </cell>
        </row>
        <row r="5634">
          <cell r="E5634">
            <v>0</v>
          </cell>
          <cell r="F5634">
            <v>0</v>
          </cell>
          <cell r="DN5634">
            <v>0</v>
          </cell>
        </row>
        <row r="5635">
          <cell r="E5635">
            <v>0</v>
          </cell>
          <cell r="F5635">
            <v>0</v>
          </cell>
          <cell r="DN5635">
            <v>0</v>
          </cell>
        </row>
        <row r="5636">
          <cell r="E5636">
            <v>0</v>
          </cell>
          <cell r="F5636">
            <v>0</v>
          </cell>
          <cell r="DN5636">
            <v>0</v>
          </cell>
        </row>
        <row r="5637">
          <cell r="E5637">
            <v>0</v>
          </cell>
          <cell r="F5637">
            <v>0</v>
          </cell>
          <cell r="DN5637">
            <v>0</v>
          </cell>
        </row>
        <row r="5638">
          <cell r="E5638">
            <v>0</v>
          </cell>
          <cell r="F5638">
            <v>0</v>
          </cell>
          <cell r="DN5638">
            <v>0</v>
          </cell>
        </row>
        <row r="5639">
          <cell r="E5639">
            <v>0</v>
          </cell>
          <cell r="F5639">
            <v>0</v>
          </cell>
          <cell r="DN5639">
            <v>0</v>
          </cell>
        </row>
        <row r="5640">
          <cell r="E5640">
            <v>0</v>
          </cell>
          <cell r="F5640">
            <v>0</v>
          </cell>
          <cell r="DN5640">
            <v>0</v>
          </cell>
        </row>
        <row r="5641">
          <cell r="E5641">
            <v>0</v>
          </cell>
          <cell r="F5641">
            <v>0</v>
          </cell>
          <cell r="DN5641">
            <v>0</v>
          </cell>
        </row>
        <row r="5642">
          <cell r="E5642">
            <v>0</v>
          </cell>
          <cell r="F5642">
            <v>0</v>
          </cell>
          <cell r="DN5642">
            <v>0</v>
          </cell>
        </row>
        <row r="5643">
          <cell r="E5643">
            <v>0</v>
          </cell>
          <cell r="F5643">
            <v>0</v>
          </cell>
          <cell r="DN5643">
            <v>0</v>
          </cell>
        </row>
        <row r="5644">
          <cell r="E5644">
            <v>0</v>
          </cell>
          <cell r="F5644">
            <v>0</v>
          </cell>
          <cell r="DN5644">
            <v>0</v>
          </cell>
        </row>
        <row r="5645">
          <cell r="E5645">
            <v>0</v>
          </cell>
          <cell r="F5645">
            <v>0</v>
          </cell>
          <cell r="DN5645">
            <v>0</v>
          </cell>
        </row>
        <row r="5646">
          <cell r="E5646">
            <v>0</v>
          </cell>
          <cell r="F5646">
            <v>0</v>
          </cell>
          <cell r="DN5646">
            <v>0</v>
          </cell>
        </row>
        <row r="5647">
          <cell r="E5647">
            <v>0</v>
          </cell>
          <cell r="F5647">
            <v>0</v>
          </cell>
          <cell r="DN5647">
            <v>0</v>
          </cell>
        </row>
        <row r="5648">
          <cell r="E5648">
            <v>0</v>
          </cell>
          <cell r="F5648">
            <v>0</v>
          </cell>
          <cell r="DN5648">
            <v>0</v>
          </cell>
        </row>
        <row r="5649">
          <cell r="E5649">
            <v>0</v>
          </cell>
          <cell r="F5649">
            <v>0</v>
          </cell>
          <cell r="DN5649">
            <v>0</v>
          </cell>
        </row>
        <row r="5650">
          <cell r="E5650">
            <v>0</v>
          </cell>
          <cell r="F5650">
            <v>0</v>
          </cell>
          <cell r="DN5650">
            <v>0</v>
          </cell>
        </row>
        <row r="5651">
          <cell r="E5651">
            <v>0</v>
          </cell>
          <cell r="F5651">
            <v>0</v>
          </cell>
          <cell r="DN5651">
            <v>0</v>
          </cell>
        </row>
        <row r="5652">
          <cell r="E5652">
            <v>0</v>
          </cell>
          <cell r="F5652">
            <v>0</v>
          </cell>
          <cell r="DN5652">
            <v>0</v>
          </cell>
        </row>
        <row r="5653">
          <cell r="E5653">
            <v>0</v>
          </cell>
          <cell r="F5653">
            <v>0</v>
          </cell>
          <cell r="DN5653">
            <v>0</v>
          </cell>
        </row>
        <row r="5654">
          <cell r="E5654">
            <v>0</v>
          </cell>
          <cell r="F5654">
            <v>0</v>
          </cell>
          <cell r="DN5654">
            <v>0</v>
          </cell>
        </row>
        <row r="5655">
          <cell r="E5655">
            <v>0</v>
          </cell>
          <cell r="F5655">
            <v>0</v>
          </cell>
          <cell r="DN5655">
            <v>0</v>
          </cell>
        </row>
        <row r="5656">
          <cell r="E5656">
            <v>0</v>
          </cell>
          <cell r="F5656">
            <v>0</v>
          </cell>
          <cell r="DN5656">
            <v>0</v>
          </cell>
        </row>
        <row r="5657">
          <cell r="E5657">
            <v>0</v>
          </cell>
          <cell r="F5657">
            <v>0</v>
          </cell>
          <cell r="DN5657">
            <v>0</v>
          </cell>
        </row>
        <row r="5658">
          <cell r="E5658">
            <v>0</v>
          </cell>
          <cell r="F5658">
            <v>0</v>
          </cell>
          <cell r="DN5658">
            <v>0</v>
          </cell>
        </row>
        <row r="5659">
          <cell r="E5659">
            <v>0</v>
          </cell>
          <cell r="F5659">
            <v>0</v>
          </cell>
          <cell r="DN5659">
            <v>0</v>
          </cell>
        </row>
        <row r="5660">
          <cell r="E5660">
            <v>0</v>
          </cell>
          <cell r="F5660">
            <v>0</v>
          </cell>
          <cell r="DN5660">
            <v>0</v>
          </cell>
        </row>
        <row r="5661">
          <cell r="E5661">
            <v>0</v>
          </cell>
          <cell r="F5661">
            <v>0</v>
          </cell>
          <cell r="DN5661">
            <v>0</v>
          </cell>
        </row>
        <row r="5662">
          <cell r="E5662">
            <v>0</v>
          </cell>
          <cell r="F5662">
            <v>0</v>
          </cell>
          <cell r="DN5662">
            <v>0</v>
          </cell>
        </row>
        <row r="5663">
          <cell r="E5663">
            <v>0</v>
          </cell>
          <cell r="F5663">
            <v>0</v>
          </cell>
          <cell r="DN5663">
            <v>0</v>
          </cell>
        </row>
        <row r="5664">
          <cell r="E5664">
            <v>0</v>
          </cell>
          <cell r="F5664">
            <v>0</v>
          </cell>
          <cell r="DN5664">
            <v>0</v>
          </cell>
        </row>
        <row r="5665">
          <cell r="E5665">
            <v>0</v>
          </cell>
          <cell r="F5665">
            <v>0</v>
          </cell>
          <cell r="DN5665">
            <v>0</v>
          </cell>
        </row>
        <row r="5666">
          <cell r="E5666">
            <v>0</v>
          </cell>
          <cell r="F5666">
            <v>0</v>
          </cell>
          <cell r="DN5666">
            <v>0</v>
          </cell>
        </row>
        <row r="5667">
          <cell r="E5667">
            <v>0</v>
          </cell>
          <cell r="F5667">
            <v>0</v>
          </cell>
          <cell r="DN5667">
            <v>0</v>
          </cell>
        </row>
        <row r="5668">
          <cell r="E5668">
            <v>0</v>
          </cell>
          <cell r="F5668">
            <v>0</v>
          </cell>
          <cell r="DN5668">
            <v>0</v>
          </cell>
        </row>
        <row r="5669">
          <cell r="E5669">
            <v>0</v>
          </cell>
          <cell r="F5669">
            <v>0</v>
          </cell>
          <cell r="DN5669">
            <v>0</v>
          </cell>
        </row>
        <row r="5670">
          <cell r="E5670">
            <v>0</v>
          </cell>
          <cell r="F5670">
            <v>0</v>
          </cell>
          <cell r="DN5670">
            <v>0</v>
          </cell>
        </row>
        <row r="5671">
          <cell r="E5671">
            <v>0</v>
          </cell>
          <cell r="F5671">
            <v>0</v>
          </cell>
          <cell r="DN5671">
            <v>0</v>
          </cell>
        </row>
        <row r="5672">
          <cell r="E5672">
            <v>0</v>
          </cell>
          <cell r="F5672">
            <v>0</v>
          </cell>
          <cell r="DN5672">
            <v>0</v>
          </cell>
        </row>
        <row r="5673">
          <cell r="E5673">
            <v>0</v>
          </cell>
          <cell r="F5673">
            <v>0</v>
          </cell>
          <cell r="DN5673">
            <v>0</v>
          </cell>
        </row>
        <row r="5674">
          <cell r="E5674">
            <v>0</v>
          </cell>
          <cell r="F5674">
            <v>0</v>
          </cell>
          <cell r="DN5674">
            <v>0</v>
          </cell>
        </row>
        <row r="5675">
          <cell r="E5675">
            <v>0</v>
          </cell>
          <cell r="F5675">
            <v>0</v>
          </cell>
          <cell r="DN5675">
            <v>0</v>
          </cell>
        </row>
        <row r="5676">
          <cell r="E5676">
            <v>0</v>
          </cell>
          <cell r="F5676">
            <v>0</v>
          </cell>
          <cell r="DN5676">
            <v>0</v>
          </cell>
        </row>
        <row r="5677">
          <cell r="E5677">
            <v>0</v>
          </cell>
          <cell r="F5677">
            <v>0</v>
          </cell>
          <cell r="DN5677">
            <v>0</v>
          </cell>
        </row>
        <row r="5678">
          <cell r="E5678">
            <v>0</v>
          </cell>
          <cell r="F5678">
            <v>0</v>
          </cell>
          <cell r="DN5678">
            <v>0</v>
          </cell>
        </row>
        <row r="5679">
          <cell r="E5679">
            <v>0</v>
          </cell>
          <cell r="F5679">
            <v>0</v>
          </cell>
          <cell r="DN5679">
            <v>0</v>
          </cell>
        </row>
        <row r="5680">
          <cell r="E5680">
            <v>0</v>
          </cell>
          <cell r="F5680">
            <v>0</v>
          </cell>
          <cell r="DN5680">
            <v>0</v>
          </cell>
        </row>
        <row r="5681">
          <cell r="E5681">
            <v>0</v>
          </cell>
          <cell r="F5681">
            <v>0</v>
          </cell>
          <cell r="DN5681">
            <v>0</v>
          </cell>
        </row>
        <row r="5682">
          <cell r="E5682">
            <v>0</v>
          </cell>
          <cell r="F5682">
            <v>0</v>
          </cell>
          <cell r="DN5682">
            <v>0</v>
          </cell>
        </row>
        <row r="5683">
          <cell r="E5683">
            <v>0</v>
          </cell>
          <cell r="F5683">
            <v>0</v>
          </cell>
          <cell r="DN5683">
            <v>0</v>
          </cell>
        </row>
        <row r="5684">
          <cell r="E5684">
            <v>0</v>
          </cell>
          <cell r="F5684">
            <v>0</v>
          </cell>
          <cell r="DN5684">
            <v>0</v>
          </cell>
        </row>
        <row r="5685">
          <cell r="E5685">
            <v>0</v>
          </cell>
          <cell r="F5685">
            <v>0</v>
          </cell>
          <cell r="DN5685">
            <v>0</v>
          </cell>
        </row>
        <row r="5686">
          <cell r="E5686">
            <v>0</v>
          </cell>
          <cell r="F5686">
            <v>0</v>
          </cell>
          <cell r="DN5686">
            <v>0</v>
          </cell>
        </row>
        <row r="5687">
          <cell r="E5687">
            <v>0</v>
          </cell>
          <cell r="F5687">
            <v>0</v>
          </cell>
          <cell r="DN5687">
            <v>0</v>
          </cell>
        </row>
        <row r="5688">
          <cell r="E5688">
            <v>0</v>
          </cell>
          <cell r="F5688">
            <v>0</v>
          </cell>
          <cell r="DN5688">
            <v>0</v>
          </cell>
        </row>
        <row r="5689">
          <cell r="E5689">
            <v>0</v>
          </cell>
          <cell r="F5689">
            <v>0</v>
          </cell>
          <cell r="DN5689">
            <v>0</v>
          </cell>
        </row>
        <row r="5690">
          <cell r="E5690">
            <v>0</v>
          </cell>
          <cell r="F5690">
            <v>0</v>
          </cell>
          <cell r="DN5690">
            <v>0</v>
          </cell>
        </row>
        <row r="5691">
          <cell r="E5691">
            <v>0</v>
          </cell>
          <cell r="F5691">
            <v>0</v>
          </cell>
          <cell r="DN5691">
            <v>0</v>
          </cell>
        </row>
        <row r="5692">
          <cell r="E5692">
            <v>0</v>
          </cell>
          <cell r="F5692">
            <v>0</v>
          </cell>
          <cell r="DN5692">
            <v>0</v>
          </cell>
        </row>
        <row r="5693">
          <cell r="E5693">
            <v>0</v>
          </cell>
          <cell r="F5693">
            <v>0</v>
          </cell>
          <cell r="DN5693">
            <v>0</v>
          </cell>
        </row>
        <row r="5694">
          <cell r="E5694">
            <v>0</v>
          </cell>
          <cell r="F5694">
            <v>0</v>
          </cell>
          <cell r="DN5694">
            <v>0</v>
          </cell>
        </row>
        <row r="5695">
          <cell r="E5695">
            <v>0</v>
          </cell>
          <cell r="F5695">
            <v>0</v>
          </cell>
          <cell r="DN5695">
            <v>0</v>
          </cell>
        </row>
        <row r="5696">
          <cell r="E5696">
            <v>0</v>
          </cell>
          <cell r="F5696">
            <v>0</v>
          </cell>
          <cell r="DN5696">
            <v>0</v>
          </cell>
        </row>
        <row r="5697">
          <cell r="E5697">
            <v>0</v>
          </cell>
          <cell r="F5697">
            <v>0</v>
          </cell>
          <cell r="DN5697">
            <v>0</v>
          </cell>
        </row>
        <row r="5698">
          <cell r="E5698">
            <v>0</v>
          </cell>
          <cell r="F5698">
            <v>0</v>
          </cell>
          <cell r="DN5698">
            <v>0</v>
          </cell>
        </row>
        <row r="5699">
          <cell r="E5699">
            <v>0</v>
          </cell>
          <cell r="F5699">
            <v>0</v>
          </cell>
          <cell r="DN5699">
            <v>0</v>
          </cell>
        </row>
        <row r="5700">
          <cell r="E5700">
            <v>0</v>
          </cell>
          <cell r="F5700">
            <v>0</v>
          </cell>
          <cell r="DN5700">
            <v>0</v>
          </cell>
        </row>
        <row r="5701">
          <cell r="E5701">
            <v>0</v>
          </cell>
          <cell r="F5701">
            <v>0</v>
          </cell>
          <cell r="DN5701">
            <v>0</v>
          </cell>
        </row>
        <row r="5702">
          <cell r="E5702">
            <v>0</v>
          </cell>
          <cell r="F5702">
            <v>0</v>
          </cell>
          <cell r="DN5702">
            <v>0</v>
          </cell>
        </row>
        <row r="5703">
          <cell r="E5703">
            <v>0</v>
          </cell>
          <cell r="F5703">
            <v>0</v>
          </cell>
          <cell r="DN5703">
            <v>0</v>
          </cell>
        </row>
        <row r="5704">
          <cell r="E5704">
            <v>0</v>
          </cell>
          <cell r="F5704">
            <v>0</v>
          </cell>
          <cell r="DN5704">
            <v>0</v>
          </cell>
        </row>
        <row r="5705">
          <cell r="E5705">
            <v>0</v>
          </cell>
          <cell r="F5705">
            <v>0</v>
          </cell>
          <cell r="DN5705">
            <v>0</v>
          </cell>
        </row>
        <row r="5706">
          <cell r="E5706">
            <v>0</v>
          </cell>
          <cell r="F5706">
            <v>0</v>
          </cell>
          <cell r="DN5706">
            <v>0</v>
          </cell>
        </row>
        <row r="5707">
          <cell r="E5707">
            <v>0</v>
          </cell>
          <cell r="F5707">
            <v>0</v>
          </cell>
          <cell r="DN5707">
            <v>0</v>
          </cell>
        </row>
        <row r="5708">
          <cell r="E5708">
            <v>0</v>
          </cell>
          <cell r="F5708">
            <v>0</v>
          </cell>
          <cell r="DN5708">
            <v>0</v>
          </cell>
        </row>
        <row r="5709">
          <cell r="E5709">
            <v>0</v>
          </cell>
          <cell r="F5709">
            <v>0</v>
          </cell>
          <cell r="DN5709">
            <v>0</v>
          </cell>
        </row>
        <row r="5710">
          <cell r="E5710">
            <v>0</v>
          </cell>
          <cell r="F5710">
            <v>0</v>
          </cell>
          <cell r="DN5710">
            <v>0</v>
          </cell>
        </row>
        <row r="5711">
          <cell r="E5711">
            <v>0</v>
          </cell>
          <cell r="F5711">
            <v>0</v>
          </cell>
          <cell r="DN5711">
            <v>0</v>
          </cell>
        </row>
        <row r="5712">
          <cell r="E5712">
            <v>0</v>
          </cell>
          <cell r="F5712">
            <v>0</v>
          </cell>
          <cell r="DN5712">
            <v>0</v>
          </cell>
        </row>
        <row r="5713">
          <cell r="E5713">
            <v>0</v>
          </cell>
          <cell r="F5713">
            <v>0</v>
          </cell>
          <cell r="DN5713">
            <v>0</v>
          </cell>
        </row>
        <row r="5714">
          <cell r="E5714">
            <v>0</v>
          </cell>
          <cell r="F5714">
            <v>0</v>
          </cell>
          <cell r="DN5714">
            <v>0</v>
          </cell>
        </row>
        <row r="5715">
          <cell r="E5715">
            <v>0</v>
          </cell>
          <cell r="F5715">
            <v>0</v>
          </cell>
          <cell r="DN5715">
            <v>0</v>
          </cell>
        </row>
        <row r="5716">
          <cell r="E5716">
            <v>0</v>
          </cell>
          <cell r="F5716">
            <v>0</v>
          </cell>
          <cell r="DN5716">
            <v>0</v>
          </cell>
        </row>
        <row r="5717">
          <cell r="E5717">
            <v>0</v>
          </cell>
          <cell r="F5717">
            <v>0</v>
          </cell>
          <cell r="DN5717">
            <v>0</v>
          </cell>
        </row>
        <row r="5718">
          <cell r="E5718">
            <v>0</v>
          </cell>
          <cell r="F5718">
            <v>0</v>
          </cell>
          <cell r="DN5718">
            <v>0</v>
          </cell>
        </row>
        <row r="5719">
          <cell r="E5719">
            <v>0</v>
          </cell>
          <cell r="F5719">
            <v>0</v>
          </cell>
          <cell r="DN5719">
            <v>0</v>
          </cell>
        </row>
        <row r="5720">
          <cell r="E5720">
            <v>0</v>
          </cell>
          <cell r="F5720">
            <v>0</v>
          </cell>
          <cell r="DN5720">
            <v>0</v>
          </cell>
        </row>
        <row r="5721">
          <cell r="E5721">
            <v>0</v>
          </cell>
          <cell r="F5721">
            <v>0</v>
          </cell>
          <cell r="DN5721">
            <v>0</v>
          </cell>
        </row>
        <row r="5722">
          <cell r="E5722">
            <v>0</v>
          </cell>
          <cell r="F5722">
            <v>0</v>
          </cell>
          <cell r="DN5722">
            <v>0</v>
          </cell>
        </row>
        <row r="5723">
          <cell r="E5723">
            <v>0</v>
          </cell>
          <cell r="F5723">
            <v>0</v>
          </cell>
          <cell r="DN5723">
            <v>0</v>
          </cell>
        </row>
        <row r="5724">
          <cell r="E5724">
            <v>0</v>
          </cell>
          <cell r="F5724">
            <v>0</v>
          </cell>
          <cell r="DN5724">
            <v>0</v>
          </cell>
        </row>
        <row r="5725">
          <cell r="E5725">
            <v>0</v>
          </cell>
          <cell r="F5725">
            <v>0</v>
          </cell>
          <cell r="DN5725">
            <v>0</v>
          </cell>
        </row>
        <row r="5726">
          <cell r="E5726">
            <v>0</v>
          </cell>
          <cell r="F5726">
            <v>0</v>
          </cell>
          <cell r="DN5726">
            <v>0</v>
          </cell>
        </row>
        <row r="5727">
          <cell r="E5727">
            <v>0</v>
          </cell>
          <cell r="F5727">
            <v>0</v>
          </cell>
          <cell r="DN5727">
            <v>0</v>
          </cell>
        </row>
        <row r="5728">
          <cell r="E5728">
            <v>0</v>
          </cell>
          <cell r="F5728">
            <v>0</v>
          </cell>
          <cell r="DN5728">
            <v>0</v>
          </cell>
        </row>
        <row r="5729">
          <cell r="E5729">
            <v>0</v>
          </cell>
          <cell r="F5729">
            <v>0</v>
          </cell>
          <cell r="DN5729">
            <v>0</v>
          </cell>
        </row>
        <row r="5730">
          <cell r="E5730">
            <v>0</v>
          </cell>
          <cell r="F5730">
            <v>0</v>
          </cell>
          <cell r="DN5730">
            <v>0</v>
          </cell>
        </row>
        <row r="5731">
          <cell r="E5731">
            <v>0</v>
          </cell>
          <cell r="F5731">
            <v>0</v>
          </cell>
          <cell r="DN5731">
            <v>0</v>
          </cell>
        </row>
        <row r="5732">
          <cell r="E5732">
            <v>0</v>
          </cell>
          <cell r="F5732">
            <v>0</v>
          </cell>
          <cell r="DN5732">
            <v>0</v>
          </cell>
        </row>
        <row r="5733">
          <cell r="E5733">
            <v>0</v>
          </cell>
          <cell r="F5733">
            <v>0</v>
          </cell>
          <cell r="DN5733">
            <v>0</v>
          </cell>
        </row>
        <row r="5734">
          <cell r="E5734">
            <v>0</v>
          </cell>
          <cell r="F5734">
            <v>0</v>
          </cell>
          <cell r="DN5734">
            <v>0</v>
          </cell>
        </row>
        <row r="5735">
          <cell r="E5735">
            <v>0</v>
          </cell>
          <cell r="F5735">
            <v>0</v>
          </cell>
          <cell r="DN5735">
            <v>0</v>
          </cell>
        </row>
        <row r="5736">
          <cell r="E5736">
            <v>0</v>
          </cell>
          <cell r="F5736">
            <v>0</v>
          </cell>
          <cell r="DN5736">
            <v>0</v>
          </cell>
        </row>
        <row r="5737">
          <cell r="E5737">
            <v>0</v>
          </cell>
          <cell r="F5737">
            <v>0</v>
          </cell>
          <cell r="DN5737">
            <v>0</v>
          </cell>
        </row>
        <row r="5738">
          <cell r="E5738">
            <v>0</v>
          </cell>
          <cell r="F5738">
            <v>0</v>
          </cell>
          <cell r="DN5738">
            <v>0</v>
          </cell>
        </row>
        <row r="5739">
          <cell r="E5739">
            <v>0</v>
          </cell>
          <cell r="F5739">
            <v>0</v>
          </cell>
          <cell r="DN5739">
            <v>0</v>
          </cell>
        </row>
        <row r="5740">
          <cell r="E5740">
            <v>0</v>
          </cell>
          <cell r="F5740">
            <v>0</v>
          </cell>
          <cell r="DN5740">
            <v>0</v>
          </cell>
        </row>
        <row r="5741">
          <cell r="E5741">
            <v>0</v>
          </cell>
          <cell r="F5741">
            <v>0</v>
          </cell>
          <cell r="DN5741">
            <v>0</v>
          </cell>
        </row>
        <row r="5742">
          <cell r="E5742">
            <v>0</v>
          </cell>
          <cell r="F5742">
            <v>0</v>
          </cell>
          <cell r="DN5742">
            <v>0</v>
          </cell>
        </row>
        <row r="5743">
          <cell r="E5743">
            <v>0</v>
          </cell>
          <cell r="F5743">
            <v>0</v>
          </cell>
          <cell r="DN5743">
            <v>0</v>
          </cell>
        </row>
        <row r="5744">
          <cell r="E5744">
            <v>0</v>
          </cell>
          <cell r="F5744">
            <v>0</v>
          </cell>
          <cell r="DN5744">
            <v>0</v>
          </cell>
        </row>
        <row r="5745">
          <cell r="E5745">
            <v>0</v>
          </cell>
          <cell r="F5745">
            <v>0</v>
          </cell>
          <cell r="DN5745">
            <v>0</v>
          </cell>
        </row>
        <row r="5746">
          <cell r="E5746">
            <v>0</v>
          </cell>
          <cell r="F5746">
            <v>0</v>
          </cell>
          <cell r="DN5746">
            <v>0</v>
          </cell>
        </row>
        <row r="5747">
          <cell r="E5747">
            <v>0</v>
          </cell>
          <cell r="F5747">
            <v>0</v>
          </cell>
          <cell r="DN5747">
            <v>0</v>
          </cell>
        </row>
        <row r="5748">
          <cell r="E5748">
            <v>0</v>
          </cell>
          <cell r="F5748">
            <v>0</v>
          </cell>
          <cell r="DN5748">
            <v>0</v>
          </cell>
        </row>
        <row r="5749">
          <cell r="E5749">
            <v>0</v>
          </cell>
          <cell r="F5749">
            <v>0</v>
          </cell>
          <cell r="DN5749">
            <v>0</v>
          </cell>
        </row>
        <row r="5750">
          <cell r="E5750">
            <v>0</v>
          </cell>
          <cell r="F5750">
            <v>0</v>
          </cell>
          <cell r="DN5750">
            <v>0</v>
          </cell>
        </row>
        <row r="5751">
          <cell r="E5751">
            <v>0</v>
          </cell>
          <cell r="F5751">
            <v>0</v>
          </cell>
          <cell r="DN5751">
            <v>0</v>
          </cell>
        </row>
        <row r="5752">
          <cell r="E5752">
            <v>0</v>
          </cell>
          <cell r="F5752">
            <v>0</v>
          </cell>
          <cell r="DN5752">
            <v>0</v>
          </cell>
        </row>
        <row r="5753">
          <cell r="E5753">
            <v>0</v>
          </cell>
          <cell r="F5753">
            <v>0</v>
          </cell>
          <cell r="DN5753">
            <v>0</v>
          </cell>
        </row>
        <row r="5754">
          <cell r="E5754">
            <v>0</v>
          </cell>
          <cell r="F5754">
            <v>0</v>
          </cell>
          <cell r="DN5754">
            <v>0</v>
          </cell>
        </row>
        <row r="5755">
          <cell r="E5755">
            <v>0</v>
          </cell>
          <cell r="F5755">
            <v>0</v>
          </cell>
          <cell r="DN5755">
            <v>0</v>
          </cell>
        </row>
        <row r="5756">
          <cell r="E5756">
            <v>0</v>
          </cell>
          <cell r="F5756">
            <v>0</v>
          </cell>
          <cell r="DN5756">
            <v>0</v>
          </cell>
        </row>
        <row r="5757">
          <cell r="E5757">
            <v>0</v>
          </cell>
          <cell r="F5757">
            <v>0</v>
          </cell>
          <cell r="DN5757">
            <v>0</v>
          </cell>
        </row>
        <row r="5758">
          <cell r="E5758">
            <v>0</v>
          </cell>
          <cell r="F5758">
            <v>0</v>
          </cell>
          <cell r="DN5758">
            <v>0</v>
          </cell>
        </row>
        <row r="5759">
          <cell r="E5759">
            <v>0</v>
          </cell>
          <cell r="F5759">
            <v>0</v>
          </cell>
          <cell r="DN5759">
            <v>0</v>
          </cell>
        </row>
        <row r="5760">
          <cell r="E5760">
            <v>0</v>
          </cell>
          <cell r="F5760">
            <v>0</v>
          </cell>
          <cell r="DN5760">
            <v>0</v>
          </cell>
        </row>
        <row r="5761">
          <cell r="E5761">
            <v>0</v>
          </cell>
          <cell r="F5761">
            <v>0</v>
          </cell>
          <cell r="DN5761">
            <v>0</v>
          </cell>
        </row>
        <row r="5762">
          <cell r="E5762">
            <v>0</v>
          </cell>
          <cell r="F5762">
            <v>0</v>
          </cell>
          <cell r="DN5762">
            <v>0</v>
          </cell>
        </row>
        <row r="5763">
          <cell r="E5763">
            <v>0</v>
          </cell>
          <cell r="F5763">
            <v>0</v>
          </cell>
          <cell r="DN5763">
            <v>0</v>
          </cell>
        </row>
        <row r="5764">
          <cell r="E5764">
            <v>0</v>
          </cell>
          <cell r="F5764">
            <v>0</v>
          </cell>
          <cell r="DN5764">
            <v>0</v>
          </cell>
        </row>
        <row r="5765">
          <cell r="E5765">
            <v>0</v>
          </cell>
          <cell r="F5765">
            <v>0</v>
          </cell>
          <cell r="DN5765">
            <v>0</v>
          </cell>
        </row>
        <row r="5766">
          <cell r="E5766">
            <v>0</v>
          </cell>
          <cell r="F5766">
            <v>0</v>
          </cell>
          <cell r="DN5766">
            <v>0</v>
          </cell>
        </row>
        <row r="5767">
          <cell r="E5767">
            <v>0</v>
          </cell>
          <cell r="F5767">
            <v>0</v>
          </cell>
          <cell r="DN5767">
            <v>0</v>
          </cell>
        </row>
        <row r="5768">
          <cell r="E5768">
            <v>0</v>
          </cell>
          <cell r="F5768">
            <v>0</v>
          </cell>
          <cell r="DN5768">
            <v>0</v>
          </cell>
        </row>
        <row r="5769">
          <cell r="E5769">
            <v>0</v>
          </cell>
          <cell r="F5769">
            <v>0</v>
          </cell>
          <cell r="DN5769">
            <v>0</v>
          </cell>
        </row>
        <row r="5770">
          <cell r="E5770">
            <v>0</v>
          </cell>
          <cell r="F5770">
            <v>0</v>
          </cell>
          <cell r="DN5770">
            <v>0</v>
          </cell>
        </row>
        <row r="5771">
          <cell r="E5771">
            <v>0</v>
          </cell>
          <cell r="F5771">
            <v>0</v>
          </cell>
          <cell r="DN5771">
            <v>0</v>
          </cell>
        </row>
        <row r="5772">
          <cell r="E5772">
            <v>0</v>
          </cell>
          <cell r="F5772">
            <v>0</v>
          </cell>
          <cell r="DN5772">
            <v>0</v>
          </cell>
        </row>
        <row r="5773">
          <cell r="E5773">
            <v>0</v>
          </cell>
          <cell r="F5773">
            <v>0</v>
          </cell>
          <cell r="DN5773">
            <v>0</v>
          </cell>
        </row>
        <row r="5774">
          <cell r="E5774">
            <v>0</v>
          </cell>
          <cell r="F5774">
            <v>0</v>
          </cell>
          <cell r="DN5774">
            <v>0</v>
          </cell>
        </row>
        <row r="5775">
          <cell r="E5775">
            <v>0</v>
          </cell>
          <cell r="F5775">
            <v>0</v>
          </cell>
          <cell r="DN5775">
            <v>0</v>
          </cell>
        </row>
        <row r="5776">
          <cell r="E5776">
            <v>0</v>
          </cell>
          <cell r="F5776">
            <v>0</v>
          </cell>
          <cell r="DN5776">
            <v>0</v>
          </cell>
        </row>
        <row r="5777">
          <cell r="E5777">
            <v>0</v>
          </cell>
          <cell r="F5777">
            <v>0</v>
          </cell>
          <cell r="DN5777">
            <v>0</v>
          </cell>
        </row>
        <row r="5778">
          <cell r="E5778">
            <v>0</v>
          </cell>
          <cell r="F5778">
            <v>0</v>
          </cell>
          <cell r="DN5778">
            <v>0</v>
          </cell>
        </row>
        <row r="5779">
          <cell r="E5779">
            <v>0</v>
          </cell>
          <cell r="F5779">
            <v>0</v>
          </cell>
          <cell r="DN5779">
            <v>0</v>
          </cell>
        </row>
        <row r="5780">
          <cell r="E5780">
            <v>0</v>
          </cell>
          <cell r="F5780">
            <v>0</v>
          </cell>
          <cell r="DN5780">
            <v>0</v>
          </cell>
        </row>
        <row r="5781">
          <cell r="E5781">
            <v>0</v>
          </cell>
          <cell r="F5781">
            <v>0</v>
          </cell>
          <cell r="DN5781">
            <v>0</v>
          </cell>
        </row>
        <row r="5782">
          <cell r="E5782">
            <v>0</v>
          </cell>
          <cell r="F5782">
            <v>0</v>
          </cell>
          <cell r="DN5782">
            <v>0</v>
          </cell>
        </row>
        <row r="5783">
          <cell r="E5783">
            <v>0</v>
          </cell>
          <cell r="F5783">
            <v>0</v>
          </cell>
          <cell r="DN5783">
            <v>0</v>
          </cell>
        </row>
        <row r="5784">
          <cell r="E5784">
            <v>0</v>
          </cell>
          <cell r="F5784">
            <v>0</v>
          </cell>
          <cell r="DN5784">
            <v>0</v>
          </cell>
        </row>
        <row r="5785">
          <cell r="E5785">
            <v>0</v>
          </cell>
          <cell r="F5785">
            <v>0</v>
          </cell>
          <cell r="DN5785">
            <v>0</v>
          </cell>
        </row>
        <row r="5786">
          <cell r="E5786">
            <v>0</v>
          </cell>
          <cell r="F5786">
            <v>0</v>
          </cell>
          <cell r="DN5786">
            <v>0</v>
          </cell>
        </row>
        <row r="5787">
          <cell r="E5787">
            <v>0</v>
          </cell>
          <cell r="F5787">
            <v>0</v>
          </cell>
          <cell r="DN5787">
            <v>0</v>
          </cell>
        </row>
        <row r="5788">
          <cell r="E5788">
            <v>0</v>
          </cell>
          <cell r="F5788">
            <v>0</v>
          </cell>
          <cell r="DN5788">
            <v>0</v>
          </cell>
        </row>
        <row r="5789">
          <cell r="E5789">
            <v>0</v>
          </cell>
          <cell r="F5789">
            <v>0</v>
          </cell>
          <cell r="DN5789">
            <v>0</v>
          </cell>
        </row>
        <row r="5790">
          <cell r="E5790">
            <v>0</v>
          </cell>
          <cell r="F5790">
            <v>0</v>
          </cell>
          <cell r="DN5790">
            <v>0</v>
          </cell>
        </row>
        <row r="5791">
          <cell r="E5791">
            <v>0</v>
          </cell>
          <cell r="F5791">
            <v>0</v>
          </cell>
          <cell r="DN5791">
            <v>0</v>
          </cell>
        </row>
        <row r="5792">
          <cell r="E5792">
            <v>0</v>
          </cell>
          <cell r="F5792">
            <v>0</v>
          </cell>
          <cell r="DN5792">
            <v>0</v>
          </cell>
        </row>
        <row r="5793">
          <cell r="E5793">
            <v>0</v>
          </cell>
          <cell r="F5793">
            <v>0</v>
          </cell>
          <cell r="DN5793">
            <v>0</v>
          </cell>
        </row>
        <row r="5794">
          <cell r="E5794">
            <v>0</v>
          </cell>
          <cell r="F5794">
            <v>0</v>
          </cell>
          <cell r="DN5794">
            <v>0</v>
          </cell>
        </row>
        <row r="5795">
          <cell r="E5795">
            <v>0</v>
          </cell>
          <cell r="F5795">
            <v>0</v>
          </cell>
          <cell r="DN5795">
            <v>0</v>
          </cell>
        </row>
        <row r="5796">
          <cell r="E5796">
            <v>0</v>
          </cell>
          <cell r="F5796">
            <v>0</v>
          </cell>
          <cell r="DN5796">
            <v>0</v>
          </cell>
        </row>
        <row r="5797">
          <cell r="E5797">
            <v>0</v>
          </cell>
          <cell r="F5797">
            <v>0</v>
          </cell>
          <cell r="DN5797">
            <v>0</v>
          </cell>
        </row>
        <row r="5798">
          <cell r="E5798">
            <v>0</v>
          </cell>
          <cell r="F5798">
            <v>0</v>
          </cell>
          <cell r="DN5798">
            <v>0</v>
          </cell>
        </row>
        <row r="5799">
          <cell r="E5799">
            <v>0</v>
          </cell>
          <cell r="F5799">
            <v>0</v>
          </cell>
          <cell r="DN5799">
            <v>0</v>
          </cell>
        </row>
        <row r="5800">
          <cell r="E5800">
            <v>0</v>
          </cell>
          <cell r="F5800">
            <v>0</v>
          </cell>
          <cell r="DN5800">
            <v>0</v>
          </cell>
        </row>
        <row r="5801">
          <cell r="E5801">
            <v>0</v>
          </cell>
          <cell r="F5801">
            <v>0</v>
          </cell>
          <cell r="DN5801">
            <v>0</v>
          </cell>
        </row>
        <row r="5802">
          <cell r="E5802">
            <v>0</v>
          </cell>
          <cell r="F5802">
            <v>0</v>
          </cell>
          <cell r="DN5802">
            <v>0</v>
          </cell>
        </row>
        <row r="5803">
          <cell r="E5803">
            <v>0</v>
          </cell>
          <cell r="F5803">
            <v>0</v>
          </cell>
          <cell r="DN5803">
            <v>0</v>
          </cell>
        </row>
        <row r="5804">
          <cell r="E5804">
            <v>0</v>
          </cell>
          <cell r="F5804">
            <v>0</v>
          </cell>
          <cell r="DN5804">
            <v>0</v>
          </cell>
        </row>
        <row r="5805">
          <cell r="E5805">
            <v>0</v>
          </cell>
          <cell r="F5805">
            <v>0</v>
          </cell>
          <cell r="DN5805">
            <v>0</v>
          </cell>
        </row>
        <row r="5806">
          <cell r="E5806">
            <v>0</v>
          </cell>
          <cell r="F5806">
            <v>0</v>
          </cell>
          <cell r="DN5806">
            <v>0</v>
          </cell>
        </row>
        <row r="5807">
          <cell r="E5807">
            <v>0</v>
          </cell>
          <cell r="F5807">
            <v>0</v>
          </cell>
          <cell r="DN5807">
            <v>0</v>
          </cell>
        </row>
        <row r="5808">
          <cell r="E5808">
            <v>0</v>
          </cell>
          <cell r="F5808">
            <v>0</v>
          </cell>
          <cell r="DN5808">
            <v>0</v>
          </cell>
        </row>
        <row r="5809">
          <cell r="E5809">
            <v>0</v>
          </cell>
          <cell r="F5809">
            <v>0</v>
          </cell>
          <cell r="DN5809">
            <v>0</v>
          </cell>
        </row>
        <row r="5810">
          <cell r="E5810">
            <v>0</v>
          </cell>
          <cell r="F5810">
            <v>0</v>
          </cell>
          <cell r="DN5810">
            <v>0</v>
          </cell>
        </row>
        <row r="5811">
          <cell r="E5811">
            <v>0</v>
          </cell>
          <cell r="F5811">
            <v>0</v>
          </cell>
          <cell r="DN5811">
            <v>0</v>
          </cell>
        </row>
        <row r="5812">
          <cell r="E5812">
            <v>0</v>
          </cell>
          <cell r="F5812">
            <v>0</v>
          </cell>
          <cell r="DN5812">
            <v>0</v>
          </cell>
        </row>
        <row r="5813">
          <cell r="E5813">
            <v>0</v>
          </cell>
          <cell r="F5813">
            <v>0</v>
          </cell>
          <cell r="DN5813">
            <v>0</v>
          </cell>
        </row>
        <row r="5814">
          <cell r="E5814">
            <v>0</v>
          </cell>
          <cell r="F5814">
            <v>0</v>
          </cell>
          <cell r="DN5814">
            <v>0</v>
          </cell>
        </row>
        <row r="5815">
          <cell r="E5815">
            <v>0</v>
          </cell>
          <cell r="F5815">
            <v>0</v>
          </cell>
          <cell r="DN5815">
            <v>0</v>
          </cell>
        </row>
        <row r="5816">
          <cell r="E5816">
            <v>0</v>
          </cell>
          <cell r="F5816">
            <v>0</v>
          </cell>
          <cell r="DN5816">
            <v>0</v>
          </cell>
        </row>
        <row r="5817">
          <cell r="E5817">
            <v>0</v>
          </cell>
          <cell r="F5817">
            <v>0</v>
          </cell>
          <cell r="DN5817">
            <v>0</v>
          </cell>
        </row>
        <row r="5818">
          <cell r="E5818">
            <v>0</v>
          </cell>
          <cell r="F5818">
            <v>0</v>
          </cell>
          <cell r="DN5818">
            <v>0</v>
          </cell>
        </row>
        <row r="5819">
          <cell r="E5819">
            <v>0</v>
          </cell>
          <cell r="F5819">
            <v>0</v>
          </cell>
          <cell r="DN5819">
            <v>0</v>
          </cell>
        </row>
        <row r="5820">
          <cell r="E5820">
            <v>0</v>
          </cell>
          <cell r="F5820">
            <v>0</v>
          </cell>
          <cell r="DN5820">
            <v>0</v>
          </cell>
        </row>
        <row r="5821">
          <cell r="E5821">
            <v>0</v>
          </cell>
          <cell r="F5821">
            <v>0</v>
          </cell>
          <cell r="DN5821">
            <v>0</v>
          </cell>
        </row>
        <row r="5822">
          <cell r="E5822">
            <v>0</v>
          </cell>
          <cell r="F5822">
            <v>0</v>
          </cell>
          <cell r="DN5822">
            <v>0</v>
          </cell>
        </row>
        <row r="5823">
          <cell r="E5823">
            <v>0</v>
          </cell>
          <cell r="F5823">
            <v>0</v>
          </cell>
          <cell r="DN5823">
            <v>0</v>
          </cell>
        </row>
        <row r="5824">
          <cell r="E5824">
            <v>0</v>
          </cell>
          <cell r="F5824">
            <v>0</v>
          </cell>
          <cell r="DN5824">
            <v>0</v>
          </cell>
        </row>
        <row r="5825">
          <cell r="E5825">
            <v>0</v>
          </cell>
          <cell r="F5825">
            <v>0</v>
          </cell>
          <cell r="DN5825">
            <v>0</v>
          </cell>
        </row>
        <row r="5826">
          <cell r="E5826">
            <v>0</v>
          </cell>
          <cell r="F5826">
            <v>0</v>
          </cell>
          <cell r="DN5826">
            <v>0</v>
          </cell>
        </row>
        <row r="5827">
          <cell r="E5827">
            <v>0</v>
          </cell>
          <cell r="F5827">
            <v>0</v>
          </cell>
          <cell r="DN5827">
            <v>0</v>
          </cell>
        </row>
        <row r="5828">
          <cell r="E5828">
            <v>0</v>
          </cell>
          <cell r="F5828">
            <v>0</v>
          </cell>
          <cell r="DN5828">
            <v>0</v>
          </cell>
        </row>
        <row r="5829">
          <cell r="E5829">
            <v>0</v>
          </cell>
          <cell r="F5829">
            <v>0</v>
          </cell>
          <cell r="DN5829">
            <v>0</v>
          </cell>
        </row>
        <row r="5830">
          <cell r="E5830">
            <v>0</v>
          </cell>
          <cell r="F5830">
            <v>0</v>
          </cell>
          <cell r="DN5830">
            <v>0</v>
          </cell>
        </row>
        <row r="5831">
          <cell r="E5831">
            <v>0</v>
          </cell>
          <cell r="F5831">
            <v>0</v>
          </cell>
          <cell r="DN5831">
            <v>0</v>
          </cell>
        </row>
        <row r="5832">
          <cell r="E5832">
            <v>0</v>
          </cell>
          <cell r="F5832">
            <v>0</v>
          </cell>
          <cell r="DN5832">
            <v>0</v>
          </cell>
        </row>
        <row r="5833">
          <cell r="E5833">
            <v>0</v>
          </cell>
          <cell r="F5833">
            <v>0</v>
          </cell>
          <cell r="DN5833">
            <v>0</v>
          </cell>
        </row>
        <row r="5834">
          <cell r="E5834">
            <v>0</v>
          </cell>
          <cell r="F5834">
            <v>0</v>
          </cell>
          <cell r="DN5834">
            <v>0</v>
          </cell>
        </row>
        <row r="5835">
          <cell r="E5835">
            <v>0</v>
          </cell>
          <cell r="F5835">
            <v>0</v>
          </cell>
          <cell r="DN5835">
            <v>0</v>
          </cell>
        </row>
        <row r="5836">
          <cell r="E5836">
            <v>0</v>
          </cell>
          <cell r="F5836">
            <v>0</v>
          </cell>
          <cell r="DN5836">
            <v>0</v>
          </cell>
        </row>
        <row r="5837">
          <cell r="E5837">
            <v>0</v>
          </cell>
          <cell r="F5837">
            <v>0</v>
          </cell>
          <cell r="DN5837">
            <v>0</v>
          </cell>
        </row>
        <row r="5838">
          <cell r="E5838">
            <v>0</v>
          </cell>
          <cell r="F5838">
            <v>0</v>
          </cell>
          <cell r="DN5838">
            <v>0</v>
          </cell>
        </row>
        <row r="5839">
          <cell r="E5839">
            <v>0</v>
          </cell>
          <cell r="F5839">
            <v>0</v>
          </cell>
          <cell r="DN5839">
            <v>0</v>
          </cell>
        </row>
        <row r="5840">
          <cell r="E5840">
            <v>0</v>
          </cell>
          <cell r="F5840">
            <v>0</v>
          </cell>
          <cell r="DN5840">
            <v>0</v>
          </cell>
        </row>
        <row r="5841">
          <cell r="E5841">
            <v>0</v>
          </cell>
          <cell r="F5841">
            <v>0</v>
          </cell>
          <cell r="DN5841">
            <v>0</v>
          </cell>
        </row>
        <row r="5842">
          <cell r="E5842">
            <v>0</v>
          </cell>
          <cell r="F5842">
            <v>0</v>
          </cell>
          <cell r="DN5842">
            <v>0</v>
          </cell>
        </row>
        <row r="5843">
          <cell r="E5843">
            <v>0</v>
          </cell>
          <cell r="F5843">
            <v>0</v>
          </cell>
          <cell r="DN5843">
            <v>0</v>
          </cell>
        </row>
        <row r="5844">
          <cell r="E5844">
            <v>0</v>
          </cell>
          <cell r="F5844">
            <v>0</v>
          </cell>
          <cell r="DN5844">
            <v>0</v>
          </cell>
        </row>
        <row r="5845">
          <cell r="E5845">
            <v>0</v>
          </cell>
          <cell r="F5845">
            <v>0</v>
          </cell>
          <cell r="DN5845">
            <v>0</v>
          </cell>
        </row>
        <row r="5846">
          <cell r="E5846">
            <v>0</v>
          </cell>
          <cell r="F5846">
            <v>0</v>
          </cell>
          <cell r="DN5846">
            <v>0</v>
          </cell>
        </row>
        <row r="5847">
          <cell r="E5847">
            <v>0</v>
          </cell>
          <cell r="F5847">
            <v>0</v>
          </cell>
          <cell r="DN5847">
            <v>0</v>
          </cell>
        </row>
        <row r="5848">
          <cell r="E5848">
            <v>0</v>
          </cell>
          <cell r="F5848">
            <v>0</v>
          </cell>
          <cell r="DN5848">
            <v>0</v>
          </cell>
        </row>
        <row r="5849">
          <cell r="E5849">
            <v>0</v>
          </cell>
          <cell r="F5849">
            <v>0</v>
          </cell>
          <cell r="DN5849">
            <v>0</v>
          </cell>
        </row>
        <row r="5850">
          <cell r="E5850">
            <v>0</v>
          </cell>
          <cell r="F5850">
            <v>0</v>
          </cell>
          <cell r="DN5850">
            <v>0</v>
          </cell>
        </row>
        <row r="5851">
          <cell r="E5851">
            <v>0</v>
          </cell>
          <cell r="F5851">
            <v>0</v>
          </cell>
          <cell r="DN5851">
            <v>0</v>
          </cell>
        </row>
        <row r="5852">
          <cell r="E5852">
            <v>0</v>
          </cell>
          <cell r="F5852">
            <v>0</v>
          </cell>
          <cell r="DN5852">
            <v>0</v>
          </cell>
        </row>
        <row r="5853">
          <cell r="E5853">
            <v>0</v>
          </cell>
          <cell r="F5853">
            <v>0</v>
          </cell>
          <cell r="DN5853">
            <v>0</v>
          </cell>
        </row>
        <row r="5854">
          <cell r="E5854">
            <v>0</v>
          </cell>
          <cell r="F5854">
            <v>0</v>
          </cell>
          <cell r="DN5854">
            <v>0</v>
          </cell>
        </row>
        <row r="5855">
          <cell r="E5855">
            <v>0</v>
          </cell>
          <cell r="F5855">
            <v>0</v>
          </cell>
          <cell r="DN5855">
            <v>0</v>
          </cell>
        </row>
        <row r="5856">
          <cell r="E5856">
            <v>0</v>
          </cell>
          <cell r="F5856">
            <v>0</v>
          </cell>
          <cell r="DN5856">
            <v>0</v>
          </cell>
        </row>
        <row r="5857">
          <cell r="E5857">
            <v>0</v>
          </cell>
          <cell r="F5857">
            <v>0</v>
          </cell>
          <cell r="DN5857">
            <v>0</v>
          </cell>
        </row>
        <row r="5858">
          <cell r="E5858">
            <v>0</v>
          </cell>
          <cell r="F5858">
            <v>0</v>
          </cell>
          <cell r="DN5858">
            <v>0</v>
          </cell>
        </row>
        <row r="5859">
          <cell r="E5859">
            <v>0</v>
          </cell>
          <cell r="F5859">
            <v>0</v>
          </cell>
          <cell r="DN5859">
            <v>0</v>
          </cell>
        </row>
        <row r="5860">
          <cell r="E5860">
            <v>0</v>
          </cell>
          <cell r="F5860">
            <v>0</v>
          </cell>
          <cell r="DN5860">
            <v>0</v>
          </cell>
        </row>
        <row r="5861">
          <cell r="E5861">
            <v>0</v>
          </cell>
          <cell r="F5861">
            <v>0</v>
          </cell>
          <cell r="DN5861">
            <v>0</v>
          </cell>
        </row>
        <row r="5862">
          <cell r="E5862">
            <v>0</v>
          </cell>
          <cell r="F5862">
            <v>0</v>
          </cell>
          <cell r="DN5862">
            <v>0</v>
          </cell>
        </row>
        <row r="5863">
          <cell r="E5863">
            <v>0</v>
          </cell>
          <cell r="F5863">
            <v>0</v>
          </cell>
          <cell r="DN5863">
            <v>0</v>
          </cell>
        </row>
        <row r="5864">
          <cell r="E5864">
            <v>0</v>
          </cell>
          <cell r="F5864">
            <v>0</v>
          </cell>
          <cell r="DN5864">
            <v>0</v>
          </cell>
        </row>
        <row r="5865">
          <cell r="E5865">
            <v>0</v>
          </cell>
          <cell r="F5865">
            <v>0</v>
          </cell>
          <cell r="DN5865">
            <v>0</v>
          </cell>
        </row>
        <row r="5866">
          <cell r="E5866">
            <v>0</v>
          </cell>
          <cell r="F5866">
            <v>0</v>
          </cell>
          <cell r="DN5866">
            <v>0</v>
          </cell>
        </row>
        <row r="5867">
          <cell r="E5867">
            <v>0</v>
          </cell>
          <cell r="F5867">
            <v>0</v>
          </cell>
          <cell r="DN5867">
            <v>0</v>
          </cell>
        </row>
        <row r="5868">
          <cell r="E5868">
            <v>0</v>
          </cell>
          <cell r="F5868">
            <v>0</v>
          </cell>
          <cell r="DN5868">
            <v>0</v>
          </cell>
        </row>
        <row r="5869">
          <cell r="E5869">
            <v>0</v>
          </cell>
          <cell r="F5869">
            <v>0</v>
          </cell>
          <cell r="DN5869">
            <v>0</v>
          </cell>
        </row>
        <row r="5870">
          <cell r="E5870">
            <v>0</v>
          </cell>
          <cell r="F5870">
            <v>0</v>
          </cell>
          <cell r="DN5870">
            <v>0</v>
          </cell>
        </row>
        <row r="5871">
          <cell r="E5871">
            <v>0</v>
          </cell>
          <cell r="F5871">
            <v>0</v>
          </cell>
          <cell r="DN5871">
            <v>0</v>
          </cell>
        </row>
        <row r="5872">
          <cell r="E5872">
            <v>0</v>
          </cell>
          <cell r="F5872">
            <v>0</v>
          </cell>
          <cell r="DN5872">
            <v>0</v>
          </cell>
        </row>
        <row r="5873">
          <cell r="E5873">
            <v>0</v>
          </cell>
          <cell r="F5873">
            <v>0</v>
          </cell>
          <cell r="DN5873">
            <v>0</v>
          </cell>
        </row>
        <row r="5874">
          <cell r="E5874">
            <v>0</v>
          </cell>
          <cell r="F5874">
            <v>0</v>
          </cell>
          <cell r="DN5874">
            <v>0</v>
          </cell>
        </row>
        <row r="5875">
          <cell r="E5875">
            <v>0</v>
          </cell>
          <cell r="F5875">
            <v>0</v>
          </cell>
          <cell r="DN5875">
            <v>0</v>
          </cell>
        </row>
        <row r="5876">
          <cell r="E5876">
            <v>0</v>
          </cell>
          <cell r="F5876">
            <v>0</v>
          </cell>
          <cell r="DN5876">
            <v>0</v>
          </cell>
        </row>
        <row r="5877">
          <cell r="E5877">
            <v>0</v>
          </cell>
          <cell r="F5877">
            <v>0</v>
          </cell>
          <cell r="DN5877">
            <v>0</v>
          </cell>
        </row>
        <row r="5878">
          <cell r="E5878">
            <v>0</v>
          </cell>
          <cell r="F5878">
            <v>0</v>
          </cell>
          <cell r="DN5878">
            <v>0</v>
          </cell>
        </row>
        <row r="5879">
          <cell r="E5879">
            <v>0</v>
          </cell>
          <cell r="F5879">
            <v>0</v>
          </cell>
          <cell r="DN5879">
            <v>0</v>
          </cell>
        </row>
        <row r="5880">
          <cell r="E5880">
            <v>0</v>
          </cell>
          <cell r="F5880">
            <v>0</v>
          </cell>
          <cell r="DN5880">
            <v>0</v>
          </cell>
        </row>
        <row r="5881">
          <cell r="E5881">
            <v>0</v>
          </cell>
          <cell r="F5881">
            <v>0</v>
          </cell>
          <cell r="DN5881">
            <v>0</v>
          </cell>
        </row>
        <row r="5882">
          <cell r="E5882">
            <v>0</v>
          </cell>
          <cell r="F5882">
            <v>0</v>
          </cell>
          <cell r="DN5882">
            <v>0</v>
          </cell>
        </row>
        <row r="5883">
          <cell r="E5883">
            <v>0</v>
          </cell>
          <cell r="F5883">
            <v>0</v>
          </cell>
          <cell r="DN5883">
            <v>0</v>
          </cell>
        </row>
        <row r="5884">
          <cell r="E5884">
            <v>0</v>
          </cell>
          <cell r="F5884">
            <v>0</v>
          </cell>
          <cell r="DN5884">
            <v>0</v>
          </cell>
        </row>
        <row r="5885">
          <cell r="E5885">
            <v>0</v>
          </cell>
          <cell r="F5885">
            <v>0</v>
          </cell>
          <cell r="DN5885">
            <v>0</v>
          </cell>
        </row>
        <row r="5886">
          <cell r="E5886">
            <v>0</v>
          </cell>
          <cell r="F5886">
            <v>0</v>
          </cell>
          <cell r="DN5886">
            <v>0</v>
          </cell>
        </row>
        <row r="5887">
          <cell r="E5887">
            <v>0</v>
          </cell>
          <cell r="F5887">
            <v>0</v>
          </cell>
          <cell r="DN5887">
            <v>0</v>
          </cell>
        </row>
        <row r="5888">
          <cell r="E5888">
            <v>0</v>
          </cell>
          <cell r="F5888">
            <v>0</v>
          </cell>
          <cell r="DN5888">
            <v>0</v>
          </cell>
        </row>
        <row r="5889">
          <cell r="E5889">
            <v>0</v>
          </cell>
          <cell r="F5889">
            <v>0</v>
          </cell>
          <cell r="DN5889">
            <v>0</v>
          </cell>
        </row>
        <row r="5890">
          <cell r="E5890">
            <v>0</v>
          </cell>
          <cell r="F5890">
            <v>0</v>
          </cell>
          <cell r="DN5890">
            <v>0</v>
          </cell>
        </row>
        <row r="5891">
          <cell r="E5891">
            <v>0</v>
          </cell>
          <cell r="F5891">
            <v>0</v>
          </cell>
          <cell r="DN5891">
            <v>0</v>
          </cell>
        </row>
        <row r="5892">
          <cell r="E5892">
            <v>0</v>
          </cell>
          <cell r="F5892">
            <v>0</v>
          </cell>
          <cell r="DN5892">
            <v>0</v>
          </cell>
        </row>
        <row r="5893">
          <cell r="E5893">
            <v>0</v>
          </cell>
          <cell r="F5893">
            <v>0</v>
          </cell>
          <cell r="DN5893">
            <v>0</v>
          </cell>
        </row>
        <row r="5894">
          <cell r="E5894">
            <v>0</v>
          </cell>
          <cell r="F5894">
            <v>0</v>
          </cell>
          <cell r="DN5894">
            <v>0</v>
          </cell>
        </row>
        <row r="5895">
          <cell r="E5895">
            <v>0</v>
          </cell>
          <cell r="F5895">
            <v>0</v>
          </cell>
          <cell r="DN5895">
            <v>0</v>
          </cell>
        </row>
        <row r="5896">
          <cell r="E5896">
            <v>0</v>
          </cell>
          <cell r="F5896">
            <v>0</v>
          </cell>
          <cell r="DN5896">
            <v>0</v>
          </cell>
        </row>
        <row r="5897">
          <cell r="E5897">
            <v>0</v>
          </cell>
          <cell r="F5897">
            <v>0</v>
          </cell>
          <cell r="DN5897">
            <v>0</v>
          </cell>
        </row>
        <row r="5898">
          <cell r="E5898">
            <v>0</v>
          </cell>
          <cell r="F5898">
            <v>0</v>
          </cell>
          <cell r="DN5898">
            <v>0</v>
          </cell>
        </row>
        <row r="5899">
          <cell r="E5899">
            <v>0</v>
          </cell>
          <cell r="F5899">
            <v>0</v>
          </cell>
          <cell r="DN5899">
            <v>0</v>
          </cell>
        </row>
        <row r="5900">
          <cell r="E5900">
            <v>0</v>
          </cell>
          <cell r="F5900">
            <v>0</v>
          </cell>
          <cell r="DN5900">
            <v>0</v>
          </cell>
        </row>
        <row r="5901">
          <cell r="E5901">
            <v>0</v>
          </cell>
          <cell r="F5901">
            <v>0</v>
          </cell>
          <cell r="DN5901">
            <v>0</v>
          </cell>
        </row>
        <row r="5902">
          <cell r="E5902">
            <v>0</v>
          </cell>
          <cell r="F5902">
            <v>0</v>
          </cell>
          <cell r="DN5902">
            <v>0</v>
          </cell>
        </row>
        <row r="5903">
          <cell r="E5903">
            <v>0</v>
          </cell>
          <cell r="F5903">
            <v>0</v>
          </cell>
          <cell r="DN5903">
            <v>0</v>
          </cell>
        </row>
        <row r="5904">
          <cell r="E5904">
            <v>0</v>
          </cell>
          <cell r="F5904">
            <v>0</v>
          </cell>
          <cell r="DN5904">
            <v>0</v>
          </cell>
        </row>
        <row r="5905">
          <cell r="E5905">
            <v>0</v>
          </cell>
          <cell r="F5905">
            <v>0</v>
          </cell>
          <cell r="DN5905">
            <v>0</v>
          </cell>
        </row>
        <row r="5906">
          <cell r="E5906">
            <v>0</v>
          </cell>
          <cell r="F5906">
            <v>0</v>
          </cell>
          <cell r="DN5906">
            <v>0</v>
          </cell>
        </row>
        <row r="5907">
          <cell r="E5907">
            <v>0</v>
          </cell>
          <cell r="F5907">
            <v>0</v>
          </cell>
          <cell r="DN5907">
            <v>0</v>
          </cell>
        </row>
        <row r="5908">
          <cell r="E5908">
            <v>0</v>
          </cell>
          <cell r="F5908">
            <v>0</v>
          </cell>
          <cell r="DN5908">
            <v>0</v>
          </cell>
        </row>
        <row r="5909">
          <cell r="E5909">
            <v>0</v>
          </cell>
          <cell r="F5909">
            <v>0</v>
          </cell>
          <cell r="DN5909">
            <v>0</v>
          </cell>
        </row>
        <row r="5910">
          <cell r="E5910">
            <v>0</v>
          </cell>
          <cell r="F5910">
            <v>0</v>
          </cell>
          <cell r="DN5910">
            <v>0</v>
          </cell>
        </row>
        <row r="5911">
          <cell r="E5911">
            <v>0</v>
          </cell>
          <cell r="F5911">
            <v>0</v>
          </cell>
          <cell r="DN5911">
            <v>0</v>
          </cell>
        </row>
        <row r="5912">
          <cell r="E5912">
            <v>0</v>
          </cell>
          <cell r="F5912">
            <v>0</v>
          </cell>
          <cell r="DN5912">
            <v>0</v>
          </cell>
        </row>
        <row r="5913">
          <cell r="E5913">
            <v>0</v>
          </cell>
          <cell r="F5913">
            <v>0</v>
          </cell>
          <cell r="DN5913">
            <v>0</v>
          </cell>
        </row>
        <row r="5914">
          <cell r="E5914">
            <v>0</v>
          </cell>
          <cell r="F5914">
            <v>0</v>
          </cell>
          <cell r="DN5914">
            <v>0</v>
          </cell>
        </row>
        <row r="5915">
          <cell r="E5915">
            <v>0</v>
          </cell>
          <cell r="F5915">
            <v>0</v>
          </cell>
          <cell r="DN5915">
            <v>0</v>
          </cell>
        </row>
        <row r="5916">
          <cell r="E5916">
            <v>0</v>
          </cell>
          <cell r="F5916">
            <v>0</v>
          </cell>
          <cell r="DN5916">
            <v>0</v>
          </cell>
        </row>
        <row r="5917">
          <cell r="E5917">
            <v>0</v>
          </cell>
          <cell r="F5917">
            <v>0</v>
          </cell>
          <cell r="DN5917">
            <v>0</v>
          </cell>
        </row>
        <row r="5918">
          <cell r="E5918">
            <v>0</v>
          </cell>
          <cell r="F5918">
            <v>0</v>
          </cell>
          <cell r="DN5918">
            <v>0</v>
          </cell>
        </row>
        <row r="5919">
          <cell r="E5919">
            <v>0</v>
          </cell>
          <cell r="F5919">
            <v>0</v>
          </cell>
          <cell r="DN5919">
            <v>0</v>
          </cell>
        </row>
        <row r="5920">
          <cell r="E5920">
            <v>0</v>
          </cell>
          <cell r="F5920">
            <v>0</v>
          </cell>
          <cell r="DN5920">
            <v>0</v>
          </cell>
        </row>
        <row r="5921">
          <cell r="E5921">
            <v>0</v>
          </cell>
          <cell r="F5921">
            <v>0</v>
          </cell>
          <cell r="DN5921">
            <v>0</v>
          </cell>
        </row>
        <row r="5922">
          <cell r="E5922">
            <v>0</v>
          </cell>
          <cell r="F5922">
            <v>0</v>
          </cell>
          <cell r="DN5922">
            <v>0</v>
          </cell>
        </row>
        <row r="5923">
          <cell r="E5923">
            <v>0</v>
          </cell>
          <cell r="F5923">
            <v>0</v>
          </cell>
          <cell r="DN5923">
            <v>0</v>
          </cell>
        </row>
        <row r="5924">
          <cell r="E5924">
            <v>0</v>
          </cell>
          <cell r="F5924">
            <v>0</v>
          </cell>
          <cell r="DN5924">
            <v>0</v>
          </cell>
        </row>
        <row r="5925">
          <cell r="E5925">
            <v>0</v>
          </cell>
          <cell r="F5925">
            <v>0</v>
          </cell>
          <cell r="DN5925">
            <v>0</v>
          </cell>
        </row>
        <row r="5926">
          <cell r="E5926">
            <v>0</v>
          </cell>
          <cell r="F5926">
            <v>0</v>
          </cell>
          <cell r="DN5926">
            <v>0</v>
          </cell>
        </row>
        <row r="5927">
          <cell r="E5927">
            <v>0</v>
          </cell>
          <cell r="F5927">
            <v>0</v>
          </cell>
          <cell r="DN5927">
            <v>0</v>
          </cell>
        </row>
        <row r="5928">
          <cell r="E5928">
            <v>0</v>
          </cell>
          <cell r="F5928">
            <v>0</v>
          </cell>
          <cell r="DN5928">
            <v>0</v>
          </cell>
        </row>
        <row r="5929">
          <cell r="E5929">
            <v>0</v>
          </cell>
          <cell r="F5929">
            <v>0</v>
          </cell>
          <cell r="DN5929">
            <v>0</v>
          </cell>
        </row>
        <row r="5930">
          <cell r="E5930">
            <v>0</v>
          </cell>
          <cell r="F5930">
            <v>0</v>
          </cell>
          <cell r="DN5930">
            <v>0</v>
          </cell>
        </row>
        <row r="5931">
          <cell r="E5931">
            <v>0</v>
          </cell>
          <cell r="F5931">
            <v>0</v>
          </cell>
          <cell r="DN5931">
            <v>0</v>
          </cell>
        </row>
        <row r="5932">
          <cell r="E5932">
            <v>0</v>
          </cell>
          <cell r="F5932">
            <v>0</v>
          </cell>
          <cell r="DN5932">
            <v>0</v>
          </cell>
        </row>
        <row r="5933">
          <cell r="E5933">
            <v>0</v>
          </cell>
          <cell r="F5933">
            <v>0</v>
          </cell>
          <cell r="DN5933">
            <v>0</v>
          </cell>
        </row>
        <row r="5934">
          <cell r="E5934">
            <v>0</v>
          </cell>
          <cell r="F5934">
            <v>0</v>
          </cell>
          <cell r="DN5934">
            <v>0</v>
          </cell>
        </row>
        <row r="5935">
          <cell r="E5935">
            <v>0</v>
          </cell>
          <cell r="F5935">
            <v>0</v>
          </cell>
          <cell r="DN5935">
            <v>0</v>
          </cell>
        </row>
        <row r="5936">
          <cell r="E5936">
            <v>0</v>
          </cell>
          <cell r="F5936">
            <v>0</v>
          </cell>
          <cell r="DN5936">
            <v>0</v>
          </cell>
        </row>
        <row r="5937">
          <cell r="E5937">
            <v>0</v>
          </cell>
          <cell r="F5937">
            <v>0</v>
          </cell>
          <cell r="DN5937">
            <v>0</v>
          </cell>
        </row>
        <row r="5938">
          <cell r="E5938">
            <v>0</v>
          </cell>
          <cell r="F5938">
            <v>0</v>
          </cell>
          <cell r="DN5938">
            <v>0</v>
          </cell>
        </row>
        <row r="5939">
          <cell r="E5939">
            <v>0</v>
          </cell>
          <cell r="F5939">
            <v>0</v>
          </cell>
          <cell r="DN5939">
            <v>0</v>
          </cell>
        </row>
        <row r="5940">
          <cell r="E5940">
            <v>0</v>
          </cell>
          <cell r="F5940">
            <v>0</v>
          </cell>
          <cell r="DN5940">
            <v>0</v>
          </cell>
        </row>
        <row r="5941">
          <cell r="E5941">
            <v>0</v>
          </cell>
          <cell r="F5941">
            <v>0</v>
          </cell>
          <cell r="DN5941">
            <v>0</v>
          </cell>
        </row>
        <row r="5942">
          <cell r="E5942">
            <v>0</v>
          </cell>
          <cell r="F5942">
            <v>0</v>
          </cell>
          <cell r="DN5942">
            <v>0</v>
          </cell>
        </row>
        <row r="5943">
          <cell r="E5943">
            <v>0</v>
          </cell>
          <cell r="F5943">
            <v>0</v>
          </cell>
          <cell r="DN5943">
            <v>0</v>
          </cell>
        </row>
        <row r="5944">
          <cell r="E5944">
            <v>0</v>
          </cell>
          <cell r="F5944">
            <v>0</v>
          </cell>
          <cell r="DN5944">
            <v>0</v>
          </cell>
        </row>
        <row r="5945">
          <cell r="E5945">
            <v>0</v>
          </cell>
          <cell r="F5945">
            <v>0</v>
          </cell>
          <cell r="DN5945">
            <v>0</v>
          </cell>
        </row>
        <row r="5946">
          <cell r="E5946">
            <v>0</v>
          </cell>
          <cell r="F5946">
            <v>0</v>
          </cell>
          <cell r="DN5946">
            <v>0</v>
          </cell>
        </row>
        <row r="5947">
          <cell r="E5947">
            <v>0</v>
          </cell>
          <cell r="F5947">
            <v>0</v>
          </cell>
          <cell r="DN5947">
            <v>0</v>
          </cell>
        </row>
        <row r="5948">
          <cell r="E5948">
            <v>0</v>
          </cell>
          <cell r="F5948">
            <v>0</v>
          </cell>
          <cell r="DN5948">
            <v>0</v>
          </cell>
        </row>
        <row r="5949">
          <cell r="E5949">
            <v>0</v>
          </cell>
          <cell r="F5949">
            <v>0</v>
          </cell>
          <cell r="DN5949">
            <v>0</v>
          </cell>
        </row>
        <row r="5950">
          <cell r="E5950">
            <v>0</v>
          </cell>
          <cell r="F5950">
            <v>0</v>
          </cell>
          <cell r="DN5950">
            <v>0</v>
          </cell>
        </row>
        <row r="5951">
          <cell r="E5951">
            <v>0</v>
          </cell>
          <cell r="F5951">
            <v>0</v>
          </cell>
          <cell r="DN5951">
            <v>0</v>
          </cell>
        </row>
        <row r="5952">
          <cell r="E5952">
            <v>0</v>
          </cell>
          <cell r="F5952">
            <v>0</v>
          </cell>
          <cell r="DN5952">
            <v>0</v>
          </cell>
        </row>
        <row r="5953">
          <cell r="E5953">
            <v>0</v>
          </cell>
          <cell r="F5953">
            <v>0</v>
          </cell>
          <cell r="DN5953">
            <v>0</v>
          </cell>
        </row>
        <row r="5954">
          <cell r="E5954">
            <v>0</v>
          </cell>
          <cell r="F5954">
            <v>0</v>
          </cell>
          <cell r="DN5954">
            <v>0</v>
          </cell>
        </row>
        <row r="5955">
          <cell r="E5955">
            <v>0</v>
          </cell>
          <cell r="F5955">
            <v>0</v>
          </cell>
          <cell r="DN5955">
            <v>0</v>
          </cell>
        </row>
        <row r="5956">
          <cell r="E5956">
            <v>0</v>
          </cell>
          <cell r="F5956">
            <v>0</v>
          </cell>
          <cell r="DN5956">
            <v>0</v>
          </cell>
        </row>
        <row r="5957">
          <cell r="E5957">
            <v>0</v>
          </cell>
          <cell r="F5957">
            <v>0</v>
          </cell>
          <cell r="DN5957">
            <v>0</v>
          </cell>
        </row>
        <row r="5958">
          <cell r="E5958">
            <v>0</v>
          </cell>
          <cell r="F5958">
            <v>0</v>
          </cell>
          <cell r="DN5958">
            <v>0</v>
          </cell>
        </row>
        <row r="5959">
          <cell r="E5959">
            <v>0</v>
          </cell>
          <cell r="F5959">
            <v>0</v>
          </cell>
          <cell r="DN5959">
            <v>0</v>
          </cell>
        </row>
        <row r="5960">
          <cell r="E5960">
            <v>0</v>
          </cell>
          <cell r="F5960">
            <v>0</v>
          </cell>
          <cell r="DN5960">
            <v>0</v>
          </cell>
        </row>
        <row r="5961">
          <cell r="E5961">
            <v>0</v>
          </cell>
          <cell r="F5961">
            <v>0</v>
          </cell>
          <cell r="DN5961">
            <v>0</v>
          </cell>
        </row>
        <row r="5962">
          <cell r="E5962">
            <v>0</v>
          </cell>
          <cell r="F5962">
            <v>0</v>
          </cell>
          <cell r="DN5962">
            <v>0</v>
          </cell>
        </row>
        <row r="5963">
          <cell r="E5963">
            <v>0</v>
          </cell>
          <cell r="F5963">
            <v>0</v>
          </cell>
          <cell r="DN5963">
            <v>0</v>
          </cell>
        </row>
        <row r="5964">
          <cell r="E5964">
            <v>0</v>
          </cell>
          <cell r="F5964">
            <v>0</v>
          </cell>
          <cell r="DN5964">
            <v>0</v>
          </cell>
        </row>
        <row r="5965">
          <cell r="E5965">
            <v>0</v>
          </cell>
          <cell r="F5965">
            <v>0</v>
          </cell>
          <cell r="DN5965">
            <v>0</v>
          </cell>
        </row>
        <row r="5966">
          <cell r="E5966">
            <v>0</v>
          </cell>
          <cell r="F5966">
            <v>0</v>
          </cell>
          <cell r="DN5966">
            <v>0</v>
          </cell>
        </row>
        <row r="5967">
          <cell r="E5967">
            <v>0</v>
          </cell>
          <cell r="F5967">
            <v>0</v>
          </cell>
          <cell r="DN5967">
            <v>0</v>
          </cell>
        </row>
        <row r="5968">
          <cell r="E5968">
            <v>0</v>
          </cell>
          <cell r="F5968">
            <v>0</v>
          </cell>
          <cell r="DN5968">
            <v>0</v>
          </cell>
        </row>
        <row r="5969">
          <cell r="E5969">
            <v>0</v>
          </cell>
          <cell r="F5969">
            <v>0</v>
          </cell>
          <cell r="DN5969">
            <v>0</v>
          </cell>
        </row>
        <row r="5970">
          <cell r="E5970">
            <v>0</v>
          </cell>
          <cell r="F5970">
            <v>0</v>
          </cell>
          <cell r="DN5970">
            <v>0</v>
          </cell>
        </row>
        <row r="5971">
          <cell r="E5971">
            <v>0</v>
          </cell>
          <cell r="F5971">
            <v>0</v>
          </cell>
          <cell r="DN5971">
            <v>0</v>
          </cell>
        </row>
        <row r="5972">
          <cell r="E5972">
            <v>0</v>
          </cell>
          <cell r="F5972">
            <v>0</v>
          </cell>
          <cell r="DN5972">
            <v>0</v>
          </cell>
        </row>
        <row r="5973">
          <cell r="E5973">
            <v>0</v>
          </cell>
          <cell r="F5973">
            <v>0</v>
          </cell>
          <cell r="DN5973">
            <v>0</v>
          </cell>
        </row>
        <row r="5974">
          <cell r="E5974">
            <v>0</v>
          </cell>
          <cell r="F5974">
            <v>0</v>
          </cell>
          <cell r="DN5974">
            <v>0</v>
          </cell>
        </row>
        <row r="5975">
          <cell r="E5975">
            <v>0</v>
          </cell>
          <cell r="F5975">
            <v>0</v>
          </cell>
          <cell r="DN5975">
            <v>0</v>
          </cell>
        </row>
        <row r="5976">
          <cell r="E5976">
            <v>0</v>
          </cell>
          <cell r="F5976">
            <v>0</v>
          </cell>
          <cell r="DN5976">
            <v>0</v>
          </cell>
        </row>
        <row r="5977">
          <cell r="E5977">
            <v>0</v>
          </cell>
          <cell r="F5977">
            <v>0</v>
          </cell>
          <cell r="DN5977">
            <v>0</v>
          </cell>
        </row>
        <row r="5978">
          <cell r="E5978">
            <v>0</v>
          </cell>
          <cell r="F5978">
            <v>0</v>
          </cell>
          <cell r="DN5978">
            <v>0</v>
          </cell>
        </row>
        <row r="5979">
          <cell r="E5979">
            <v>0</v>
          </cell>
          <cell r="F5979">
            <v>0</v>
          </cell>
          <cell r="DN5979">
            <v>0</v>
          </cell>
        </row>
        <row r="5980">
          <cell r="E5980">
            <v>0</v>
          </cell>
          <cell r="F5980">
            <v>0</v>
          </cell>
          <cell r="DN5980">
            <v>0</v>
          </cell>
        </row>
        <row r="5981">
          <cell r="E5981">
            <v>0</v>
          </cell>
          <cell r="F5981">
            <v>0</v>
          </cell>
          <cell r="DN5981">
            <v>0</v>
          </cell>
        </row>
        <row r="5982">
          <cell r="E5982">
            <v>0</v>
          </cell>
          <cell r="F5982">
            <v>0</v>
          </cell>
          <cell r="DN5982">
            <v>0</v>
          </cell>
        </row>
        <row r="5983">
          <cell r="E5983">
            <v>0</v>
          </cell>
          <cell r="F5983">
            <v>0</v>
          </cell>
          <cell r="DN5983">
            <v>0</v>
          </cell>
        </row>
        <row r="5984">
          <cell r="E5984">
            <v>0</v>
          </cell>
          <cell r="F5984">
            <v>0</v>
          </cell>
          <cell r="DN5984">
            <v>0</v>
          </cell>
        </row>
        <row r="5985">
          <cell r="E5985">
            <v>0</v>
          </cell>
          <cell r="F5985">
            <v>0</v>
          </cell>
          <cell r="DN5985">
            <v>0</v>
          </cell>
        </row>
        <row r="5986">
          <cell r="E5986">
            <v>0</v>
          </cell>
          <cell r="F5986">
            <v>0</v>
          </cell>
          <cell r="DN5986">
            <v>0</v>
          </cell>
        </row>
        <row r="5987">
          <cell r="E5987">
            <v>0</v>
          </cell>
          <cell r="F5987">
            <v>0</v>
          </cell>
          <cell r="DN5987">
            <v>0</v>
          </cell>
        </row>
        <row r="5988">
          <cell r="E5988">
            <v>0</v>
          </cell>
          <cell r="F5988">
            <v>0</v>
          </cell>
          <cell r="DN5988">
            <v>0</v>
          </cell>
        </row>
        <row r="5989">
          <cell r="E5989">
            <v>0</v>
          </cell>
          <cell r="F5989">
            <v>0</v>
          </cell>
          <cell r="DN5989">
            <v>0</v>
          </cell>
        </row>
        <row r="5990">
          <cell r="E5990">
            <v>0</v>
          </cell>
          <cell r="F5990">
            <v>0</v>
          </cell>
          <cell r="DN5990">
            <v>0</v>
          </cell>
        </row>
        <row r="5991">
          <cell r="E5991">
            <v>0</v>
          </cell>
          <cell r="F5991">
            <v>0</v>
          </cell>
          <cell r="DN5991">
            <v>0</v>
          </cell>
        </row>
        <row r="5992">
          <cell r="E5992">
            <v>0</v>
          </cell>
          <cell r="F5992">
            <v>0</v>
          </cell>
          <cell r="DN5992">
            <v>0</v>
          </cell>
        </row>
        <row r="5993">
          <cell r="E5993">
            <v>0</v>
          </cell>
          <cell r="F5993">
            <v>0</v>
          </cell>
          <cell r="DN5993">
            <v>0</v>
          </cell>
        </row>
        <row r="5994">
          <cell r="E5994">
            <v>0</v>
          </cell>
          <cell r="F5994">
            <v>0</v>
          </cell>
          <cell r="DN5994">
            <v>0</v>
          </cell>
        </row>
        <row r="5995">
          <cell r="E5995">
            <v>0</v>
          </cell>
          <cell r="F5995">
            <v>0</v>
          </cell>
          <cell r="DN5995">
            <v>0</v>
          </cell>
        </row>
        <row r="5996">
          <cell r="E5996">
            <v>0</v>
          </cell>
          <cell r="F5996">
            <v>0</v>
          </cell>
          <cell r="DN5996">
            <v>0</v>
          </cell>
        </row>
        <row r="5997">
          <cell r="E5997">
            <v>0</v>
          </cell>
          <cell r="F5997">
            <v>0</v>
          </cell>
          <cell r="DN5997">
            <v>0</v>
          </cell>
        </row>
        <row r="5998">
          <cell r="E5998">
            <v>0</v>
          </cell>
          <cell r="F5998">
            <v>0</v>
          </cell>
          <cell r="DN5998">
            <v>0</v>
          </cell>
        </row>
        <row r="5999">
          <cell r="E5999">
            <v>0</v>
          </cell>
          <cell r="F5999">
            <v>0</v>
          </cell>
          <cell r="DN5999">
            <v>0</v>
          </cell>
        </row>
        <row r="6000">
          <cell r="E6000">
            <v>0</v>
          </cell>
          <cell r="F6000">
            <v>0</v>
          </cell>
          <cell r="DN6000">
            <v>0</v>
          </cell>
        </row>
        <row r="6001">
          <cell r="E6001">
            <v>0</v>
          </cell>
          <cell r="F6001">
            <v>0</v>
          </cell>
          <cell r="DN6001">
            <v>0</v>
          </cell>
        </row>
        <row r="6002">
          <cell r="E6002">
            <v>0</v>
          </cell>
          <cell r="F6002">
            <v>0</v>
          </cell>
          <cell r="DN6002">
            <v>0</v>
          </cell>
        </row>
        <row r="6003">
          <cell r="E6003">
            <v>0</v>
          </cell>
          <cell r="F6003">
            <v>0</v>
          </cell>
          <cell r="DN6003">
            <v>0</v>
          </cell>
        </row>
        <row r="6004">
          <cell r="E6004">
            <v>0</v>
          </cell>
          <cell r="F6004">
            <v>0</v>
          </cell>
          <cell r="DN6004">
            <v>0</v>
          </cell>
        </row>
        <row r="6005">
          <cell r="E6005">
            <v>0</v>
          </cell>
          <cell r="F6005">
            <v>0</v>
          </cell>
          <cell r="DN6005">
            <v>0</v>
          </cell>
        </row>
        <row r="6006">
          <cell r="E6006">
            <v>0</v>
          </cell>
          <cell r="F6006">
            <v>0</v>
          </cell>
          <cell r="DN6006">
            <v>0</v>
          </cell>
        </row>
        <row r="6007">
          <cell r="E6007">
            <v>0</v>
          </cell>
          <cell r="F6007">
            <v>0</v>
          </cell>
          <cell r="DN6007">
            <v>0</v>
          </cell>
        </row>
        <row r="6008">
          <cell r="E6008">
            <v>0</v>
          </cell>
          <cell r="F6008">
            <v>0</v>
          </cell>
          <cell r="DN6008">
            <v>0</v>
          </cell>
        </row>
        <row r="6009">
          <cell r="E6009">
            <v>0</v>
          </cell>
          <cell r="F6009">
            <v>0</v>
          </cell>
          <cell r="DN6009">
            <v>0</v>
          </cell>
        </row>
        <row r="6010">
          <cell r="E6010">
            <v>0</v>
          </cell>
          <cell r="F6010">
            <v>0</v>
          </cell>
          <cell r="DN6010">
            <v>0</v>
          </cell>
        </row>
        <row r="6011">
          <cell r="E6011">
            <v>0</v>
          </cell>
          <cell r="F6011">
            <v>0</v>
          </cell>
          <cell r="DN6011">
            <v>0</v>
          </cell>
        </row>
        <row r="6012">
          <cell r="E6012">
            <v>0</v>
          </cell>
          <cell r="F6012">
            <v>0</v>
          </cell>
          <cell r="DN6012">
            <v>0</v>
          </cell>
        </row>
        <row r="6013">
          <cell r="E6013">
            <v>0</v>
          </cell>
          <cell r="F6013">
            <v>0</v>
          </cell>
          <cell r="DN6013">
            <v>0</v>
          </cell>
        </row>
        <row r="6014">
          <cell r="E6014">
            <v>0</v>
          </cell>
          <cell r="F6014">
            <v>0</v>
          </cell>
          <cell r="DN6014">
            <v>0</v>
          </cell>
        </row>
        <row r="6015">
          <cell r="E6015">
            <v>0</v>
          </cell>
          <cell r="F6015">
            <v>0</v>
          </cell>
          <cell r="DN6015">
            <v>0</v>
          </cell>
        </row>
        <row r="6016">
          <cell r="E6016">
            <v>0</v>
          </cell>
          <cell r="F6016">
            <v>0</v>
          </cell>
          <cell r="DN6016">
            <v>0</v>
          </cell>
        </row>
        <row r="6017">
          <cell r="E6017">
            <v>0</v>
          </cell>
          <cell r="F6017">
            <v>0</v>
          </cell>
          <cell r="DN6017">
            <v>0</v>
          </cell>
        </row>
        <row r="6018">
          <cell r="E6018">
            <v>0</v>
          </cell>
          <cell r="F6018">
            <v>0</v>
          </cell>
          <cell r="DN6018">
            <v>0</v>
          </cell>
        </row>
        <row r="6019">
          <cell r="E6019">
            <v>0</v>
          </cell>
          <cell r="F6019">
            <v>0</v>
          </cell>
          <cell r="DN6019">
            <v>0</v>
          </cell>
        </row>
        <row r="6020">
          <cell r="E6020">
            <v>0</v>
          </cell>
          <cell r="F6020">
            <v>0</v>
          </cell>
          <cell r="DN6020">
            <v>0</v>
          </cell>
        </row>
        <row r="6021">
          <cell r="E6021">
            <v>0</v>
          </cell>
          <cell r="F6021">
            <v>0</v>
          </cell>
          <cell r="DN6021">
            <v>0</v>
          </cell>
        </row>
        <row r="6022">
          <cell r="E6022">
            <v>0</v>
          </cell>
          <cell r="F6022">
            <v>0</v>
          </cell>
          <cell r="DN6022">
            <v>0</v>
          </cell>
        </row>
        <row r="6023">
          <cell r="E6023">
            <v>0</v>
          </cell>
          <cell r="F6023">
            <v>0</v>
          </cell>
          <cell r="DN6023">
            <v>0</v>
          </cell>
        </row>
        <row r="6024">
          <cell r="E6024">
            <v>0</v>
          </cell>
          <cell r="F6024">
            <v>0</v>
          </cell>
          <cell r="DN6024">
            <v>0</v>
          </cell>
        </row>
        <row r="6025">
          <cell r="E6025">
            <v>0</v>
          </cell>
          <cell r="F6025">
            <v>0</v>
          </cell>
          <cell r="DN6025">
            <v>0</v>
          </cell>
        </row>
        <row r="6026">
          <cell r="E6026">
            <v>0</v>
          </cell>
          <cell r="F6026">
            <v>0</v>
          </cell>
          <cell r="DN6026">
            <v>0</v>
          </cell>
        </row>
        <row r="6027">
          <cell r="E6027">
            <v>0</v>
          </cell>
          <cell r="F6027">
            <v>0</v>
          </cell>
          <cell r="DN6027">
            <v>0</v>
          </cell>
        </row>
        <row r="6028">
          <cell r="E6028">
            <v>0</v>
          </cell>
          <cell r="F6028">
            <v>0</v>
          </cell>
          <cell r="DN6028">
            <v>0</v>
          </cell>
        </row>
        <row r="6029">
          <cell r="E6029">
            <v>0</v>
          </cell>
          <cell r="F6029">
            <v>0</v>
          </cell>
          <cell r="DN6029">
            <v>0</v>
          </cell>
        </row>
        <row r="6030">
          <cell r="E6030">
            <v>0</v>
          </cell>
          <cell r="F6030">
            <v>0</v>
          </cell>
          <cell r="DN6030">
            <v>0</v>
          </cell>
        </row>
        <row r="6031">
          <cell r="E6031">
            <v>0</v>
          </cell>
          <cell r="F6031">
            <v>0</v>
          </cell>
          <cell r="DN6031">
            <v>0</v>
          </cell>
        </row>
        <row r="6032">
          <cell r="E6032">
            <v>0</v>
          </cell>
          <cell r="F6032">
            <v>0</v>
          </cell>
          <cell r="DN6032">
            <v>0</v>
          </cell>
        </row>
        <row r="6033">
          <cell r="E6033">
            <v>0</v>
          </cell>
          <cell r="F6033">
            <v>0</v>
          </cell>
          <cell r="DN6033">
            <v>0</v>
          </cell>
        </row>
        <row r="6034">
          <cell r="E6034">
            <v>0</v>
          </cell>
          <cell r="F6034">
            <v>0</v>
          </cell>
          <cell r="DN6034">
            <v>0</v>
          </cell>
        </row>
        <row r="6035">
          <cell r="E6035">
            <v>0</v>
          </cell>
          <cell r="F6035">
            <v>0</v>
          </cell>
          <cell r="DN6035">
            <v>0</v>
          </cell>
        </row>
        <row r="6036">
          <cell r="E6036">
            <v>0</v>
          </cell>
          <cell r="F6036">
            <v>0</v>
          </cell>
          <cell r="DN6036">
            <v>0</v>
          </cell>
        </row>
        <row r="6037">
          <cell r="E6037">
            <v>0</v>
          </cell>
          <cell r="F6037">
            <v>0</v>
          </cell>
          <cell r="DN6037">
            <v>0</v>
          </cell>
        </row>
        <row r="6038">
          <cell r="E6038">
            <v>0</v>
          </cell>
          <cell r="F6038">
            <v>0</v>
          </cell>
          <cell r="DN6038">
            <v>0</v>
          </cell>
        </row>
        <row r="6039">
          <cell r="E6039">
            <v>0</v>
          </cell>
          <cell r="F6039">
            <v>0</v>
          </cell>
          <cell r="DN6039">
            <v>0</v>
          </cell>
        </row>
        <row r="6040">
          <cell r="E6040">
            <v>0</v>
          </cell>
          <cell r="F6040">
            <v>0</v>
          </cell>
          <cell r="DN6040">
            <v>0</v>
          </cell>
        </row>
        <row r="6041">
          <cell r="E6041">
            <v>0</v>
          </cell>
          <cell r="F6041">
            <v>0</v>
          </cell>
          <cell r="DN6041">
            <v>0</v>
          </cell>
        </row>
        <row r="6042">
          <cell r="E6042">
            <v>0</v>
          </cell>
          <cell r="F6042">
            <v>0</v>
          </cell>
          <cell r="DN6042">
            <v>0</v>
          </cell>
        </row>
        <row r="6043">
          <cell r="E6043">
            <v>0</v>
          </cell>
          <cell r="F6043">
            <v>0</v>
          </cell>
          <cell r="DN6043">
            <v>0</v>
          </cell>
        </row>
        <row r="6044">
          <cell r="E6044">
            <v>0</v>
          </cell>
          <cell r="F6044">
            <v>0</v>
          </cell>
          <cell r="DN6044">
            <v>0</v>
          </cell>
        </row>
        <row r="6045">
          <cell r="E6045">
            <v>0</v>
          </cell>
          <cell r="F6045">
            <v>0</v>
          </cell>
          <cell r="DN6045">
            <v>0</v>
          </cell>
        </row>
        <row r="6046">
          <cell r="E6046">
            <v>0</v>
          </cell>
          <cell r="F6046">
            <v>0</v>
          </cell>
          <cell r="DN6046">
            <v>0</v>
          </cell>
        </row>
        <row r="6047">
          <cell r="E6047">
            <v>0</v>
          </cell>
          <cell r="F6047">
            <v>0</v>
          </cell>
          <cell r="DN6047">
            <v>0</v>
          </cell>
        </row>
        <row r="6048">
          <cell r="E6048">
            <v>0</v>
          </cell>
          <cell r="F6048">
            <v>0</v>
          </cell>
          <cell r="DN6048">
            <v>0</v>
          </cell>
        </row>
        <row r="6049">
          <cell r="E6049">
            <v>0</v>
          </cell>
          <cell r="F6049">
            <v>0</v>
          </cell>
          <cell r="DN6049">
            <v>0</v>
          </cell>
        </row>
        <row r="6050">
          <cell r="E6050">
            <v>0</v>
          </cell>
          <cell r="F6050">
            <v>0</v>
          </cell>
          <cell r="DN6050">
            <v>0</v>
          </cell>
        </row>
        <row r="6051">
          <cell r="E6051">
            <v>0</v>
          </cell>
          <cell r="F6051">
            <v>0</v>
          </cell>
          <cell r="DN6051">
            <v>0</v>
          </cell>
        </row>
        <row r="6052">
          <cell r="E6052">
            <v>0</v>
          </cell>
          <cell r="F6052">
            <v>0</v>
          </cell>
          <cell r="DN6052">
            <v>0</v>
          </cell>
        </row>
        <row r="6053">
          <cell r="E6053">
            <v>0</v>
          </cell>
          <cell r="F6053">
            <v>0</v>
          </cell>
          <cell r="DN6053">
            <v>0</v>
          </cell>
        </row>
        <row r="6054">
          <cell r="E6054">
            <v>0</v>
          </cell>
          <cell r="F6054">
            <v>0</v>
          </cell>
          <cell r="DN6054">
            <v>0</v>
          </cell>
        </row>
        <row r="6055">
          <cell r="E6055">
            <v>0</v>
          </cell>
          <cell r="F6055">
            <v>0</v>
          </cell>
          <cell r="DN6055">
            <v>0</v>
          </cell>
        </row>
        <row r="6056">
          <cell r="E6056">
            <v>0</v>
          </cell>
          <cell r="F6056">
            <v>0</v>
          </cell>
          <cell r="DN6056">
            <v>0</v>
          </cell>
        </row>
        <row r="6057">
          <cell r="E6057">
            <v>0</v>
          </cell>
          <cell r="F6057">
            <v>0</v>
          </cell>
          <cell r="DN6057">
            <v>0</v>
          </cell>
        </row>
        <row r="6058">
          <cell r="E6058">
            <v>0</v>
          </cell>
          <cell r="F6058">
            <v>0</v>
          </cell>
          <cell r="DN6058">
            <v>0</v>
          </cell>
        </row>
        <row r="6059">
          <cell r="E6059">
            <v>0</v>
          </cell>
          <cell r="F6059">
            <v>0</v>
          </cell>
          <cell r="DN6059">
            <v>0</v>
          </cell>
        </row>
        <row r="6060">
          <cell r="E6060">
            <v>0</v>
          </cell>
          <cell r="F6060">
            <v>0</v>
          </cell>
          <cell r="DN6060">
            <v>0</v>
          </cell>
        </row>
        <row r="6061">
          <cell r="E6061">
            <v>0</v>
          </cell>
          <cell r="F6061">
            <v>0</v>
          </cell>
          <cell r="DN6061">
            <v>0</v>
          </cell>
        </row>
        <row r="6062">
          <cell r="E6062">
            <v>0</v>
          </cell>
          <cell r="F6062">
            <v>0</v>
          </cell>
          <cell r="DN6062">
            <v>0</v>
          </cell>
        </row>
        <row r="6063">
          <cell r="E6063">
            <v>0</v>
          </cell>
          <cell r="F6063">
            <v>0</v>
          </cell>
          <cell r="DN6063">
            <v>0</v>
          </cell>
        </row>
        <row r="6064">
          <cell r="E6064">
            <v>0</v>
          </cell>
          <cell r="F6064">
            <v>0</v>
          </cell>
          <cell r="DN6064">
            <v>0</v>
          </cell>
        </row>
        <row r="6065">
          <cell r="E6065">
            <v>0</v>
          </cell>
          <cell r="F6065">
            <v>0</v>
          </cell>
          <cell r="DN6065">
            <v>0</v>
          </cell>
        </row>
        <row r="6066">
          <cell r="E6066">
            <v>0</v>
          </cell>
          <cell r="F6066">
            <v>0</v>
          </cell>
          <cell r="DN6066">
            <v>0</v>
          </cell>
        </row>
        <row r="6067">
          <cell r="E6067">
            <v>0</v>
          </cell>
          <cell r="F6067">
            <v>0</v>
          </cell>
          <cell r="DN6067">
            <v>0</v>
          </cell>
        </row>
        <row r="6068">
          <cell r="E6068">
            <v>0</v>
          </cell>
          <cell r="F6068">
            <v>0</v>
          </cell>
          <cell r="DN6068">
            <v>0</v>
          </cell>
        </row>
        <row r="6069">
          <cell r="E6069">
            <v>0</v>
          </cell>
          <cell r="F6069">
            <v>0</v>
          </cell>
          <cell r="DN6069">
            <v>0</v>
          </cell>
        </row>
        <row r="6070">
          <cell r="E6070">
            <v>0</v>
          </cell>
          <cell r="F6070">
            <v>0</v>
          </cell>
          <cell r="DN6070">
            <v>0</v>
          </cell>
        </row>
        <row r="6071">
          <cell r="E6071">
            <v>0</v>
          </cell>
          <cell r="F6071">
            <v>0</v>
          </cell>
          <cell r="DN6071">
            <v>0</v>
          </cell>
        </row>
        <row r="6072">
          <cell r="E6072">
            <v>0</v>
          </cell>
          <cell r="F6072">
            <v>0</v>
          </cell>
          <cell r="DN6072">
            <v>0</v>
          </cell>
        </row>
        <row r="6073">
          <cell r="E6073">
            <v>0</v>
          </cell>
          <cell r="F6073">
            <v>0</v>
          </cell>
          <cell r="DN6073">
            <v>0</v>
          </cell>
        </row>
        <row r="6074">
          <cell r="E6074">
            <v>0</v>
          </cell>
          <cell r="F6074">
            <v>0</v>
          </cell>
          <cell r="DN6074">
            <v>0</v>
          </cell>
        </row>
        <row r="6075">
          <cell r="E6075">
            <v>0</v>
          </cell>
          <cell r="F6075">
            <v>0</v>
          </cell>
          <cell r="DN6075">
            <v>0</v>
          </cell>
        </row>
        <row r="6076">
          <cell r="E6076">
            <v>0</v>
          </cell>
          <cell r="F6076">
            <v>0</v>
          </cell>
          <cell r="DN6076">
            <v>0</v>
          </cell>
        </row>
        <row r="6077">
          <cell r="E6077">
            <v>0</v>
          </cell>
          <cell r="F6077">
            <v>0</v>
          </cell>
          <cell r="DN6077">
            <v>0</v>
          </cell>
        </row>
        <row r="6078">
          <cell r="E6078">
            <v>0</v>
          </cell>
          <cell r="F6078">
            <v>0</v>
          </cell>
          <cell r="DN6078">
            <v>0</v>
          </cell>
        </row>
        <row r="6079">
          <cell r="E6079">
            <v>0</v>
          </cell>
          <cell r="F6079">
            <v>0</v>
          </cell>
          <cell r="DN6079">
            <v>0</v>
          </cell>
        </row>
        <row r="6080">
          <cell r="E6080">
            <v>0</v>
          </cell>
          <cell r="F6080">
            <v>0</v>
          </cell>
          <cell r="DN6080">
            <v>0</v>
          </cell>
        </row>
        <row r="6081">
          <cell r="E6081">
            <v>0</v>
          </cell>
          <cell r="F6081">
            <v>0</v>
          </cell>
          <cell r="DN6081">
            <v>0</v>
          </cell>
        </row>
        <row r="6082">
          <cell r="E6082">
            <v>0</v>
          </cell>
          <cell r="F6082">
            <v>0</v>
          </cell>
          <cell r="DN6082">
            <v>0</v>
          </cell>
        </row>
        <row r="6083">
          <cell r="E6083">
            <v>0</v>
          </cell>
          <cell r="F6083">
            <v>0</v>
          </cell>
          <cell r="DN6083">
            <v>0</v>
          </cell>
        </row>
        <row r="6084">
          <cell r="E6084">
            <v>0</v>
          </cell>
          <cell r="F6084">
            <v>0</v>
          </cell>
          <cell r="DN6084">
            <v>0</v>
          </cell>
        </row>
        <row r="6085">
          <cell r="E6085">
            <v>0</v>
          </cell>
          <cell r="F6085">
            <v>0</v>
          </cell>
          <cell r="DN6085">
            <v>0</v>
          </cell>
        </row>
        <row r="6086">
          <cell r="E6086">
            <v>0</v>
          </cell>
          <cell r="F6086">
            <v>0</v>
          </cell>
          <cell r="DN6086">
            <v>0</v>
          </cell>
        </row>
        <row r="6087">
          <cell r="E6087">
            <v>0</v>
          </cell>
          <cell r="F6087">
            <v>0</v>
          </cell>
          <cell r="DN6087">
            <v>0</v>
          </cell>
        </row>
        <row r="6088">
          <cell r="E6088">
            <v>0</v>
          </cell>
          <cell r="F6088">
            <v>0</v>
          </cell>
          <cell r="DN6088">
            <v>0</v>
          </cell>
        </row>
        <row r="6089">
          <cell r="E6089">
            <v>0</v>
          </cell>
          <cell r="F6089">
            <v>0</v>
          </cell>
          <cell r="DN6089">
            <v>0</v>
          </cell>
        </row>
        <row r="6090">
          <cell r="E6090">
            <v>0</v>
          </cell>
          <cell r="F6090">
            <v>0</v>
          </cell>
          <cell r="DN6090">
            <v>0</v>
          </cell>
        </row>
        <row r="6091">
          <cell r="E6091">
            <v>0</v>
          </cell>
          <cell r="F6091">
            <v>0</v>
          </cell>
          <cell r="DN6091">
            <v>0</v>
          </cell>
        </row>
        <row r="6092">
          <cell r="E6092">
            <v>0</v>
          </cell>
          <cell r="F6092">
            <v>0</v>
          </cell>
          <cell r="DN6092">
            <v>0</v>
          </cell>
        </row>
        <row r="6093">
          <cell r="E6093">
            <v>0</v>
          </cell>
          <cell r="F6093">
            <v>0</v>
          </cell>
          <cell r="DN6093">
            <v>0</v>
          </cell>
        </row>
        <row r="6094">
          <cell r="E6094">
            <v>0</v>
          </cell>
          <cell r="F6094">
            <v>0</v>
          </cell>
          <cell r="DN6094">
            <v>0</v>
          </cell>
        </row>
        <row r="6095">
          <cell r="E6095">
            <v>0</v>
          </cell>
          <cell r="F6095">
            <v>0</v>
          </cell>
          <cell r="DN6095">
            <v>0</v>
          </cell>
        </row>
        <row r="6096">
          <cell r="E6096">
            <v>0</v>
          </cell>
          <cell r="F6096">
            <v>0</v>
          </cell>
          <cell r="DN6096">
            <v>0</v>
          </cell>
        </row>
        <row r="6097">
          <cell r="E6097">
            <v>0</v>
          </cell>
          <cell r="F6097">
            <v>0</v>
          </cell>
          <cell r="DN6097">
            <v>0</v>
          </cell>
        </row>
        <row r="6098">
          <cell r="E6098">
            <v>0</v>
          </cell>
          <cell r="F6098">
            <v>0</v>
          </cell>
          <cell r="DN6098">
            <v>0</v>
          </cell>
        </row>
        <row r="6099">
          <cell r="E6099">
            <v>0</v>
          </cell>
          <cell r="F6099">
            <v>0</v>
          </cell>
          <cell r="DN6099">
            <v>0</v>
          </cell>
        </row>
        <row r="6100">
          <cell r="E6100">
            <v>0</v>
          </cell>
          <cell r="F6100">
            <v>0</v>
          </cell>
          <cell r="DN6100">
            <v>0</v>
          </cell>
        </row>
        <row r="6101">
          <cell r="E6101">
            <v>0</v>
          </cell>
          <cell r="F6101">
            <v>0</v>
          </cell>
          <cell r="DN6101">
            <v>0</v>
          </cell>
        </row>
        <row r="6102">
          <cell r="E6102">
            <v>0</v>
          </cell>
          <cell r="F6102">
            <v>0</v>
          </cell>
          <cell r="DN6102">
            <v>0</v>
          </cell>
        </row>
        <row r="6103">
          <cell r="E6103">
            <v>0</v>
          </cell>
          <cell r="F6103">
            <v>0</v>
          </cell>
          <cell r="DN6103">
            <v>0</v>
          </cell>
        </row>
        <row r="6104">
          <cell r="E6104">
            <v>0</v>
          </cell>
          <cell r="F6104">
            <v>0</v>
          </cell>
          <cell r="DN6104">
            <v>0</v>
          </cell>
        </row>
        <row r="6105">
          <cell r="E6105">
            <v>0</v>
          </cell>
          <cell r="F6105">
            <v>0</v>
          </cell>
          <cell r="DN6105">
            <v>0</v>
          </cell>
        </row>
        <row r="6106">
          <cell r="E6106">
            <v>0</v>
          </cell>
          <cell r="F6106">
            <v>0</v>
          </cell>
          <cell r="DN6106">
            <v>0</v>
          </cell>
        </row>
        <row r="6107">
          <cell r="E6107">
            <v>0</v>
          </cell>
          <cell r="F6107">
            <v>0</v>
          </cell>
          <cell r="DN6107">
            <v>0</v>
          </cell>
        </row>
        <row r="6108">
          <cell r="E6108">
            <v>0</v>
          </cell>
          <cell r="F6108">
            <v>0</v>
          </cell>
          <cell r="DN6108">
            <v>0</v>
          </cell>
        </row>
        <row r="6109">
          <cell r="E6109">
            <v>0</v>
          </cell>
          <cell r="F6109">
            <v>0</v>
          </cell>
          <cell r="DN6109">
            <v>0</v>
          </cell>
        </row>
        <row r="6110">
          <cell r="E6110">
            <v>0</v>
          </cell>
          <cell r="F6110">
            <v>0</v>
          </cell>
          <cell r="DN6110">
            <v>0</v>
          </cell>
        </row>
        <row r="6111">
          <cell r="E6111">
            <v>0</v>
          </cell>
          <cell r="F6111">
            <v>0</v>
          </cell>
          <cell r="DN6111">
            <v>0</v>
          </cell>
        </row>
        <row r="6112">
          <cell r="E6112">
            <v>0</v>
          </cell>
          <cell r="F6112">
            <v>0</v>
          </cell>
          <cell r="DN6112">
            <v>0</v>
          </cell>
        </row>
        <row r="6113">
          <cell r="E6113">
            <v>0</v>
          </cell>
          <cell r="F6113">
            <v>0</v>
          </cell>
          <cell r="DN6113">
            <v>0</v>
          </cell>
        </row>
        <row r="6114">
          <cell r="E6114">
            <v>0</v>
          </cell>
          <cell r="F6114">
            <v>0</v>
          </cell>
          <cell r="DN6114">
            <v>0</v>
          </cell>
        </row>
        <row r="6115">
          <cell r="E6115">
            <v>0</v>
          </cell>
          <cell r="F6115">
            <v>0</v>
          </cell>
          <cell r="DN6115">
            <v>0</v>
          </cell>
        </row>
        <row r="6116">
          <cell r="E6116">
            <v>0</v>
          </cell>
          <cell r="F6116">
            <v>0</v>
          </cell>
          <cell r="DN6116">
            <v>0</v>
          </cell>
        </row>
        <row r="6117">
          <cell r="E6117">
            <v>0</v>
          </cell>
          <cell r="F6117">
            <v>0</v>
          </cell>
          <cell r="DN6117">
            <v>0</v>
          </cell>
        </row>
        <row r="6118">
          <cell r="E6118">
            <v>0</v>
          </cell>
          <cell r="F6118">
            <v>0</v>
          </cell>
          <cell r="DN6118">
            <v>0</v>
          </cell>
        </row>
        <row r="6119">
          <cell r="E6119">
            <v>0</v>
          </cell>
          <cell r="F6119">
            <v>0</v>
          </cell>
          <cell r="DN6119">
            <v>0</v>
          </cell>
        </row>
        <row r="6120">
          <cell r="E6120">
            <v>0</v>
          </cell>
          <cell r="F6120">
            <v>0</v>
          </cell>
          <cell r="DN6120">
            <v>0</v>
          </cell>
        </row>
        <row r="6121">
          <cell r="E6121">
            <v>0</v>
          </cell>
          <cell r="F6121">
            <v>0</v>
          </cell>
          <cell r="DN6121">
            <v>0</v>
          </cell>
        </row>
        <row r="6122">
          <cell r="E6122">
            <v>0</v>
          </cell>
          <cell r="F6122">
            <v>0</v>
          </cell>
          <cell r="DN6122">
            <v>0</v>
          </cell>
        </row>
        <row r="6123">
          <cell r="E6123">
            <v>0</v>
          </cell>
          <cell r="F6123">
            <v>0</v>
          </cell>
          <cell r="DN6123">
            <v>0</v>
          </cell>
        </row>
        <row r="6124">
          <cell r="E6124">
            <v>0</v>
          </cell>
          <cell r="F6124">
            <v>0</v>
          </cell>
          <cell r="DN6124">
            <v>0</v>
          </cell>
        </row>
        <row r="6125">
          <cell r="E6125">
            <v>0</v>
          </cell>
          <cell r="F6125">
            <v>0</v>
          </cell>
          <cell r="DN6125">
            <v>0</v>
          </cell>
        </row>
        <row r="6126">
          <cell r="E6126">
            <v>0</v>
          </cell>
          <cell r="F6126">
            <v>0</v>
          </cell>
          <cell r="DN6126">
            <v>0</v>
          </cell>
        </row>
        <row r="6127">
          <cell r="E6127">
            <v>0</v>
          </cell>
          <cell r="F6127">
            <v>0</v>
          </cell>
          <cell r="DN6127">
            <v>0</v>
          </cell>
        </row>
        <row r="6128">
          <cell r="E6128">
            <v>0</v>
          </cell>
          <cell r="F6128">
            <v>0</v>
          </cell>
          <cell r="DN6128">
            <v>0</v>
          </cell>
        </row>
        <row r="6129">
          <cell r="E6129">
            <v>0</v>
          </cell>
          <cell r="F6129">
            <v>0</v>
          </cell>
          <cell r="DN6129">
            <v>0</v>
          </cell>
        </row>
        <row r="6130">
          <cell r="E6130">
            <v>0</v>
          </cell>
          <cell r="F6130">
            <v>0</v>
          </cell>
          <cell r="DN6130">
            <v>0</v>
          </cell>
        </row>
        <row r="6131">
          <cell r="E6131">
            <v>0</v>
          </cell>
          <cell r="F6131">
            <v>0</v>
          </cell>
          <cell r="DN6131">
            <v>0</v>
          </cell>
        </row>
        <row r="6132">
          <cell r="E6132">
            <v>0</v>
          </cell>
          <cell r="F6132">
            <v>0</v>
          </cell>
          <cell r="DN6132">
            <v>0</v>
          </cell>
        </row>
        <row r="6133">
          <cell r="E6133">
            <v>0</v>
          </cell>
          <cell r="F6133">
            <v>0</v>
          </cell>
          <cell r="DN6133">
            <v>0</v>
          </cell>
        </row>
        <row r="6134">
          <cell r="E6134">
            <v>0</v>
          </cell>
          <cell r="F6134">
            <v>0</v>
          </cell>
          <cell r="DN6134">
            <v>0</v>
          </cell>
        </row>
        <row r="6135">
          <cell r="E6135">
            <v>0</v>
          </cell>
          <cell r="F6135">
            <v>0</v>
          </cell>
          <cell r="DN6135">
            <v>0</v>
          </cell>
        </row>
        <row r="6136">
          <cell r="E6136">
            <v>0</v>
          </cell>
          <cell r="F6136">
            <v>0</v>
          </cell>
          <cell r="DN6136">
            <v>0</v>
          </cell>
        </row>
        <row r="6137">
          <cell r="E6137">
            <v>0</v>
          </cell>
          <cell r="F6137">
            <v>0</v>
          </cell>
          <cell r="DN6137">
            <v>0</v>
          </cell>
        </row>
        <row r="6138">
          <cell r="E6138">
            <v>0</v>
          </cell>
          <cell r="F6138">
            <v>0</v>
          </cell>
          <cell r="DN6138">
            <v>0</v>
          </cell>
        </row>
        <row r="6139">
          <cell r="E6139">
            <v>0</v>
          </cell>
          <cell r="F6139">
            <v>0</v>
          </cell>
          <cell r="DN6139">
            <v>0</v>
          </cell>
        </row>
        <row r="6140">
          <cell r="E6140">
            <v>0</v>
          </cell>
          <cell r="F6140">
            <v>0</v>
          </cell>
          <cell r="DN6140">
            <v>0</v>
          </cell>
        </row>
        <row r="6141">
          <cell r="E6141">
            <v>0</v>
          </cell>
          <cell r="F6141">
            <v>0</v>
          </cell>
          <cell r="DN6141">
            <v>0</v>
          </cell>
        </row>
        <row r="6142">
          <cell r="E6142">
            <v>0</v>
          </cell>
          <cell r="F6142">
            <v>0</v>
          </cell>
          <cell r="DN6142">
            <v>0</v>
          </cell>
        </row>
        <row r="6143">
          <cell r="E6143">
            <v>0</v>
          </cell>
          <cell r="F6143">
            <v>0</v>
          </cell>
          <cell r="DN6143">
            <v>0</v>
          </cell>
        </row>
        <row r="6144">
          <cell r="E6144">
            <v>0</v>
          </cell>
          <cell r="F6144">
            <v>0</v>
          </cell>
          <cell r="DN6144">
            <v>0</v>
          </cell>
        </row>
        <row r="6145">
          <cell r="E6145">
            <v>0</v>
          </cell>
          <cell r="F6145">
            <v>0</v>
          </cell>
          <cell r="DN6145">
            <v>0</v>
          </cell>
        </row>
        <row r="6146">
          <cell r="E6146">
            <v>0</v>
          </cell>
          <cell r="F6146">
            <v>0</v>
          </cell>
          <cell r="DN6146">
            <v>0</v>
          </cell>
        </row>
        <row r="6147">
          <cell r="E6147">
            <v>0</v>
          </cell>
          <cell r="F6147">
            <v>0</v>
          </cell>
          <cell r="DN6147">
            <v>0</v>
          </cell>
        </row>
        <row r="6148">
          <cell r="E6148">
            <v>0</v>
          </cell>
          <cell r="F6148">
            <v>0</v>
          </cell>
          <cell r="DN6148">
            <v>0</v>
          </cell>
        </row>
        <row r="6149">
          <cell r="E6149">
            <v>0</v>
          </cell>
          <cell r="F6149">
            <v>0</v>
          </cell>
          <cell r="DN6149">
            <v>0</v>
          </cell>
        </row>
        <row r="6150">
          <cell r="E6150">
            <v>0</v>
          </cell>
          <cell r="F6150">
            <v>0</v>
          </cell>
          <cell r="DN6150">
            <v>0</v>
          </cell>
        </row>
        <row r="6151">
          <cell r="E6151">
            <v>0</v>
          </cell>
          <cell r="F6151">
            <v>0</v>
          </cell>
          <cell r="DN6151">
            <v>0</v>
          </cell>
        </row>
        <row r="6152">
          <cell r="E6152">
            <v>0</v>
          </cell>
          <cell r="F6152">
            <v>0</v>
          </cell>
          <cell r="DN6152">
            <v>0</v>
          </cell>
        </row>
        <row r="6153">
          <cell r="E6153">
            <v>0</v>
          </cell>
          <cell r="F6153">
            <v>0</v>
          </cell>
          <cell r="DN6153">
            <v>0</v>
          </cell>
        </row>
        <row r="6154">
          <cell r="E6154">
            <v>0</v>
          </cell>
          <cell r="F6154">
            <v>0</v>
          </cell>
          <cell r="DN6154">
            <v>0</v>
          </cell>
        </row>
        <row r="6155">
          <cell r="E6155">
            <v>0</v>
          </cell>
          <cell r="F6155">
            <v>0</v>
          </cell>
          <cell r="DN6155">
            <v>0</v>
          </cell>
        </row>
        <row r="6156">
          <cell r="E6156">
            <v>0</v>
          </cell>
          <cell r="F6156">
            <v>0</v>
          </cell>
          <cell r="DN6156">
            <v>0</v>
          </cell>
        </row>
        <row r="6157">
          <cell r="E6157">
            <v>0</v>
          </cell>
          <cell r="F6157">
            <v>0</v>
          </cell>
          <cell r="DN6157">
            <v>0</v>
          </cell>
        </row>
        <row r="6158">
          <cell r="E6158">
            <v>0</v>
          </cell>
          <cell r="F6158">
            <v>0</v>
          </cell>
          <cell r="DN6158">
            <v>0</v>
          </cell>
        </row>
        <row r="6159">
          <cell r="E6159">
            <v>0</v>
          </cell>
          <cell r="F6159">
            <v>0</v>
          </cell>
          <cell r="DN6159">
            <v>0</v>
          </cell>
        </row>
        <row r="6160">
          <cell r="E6160">
            <v>0</v>
          </cell>
          <cell r="F6160">
            <v>0</v>
          </cell>
          <cell r="DN6160">
            <v>0</v>
          </cell>
        </row>
        <row r="6161">
          <cell r="E6161">
            <v>0</v>
          </cell>
          <cell r="F6161">
            <v>0</v>
          </cell>
          <cell r="DN6161">
            <v>0</v>
          </cell>
        </row>
        <row r="6162">
          <cell r="E6162">
            <v>0</v>
          </cell>
          <cell r="F6162">
            <v>0</v>
          </cell>
          <cell r="DN6162">
            <v>0</v>
          </cell>
        </row>
        <row r="6163">
          <cell r="E6163">
            <v>0</v>
          </cell>
          <cell r="F6163">
            <v>0</v>
          </cell>
          <cell r="DN6163">
            <v>0</v>
          </cell>
        </row>
        <row r="6164">
          <cell r="E6164">
            <v>0</v>
          </cell>
          <cell r="F6164">
            <v>0</v>
          </cell>
          <cell r="DN6164">
            <v>0</v>
          </cell>
        </row>
        <row r="6165">
          <cell r="E6165">
            <v>0</v>
          </cell>
          <cell r="F6165">
            <v>0</v>
          </cell>
          <cell r="DN6165">
            <v>0</v>
          </cell>
        </row>
        <row r="6166">
          <cell r="E6166">
            <v>0</v>
          </cell>
          <cell r="F6166">
            <v>0</v>
          </cell>
          <cell r="DN6166">
            <v>0</v>
          </cell>
        </row>
        <row r="6167">
          <cell r="E6167">
            <v>0</v>
          </cell>
          <cell r="F6167">
            <v>0</v>
          </cell>
          <cell r="DN6167">
            <v>0</v>
          </cell>
        </row>
        <row r="6168">
          <cell r="E6168">
            <v>0</v>
          </cell>
          <cell r="F6168">
            <v>0</v>
          </cell>
          <cell r="DN6168">
            <v>0</v>
          </cell>
        </row>
        <row r="6169">
          <cell r="E6169">
            <v>0</v>
          </cell>
          <cell r="F6169">
            <v>0</v>
          </cell>
          <cell r="DN6169">
            <v>0</v>
          </cell>
        </row>
        <row r="6170">
          <cell r="E6170">
            <v>0</v>
          </cell>
          <cell r="F6170">
            <v>0</v>
          </cell>
          <cell r="DN6170">
            <v>0</v>
          </cell>
        </row>
        <row r="6171">
          <cell r="E6171">
            <v>0</v>
          </cell>
          <cell r="F6171">
            <v>0</v>
          </cell>
          <cell r="DN6171">
            <v>0</v>
          </cell>
        </row>
        <row r="6172">
          <cell r="E6172">
            <v>0</v>
          </cell>
          <cell r="F6172">
            <v>0</v>
          </cell>
          <cell r="DN6172">
            <v>0</v>
          </cell>
        </row>
        <row r="6173">
          <cell r="E6173">
            <v>0</v>
          </cell>
          <cell r="F6173">
            <v>0</v>
          </cell>
          <cell r="DN6173">
            <v>0</v>
          </cell>
        </row>
        <row r="6174">
          <cell r="E6174">
            <v>0</v>
          </cell>
          <cell r="F6174">
            <v>0</v>
          </cell>
          <cell r="DN6174">
            <v>0</v>
          </cell>
        </row>
        <row r="6175">
          <cell r="E6175">
            <v>0</v>
          </cell>
          <cell r="F6175">
            <v>0</v>
          </cell>
          <cell r="DN6175">
            <v>0</v>
          </cell>
        </row>
        <row r="6176">
          <cell r="E6176">
            <v>0</v>
          </cell>
          <cell r="F6176">
            <v>0</v>
          </cell>
          <cell r="DN6176">
            <v>0</v>
          </cell>
        </row>
        <row r="6177">
          <cell r="E6177">
            <v>0</v>
          </cell>
          <cell r="F6177">
            <v>0</v>
          </cell>
          <cell r="DN6177">
            <v>0</v>
          </cell>
        </row>
        <row r="6178">
          <cell r="E6178">
            <v>0</v>
          </cell>
          <cell r="F6178">
            <v>0</v>
          </cell>
          <cell r="DN6178">
            <v>0</v>
          </cell>
        </row>
        <row r="6179">
          <cell r="E6179">
            <v>0</v>
          </cell>
          <cell r="F6179">
            <v>0</v>
          </cell>
          <cell r="DN6179">
            <v>0</v>
          </cell>
        </row>
        <row r="6180">
          <cell r="E6180">
            <v>0</v>
          </cell>
          <cell r="F6180">
            <v>0</v>
          </cell>
          <cell r="DN6180">
            <v>0</v>
          </cell>
        </row>
        <row r="6181">
          <cell r="E6181">
            <v>0</v>
          </cell>
          <cell r="F6181">
            <v>0</v>
          </cell>
          <cell r="DN6181">
            <v>0</v>
          </cell>
        </row>
        <row r="6182">
          <cell r="E6182">
            <v>0</v>
          </cell>
          <cell r="F6182">
            <v>0</v>
          </cell>
          <cell r="DN6182">
            <v>0</v>
          </cell>
        </row>
        <row r="6183">
          <cell r="E6183">
            <v>0</v>
          </cell>
          <cell r="F6183">
            <v>0</v>
          </cell>
          <cell r="DN6183">
            <v>0</v>
          </cell>
        </row>
        <row r="6184">
          <cell r="E6184">
            <v>0</v>
          </cell>
          <cell r="F6184">
            <v>0</v>
          </cell>
          <cell r="DN6184">
            <v>0</v>
          </cell>
        </row>
        <row r="6185">
          <cell r="E6185">
            <v>0</v>
          </cell>
          <cell r="F6185">
            <v>0</v>
          </cell>
          <cell r="DN6185">
            <v>0</v>
          </cell>
        </row>
        <row r="6186">
          <cell r="E6186">
            <v>0</v>
          </cell>
          <cell r="F6186">
            <v>0</v>
          </cell>
          <cell r="DN6186">
            <v>0</v>
          </cell>
        </row>
        <row r="6187">
          <cell r="E6187">
            <v>0</v>
          </cell>
          <cell r="F6187">
            <v>0</v>
          </cell>
          <cell r="DN6187">
            <v>0</v>
          </cell>
        </row>
        <row r="6188">
          <cell r="E6188">
            <v>0</v>
          </cell>
          <cell r="F6188">
            <v>0</v>
          </cell>
          <cell r="DN6188">
            <v>0</v>
          </cell>
        </row>
        <row r="6189">
          <cell r="E6189">
            <v>0</v>
          </cell>
          <cell r="F6189">
            <v>0</v>
          </cell>
          <cell r="DN6189">
            <v>0</v>
          </cell>
        </row>
        <row r="6190">
          <cell r="E6190">
            <v>0</v>
          </cell>
          <cell r="F6190">
            <v>0</v>
          </cell>
          <cell r="DN6190">
            <v>0</v>
          </cell>
        </row>
        <row r="6191">
          <cell r="E6191">
            <v>0</v>
          </cell>
          <cell r="F6191">
            <v>0</v>
          </cell>
          <cell r="DN6191">
            <v>0</v>
          </cell>
        </row>
        <row r="6192">
          <cell r="E6192">
            <v>0</v>
          </cell>
          <cell r="F6192">
            <v>0</v>
          </cell>
          <cell r="DN6192">
            <v>0</v>
          </cell>
        </row>
        <row r="6193">
          <cell r="E6193">
            <v>0</v>
          </cell>
          <cell r="F6193">
            <v>0</v>
          </cell>
          <cell r="DN6193">
            <v>0</v>
          </cell>
        </row>
        <row r="6194">
          <cell r="E6194">
            <v>0</v>
          </cell>
          <cell r="F6194">
            <v>0</v>
          </cell>
          <cell r="DN6194">
            <v>0</v>
          </cell>
        </row>
        <row r="6195">
          <cell r="E6195">
            <v>0</v>
          </cell>
          <cell r="F6195">
            <v>0</v>
          </cell>
          <cell r="DN6195">
            <v>0</v>
          </cell>
        </row>
        <row r="6196">
          <cell r="E6196">
            <v>0</v>
          </cell>
          <cell r="F6196">
            <v>0</v>
          </cell>
          <cell r="DN6196">
            <v>0</v>
          </cell>
        </row>
        <row r="6197">
          <cell r="E6197">
            <v>0</v>
          </cell>
          <cell r="F6197">
            <v>0</v>
          </cell>
          <cell r="DN6197">
            <v>0</v>
          </cell>
        </row>
        <row r="6198">
          <cell r="E6198">
            <v>0</v>
          </cell>
          <cell r="F6198">
            <v>0</v>
          </cell>
          <cell r="DN6198">
            <v>0</v>
          </cell>
        </row>
        <row r="6199">
          <cell r="E6199">
            <v>0</v>
          </cell>
          <cell r="F6199">
            <v>0</v>
          </cell>
          <cell r="DN6199">
            <v>0</v>
          </cell>
        </row>
        <row r="6200">
          <cell r="E6200">
            <v>0</v>
          </cell>
          <cell r="F6200">
            <v>0</v>
          </cell>
          <cell r="DN6200">
            <v>0</v>
          </cell>
        </row>
        <row r="6201">
          <cell r="E6201">
            <v>0</v>
          </cell>
          <cell r="F6201">
            <v>0</v>
          </cell>
          <cell r="DN6201">
            <v>0</v>
          </cell>
        </row>
        <row r="6202">
          <cell r="E6202">
            <v>0</v>
          </cell>
          <cell r="F6202">
            <v>0</v>
          </cell>
          <cell r="DN6202">
            <v>0</v>
          </cell>
        </row>
        <row r="6203">
          <cell r="E6203">
            <v>0</v>
          </cell>
          <cell r="F6203">
            <v>0</v>
          </cell>
          <cell r="DN6203">
            <v>0</v>
          </cell>
        </row>
        <row r="6204">
          <cell r="E6204">
            <v>0</v>
          </cell>
          <cell r="F6204">
            <v>0</v>
          </cell>
          <cell r="DN6204">
            <v>0</v>
          </cell>
        </row>
        <row r="6205">
          <cell r="E6205">
            <v>0</v>
          </cell>
          <cell r="F6205">
            <v>0</v>
          </cell>
          <cell r="DN6205">
            <v>0</v>
          </cell>
        </row>
        <row r="6206">
          <cell r="E6206">
            <v>0</v>
          </cell>
          <cell r="F6206">
            <v>0</v>
          </cell>
          <cell r="DN6206">
            <v>0</v>
          </cell>
        </row>
        <row r="6207">
          <cell r="E6207">
            <v>0</v>
          </cell>
          <cell r="F6207">
            <v>0</v>
          </cell>
          <cell r="DN6207">
            <v>0</v>
          </cell>
        </row>
        <row r="6208">
          <cell r="E6208">
            <v>0</v>
          </cell>
          <cell r="F6208">
            <v>0</v>
          </cell>
          <cell r="DN6208">
            <v>0</v>
          </cell>
        </row>
        <row r="6209">
          <cell r="E6209">
            <v>0</v>
          </cell>
          <cell r="F6209">
            <v>0</v>
          </cell>
          <cell r="DN6209">
            <v>0</v>
          </cell>
        </row>
        <row r="6210">
          <cell r="E6210">
            <v>0</v>
          </cell>
          <cell r="F6210">
            <v>0</v>
          </cell>
          <cell r="DN6210">
            <v>0</v>
          </cell>
        </row>
        <row r="6211">
          <cell r="E6211">
            <v>0</v>
          </cell>
          <cell r="F6211">
            <v>0</v>
          </cell>
          <cell r="DN6211">
            <v>0</v>
          </cell>
        </row>
        <row r="6212">
          <cell r="E6212">
            <v>0</v>
          </cell>
          <cell r="F6212">
            <v>0</v>
          </cell>
          <cell r="DN6212">
            <v>0</v>
          </cell>
        </row>
        <row r="6213">
          <cell r="E6213">
            <v>0</v>
          </cell>
          <cell r="F6213">
            <v>0</v>
          </cell>
          <cell r="DN6213">
            <v>0</v>
          </cell>
        </row>
        <row r="6214">
          <cell r="E6214">
            <v>0</v>
          </cell>
          <cell r="F6214">
            <v>0</v>
          </cell>
          <cell r="DN6214">
            <v>0</v>
          </cell>
        </row>
        <row r="6215">
          <cell r="E6215">
            <v>0</v>
          </cell>
          <cell r="F6215">
            <v>0</v>
          </cell>
          <cell r="DN6215">
            <v>0</v>
          </cell>
        </row>
        <row r="6216">
          <cell r="E6216">
            <v>0</v>
          </cell>
          <cell r="F6216">
            <v>0</v>
          </cell>
          <cell r="DN6216">
            <v>0</v>
          </cell>
        </row>
        <row r="6217">
          <cell r="E6217">
            <v>0</v>
          </cell>
          <cell r="F6217">
            <v>0</v>
          </cell>
          <cell r="DN6217">
            <v>0</v>
          </cell>
        </row>
        <row r="6218">
          <cell r="E6218">
            <v>0</v>
          </cell>
          <cell r="F6218">
            <v>0</v>
          </cell>
          <cell r="DN6218">
            <v>0</v>
          </cell>
        </row>
        <row r="6219">
          <cell r="E6219">
            <v>0</v>
          </cell>
          <cell r="F6219">
            <v>0</v>
          </cell>
          <cell r="DN6219">
            <v>0</v>
          </cell>
        </row>
        <row r="6220">
          <cell r="E6220">
            <v>0</v>
          </cell>
          <cell r="F6220">
            <v>0</v>
          </cell>
          <cell r="DN6220">
            <v>0</v>
          </cell>
        </row>
        <row r="6221">
          <cell r="E6221">
            <v>0</v>
          </cell>
          <cell r="F6221">
            <v>0</v>
          </cell>
          <cell r="DN6221">
            <v>0</v>
          </cell>
        </row>
        <row r="6222">
          <cell r="E6222">
            <v>0</v>
          </cell>
          <cell r="F6222">
            <v>0</v>
          </cell>
          <cell r="DN6222">
            <v>0</v>
          </cell>
        </row>
        <row r="6223">
          <cell r="E6223">
            <v>0</v>
          </cell>
          <cell r="F6223">
            <v>0</v>
          </cell>
          <cell r="DN6223">
            <v>0</v>
          </cell>
        </row>
        <row r="6224">
          <cell r="E6224">
            <v>0</v>
          </cell>
          <cell r="F6224">
            <v>0</v>
          </cell>
          <cell r="DN6224">
            <v>0</v>
          </cell>
        </row>
        <row r="6225">
          <cell r="E6225">
            <v>0</v>
          </cell>
          <cell r="F6225">
            <v>0</v>
          </cell>
          <cell r="DN6225">
            <v>0</v>
          </cell>
        </row>
        <row r="6226">
          <cell r="E6226">
            <v>0</v>
          </cell>
          <cell r="F6226">
            <v>0</v>
          </cell>
          <cell r="DN6226">
            <v>0</v>
          </cell>
        </row>
        <row r="6227">
          <cell r="E6227">
            <v>0</v>
          </cell>
          <cell r="F6227">
            <v>0</v>
          </cell>
          <cell r="DN6227">
            <v>0</v>
          </cell>
        </row>
        <row r="6228">
          <cell r="E6228">
            <v>0</v>
          </cell>
          <cell r="F6228">
            <v>0</v>
          </cell>
          <cell r="DN6228">
            <v>0</v>
          </cell>
        </row>
        <row r="6229">
          <cell r="E6229">
            <v>0</v>
          </cell>
          <cell r="F6229">
            <v>0</v>
          </cell>
          <cell r="DN6229">
            <v>0</v>
          </cell>
        </row>
        <row r="6230">
          <cell r="E6230">
            <v>0</v>
          </cell>
          <cell r="F6230">
            <v>0</v>
          </cell>
          <cell r="DN6230">
            <v>0</v>
          </cell>
        </row>
        <row r="6231">
          <cell r="E6231">
            <v>0</v>
          </cell>
          <cell r="F6231">
            <v>0</v>
          </cell>
          <cell r="DN6231">
            <v>0</v>
          </cell>
        </row>
        <row r="6232">
          <cell r="E6232">
            <v>0</v>
          </cell>
          <cell r="F6232">
            <v>0</v>
          </cell>
          <cell r="DN6232">
            <v>0</v>
          </cell>
        </row>
        <row r="6233">
          <cell r="E6233">
            <v>0</v>
          </cell>
          <cell r="F6233">
            <v>0</v>
          </cell>
          <cell r="DN6233">
            <v>0</v>
          </cell>
        </row>
        <row r="6234">
          <cell r="E6234">
            <v>0</v>
          </cell>
          <cell r="F6234">
            <v>0</v>
          </cell>
          <cell r="DN6234">
            <v>0</v>
          </cell>
        </row>
        <row r="6235">
          <cell r="E6235">
            <v>0</v>
          </cell>
          <cell r="F6235">
            <v>0</v>
          </cell>
          <cell r="DN6235">
            <v>0</v>
          </cell>
        </row>
        <row r="6236">
          <cell r="E6236">
            <v>0</v>
          </cell>
          <cell r="F6236">
            <v>0</v>
          </cell>
          <cell r="DN6236">
            <v>0</v>
          </cell>
        </row>
        <row r="6237">
          <cell r="E6237">
            <v>0</v>
          </cell>
          <cell r="F6237">
            <v>0</v>
          </cell>
          <cell r="DN6237">
            <v>0</v>
          </cell>
        </row>
        <row r="6238">
          <cell r="E6238">
            <v>0</v>
          </cell>
          <cell r="F6238">
            <v>0</v>
          </cell>
          <cell r="DN6238">
            <v>0</v>
          </cell>
        </row>
        <row r="6239">
          <cell r="E6239">
            <v>0</v>
          </cell>
          <cell r="F6239">
            <v>0</v>
          </cell>
          <cell r="DN6239">
            <v>0</v>
          </cell>
        </row>
        <row r="6240">
          <cell r="E6240">
            <v>0</v>
          </cell>
          <cell r="F6240">
            <v>0</v>
          </cell>
          <cell r="DN6240">
            <v>0</v>
          </cell>
        </row>
        <row r="6241">
          <cell r="E6241">
            <v>0</v>
          </cell>
          <cell r="F6241">
            <v>0</v>
          </cell>
          <cell r="DN6241">
            <v>0</v>
          </cell>
        </row>
        <row r="6242">
          <cell r="E6242">
            <v>0</v>
          </cell>
          <cell r="F6242">
            <v>0</v>
          </cell>
          <cell r="DN6242">
            <v>0</v>
          </cell>
        </row>
        <row r="6243">
          <cell r="E6243">
            <v>0</v>
          </cell>
          <cell r="F6243">
            <v>0</v>
          </cell>
          <cell r="DN6243">
            <v>0</v>
          </cell>
        </row>
        <row r="6244">
          <cell r="E6244">
            <v>0</v>
          </cell>
          <cell r="F6244">
            <v>0</v>
          </cell>
          <cell r="DN6244">
            <v>0</v>
          </cell>
        </row>
        <row r="6245">
          <cell r="E6245">
            <v>0</v>
          </cell>
          <cell r="F6245">
            <v>0</v>
          </cell>
          <cell r="DN6245">
            <v>0</v>
          </cell>
        </row>
        <row r="6246">
          <cell r="E6246">
            <v>0</v>
          </cell>
          <cell r="F6246">
            <v>0</v>
          </cell>
          <cell r="DN6246">
            <v>0</v>
          </cell>
        </row>
        <row r="6247">
          <cell r="E6247">
            <v>0</v>
          </cell>
          <cell r="F6247">
            <v>0</v>
          </cell>
          <cell r="DN6247">
            <v>0</v>
          </cell>
        </row>
        <row r="6248">
          <cell r="E6248">
            <v>0</v>
          </cell>
          <cell r="F6248">
            <v>0</v>
          </cell>
          <cell r="DN6248">
            <v>0</v>
          </cell>
        </row>
        <row r="6249">
          <cell r="E6249">
            <v>0</v>
          </cell>
          <cell r="F6249">
            <v>0</v>
          </cell>
          <cell r="DN6249">
            <v>0</v>
          </cell>
        </row>
        <row r="6250">
          <cell r="E6250">
            <v>0</v>
          </cell>
          <cell r="F6250">
            <v>0</v>
          </cell>
          <cell r="DN6250">
            <v>0</v>
          </cell>
        </row>
        <row r="6251">
          <cell r="E6251">
            <v>0</v>
          </cell>
          <cell r="F6251">
            <v>0</v>
          </cell>
          <cell r="DN6251">
            <v>0</v>
          </cell>
        </row>
        <row r="6252">
          <cell r="E6252">
            <v>0</v>
          </cell>
          <cell r="F6252">
            <v>0</v>
          </cell>
          <cell r="DN6252">
            <v>0</v>
          </cell>
        </row>
        <row r="6253">
          <cell r="E6253">
            <v>0</v>
          </cell>
          <cell r="F6253">
            <v>0</v>
          </cell>
          <cell r="DN6253">
            <v>0</v>
          </cell>
        </row>
        <row r="6254">
          <cell r="E6254">
            <v>0</v>
          </cell>
          <cell r="F6254">
            <v>0</v>
          </cell>
          <cell r="DN6254">
            <v>0</v>
          </cell>
        </row>
        <row r="6255">
          <cell r="E6255">
            <v>0</v>
          </cell>
          <cell r="F6255">
            <v>0</v>
          </cell>
          <cell r="DN6255">
            <v>0</v>
          </cell>
        </row>
        <row r="6256">
          <cell r="E6256">
            <v>0</v>
          </cell>
          <cell r="F6256">
            <v>0</v>
          </cell>
          <cell r="DN6256">
            <v>0</v>
          </cell>
        </row>
        <row r="6257">
          <cell r="E6257">
            <v>0</v>
          </cell>
          <cell r="F6257">
            <v>0</v>
          </cell>
          <cell r="DN6257">
            <v>0</v>
          </cell>
        </row>
        <row r="6258">
          <cell r="E6258">
            <v>0</v>
          </cell>
          <cell r="F6258">
            <v>0</v>
          </cell>
          <cell r="DN6258">
            <v>0</v>
          </cell>
        </row>
        <row r="6259">
          <cell r="E6259">
            <v>0</v>
          </cell>
          <cell r="F6259">
            <v>0</v>
          </cell>
          <cell r="DN6259">
            <v>0</v>
          </cell>
        </row>
        <row r="6260">
          <cell r="E6260">
            <v>0</v>
          </cell>
          <cell r="F6260">
            <v>0</v>
          </cell>
          <cell r="DN6260">
            <v>0</v>
          </cell>
        </row>
        <row r="6261">
          <cell r="E6261">
            <v>0</v>
          </cell>
          <cell r="F6261">
            <v>0</v>
          </cell>
          <cell r="DN6261">
            <v>0</v>
          </cell>
        </row>
        <row r="6262">
          <cell r="E6262">
            <v>0</v>
          </cell>
          <cell r="F6262">
            <v>0</v>
          </cell>
          <cell r="DN6262">
            <v>0</v>
          </cell>
        </row>
        <row r="6263">
          <cell r="E6263">
            <v>0</v>
          </cell>
          <cell r="F6263">
            <v>0</v>
          </cell>
          <cell r="DN6263">
            <v>0</v>
          </cell>
        </row>
        <row r="6264">
          <cell r="E6264">
            <v>0</v>
          </cell>
          <cell r="F6264">
            <v>0</v>
          </cell>
          <cell r="DN6264">
            <v>0</v>
          </cell>
        </row>
        <row r="6265">
          <cell r="E6265">
            <v>0</v>
          </cell>
          <cell r="F6265">
            <v>0</v>
          </cell>
          <cell r="DN6265">
            <v>0</v>
          </cell>
        </row>
        <row r="6266">
          <cell r="E6266">
            <v>0</v>
          </cell>
          <cell r="F6266">
            <v>0</v>
          </cell>
          <cell r="DN6266">
            <v>0</v>
          </cell>
        </row>
        <row r="6267">
          <cell r="E6267">
            <v>0</v>
          </cell>
          <cell r="F6267">
            <v>0</v>
          </cell>
          <cell r="DN6267">
            <v>0</v>
          </cell>
        </row>
        <row r="6268">
          <cell r="E6268">
            <v>0</v>
          </cell>
          <cell r="F6268">
            <v>0</v>
          </cell>
          <cell r="DN6268">
            <v>0</v>
          </cell>
        </row>
        <row r="6269">
          <cell r="E6269">
            <v>0</v>
          </cell>
          <cell r="F6269">
            <v>0</v>
          </cell>
          <cell r="DN6269">
            <v>0</v>
          </cell>
        </row>
        <row r="6270">
          <cell r="E6270">
            <v>0</v>
          </cell>
          <cell r="F6270">
            <v>0</v>
          </cell>
          <cell r="DN6270">
            <v>0</v>
          </cell>
        </row>
        <row r="6271">
          <cell r="E6271">
            <v>0</v>
          </cell>
          <cell r="F6271">
            <v>0</v>
          </cell>
          <cell r="DN6271">
            <v>0</v>
          </cell>
        </row>
        <row r="6272">
          <cell r="E6272">
            <v>0</v>
          </cell>
          <cell r="F6272">
            <v>0</v>
          </cell>
          <cell r="DN6272">
            <v>0</v>
          </cell>
        </row>
        <row r="6273">
          <cell r="E6273">
            <v>0</v>
          </cell>
          <cell r="F6273">
            <v>0</v>
          </cell>
          <cell r="DN6273">
            <v>0</v>
          </cell>
        </row>
        <row r="6274">
          <cell r="E6274">
            <v>0</v>
          </cell>
          <cell r="F6274">
            <v>0</v>
          </cell>
          <cell r="DN6274">
            <v>0</v>
          </cell>
        </row>
        <row r="6275">
          <cell r="E6275">
            <v>0</v>
          </cell>
          <cell r="F6275">
            <v>0</v>
          </cell>
          <cell r="DN6275">
            <v>0</v>
          </cell>
        </row>
        <row r="6276">
          <cell r="E6276">
            <v>0</v>
          </cell>
          <cell r="F6276">
            <v>0</v>
          </cell>
          <cell r="DN6276">
            <v>0</v>
          </cell>
        </row>
        <row r="6277">
          <cell r="E6277">
            <v>0</v>
          </cell>
          <cell r="F6277">
            <v>0</v>
          </cell>
          <cell r="DN6277">
            <v>0</v>
          </cell>
        </row>
        <row r="6278">
          <cell r="E6278">
            <v>0</v>
          </cell>
          <cell r="F6278">
            <v>0</v>
          </cell>
          <cell r="DN6278">
            <v>0</v>
          </cell>
        </row>
        <row r="6279">
          <cell r="E6279">
            <v>0</v>
          </cell>
          <cell r="F6279">
            <v>0</v>
          </cell>
          <cell r="DN6279">
            <v>0</v>
          </cell>
        </row>
        <row r="6280">
          <cell r="E6280">
            <v>0</v>
          </cell>
          <cell r="F6280">
            <v>0</v>
          </cell>
          <cell r="DN6280">
            <v>0</v>
          </cell>
        </row>
        <row r="6281">
          <cell r="E6281">
            <v>0</v>
          </cell>
          <cell r="F6281">
            <v>0</v>
          </cell>
          <cell r="DN6281">
            <v>0</v>
          </cell>
        </row>
        <row r="6282">
          <cell r="E6282">
            <v>0</v>
          </cell>
          <cell r="F6282">
            <v>0</v>
          </cell>
          <cell r="DN6282">
            <v>0</v>
          </cell>
        </row>
        <row r="6283">
          <cell r="E6283">
            <v>0</v>
          </cell>
          <cell r="F6283">
            <v>0</v>
          </cell>
          <cell r="DN6283">
            <v>0</v>
          </cell>
        </row>
        <row r="6284">
          <cell r="E6284">
            <v>0</v>
          </cell>
          <cell r="F6284">
            <v>0</v>
          </cell>
          <cell r="DN6284">
            <v>0</v>
          </cell>
        </row>
        <row r="6285">
          <cell r="E6285">
            <v>0</v>
          </cell>
          <cell r="F6285">
            <v>0</v>
          </cell>
          <cell r="DN6285">
            <v>0</v>
          </cell>
        </row>
        <row r="6286">
          <cell r="E6286">
            <v>0</v>
          </cell>
          <cell r="F6286">
            <v>0</v>
          </cell>
          <cell r="DN6286">
            <v>0</v>
          </cell>
        </row>
        <row r="6287">
          <cell r="E6287">
            <v>0</v>
          </cell>
          <cell r="F6287">
            <v>0</v>
          </cell>
          <cell r="DN6287">
            <v>0</v>
          </cell>
        </row>
        <row r="6288">
          <cell r="E6288">
            <v>0</v>
          </cell>
          <cell r="F6288">
            <v>0</v>
          </cell>
          <cell r="DN6288">
            <v>0</v>
          </cell>
        </row>
        <row r="6289">
          <cell r="E6289">
            <v>0</v>
          </cell>
          <cell r="F6289">
            <v>0</v>
          </cell>
          <cell r="DN6289">
            <v>0</v>
          </cell>
        </row>
        <row r="6290">
          <cell r="E6290">
            <v>0</v>
          </cell>
          <cell r="F6290">
            <v>0</v>
          </cell>
          <cell r="DN6290">
            <v>0</v>
          </cell>
        </row>
        <row r="6291">
          <cell r="E6291">
            <v>0</v>
          </cell>
          <cell r="F6291">
            <v>0</v>
          </cell>
          <cell r="DN6291">
            <v>0</v>
          </cell>
        </row>
        <row r="6292">
          <cell r="E6292">
            <v>0</v>
          </cell>
          <cell r="F6292">
            <v>0</v>
          </cell>
          <cell r="DN6292">
            <v>0</v>
          </cell>
        </row>
        <row r="6293">
          <cell r="E6293">
            <v>0</v>
          </cell>
          <cell r="F6293">
            <v>0</v>
          </cell>
          <cell r="DN6293">
            <v>0</v>
          </cell>
        </row>
        <row r="6294">
          <cell r="E6294">
            <v>0</v>
          </cell>
          <cell r="F6294">
            <v>0</v>
          </cell>
          <cell r="DN6294">
            <v>0</v>
          </cell>
        </row>
        <row r="6295">
          <cell r="E6295">
            <v>0</v>
          </cell>
          <cell r="F6295">
            <v>0</v>
          </cell>
          <cell r="DN6295">
            <v>0</v>
          </cell>
        </row>
        <row r="6296">
          <cell r="E6296">
            <v>0</v>
          </cell>
          <cell r="F6296">
            <v>0</v>
          </cell>
          <cell r="DN6296">
            <v>0</v>
          </cell>
        </row>
        <row r="6297">
          <cell r="E6297">
            <v>0</v>
          </cell>
          <cell r="F6297">
            <v>0</v>
          </cell>
          <cell r="DN6297">
            <v>0</v>
          </cell>
        </row>
        <row r="6298">
          <cell r="E6298">
            <v>0</v>
          </cell>
          <cell r="F6298">
            <v>0</v>
          </cell>
          <cell r="DN6298">
            <v>0</v>
          </cell>
        </row>
        <row r="6299">
          <cell r="E6299">
            <v>0</v>
          </cell>
          <cell r="F6299">
            <v>0</v>
          </cell>
          <cell r="DN6299">
            <v>0</v>
          </cell>
        </row>
        <row r="6300">
          <cell r="E6300">
            <v>0</v>
          </cell>
          <cell r="F6300">
            <v>0</v>
          </cell>
          <cell r="DN6300">
            <v>0</v>
          </cell>
        </row>
        <row r="6301">
          <cell r="E6301">
            <v>0</v>
          </cell>
          <cell r="F6301">
            <v>0</v>
          </cell>
          <cell r="DN6301">
            <v>0</v>
          </cell>
        </row>
        <row r="6302">
          <cell r="E6302">
            <v>0</v>
          </cell>
          <cell r="F6302">
            <v>0</v>
          </cell>
          <cell r="DN6302">
            <v>0</v>
          </cell>
        </row>
        <row r="6303">
          <cell r="E6303">
            <v>0</v>
          </cell>
          <cell r="F6303">
            <v>0</v>
          </cell>
          <cell r="DN6303">
            <v>0</v>
          </cell>
        </row>
        <row r="6304">
          <cell r="E6304">
            <v>0</v>
          </cell>
          <cell r="F6304">
            <v>0</v>
          </cell>
          <cell r="DN6304">
            <v>0</v>
          </cell>
        </row>
        <row r="6305">
          <cell r="E6305">
            <v>0</v>
          </cell>
          <cell r="F6305">
            <v>0</v>
          </cell>
          <cell r="DN6305">
            <v>0</v>
          </cell>
        </row>
        <row r="6306">
          <cell r="E6306">
            <v>0</v>
          </cell>
          <cell r="F6306">
            <v>0</v>
          </cell>
          <cell r="DN6306">
            <v>0</v>
          </cell>
        </row>
        <row r="6307">
          <cell r="E6307">
            <v>0</v>
          </cell>
          <cell r="F6307">
            <v>0</v>
          </cell>
          <cell r="DN6307">
            <v>0</v>
          </cell>
        </row>
        <row r="6308">
          <cell r="E6308">
            <v>0</v>
          </cell>
          <cell r="F6308">
            <v>0</v>
          </cell>
          <cell r="DN6308">
            <v>0</v>
          </cell>
        </row>
        <row r="6309">
          <cell r="E6309">
            <v>0</v>
          </cell>
          <cell r="F6309">
            <v>0</v>
          </cell>
          <cell r="DN6309">
            <v>0</v>
          </cell>
        </row>
        <row r="6310">
          <cell r="E6310">
            <v>0</v>
          </cell>
          <cell r="F6310">
            <v>0</v>
          </cell>
          <cell r="DN6310">
            <v>0</v>
          </cell>
        </row>
        <row r="6311">
          <cell r="E6311">
            <v>0</v>
          </cell>
          <cell r="F6311">
            <v>0</v>
          </cell>
          <cell r="DN6311">
            <v>0</v>
          </cell>
        </row>
        <row r="6312">
          <cell r="E6312">
            <v>0</v>
          </cell>
          <cell r="F6312">
            <v>0</v>
          </cell>
          <cell r="DN6312">
            <v>0</v>
          </cell>
        </row>
        <row r="6313">
          <cell r="E6313">
            <v>0</v>
          </cell>
          <cell r="F6313">
            <v>0</v>
          </cell>
          <cell r="DN6313">
            <v>0</v>
          </cell>
        </row>
        <row r="6314">
          <cell r="E6314">
            <v>0</v>
          </cell>
          <cell r="F6314">
            <v>0</v>
          </cell>
          <cell r="DN6314">
            <v>0</v>
          </cell>
        </row>
        <row r="6315">
          <cell r="E6315">
            <v>0</v>
          </cell>
          <cell r="F6315">
            <v>0</v>
          </cell>
          <cell r="DN6315">
            <v>0</v>
          </cell>
        </row>
        <row r="6316">
          <cell r="E6316">
            <v>0</v>
          </cell>
          <cell r="F6316">
            <v>0</v>
          </cell>
          <cell r="DN6316">
            <v>0</v>
          </cell>
        </row>
        <row r="6317">
          <cell r="E6317">
            <v>0</v>
          </cell>
          <cell r="F6317">
            <v>0</v>
          </cell>
          <cell r="DN6317">
            <v>0</v>
          </cell>
        </row>
        <row r="6318">
          <cell r="E6318">
            <v>0</v>
          </cell>
          <cell r="F6318">
            <v>0</v>
          </cell>
          <cell r="DN6318">
            <v>0</v>
          </cell>
        </row>
        <row r="6319">
          <cell r="E6319">
            <v>0</v>
          </cell>
          <cell r="F6319">
            <v>0</v>
          </cell>
          <cell r="DN6319">
            <v>0</v>
          </cell>
        </row>
        <row r="6320">
          <cell r="E6320">
            <v>0</v>
          </cell>
          <cell r="F6320">
            <v>0</v>
          </cell>
          <cell r="DN6320">
            <v>0</v>
          </cell>
        </row>
        <row r="6321">
          <cell r="E6321">
            <v>0</v>
          </cell>
          <cell r="F6321">
            <v>0</v>
          </cell>
          <cell r="DN6321">
            <v>0</v>
          </cell>
        </row>
        <row r="6322">
          <cell r="E6322">
            <v>0</v>
          </cell>
          <cell r="F6322">
            <v>0</v>
          </cell>
          <cell r="DN6322">
            <v>0</v>
          </cell>
        </row>
        <row r="6323">
          <cell r="E6323">
            <v>0</v>
          </cell>
          <cell r="F6323">
            <v>0</v>
          </cell>
          <cell r="DN6323">
            <v>0</v>
          </cell>
        </row>
        <row r="6324">
          <cell r="E6324">
            <v>0</v>
          </cell>
          <cell r="F6324">
            <v>0</v>
          </cell>
          <cell r="DN6324">
            <v>0</v>
          </cell>
        </row>
        <row r="6325">
          <cell r="E6325">
            <v>0</v>
          </cell>
          <cell r="F6325">
            <v>0</v>
          </cell>
          <cell r="DN6325">
            <v>0</v>
          </cell>
        </row>
        <row r="6326">
          <cell r="E6326">
            <v>0</v>
          </cell>
          <cell r="F6326">
            <v>0</v>
          </cell>
          <cell r="DN6326">
            <v>0</v>
          </cell>
        </row>
        <row r="6327">
          <cell r="E6327">
            <v>0</v>
          </cell>
          <cell r="F6327">
            <v>0</v>
          </cell>
          <cell r="DN6327">
            <v>0</v>
          </cell>
        </row>
        <row r="6328">
          <cell r="E6328">
            <v>0</v>
          </cell>
          <cell r="F6328">
            <v>0</v>
          </cell>
          <cell r="DN6328">
            <v>0</v>
          </cell>
        </row>
        <row r="6329">
          <cell r="E6329">
            <v>0</v>
          </cell>
          <cell r="F6329">
            <v>0</v>
          </cell>
          <cell r="DN6329">
            <v>0</v>
          </cell>
        </row>
        <row r="6330">
          <cell r="E6330">
            <v>0</v>
          </cell>
          <cell r="F6330">
            <v>0</v>
          </cell>
          <cell r="DN6330">
            <v>0</v>
          </cell>
        </row>
        <row r="6331">
          <cell r="E6331">
            <v>0</v>
          </cell>
          <cell r="F6331">
            <v>0</v>
          </cell>
          <cell r="DN6331">
            <v>0</v>
          </cell>
        </row>
        <row r="6332">
          <cell r="E6332">
            <v>0</v>
          </cell>
          <cell r="F6332">
            <v>0</v>
          </cell>
          <cell r="DN6332">
            <v>0</v>
          </cell>
        </row>
        <row r="6333">
          <cell r="E6333">
            <v>0</v>
          </cell>
          <cell r="F6333">
            <v>0</v>
          </cell>
          <cell r="DN6333">
            <v>0</v>
          </cell>
        </row>
        <row r="6334">
          <cell r="E6334">
            <v>0</v>
          </cell>
          <cell r="F6334">
            <v>0</v>
          </cell>
          <cell r="DN6334">
            <v>0</v>
          </cell>
        </row>
        <row r="6335">
          <cell r="E6335">
            <v>0</v>
          </cell>
          <cell r="F6335">
            <v>0</v>
          </cell>
          <cell r="DN6335">
            <v>0</v>
          </cell>
        </row>
        <row r="6336">
          <cell r="E6336">
            <v>0</v>
          </cell>
          <cell r="F6336">
            <v>0</v>
          </cell>
          <cell r="DN6336">
            <v>0</v>
          </cell>
        </row>
        <row r="6337">
          <cell r="E6337">
            <v>0</v>
          </cell>
          <cell r="F6337">
            <v>0</v>
          </cell>
          <cell r="DN6337">
            <v>0</v>
          </cell>
        </row>
        <row r="6338">
          <cell r="E6338">
            <v>0</v>
          </cell>
          <cell r="F6338">
            <v>0</v>
          </cell>
          <cell r="DN6338">
            <v>0</v>
          </cell>
        </row>
        <row r="6339">
          <cell r="E6339">
            <v>0</v>
          </cell>
          <cell r="F6339">
            <v>0</v>
          </cell>
          <cell r="DN6339">
            <v>0</v>
          </cell>
        </row>
        <row r="6340">
          <cell r="E6340">
            <v>0</v>
          </cell>
          <cell r="F6340">
            <v>0</v>
          </cell>
          <cell r="DN6340">
            <v>0</v>
          </cell>
        </row>
        <row r="6341">
          <cell r="E6341">
            <v>0</v>
          </cell>
          <cell r="F6341">
            <v>0</v>
          </cell>
          <cell r="DN6341">
            <v>0</v>
          </cell>
        </row>
        <row r="6342">
          <cell r="E6342">
            <v>0</v>
          </cell>
          <cell r="F6342">
            <v>0</v>
          </cell>
          <cell r="DN6342">
            <v>0</v>
          </cell>
        </row>
        <row r="6343">
          <cell r="E6343">
            <v>0</v>
          </cell>
          <cell r="F6343">
            <v>0</v>
          </cell>
          <cell r="DN6343">
            <v>0</v>
          </cell>
        </row>
        <row r="6344">
          <cell r="E6344">
            <v>0</v>
          </cell>
          <cell r="F6344">
            <v>0</v>
          </cell>
          <cell r="DN6344">
            <v>0</v>
          </cell>
        </row>
        <row r="6345">
          <cell r="E6345">
            <v>0</v>
          </cell>
          <cell r="F6345">
            <v>0</v>
          </cell>
          <cell r="DN6345">
            <v>0</v>
          </cell>
        </row>
        <row r="6346">
          <cell r="E6346">
            <v>0</v>
          </cell>
          <cell r="F6346">
            <v>0</v>
          </cell>
          <cell r="DN6346">
            <v>0</v>
          </cell>
        </row>
        <row r="6347">
          <cell r="E6347">
            <v>0</v>
          </cell>
          <cell r="F6347">
            <v>0</v>
          </cell>
          <cell r="DN6347">
            <v>0</v>
          </cell>
        </row>
        <row r="6348">
          <cell r="E6348">
            <v>0</v>
          </cell>
          <cell r="F6348">
            <v>0</v>
          </cell>
          <cell r="DN6348">
            <v>0</v>
          </cell>
        </row>
        <row r="6349">
          <cell r="E6349">
            <v>0</v>
          </cell>
          <cell r="F6349">
            <v>0</v>
          </cell>
          <cell r="DN6349">
            <v>0</v>
          </cell>
        </row>
        <row r="6350">
          <cell r="E6350">
            <v>0</v>
          </cell>
          <cell r="F6350">
            <v>0</v>
          </cell>
          <cell r="DN6350">
            <v>0</v>
          </cell>
        </row>
        <row r="6351">
          <cell r="E6351">
            <v>0</v>
          </cell>
          <cell r="F6351">
            <v>0</v>
          </cell>
          <cell r="DN6351">
            <v>0</v>
          </cell>
        </row>
        <row r="6352">
          <cell r="E6352">
            <v>0</v>
          </cell>
          <cell r="F6352">
            <v>0</v>
          </cell>
          <cell r="DN6352">
            <v>0</v>
          </cell>
        </row>
        <row r="6353">
          <cell r="E6353">
            <v>0</v>
          </cell>
          <cell r="F6353">
            <v>0</v>
          </cell>
          <cell r="DN6353">
            <v>0</v>
          </cell>
        </row>
        <row r="6354">
          <cell r="E6354">
            <v>0</v>
          </cell>
          <cell r="F6354">
            <v>0</v>
          </cell>
          <cell r="DN6354">
            <v>0</v>
          </cell>
        </row>
        <row r="6355">
          <cell r="E6355">
            <v>0</v>
          </cell>
          <cell r="F6355">
            <v>0</v>
          </cell>
          <cell r="DN6355">
            <v>0</v>
          </cell>
        </row>
        <row r="6356">
          <cell r="E6356">
            <v>0</v>
          </cell>
          <cell r="F6356">
            <v>0</v>
          </cell>
          <cell r="DN6356">
            <v>0</v>
          </cell>
        </row>
        <row r="6357">
          <cell r="E6357">
            <v>0</v>
          </cell>
          <cell r="F6357">
            <v>0</v>
          </cell>
          <cell r="DN6357">
            <v>0</v>
          </cell>
        </row>
        <row r="6358">
          <cell r="E6358">
            <v>0</v>
          </cell>
          <cell r="F6358">
            <v>0</v>
          </cell>
          <cell r="DN6358">
            <v>0</v>
          </cell>
        </row>
        <row r="6359">
          <cell r="E6359">
            <v>0</v>
          </cell>
          <cell r="F6359">
            <v>0</v>
          </cell>
          <cell r="DN6359">
            <v>0</v>
          </cell>
        </row>
        <row r="6360">
          <cell r="E6360">
            <v>0</v>
          </cell>
          <cell r="F6360">
            <v>0</v>
          </cell>
          <cell r="DN6360">
            <v>0</v>
          </cell>
        </row>
        <row r="6361">
          <cell r="E6361">
            <v>0</v>
          </cell>
          <cell r="F6361">
            <v>0</v>
          </cell>
          <cell r="DN6361">
            <v>0</v>
          </cell>
        </row>
        <row r="6362">
          <cell r="E6362">
            <v>0</v>
          </cell>
          <cell r="F6362">
            <v>0</v>
          </cell>
          <cell r="DN6362">
            <v>0</v>
          </cell>
        </row>
        <row r="6363">
          <cell r="E6363">
            <v>0</v>
          </cell>
          <cell r="F6363">
            <v>0</v>
          </cell>
          <cell r="DN6363">
            <v>0</v>
          </cell>
        </row>
        <row r="6364">
          <cell r="E6364">
            <v>0</v>
          </cell>
          <cell r="F6364">
            <v>0</v>
          </cell>
          <cell r="DN6364">
            <v>0</v>
          </cell>
        </row>
        <row r="6365">
          <cell r="E6365">
            <v>0</v>
          </cell>
          <cell r="F6365">
            <v>0</v>
          </cell>
          <cell r="DN6365">
            <v>0</v>
          </cell>
        </row>
        <row r="6366">
          <cell r="E6366">
            <v>0</v>
          </cell>
          <cell r="F6366">
            <v>0</v>
          </cell>
          <cell r="DN6366">
            <v>0</v>
          </cell>
        </row>
        <row r="6367">
          <cell r="E6367">
            <v>0</v>
          </cell>
          <cell r="F6367">
            <v>0</v>
          </cell>
          <cell r="DN6367">
            <v>0</v>
          </cell>
        </row>
        <row r="6368">
          <cell r="E6368">
            <v>0</v>
          </cell>
          <cell r="F6368">
            <v>0</v>
          </cell>
          <cell r="DN6368">
            <v>0</v>
          </cell>
        </row>
        <row r="6369">
          <cell r="E6369">
            <v>0</v>
          </cell>
          <cell r="F6369">
            <v>0</v>
          </cell>
          <cell r="DN6369">
            <v>0</v>
          </cell>
        </row>
        <row r="6370">
          <cell r="E6370">
            <v>0</v>
          </cell>
          <cell r="F6370">
            <v>0</v>
          </cell>
          <cell r="DN6370">
            <v>0</v>
          </cell>
        </row>
        <row r="6371">
          <cell r="E6371">
            <v>0</v>
          </cell>
          <cell r="F6371">
            <v>0</v>
          </cell>
          <cell r="DN6371">
            <v>0</v>
          </cell>
        </row>
        <row r="6372">
          <cell r="E6372">
            <v>0</v>
          </cell>
          <cell r="F6372">
            <v>0</v>
          </cell>
          <cell r="DN6372">
            <v>0</v>
          </cell>
        </row>
        <row r="6373">
          <cell r="E6373">
            <v>0</v>
          </cell>
          <cell r="F6373">
            <v>0</v>
          </cell>
          <cell r="DN6373">
            <v>0</v>
          </cell>
        </row>
        <row r="6374">
          <cell r="E6374">
            <v>0</v>
          </cell>
          <cell r="F6374">
            <v>0</v>
          </cell>
          <cell r="DN6374">
            <v>0</v>
          </cell>
        </row>
        <row r="6375">
          <cell r="E6375">
            <v>0</v>
          </cell>
          <cell r="F6375">
            <v>0</v>
          </cell>
          <cell r="DN6375">
            <v>0</v>
          </cell>
        </row>
        <row r="6376">
          <cell r="E6376">
            <v>0</v>
          </cell>
          <cell r="F6376">
            <v>0</v>
          </cell>
          <cell r="DN6376">
            <v>0</v>
          </cell>
        </row>
        <row r="6377">
          <cell r="E6377">
            <v>0</v>
          </cell>
          <cell r="F6377">
            <v>0</v>
          </cell>
          <cell r="DN6377">
            <v>0</v>
          </cell>
        </row>
        <row r="6378">
          <cell r="E6378">
            <v>0</v>
          </cell>
          <cell r="F6378">
            <v>0</v>
          </cell>
          <cell r="DN6378">
            <v>0</v>
          </cell>
        </row>
        <row r="6379">
          <cell r="E6379">
            <v>0</v>
          </cell>
          <cell r="F6379">
            <v>0</v>
          </cell>
          <cell r="DN6379">
            <v>0</v>
          </cell>
        </row>
        <row r="6380">
          <cell r="E6380">
            <v>0</v>
          </cell>
          <cell r="F6380">
            <v>0</v>
          </cell>
          <cell r="DN6380">
            <v>0</v>
          </cell>
        </row>
        <row r="6381">
          <cell r="E6381">
            <v>0</v>
          </cell>
          <cell r="F6381">
            <v>0</v>
          </cell>
          <cell r="DN6381">
            <v>0</v>
          </cell>
        </row>
        <row r="6382">
          <cell r="E6382">
            <v>0</v>
          </cell>
          <cell r="F6382">
            <v>0</v>
          </cell>
          <cell r="DN6382">
            <v>0</v>
          </cell>
        </row>
        <row r="6383">
          <cell r="E6383">
            <v>0</v>
          </cell>
          <cell r="F6383">
            <v>0</v>
          </cell>
          <cell r="DN6383">
            <v>0</v>
          </cell>
        </row>
        <row r="6384">
          <cell r="E6384">
            <v>0</v>
          </cell>
          <cell r="F6384">
            <v>0</v>
          </cell>
          <cell r="DN6384">
            <v>0</v>
          </cell>
        </row>
        <row r="6385">
          <cell r="E6385">
            <v>0</v>
          </cell>
          <cell r="F6385">
            <v>0</v>
          </cell>
          <cell r="DN6385">
            <v>0</v>
          </cell>
        </row>
        <row r="6386">
          <cell r="E6386">
            <v>0</v>
          </cell>
          <cell r="F6386">
            <v>0</v>
          </cell>
          <cell r="DN6386">
            <v>0</v>
          </cell>
        </row>
        <row r="6387">
          <cell r="E6387">
            <v>0</v>
          </cell>
          <cell r="F6387">
            <v>0</v>
          </cell>
          <cell r="DN6387">
            <v>0</v>
          </cell>
        </row>
        <row r="6388">
          <cell r="E6388">
            <v>0</v>
          </cell>
          <cell r="F6388">
            <v>0</v>
          </cell>
          <cell r="DN6388">
            <v>0</v>
          </cell>
        </row>
        <row r="6389">
          <cell r="E6389">
            <v>0</v>
          </cell>
          <cell r="F6389">
            <v>0</v>
          </cell>
          <cell r="DN6389">
            <v>0</v>
          </cell>
        </row>
        <row r="6390">
          <cell r="E6390">
            <v>0</v>
          </cell>
          <cell r="F6390">
            <v>0</v>
          </cell>
          <cell r="DN6390">
            <v>0</v>
          </cell>
        </row>
        <row r="6391">
          <cell r="E6391">
            <v>0</v>
          </cell>
          <cell r="F6391">
            <v>0</v>
          </cell>
          <cell r="DN6391">
            <v>0</v>
          </cell>
        </row>
        <row r="6392">
          <cell r="E6392">
            <v>0</v>
          </cell>
          <cell r="F6392">
            <v>0</v>
          </cell>
          <cell r="DN6392">
            <v>0</v>
          </cell>
        </row>
        <row r="6393">
          <cell r="E6393">
            <v>0</v>
          </cell>
          <cell r="F6393">
            <v>0</v>
          </cell>
          <cell r="DN6393">
            <v>0</v>
          </cell>
        </row>
        <row r="6394">
          <cell r="E6394">
            <v>0</v>
          </cell>
          <cell r="F6394">
            <v>0</v>
          </cell>
          <cell r="DN6394">
            <v>0</v>
          </cell>
        </row>
        <row r="6395">
          <cell r="E6395">
            <v>0</v>
          </cell>
          <cell r="F6395">
            <v>0</v>
          </cell>
          <cell r="DN6395">
            <v>0</v>
          </cell>
        </row>
        <row r="6396">
          <cell r="E6396">
            <v>0</v>
          </cell>
          <cell r="F6396">
            <v>0</v>
          </cell>
          <cell r="DN6396">
            <v>0</v>
          </cell>
        </row>
        <row r="6397">
          <cell r="E6397">
            <v>0</v>
          </cell>
          <cell r="F6397">
            <v>0</v>
          </cell>
          <cell r="DN6397">
            <v>0</v>
          </cell>
        </row>
        <row r="6398">
          <cell r="E6398">
            <v>0</v>
          </cell>
          <cell r="F6398">
            <v>0</v>
          </cell>
          <cell r="DN6398">
            <v>0</v>
          </cell>
        </row>
        <row r="6399">
          <cell r="E6399">
            <v>0</v>
          </cell>
          <cell r="F6399">
            <v>0</v>
          </cell>
          <cell r="DN6399">
            <v>0</v>
          </cell>
        </row>
        <row r="6400">
          <cell r="E6400">
            <v>0</v>
          </cell>
          <cell r="F6400">
            <v>0</v>
          </cell>
          <cell r="DN6400">
            <v>0</v>
          </cell>
        </row>
        <row r="6401">
          <cell r="E6401">
            <v>0</v>
          </cell>
          <cell r="F6401">
            <v>0</v>
          </cell>
          <cell r="DN6401">
            <v>0</v>
          </cell>
        </row>
        <row r="6402">
          <cell r="E6402">
            <v>0</v>
          </cell>
          <cell r="F6402">
            <v>0</v>
          </cell>
          <cell r="DN6402">
            <v>0</v>
          </cell>
        </row>
        <row r="6403">
          <cell r="E6403">
            <v>0</v>
          </cell>
          <cell r="F6403">
            <v>0</v>
          </cell>
          <cell r="DN6403">
            <v>0</v>
          </cell>
        </row>
        <row r="6404">
          <cell r="E6404">
            <v>0</v>
          </cell>
          <cell r="F6404">
            <v>0</v>
          </cell>
          <cell r="DN6404">
            <v>0</v>
          </cell>
        </row>
        <row r="6405">
          <cell r="E6405">
            <v>0</v>
          </cell>
          <cell r="F6405">
            <v>0</v>
          </cell>
          <cell r="DN6405">
            <v>0</v>
          </cell>
        </row>
        <row r="6406">
          <cell r="E6406">
            <v>0</v>
          </cell>
          <cell r="F6406">
            <v>0</v>
          </cell>
          <cell r="DN6406">
            <v>0</v>
          </cell>
        </row>
        <row r="6407">
          <cell r="E6407">
            <v>0</v>
          </cell>
          <cell r="F6407">
            <v>0</v>
          </cell>
          <cell r="DN6407">
            <v>0</v>
          </cell>
        </row>
        <row r="6408">
          <cell r="E6408">
            <v>0</v>
          </cell>
          <cell r="F6408">
            <v>0</v>
          </cell>
          <cell r="DN6408">
            <v>0</v>
          </cell>
        </row>
        <row r="6409">
          <cell r="E6409">
            <v>0</v>
          </cell>
          <cell r="F6409">
            <v>0</v>
          </cell>
          <cell r="DN6409">
            <v>0</v>
          </cell>
        </row>
        <row r="6410">
          <cell r="E6410">
            <v>0</v>
          </cell>
          <cell r="F6410">
            <v>0</v>
          </cell>
          <cell r="DN6410">
            <v>0</v>
          </cell>
        </row>
        <row r="6411">
          <cell r="E6411">
            <v>0</v>
          </cell>
          <cell r="F6411">
            <v>0</v>
          </cell>
          <cell r="DN6411">
            <v>0</v>
          </cell>
        </row>
        <row r="6412">
          <cell r="E6412">
            <v>0</v>
          </cell>
          <cell r="F6412">
            <v>0</v>
          </cell>
          <cell r="DN6412">
            <v>0</v>
          </cell>
        </row>
        <row r="6413">
          <cell r="E6413">
            <v>0</v>
          </cell>
          <cell r="F6413">
            <v>0</v>
          </cell>
          <cell r="DN6413">
            <v>0</v>
          </cell>
        </row>
        <row r="6414">
          <cell r="E6414">
            <v>0</v>
          </cell>
          <cell r="F6414">
            <v>0</v>
          </cell>
          <cell r="DN6414">
            <v>0</v>
          </cell>
        </row>
        <row r="6415">
          <cell r="E6415">
            <v>0</v>
          </cell>
          <cell r="F6415">
            <v>0</v>
          </cell>
          <cell r="DN6415">
            <v>0</v>
          </cell>
        </row>
        <row r="6416">
          <cell r="E6416">
            <v>0</v>
          </cell>
          <cell r="F6416">
            <v>0</v>
          </cell>
          <cell r="DN6416">
            <v>0</v>
          </cell>
        </row>
        <row r="6417">
          <cell r="E6417">
            <v>0</v>
          </cell>
          <cell r="F6417">
            <v>0</v>
          </cell>
          <cell r="DN6417">
            <v>0</v>
          </cell>
        </row>
        <row r="6418">
          <cell r="E6418">
            <v>0</v>
          </cell>
          <cell r="F6418">
            <v>0</v>
          </cell>
          <cell r="DN6418">
            <v>0</v>
          </cell>
        </row>
        <row r="6419">
          <cell r="E6419">
            <v>0</v>
          </cell>
          <cell r="F6419">
            <v>0</v>
          </cell>
          <cell r="DN6419">
            <v>0</v>
          </cell>
        </row>
        <row r="6420">
          <cell r="E6420">
            <v>0</v>
          </cell>
          <cell r="F6420">
            <v>0</v>
          </cell>
          <cell r="DN6420">
            <v>0</v>
          </cell>
        </row>
        <row r="6421">
          <cell r="E6421">
            <v>0</v>
          </cell>
          <cell r="F6421">
            <v>0</v>
          </cell>
          <cell r="DN6421">
            <v>0</v>
          </cell>
        </row>
        <row r="6422">
          <cell r="E6422">
            <v>0</v>
          </cell>
          <cell r="F6422">
            <v>0</v>
          </cell>
          <cell r="DN6422">
            <v>0</v>
          </cell>
        </row>
        <row r="6423">
          <cell r="E6423">
            <v>0</v>
          </cell>
          <cell r="F6423">
            <v>0</v>
          </cell>
          <cell r="DN6423">
            <v>0</v>
          </cell>
        </row>
        <row r="6424">
          <cell r="E6424">
            <v>0</v>
          </cell>
          <cell r="F6424">
            <v>0</v>
          </cell>
          <cell r="DN6424">
            <v>0</v>
          </cell>
        </row>
        <row r="6425">
          <cell r="E6425">
            <v>0</v>
          </cell>
          <cell r="F6425">
            <v>0</v>
          </cell>
          <cell r="DN6425">
            <v>0</v>
          </cell>
        </row>
        <row r="6426">
          <cell r="E6426">
            <v>0</v>
          </cell>
          <cell r="F6426">
            <v>0</v>
          </cell>
          <cell r="DN6426">
            <v>0</v>
          </cell>
        </row>
        <row r="6427">
          <cell r="E6427">
            <v>0</v>
          </cell>
          <cell r="F6427">
            <v>0</v>
          </cell>
          <cell r="DN6427">
            <v>0</v>
          </cell>
        </row>
        <row r="6428">
          <cell r="E6428">
            <v>0</v>
          </cell>
          <cell r="F6428">
            <v>0</v>
          </cell>
          <cell r="DN6428">
            <v>0</v>
          </cell>
        </row>
        <row r="6429">
          <cell r="E6429">
            <v>0</v>
          </cell>
          <cell r="F6429">
            <v>0</v>
          </cell>
          <cell r="DN6429">
            <v>0</v>
          </cell>
        </row>
        <row r="6430">
          <cell r="E6430">
            <v>0</v>
          </cell>
          <cell r="F6430">
            <v>0</v>
          </cell>
          <cell r="DN6430">
            <v>0</v>
          </cell>
        </row>
        <row r="6431">
          <cell r="E6431">
            <v>0</v>
          </cell>
          <cell r="F6431">
            <v>0</v>
          </cell>
          <cell r="DN6431">
            <v>0</v>
          </cell>
        </row>
        <row r="6432">
          <cell r="E6432">
            <v>0</v>
          </cell>
          <cell r="F6432">
            <v>0</v>
          </cell>
          <cell r="DN6432">
            <v>0</v>
          </cell>
        </row>
        <row r="6433">
          <cell r="E6433">
            <v>0</v>
          </cell>
          <cell r="F6433">
            <v>0</v>
          </cell>
          <cell r="DN6433">
            <v>0</v>
          </cell>
        </row>
        <row r="6434">
          <cell r="E6434">
            <v>0</v>
          </cell>
          <cell r="F6434">
            <v>0</v>
          </cell>
          <cell r="DN6434">
            <v>0</v>
          </cell>
        </row>
        <row r="6435">
          <cell r="E6435">
            <v>0</v>
          </cell>
          <cell r="F6435">
            <v>0</v>
          </cell>
          <cell r="DN6435">
            <v>0</v>
          </cell>
        </row>
        <row r="6436">
          <cell r="E6436">
            <v>0</v>
          </cell>
          <cell r="F6436">
            <v>0</v>
          </cell>
          <cell r="DN6436">
            <v>0</v>
          </cell>
        </row>
        <row r="6437">
          <cell r="E6437">
            <v>0</v>
          </cell>
          <cell r="F6437">
            <v>0</v>
          </cell>
          <cell r="DN6437">
            <v>0</v>
          </cell>
        </row>
        <row r="6438">
          <cell r="E6438">
            <v>0</v>
          </cell>
          <cell r="F6438">
            <v>0</v>
          </cell>
          <cell r="DN6438">
            <v>0</v>
          </cell>
        </row>
        <row r="6439">
          <cell r="E6439">
            <v>0</v>
          </cell>
          <cell r="F6439">
            <v>0</v>
          </cell>
          <cell r="DN6439">
            <v>0</v>
          </cell>
        </row>
        <row r="6440">
          <cell r="E6440">
            <v>0</v>
          </cell>
          <cell r="F6440">
            <v>0</v>
          </cell>
          <cell r="DN6440">
            <v>0</v>
          </cell>
        </row>
        <row r="6441">
          <cell r="E6441">
            <v>0</v>
          </cell>
          <cell r="F6441">
            <v>0</v>
          </cell>
          <cell r="DN6441">
            <v>0</v>
          </cell>
        </row>
        <row r="6442">
          <cell r="E6442">
            <v>0</v>
          </cell>
          <cell r="F6442">
            <v>0</v>
          </cell>
          <cell r="DN6442">
            <v>0</v>
          </cell>
        </row>
        <row r="6443">
          <cell r="E6443">
            <v>0</v>
          </cell>
          <cell r="F6443">
            <v>0</v>
          </cell>
          <cell r="DN6443">
            <v>0</v>
          </cell>
        </row>
        <row r="6444">
          <cell r="E6444">
            <v>0</v>
          </cell>
          <cell r="F6444">
            <v>0</v>
          </cell>
          <cell r="DN6444">
            <v>0</v>
          </cell>
        </row>
        <row r="6445">
          <cell r="E6445">
            <v>0</v>
          </cell>
          <cell r="F6445">
            <v>0</v>
          </cell>
          <cell r="DN6445">
            <v>0</v>
          </cell>
        </row>
        <row r="6446">
          <cell r="E6446">
            <v>0</v>
          </cell>
          <cell r="F6446">
            <v>0</v>
          </cell>
          <cell r="DN6446">
            <v>0</v>
          </cell>
        </row>
        <row r="6447">
          <cell r="E6447">
            <v>0</v>
          </cell>
          <cell r="F6447">
            <v>0</v>
          </cell>
          <cell r="DN6447">
            <v>0</v>
          </cell>
        </row>
        <row r="6448">
          <cell r="E6448">
            <v>0</v>
          </cell>
          <cell r="F6448">
            <v>0</v>
          </cell>
          <cell r="DN6448">
            <v>0</v>
          </cell>
        </row>
        <row r="6449">
          <cell r="E6449">
            <v>0</v>
          </cell>
          <cell r="F6449">
            <v>0</v>
          </cell>
          <cell r="DN6449">
            <v>0</v>
          </cell>
        </row>
        <row r="6450">
          <cell r="E6450">
            <v>0</v>
          </cell>
          <cell r="F6450">
            <v>0</v>
          </cell>
          <cell r="DN6450">
            <v>0</v>
          </cell>
        </row>
        <row r="6451">
          <cell r="E6451">
            <v>0</v>
          </cell>
          <cell r="F6451">
            <v>0</v>
          </cell>
          <cell r="DN6451">
            <v>0</v>
          </cell>
        </row>
        <row r="6452">
          <cell r="E6452">
            <v>0</v>
          </cell>
          <cell r="F6452">
            <v>0</v>
          </cell>
          <cell r="DN6452">
            <v>0</v>
          </cell>
        </row>
        <row r="6453">
          <cell r="E6453">
            <v>0</v>
          </cell>
          <cell r="F6453">
            <v>0</v>
          </cell>
          <cell r="DN6453">
            <v>0</v>
          </cell>
        </row>
        <row r="6454">
          <cell r="E6454">
            <v>0</v>
          </cell>
          <cell r="F6454">
            <v>0</v>
          </cell>
          <cell r="DN6454">
            <v>0</v>
          </cell>
        </row>
        <row r="6455">
          <cell r="E6455">
            <v>0</v>
          </cell>
          <cell r="F6455">
            <v>0</v>
          </cell>
          <cell r="DN6455">
            <v>0</v>
          </cell>
        </row>
        <row r="6456">
          <cell r="E6456">
            <v>0</v>
          </cell>
          <cell r="F6456">
            <v>0</v>
          </cell>
          <cell r="DN6456">
            <v>0</v>
          </cell>
        </row>
        <row r="6457">
          <cell r="E6457">
            <v>0</v>
          </cell>
          <cell r="F6457">
            <v>0</v>
          </cell>
          <cell r="DN6457">
            <v>0</v>
          </cell>
        </row>
        <row r="6458">
          <cell r="E6458">
            <v>0</v>
          </cell>
          <cell r="F6458">
            <v>0</v>
          </cell>
          <cell r="DN6458">
            <v>0</v>
          </cell>
        </row>
        <row r="6459">
          <cell r="E6459">
            <v>0</v>
          </cell>
          <cell r="F6459">
            <v>0</v>
          </cell>
          <cell r="DN6459">
            <v>0</v>
          </cell>
        </row>
        <row r="6460">
          <cell r="E6460">
            <v>0</v>
          </cell>
          <cell r="F6460">
            <v>0</v>
          </cell>
          <cell r="DN6460">
            <v>0</v>
          </cell>
        </row>
        <row r="6461">
          <cell r="E6461">
            <v>0</v>
          </cell>
          <cell r="F6461">
            <v>0</v>
          </cell>
          <cell r="DN6461">
            <v>0</v>
          </cell>
        </row>
        <row r="6462">
          <cell r="E6462">
            <v>0</v>
          </cell>
          <cell r="F6462">
            <v>0</v>
          </cell>
          <cell r="DN6462">
            <v>0</v>
          </cell>
        </row>
        <row r="6463">
          <cell r="E6463">
            <v>0</v>
          </cell>
          <cell r="F6463">
            <v>0</v>
          </cell>
          <cell r="DN6463">
            <v>0</v>
          </cell>
        </row>
        <row r="6464">
          <cell r="E6464">
            <v>0</v>
          </cell>
          <cell r="F6464">
            <v>0</v>
          </cell>
          <cell r="DN6464">
            <v>0</v>
          </cell>
        </row>
        <row r="6465">
          <cell r="E6465">
            <v>0</v>
          </cell>
          <cell r="F6465">
            <v>0</v>
          </cell>
          <cell r="DN6465">
            <v>0</v>
          </cell>
        </row>
        <row r="6466">
          <cell r="E6466">
            <v>0</v>
          </cell>
          <cell r="F6466">
            <v>0</v>
          </cell>
          <cell r="DN6466">
            <v>0</v>
          </cell>
        </row>
        <row r="6467">
          <cell r="E6467">
            <v>0</v>
          </cell>
          <cell r="F6467">
            <v>0</v>
          </cell>
          <cell r="DN6467">
            <v>0</v>
          </cell>
        </row>
        <row r="6468">
          <cell r="E6468">
            <v>0</v>
          </cell>
          <cell r="F6468">
            <v>0</v>
          </cell>
          <cell r="DN6468">
            <v>0</v>
          </cell>
        </row>
        <row r="6469">
          <cell r="E6469">
            <v>0</v>
          </cell>
          <cell r="F6469">
            <v>0</v>
          </cell>
          <cell r="DN6469">
            <v>0</v>
          </cell>
        </row>
        <row r="6470">
          <cell r="E6470">
            <v>0</v>
          </cell>
          <cell r="F6470">
            <v>0</v>
          </cell>
          <cell r="DN6470">
            <v>0</v>
          </cell>
        </row>
        <row r="6471">
          <cell r="E6471">
            <v>0</v>
          </cell>
          <cell r="F6471">
            <v>0</v>
          </cell>
          <cell r="DN6471">
            <v>0</v>
          </cell>
        </row>
        <row r="6472">
          <cell r="E6472">
            <v>0</v>
          </cell>
          <cell r="F6472">
            <v>0</v>
          </cell>
          <cell r="DN6472">
            <v>0</v>
          </cell>
        </row>
        <row r="6473">
          <cell r="E6473">
            <v>0</v>
          </cell>
          <cell r="F6473">
            <v>0</v>
          </cell>
          <cell r="DN6473">
            <v>0</v>
          </cell>
        </row>
        <row r="6474">
          <cell r="E6474">
            <v>0</v>
          </cell>
          <cell r="F6474">
            <v>0</v>
          </cell>
          <cell r="DN6474">
            <v>0</v>
          </cell>
        </row>
        <row r="6475">
          <cell r="E6475">
            <v>0</v>
          </cell>
          <cell r="F6475">
            <v>0</v>
          </cell>
          <cell r="DN6475">
            <v>0</v>
          </cell>
        </row>
        <row r="6476">
          <cell r="E6476">
            <v>0</v>
          </cell>
          <cell r="F6476">
            <v>0</v>
          </cell>
          <cell r="DN6476">
            <v>0</v>
          </cell>
        </row>
        <row r="6477">
          <cell r="E6477">
            <v>0</v>
          </cell>
          <cell r="F6477">
            <v>0</v>
          </cell>
          <cell r="DN6477">
            <v>0</v>
          </cell>
        </row>
        <row r="6478">
          <cell r="E6478">
            <v>0</v>
          </cell>
          <cell r="F6478">
            <v>0</v>
          </cell>
          <cell r="DN6478">
            <v>0</v>
          </cell>
        </row>
        <row r="6479">
          <cell r="E6479">
            <v>0</v>
          </cell>
          <cell r="F6479">
            <v>0</v>
          </cell>
          <cell r="DN6479">
            <v>0</v>
          </cell>
        </row>
        <row r="6480">
          <cell r="E6480">
            <v>0</v>
          </cell>
          <cell r="F6480">
            <v>0</v>
          </cell>
          <cell r="DN6480">
            <v>0</v>
          </cell>
        </row>
        <row r="6481">
          <cell r="E6481">
            <v>0</v>
          </cell>
          <cell r="F6481">
            <v>0</v>
          </cell>
          <cell r="DN6481">
            <v>0</v>
          </cell>
        </row>
        <row r="6482">
          <cell r="E6482">
            <v>0</v>
          </cell>
          <cell r="F6482">
            <v>0</v>
          </cell>
          <cell r="DN6482">
            <v>0</v>
          </cell>
        </row>
        <row r="6483">
          <cell r="E6483">
            <v>0</v>
          </cell>
          <cell r="F6483">
            <v>0</v>
          </cell>
          <cell r="DN6483">
            <v>0</v>
          </cell>
        </row>
        <row r="6484">
          <cell r="E6484">
            <v>0</v>
          </cell>
          <cell r="F6484">
            <v>0</v>
          </cell>
          <cell r="DN6484">
            <v>0</v>
          </cell>
        </row>
        <row r="6485">
          <cell r="E6485">
            <v>0</v>
          </cell>
          <cell r="F6485">
            <v>0</v>
          </cell>
          <cell r="DN6485">
            <v>0</v>
          </cell>
        </row>
        <row r="6486">
          <cell r="E6486">
            <v>0</v>
          </cell>
          <cell r="F6486">
            <v>0</v>
          </cell>
          <cell r="DN6486">
            <v>0</v>
          </cell>
        </row>
        <row r="6487">
          <cell r="E6487">
            <v>0</v>
          </cell>
          <cell r="F6487">
            <v>0</v>
          </cell>
          <cell r="DN6487">
            <v>0</v>
          </cell>
        </row>
        <row r="6488">
          <cell r="E6488">
            <v>0</v>
          </cell>
          <cell r="F6488">
            <v>0</v>
          </cell>
          <cell r="DN6488">
            <v>0</v>
          </cell>
        </row>
        <row r="6489">
          <cell r="E6489">
            <v>0</v>
          </cell>
          <cell r="F6489">
            <v>0</v>
          </cell>
          <cell r="DN6489">
            <v>0</v>
          </cell>
        </row>
        <row r="6490">
          <cell r="E6490">
            <v>0</v>
          </cell>
          <cell r="F6490">
            <v>0</v>
          </cell>
          <cell r="DN6490">
            <v>0</v>
          </cell>
        </row>
        <row r="6491">
          <cell r="E6491">
            <v>0</v>
          </cell>
          <cell r="F6491">
            <v>0</v>
          </cell>
          <cell r="DN6491">
            <v>0</v>
          </cell>
        </row>
        <row r="6492">
          <cell r="E6492">
            <v>0</v>
          </cell>
          <cell r="F6492">
            <v>0</v>
          </cell>
          <cell r="DN6492">
            <v>0</v>
          </cell>
        </row>
        <row r="6493">
          <cell r="E6493">
            <v>0</v>
          </cell>
          <cell r="F6493">
            <v>0</v>
          </cell>
          <cell r="DN6493">
            <v>0</v>
          </cell>
        </row>
        <row r="6494">
          <cell r="E6494">
            <v>0</v>
          </cell>
          <cell r="F6494">
            <v>0</v>
          </cell>
          <cell r="DN6494">
            <v>0</v>
          </cell>
        </row>
        <row r="6495">
          <cell r="E6495">
            <v>0</v>
          </cell>
          <cell r="F6495">
            <v>0</v>
          </cell>
          <cell r="DN6495">
            <v>0</v>
          </cell>
        </row>
        <row r="6496">
          <cell r="E6496">
            <v>0</v>
          </cell>
          <cell r="F6496">
            <v>0</v>
          </cell>
          <cell r="DN6496">
            <v>0</v>
          </cell>
        </row>
        <row r="6497">
          <cell r="E6497">
            <v>0</v>
          </cell>
          <cell r="F6497">
            <v>0</v>
          </cell>
          <cell r="DN6497">
            <v>0</v>
          </cell>
        </row>
        <row r="6498">
          <cell r="E6498">
            <v>0</v>
          </cell>
          <cell r="F6498">
            <v>0</v>
          </cell>
          <cell r="DN6498">
            <v>0</v>
          </cell>
        </row>
        <row r="6499">
          <cell r="E6499">
            <v>0</v>
          </cell>
          <cell r="F6499">
            <v>0</v>
          </cell>
          <cell r="DN6499">
            <v>0</v>
          </cell>
        </row>
        <row r="6500">
          <cell r="E6500">
            <v>0</v>
          </cell>
          <cell r="F6500">
            <v>0</v>
          </cell>
          <cell r="DN6500">
            <v>0</v>
          </cell>
        </row>
        <row r="6501">
          <cell r="E6501">
            <v>0</v>
          </cell>
          <cell r="F6501">
            <v>0</v>
          </cell>
          <cell r="DN6501">
            <v>0</v>
          </cell>
        </row>
        <row r="6502">
          <cell r="E6502">
            <v>0</v>
          </cell>
          <cell r="F6502">
            <v>0</v>
          </cell>
          <cell r="DN6502">
            <v>0</v>
          </cell>
        </row>
        <row r="6503">
          <cell r="E6503">
            <v>0</v>
          </cell>
          <cell r="F6503">
            <v>0</v>
          </cell>
          <cell r="DN6503">
            <v>0</v>
          </cell>
        </row>
        <row r="6504">
          <cell r="E6504">
            <v>0</v>
          </cell>
          <cell r="F6504">
            <v>0</v>
          </cell>
          <cell r="DN6504">
            <v>0</v>
          </cell>
        </row>
        <row r="6505">
          <cell r="E6505">
            <v>0</v>
          </cell>
          <cell r="F6505">
            <v>0</v>
          </cell>
          <cell r="DN6505">
            <v>0</v>
          </cell>
        </row>
        <row r="6506">
          <cell r="E6506">
            <v>0</v>
          </cell>
          <cell r="F6506">
            <v>0</v>
          </cell>
          <cell r="DN6506">
            <v>0</v>
          </cell>
        </row>
        <row r="6507">
          <cell r="E6507">
            <v>0</v>
          </cell>
          <cell r="F6507">
            <v>0</v>
          </cell>
          <cell r="DN6507">
            <v>0</v>
          </cell>
        </row>
        <row r="6508">
          <cell r="E6508">
            <v>0</v>
          </cell>
          <cell r="F6508">
            <v>0</v>
          </cell>
          <cell r="DN6508">
            <v>0</v>
          </cell>
        </row>
        <row r="6509">
          <cell r="E6509">
            <v>0</v>
          </cell>
          <cell r="F6509">
            <v>0</v>
          </cell>
          <cell r="DN6509">
            <v>0</v>
          </cell>
        </row>
        <row r="6510">
          <cell r="E6510">
            <v>0</v>
          </cell>
          <cell r="F6510">
            <v>0</v>
          </cell>
          <cell r="DN6510">
            <v>0</v>
          </cell>
        </row>
        <row r="6511">
          <cell r="E6511">
            <v>0</v>
          </cell>
          <cell r="F6511">
            <v>0</v>
          </cell>
          <cell r="DN6511">
            <v>0</v>
          </cell>
        </row>
        <row r="6512">
          <cell r="E6512">
            <v>0</v>
          </cell>
          <cell r="F6512">
            <v>0</v>
          </cell>
          <cell r="DN6512">
            <v>0</v>
          </cell>
        </row>
        <row r="6513">
          <cell r="E6513">
            <v>0</v>
          </cell>
          <cell r="F6513">
            <v>0</v>
          </cell>
          <cell r="DN6513">
            <v>0</v>
          </cell>
        </row>
        <row r="6514">
          <cell r="E6514">
            <v>0</v>
          </cell>
          <cell r="F6514">
            <v>0</v>
          </cell>
          <cell r="DN6514">
            <v>0</v>
          </cell>
        </row>
        <row r="6515">
          <cell r="E6515">
            <v>0</v>
          </cell>
          <cell r="F6515">
            <v>0</v>
          </cell>
          <cell r="DN6515">
            <v>0</v>
          </cell>
        </row>
        <row r="6516">
          <cell r="E6516">
            <v>0</v>
          </cell>
          <cell r="F6516">
            <v>0</v>
          </cell>
          <cell r="DN6516">
            <v>0</v>
          </cell>
        </row>
        <row r="6517">
          <cell r="E6517">
            <v>0</v>
          </cell>
          <cell r="F6517">
            <v>0</v>
          </cell>
          <cell r="DN6517">
            <v>0</v>
          </cell>
        </row>
        <row r="6518">
          <cell r="E6518">
            <v>0</v>
          </cell>
          <cell r="F6518">
            <v>0</v>
          </cell>
          <cell r="DN6518">
            <v>0</v>
          </cell>
        </row>
        <row r="6519">
          <cell r="E6519">
            <v>0</v>
          </cell>
          <cell r="F6519">
            <v>0</v>
          </cell>
          <cell r="DN6519">
            <v>0</v>
          </cell>
        </row>
        <row r="6520">
          <cell r="E6520">
            <v>0</v>
          </cell>
          <cell r="F6520">
            <v>0</v>
          </cell>
          <cell r="DN6520">
            <v>0</v>
          </cell>
        </row>
        <row r="6521">
          <cell r="E6521">
            <v>0</v>
          </cell>
          <cell r="F6521">
            <v>0</v>
          </cell>
          <cell r="DN6521">
            <v>0</v>
          </cell>
        </row>
        <row r="6522">
          <cell r="E6522">
            <v>0</v>
          </cell>
          <cell r="F6522">
            <v>0</v>
          </cell>
          <cell r="DN6522">
            <v>0</v>
          </cell>
        </row>
        <row r="6523">
          <cell r="E6523">
            <v>0</v>
          </cell>
          <cell r="F6523">
            <v>0</v>
          </cell>
          <cell r="DN6523">
            <v>0</v>
          </cell>
        </row>
        <row r="6524">
          <cell r="E6524">
            <v>0</v>
          </cell>
          <cell r="F6524">
            <v>0</v>
          </cell>
          <cell r="DN6524">
            <v>0</v>
          </cell>
        </row>
        <row r="6525">
          <cell r="E6525">
            <v>0</v>
          </cell>
          <cell r="F6525">
            <v>0</v>
          </cell>
          <cell r="DN6525">
            <v>0</v>
          </cell>
        </row>
        <row r="6526">
          <cell r="E6526">
            <v>0</v>
          </cell>
          <cell r="F6526">
            <v>0</v>
          </cell>
          <cell r="DN6526">
            <v>0</v>
          </cell>
        </row>
        <row r="6527">
          <cell r="E6527">
            <v>0</v>
          </cell>
          <cell r="F6527">
            <v>0</v>
          </cell>
          <cell r="DN6527">
            <v>0</v>
          </cell>
        </row>
        <row r="6528">
          <cell r="E6528">
            <v>0</v>
          </cell>
          <cell r="F6528">
            <v>0</v>
          </cell>
          <cell r="DN6528">
            <v>0</v>
          </cell>
        </row>
        <row r="6529">
          <cell r="E6529">
            <v>0</v>
          </cell>
          <cell r="F6529">
            <v>0</v>
          </cell>
          <cell r="DN6529">
            <v>0</v>
          </cell>
        </row>
        <row r="6530">
          <cell r="E6530">
            <v>0</v>
          </cell>
          <cell r="F6530">
            <v>0</v>
          </cell>
          <cell r="DN6530">
            <v>0</v>
          </cell>
        </row>
        <row r="6531">
          <cell r="E6531">
            <v>0</v>
          </cell>
          <cell r="F6531">
            <v>0</v>
          </cell>
          <cell r="DN6531">
            <v>0</v>
          </cell>
        </row>
        <row r="6532">
          <cell r="E6532">
            <v>0</v>
          </cell>
          <cell r="F6532">
            <v>0</v>
          </cell>
          <cell r="DN6532">
            <v>0</v>
          </cell>
        </row>
        <row r="6533">
          <cell r="E6533">
            <v>0</v>
          </cell>
          <cell r="F6533">
            <v>0</v>
          </cell>
          <cell r="DN6533">
            <v>0</v>
          </cell>
        </row>
        <row r="6534">
          <cell r="E6534">
            <v>0</v>
          </cell>
          <cell r="F6534">
            <v>0</v>
          </cell>
          <cell r="DN6534">
            <v>0</v>
          </cell>
        </row>
        <row r="6535">
          <cell r="E6535">
            <v>0</v>
          </cell>
          <cell r="F6535">
            <v>0</v>
          </cell>
          <cell r="DN6535">
            <v>0</v>
          </cell>
        </row>
        <row r="6536">
          <cell r="E6536">
            <v>0</v>
          </cell>
          <cell r="F6536">
            <v>0</v>
          </cell>
          <cell r="DN6536">
            <v>0</v>
          </cell>
        </row>
        <row r="6537">
          <cell r="E6537">
            <v>0</v>
          </cell>
          <cell r="F6537">
            <v>0</v>
          </cell>
          <cell r="DN6537">
            <v>0</v>
          </cell>
        </row>
        <row r="6538">
          <cell r="E6538">
            <v>0</v>
          </cell>
          <cell r="F6538">
            <v>0</v>
          </cell>
          <cell r="DN6538">
            <v>0</v>
          </cell>
        </row>
        <row r="6539">
          <cell r="E6539">
            <v>0</v>
          </cell>
          <cell r="F6539">
            <v>0</v>
          </cell>
          <cell r="DN6539">
            <v>0</v>
          </cell>
        </row>
        <row r="6540">
          <cell r="E6540">
            <v>0</v>
          </cell>
          <cell r="F6540">
            <v>0</v>
          </cell>
          <cell r="DN6540">
            <v>0</v>
          </cell>
        </row>
        <row r="6541">
          <cell r="E6541">
            <v>0</v>
          </cell>
          <cell r="F6541">
            <v>0</v>
          </cell>
          <cell r="DN6541">
            <v>0</v>
          </cell>
        </row>
        <row r="6542">
          <cell r="E6542">
            <v>0</v>
          </cell>
          <cell r="F6542">
            <v>0</v>
          </cell>
          <cell r="DN6542">
            <v>0</v>
          </cell>
        </row>
        <row r="6543">
          <cell r="E6543">
            <v>0</v>
          </cell>
          <cell r="F6543">
            <v>0</v>
          </cell>
          <cell r="DN6543">
            <v>0</v>
          </cell>
        </row>
        <row r="6544">
          <cell r="E6544">
            <v>0</v>
          </cell>
          <cell r="F6544">
            <v>0</v>
          </cell>
          <cell r="DN6544">
            <v>0</v>
          </cell>
        </row>
        <row r="6545">
          <cell r="E6545">
            <v>0</v>
          </cell>
          <cell r="F6545">
            <v>0</v>
          </cell>
          <cell r="DN6545">
            <v>0</v>
          </cell>
        </row>
        <row r="6546">
          <cell r="E6546">
            <v>0</v>
          </cell>
          <cell r="F6546">
            <v>0</v>
          </cell>
          <cell r="DN6546">
            <v>0</v>
          </cell>
        </row>
        <row r="6547">
          <cell r="E6547">
            <v>0</v>
          </cell>
          <cell r="F6547">
            <v>0</v>
          </cell>
          <cell r="DN6547">
            <v>0</v>
          </cell>
        </row>
        <row r="6548">
          <cell r="E6548">
            <v>0</v>
          </cell>
          <cell r="F6548">
            <v>0</v>
          </cell>
          <cell r="DN6548">
            <v>0</v>
          </cell>
        </row>
        <row r="6549">
          <cell r="E6549">
            <v>0</v>
          </cell>
          <cell r="F6549">
            <v>0</v>
          </cell>
          <cell r="DN6549">
            <v>0</v>
          </cell>
        </row>
        <row r="6550">
          <cell r="E6550">
            <v>0</v>
          </cell>
          <cell r="F6550">
            <v>0</v>
          </cell>
          <cell r="DN6550">
            <v>0</v>
          </cell>
        </row>
        <row r="6551">
          <cell r="E6551">
            <v>0</v>
          </cell>
          <cell r="F6551">
            <v>0</v>
          </cell>
          <cell r="DN6551">
            <v>0</v>
          </cell>
        </row>
        <row r="6552">
          <cell r="E6552">
            <v>0</v>
          </cell>
          <cell r="F6552">
            <v>0</v>
          </cell>
          <cell r="DN6552">
            <v>0</v>
          </cell>
        </row>
        <row r="6553">
          <cell r="E6553">
            <v>0</v>
          </cell>
          <cell r="F6553">
            <v>0</v>
          </cell>
          <cell r="DN6553">
            <v>0</v>
          </cell>
        </row>
        <row r="6554">
          <cell r="E6554">
            <v>0</v>
          </cell>
          <cell r="F6554">
            <v>0</v>
          </cell>
          <cell r="DN6554">
            <v>0</v>
          </cell>
        </row>
        <row r="6555">
          <cell r="E6555">
            <v>0</v>
          </cell>
          <cell r="F6555">
            <v>0</v>
          </cell>
          <cell r="DN6555">
            <v>0</v>
          </cell>
        </row>
        <row r="6556">
          <cell r="E6556">
            <v>0</v>
          </cell>
          <cell r="F6556">
            <v>0</v>
          </cell>
          <cell r="DN6556">
            <v>0</v>
          </cell>
        </row>
        <row r="6557">
          <cell r="E6557">
            <v>0</v>
          </cell>
          <cell r="F6557">
            <v>0</v>
          </cell>
          <cell r="DN6557">
            <v>0</v>
          </cell>
        </row>
        <row r="6558">
          <cell r="E6558">
            <v>0</v>
          </cell>
          <cell r="F6558">
            <v>0</v>
          </cell>
          <cell r="DN6558">
            <v>0</v>
          </cell>
        </row>
        <row r="6559">
          <cell r="E6559">
            <v>0</v>
          </cell>
          <cell r="F6559">
            <v>0</v>
          </cell>
          <cell r="DN6559">
            <v>0</v>
          </cell>
        </row>
        <row r="6560">
          <cell r="E6560">
            <v>0</v>
          </cell>
          <cell r="F6560">
            <v>0</v>
          </cell>
          <cell r="DN6560">
            <v>0</v>
          </cell>
        </row>
        <row r="6561">
          <cell r="E6561">
            <v>0</v>
          </cell>
          <cell r="F6561">
            <v>0</v>
          </cell>
          <cell r="DN6561">
            <v>0</v>
          </cell>
        </row>
        <row r="6562">
          <cell r="E6562">
            <v>0</v>
          </cell>
          <cell r="F6562">
            <v>0</v>
          </cell>
          <cell r="DN6562">
            <v>0</v>
          </cell>
        </row>
        <row r="6563">
          <cell r="E6563">
            <v>0</v>
          </cell>
          <cell r="F6563">
            <v>0</v>
          </cell>
          <cell r="DN6563">
            <v>0</v>
          </cell>
        </row>
        <row r="6564">
          <cell r="E6564">
            <v>0</v>
          </cell>
          <cell r="F6564">
            <v>0</v>
          </cell>
          <cell r="DN6564">
            <v>0</v>
          </cell>
        </row>
        <row r="6565">
          <cell r="E6565">
            <v>0</v>
          </cell>
          <cell r="F6565">
            <v>0</v>
          </cell>
          <cell r="DN6565">
            <v>0</v>
          </cell>
        </row>
        <row r="6566">
          <cell r="E6566">
            <v>0</v>
          </cell>
          <cell r="F6566">
            <v>0</v>
          </cell>
          <cell r="DN6566">
            <v>0</v>
          </cell>
        </row>
        <row r="6567">
          <cell r="E6567">
            <v>0</v>
          </cell>
          <cell r="F6567">
            <v>0</v>
          </cell>
          <cell r="DN6567">
            <v>0</v>
          </cell>
        </row>
        <row r="6568">
          <cell r="E6568">
            <v>0</v>
          </cell>
          <cell r="F6568">
            <v>0</v>
          </cell>
          <cell r="DN6568">
            <v>0</v>
          </cell>
        </row>
        <row r="6569">
          <cell r="E6569">
            <v>0</v>
          </cell>
          <cell r="F6569">
            <v>0</v>
          </cell>
          <cell r="DN6569">
            <v>0</v>
          </cell>
        </row>
        <row r="6570">
          <cell r="E6570">
            <v>0</v>
          </cell>
          <cell r="F6570">
            <v>0</v>
          </cell>
          <cell r="DN6570">
            <v>0</v>
          </cell>
        </row>
        <row r="6571">
          <cell r="E6571">
            <v>0</v>
          </cell>
          <cell r="F6571">
            <v>0</v>
          </cell>
          <cell r="DN6571">
            <v>0</v>
          </cell>
        </row>
        <row r="6572">
          <cell r="E6572">
            <v>0</v>
          </cell>
          <cell r="F6572">
            <v>0</v>
          </cell>
          <cell r="DN6572">
            <v>0</v>
          </cell>
        </row>
        <row r="6573">
          <cell r="E6573">
            <v>0</v>
          </cell>
          <cell r="F6573">
            <v>0</v>
          </cell>
          <cell r="DN6573">
            <v>0</v>
          </cell>
        </row>
        <row r="6574">
          <cell r="E6574">
            <v>0</v>
          </cell>
          <cell r="F6574">
            <v>0</v>
          </cell>
          <cell r="DN6574">
            <v>0</v>
          </cell>
        </row>
        <row r="6575">
          <cell r="E6575">
            <v>0</v>
          </cell>
          <cell r="F6575">
            <v>0</v>
          </cell>
          <cell r="DN6575">
            <v>0</v>
          </cell>
        </row>
        <row r="6576">
          <cell r="E6576">
            <v>0</v>
          </cell>
          <cell r="F6576">
            <v>0</v>
          </cell>
          <cell r="DN6576">
            <v>0</v>
          </cell>
        </row>
        <row r="6577">
          <cell r="E6577">
            <v>0</v>
          </cell>
          <cell r="F6577">
            <v>0</v>
          </cell>
          <cell r="DN6577">
            <v>0</v>
          </cell>
        </row>
        <row r="6578">
          <cell r="E6578">
            <v>0</v>
          </cell>
          <cell r="F6578">
            <v>0</v>
          </cell>
          <cell r="DN6578">
            <v>0</v>
          </cell>
        </row>
        <row r="6579">
          <cell r="E6579">
            <v>0</v>
          </cell>
          <cell r="F6579">
            <v>0</v>
          </cell>
          <cell r="DN6579">
            <v>0</v>
          </cell>
        </row>
        <row r="6580">
          <cell r="E6580">
            <v>0</v>
          </cell>
          <cell r="F6580">
            <v>0</v>
          </cell>
          <cell r="DN6580">
            <v>0</v>
          </cell>
        </row>
        <row r="6581">
          <cell r="E6581">
            <v>0</v>
          </cell>
          <cell r="F6581">
            <v>0</v>
          </cell>
          <cell r="DN6581">
            <v>0</v>
          </cell>
        </row>
        <row r="6582">
          <cell r="E6582">
            <v>0</v>
          </cell>
          <cell r="F6582">
            <v>0</v>
          </cell>
          <cell r="DN6582">
            <v>0</v>
          </cell>
        </row>
        <row r="6583">
          <cell r="E6583">
            <v>0</v>
          </cell>
          <cell r="F6583">
            <v>0</v>
          </cell>
          <cell r="DN6583">
            <v>0</v>
          </cell>
        </row>
        <row r="6584">
          <cell r="E6584">
            <v>0</v>
          </cell>
          <cell r="F6584">
            <v>0</v>
          </cell>
          <cell r="DN6584">
            <v>0</v>
          </cell>
        </row>
        <row r="6585">
          <cell r="E6585">
            <v>0</v>
          </cell>
          <cell r="F6585">
            <v>0</v>
          </cell>
          <cell r="DN6585">
            <v>0</v>
          </cell>
        </row>
        <row r="6586">
          <cell r="E6586">
            <v>0</v>
          </cell>
          <cell r="F6586">
            <v>0</v>
          </cell>
          <cell r="DN6586">
            <v>0</v>
          </cell>
        </row>
        <row r="6587">
          <cell r="E6587">
            <v>0</v>
          </cell>
          <cell r="F6587">
            <v>0</v>
          </cell>
          <cell r="DN6587">
            <v>0</v>
          </cell>
        </row>
        <row r="6588">
          <cell r="E6588">
            <v>0</v>
          </cell>
          <cell r="F6588">
            <v>0</v>
          </cell>
          <cell r="DN6588">
            <v>0</v>
          </cell>
        </row>
        <row r="6589">
          <cell r="E6589">
            <v>0</v>
          </cell>
          <cell r="F6589">
            <v>0</v>
          </cell>
          <cell r="DN6589">
            <v>0</v>
          </cell>
        </row>
        <row r="6590">
          <cell r="E6590">
            <v>0</v>
          </cell>
          <cell r="F6590">
            <v>0</v>
          </cell>
          <cell r="DN6590">
            <v>0</v>
          </cell>
        </row>
        <row r="6591">
          <cell r="E6591">
            <v>0</v>
          </cell>
          <cell r="F6591">
            <v>0</v>
          </cell>
          <cell r="DN6591">
            <v>0</v>
          </cell>
        </row>
        <row r="6592">
          <cell r="E6592">
            <v>0</v>
          </cell>
          <cell r="F6592">
            <v>0</v>
          </cell>
          <cell r="DN6592">
            <v>0</v>
          </cell>
        </row>
        <row r="6593">
          <cell r="E6593">
            <v>0</v>
          </cell>
          <cell r="F6593">
            <v>0</v>
          </cell>
          <cell r="DN6593">
            <v>0</v>
          </cell>
        </row>
        <row r="6594">
          <cell r="E6594">
            <v>0</v>
          </cell>
          <cell r="F6594">
            <v>0</v>
          </cell>
          <cell r="DN6594">
            <v>0</v>
          </cell>
        </row>
        <row r="6595">
          <cell r="E6595">
            <v>0</v>
          </cell>
          <cell r="F6595">
            <v>0</v>
          </cell>
          <cell r="DN6595">
            <v>0</v>
          </cell>
        </row>
        <row r="6596">
          <cell r="E6596">
            <v>0</v>
          </cell>
          <cell r="F6596">
            <v>0</v>
          </cell>
          <cell r="DN6596">
            <v>0</v>
          </cell>
        </row>
        <row r="6597">
          <cell r="E6597">
            <v>0</v>
          </cell>
          <cell r="F6597">
            <v>0</v>
          </cell>
          <cell r="DN6597">
            <v>0</v>
          </cell>
        </row>
        <row r="6598">
          <cell r="E6598">
            <v>0</v>
          </cell>
          <cell r="F6598">
            <v>0</v>
          </cell>
          <cell r="DN6598">
            <v>0</v>
          </cell>
        </row>
        <row r="6599">
          <cell r="E6599">
            <v>0</v>
          </cell>
          <cell r="F6599">
            <v>0</v>
          </cell>
          <cell r="DN6599">
            <v>0</v>
          </cell>
        </row>
        <row r="6600">
          <cell r="E6600">
            <v>0</v>
          </cell>
          <cell r="F6600">
            <v>0</v>
          </cell>
          <cell r="DN6600">
            <v>0</v>
          </cell>
        </row>
        <row r="6601">
          <cell r="E6601">
            <v>0</v>
          </cell>
          <cell r="F6601">
            <v>0</v>
          </cell>
          <cell r="DN6601">
            <v>0</v>
          </cell>
        </row>
        <row r="6602">
          <cell r="E6602">
            <v>0</v>
          </cell>
          <cell r="F6602">
            <v>0</v>
          </cell>
          <cell r="DN6602">
            <v>0</v>
          </cell>
        </row>
        <row r="6603">
          <cell r="E6603">
            <v>0</v>
          </cell>
          <cell r="F6603">
            <v>0</v>
          </cell>
          <cell r="DN6603">
            <v>0</v>
          </cell>
        </row>
        <row r="6604">
          <cell r="E6604">
            <v>0</v>
          </cell>
          <cell r="F6604">
            <v>0</v>
          </cell>
          <cell r="DN6604">
            <v>0</v>
          </cell>
        </row>
        <row r="6605">
          <cell r="E6605">
            <v>0</v>
          </cell>
          <cell r="F6605">
            <v>0</v>
          </cell>
          <cell r="DN6605">
            <v>0</v>
          </cell>
        </row>
        <row r="6606">
          <cell r="E6606">
            <v>0</v>
          </cell>
          <cell r="F6606">
            <v>0</v>
          </cell>
          <cell r="DN6606">
            <v>0</v>
          </cell>
        </row>
        <row r="6607">
          <cell r="E6607">
            <v>0</v>
          </cell>
          <cell r="F6607">
            <v>0</v>
          </cell>
          <cell r="DN6607">
            <v>0</v>
          </cell>
        </row>
        <row r="6608">
          <cell r="E6608">
            <v>0</v>
          </cell>
          <cell r="F6608">
            <v>0</v>
          </cell>
          <cell r="DN6608">
            <v>0</v>
          </cell>
        </row>
        <row r="6609">
          <cell r="E6609">
            <v>0</v>
          </cell>
          <cell r="F6609">
            <v>0</v>
          </cell>
          <cell r="DN6609">
            <v>0</v>
          </cell>
        </row>
        <row r="6610">
          <cell r="E6610">
            <v>0</v>
          </cell>
          <cell r="F6610">
            <v>0</v>
          </cell>
          <cell r="DN6610">
            <v>0</v>
          </cell>
        </row>
        <row r="6611">
          <cell r="E6611">
            <v>0</v>
          </cell>
          <cell r="F6611">
            <v>0</v>
          </cell>
          <cell r="DN6611">
            <v>0</v>
          </cell>
        </row>
        <row r="6612">
          <cell r="E6612">
            <v>0</v>
          </cell>
          <cell r="F6612">
            <v>0</v>
          </cell>
          <cell r="DN6612">
            <v>0</v>
          </cell>
        </row>
        <row r="6613">
          <cell r="E6613">
            <v>0</v>
          </cell>
          <cell r="F6613">
            <v>0</v>
          </cell>
          <cell r="DN6613">
            <v>0</v>
          </cell>
        </row>
        <row r="6614">
          <cell r="E6614">
            <v>0</v>
          </cell>
          <cell r="F6614">
            <v>0</v>
          </cell>
          <cell r="DN6614">
            <v>0</v>
          </cell>
        </row>
        <row r="6615">
          <cell r="E6615">
            <v>0</v>
          </cell>
          <cell r="F6615">
            <v>0</v>
          </cell>
          <cell r="DN6615">
            <v>0</v>
          </cell>
        </row>
        <row r="6616">
          <cell r="E6616">
            <v>0</v>
          </cell>
          <cell r="F6616">
            <v>0</v>
          </cell>
          <cell r="DN6616">
            <v>0</v>
          </cell>
        </row>
        <row r="6617">
          <cell r="E6617">
            <v>0</v>
          </cell>
          <cell r="F6617">
            <v>0</v>
          </cell>
          <cell r="DN6617">
            <v>0</v>
          </cell>
        </row>
        <row r="6618">
          <cell r="E6618">
            <v>0</v>
          </cell>
          <cell r="F6618">
            <v>0</v>
          </cell>
          <cell r="DN6618">
            <v>0</v>
          </cell>
        </row>
        <row r="6619">
          <cell r="E6619">
            <v>0</v>
          </cell>
          <cell r="F6619">
            <v>0</v>
          </cell>
          <cell r="DN6619">
            <v>0</v>
          </cell>
        </row>
        <row r="6620">
          <cell r="E6620">
            <v>0</v>
          </cell>
          <cell r="F6620">
            <v>0</v>
          </cell>
          <cell r="DN6620">
            <v>0</v>
          </cell>
        </row>
        <row r="6621">
          <cell r="E6621">
            <v>0</v>
          </cell>
          <cell r="F6621">
            <v>0</v>
          </cell>
          <cell r="DN6621">
            <v>0</v>
          </cell>
        </row>
        <row r="6622">
          <cell r="E6622">
            <v>0</v>
          </cell>
          <cell r="F6622">
            <v>0</v>
          </cell>
          <cell r="DN6622">
            <v>0</v>
          </cell>
        </row>
        <row r="6623">
          <cell r="E6623">
            <v>0</v>
          </cell>
          <cell r="F6623">
            <v>0</v>
          </cell>
          <cell r="DN6623">
            <v>0</v>
          </cell>
        </row>
        <row r="6624">
          <cell r="E6624">
            <v>0</v>
          </cell>
          <cell r="F6624">
            <v>0</v>
          </cell>
          <cell r="DN6624">
            <v>0</v>
          </cell>
        </row>
        <row r="6625">
          <cell r="E6625">
            <v>0</v>
          </cell>
          <cell r="F6625">
            <v>0</v>
          </cell>
          <cell r="DN6625">
            <v>0</v>
          </cell>
        </row>
        <row r="6626">
          <cell r="E6626">
            <v>0</v>
          </cell>
          <cell r="F6626">
            <v>0</v>
          </cell>
          <cell r="DN6626">
            <v>0</v>
          </cell>
        </row>
        <row r="6627">
          <cell r="E6627">
            <v>0</v>
          </cell>
          <cell r="F6627">
            <v>0</v>
          </cell>
          <cell r="DN6627">
            <v>0</v>
          </cell>
        </row>
        <row r="6628">
          <cell r="E6628">
            <v>0</v>
          </cell>
          <cell r="F6628">
            <v>0</v>
          </cell>
          <cell r="DN6628">
            <v>0</v>
          </cell>
        </row>
        <row r="6629">
          <cell r="E6629">
            <v>0</v>
          </cell>
          <cell r="F6629">
            <v>0</v>
          </cell>
          <cell r="DN6629">
            <v>0</v>
          </cell>
        </row>
        <row r="6630">
          <cell r="E6630">
            <v>0</v>
          </cell>
          <cell r="F6630">
            <v>0</v>
          </cell>
          <cell r="DN6630">
            <v>0</v>
          </cell>
        </row>
        <row r="6631">
          <cell r="E6631">
            <v>0</v>
          </cell>
          <cell r="F6631">
            <v>0</v>
          </cell>
          <cell r="DN6631">
            <v>0</v>
          </cell>
        </row>
        <row r="6632">
          <cell r="E6632">
            <v>0</v>
          </cell>
          <cell r="F6632">
            <v>0</v>
          </cell>
          <cell r="DN6632">
            <v>0</v>
          </cell>
        </row>
        <row r="6633">
          <cell r="E6633">
            <v>0</v>
          </cell>
          <cell r="F6633">
            <v>0</v>
          </cell>
          <cell r="DN6633">
            <v>0</v>
          </cell>
        </row>
        <row r="6634">
          <cell r="E6634">
            <v>0</v>
          </cell>
          <cell r="F6634">
            <v>0</v>
          </cell>
          <cell r="DN6634">
            <v>0</v>
          </cell>
        </row>
        <row r="6635">
          <cell r="E6635">
            <v>0</v>
          </cell>
          <cell r="F6635">
            <v>0</v>
          </cell>
          <cell r="DN6635">
            <v>0</v>
          </cell>
        </row>
        <row r="6636">
          <cell r="E6636">
            <v>0</v>
          </cell>
          <cell r="F6636">
            <v>0</v>
          </cell>
          <cell r="DN6636">
            <v>0</v>
          </cell>
        </row>
        <row r="6637">
          <cell r="E6637">
            <v>0</v>
          </cell>
          <cell r="F6637">
            <v>0</v>
          </cell>
          <cell r="DN6637">
            <v>0</v>
          </cell>
        </row>
        <row r="6638">
          <cell r="E6638">
            <v>0</v>
          </cell>
          <cell r="F6638">
            <v>0</v>
          </cell>
          <cell r="DN6638">
            <v>0</v>
          </cell>
        </row>
        <row r="6639">
          <cell r="E6639">
            <v>0</v>
          </cell>
          <cell r="F6639">
            <v>0</v>
          </cell>
          <cell r="DN6639">
            <v>0</v>
          </cell>
        </row>
        <row r="6640">
          <cell r="E6640">
            <v>0</v>
          </cell>
          <cell r="F6640">
            <v>0</v>
          </cell>
          <cell r="DN6640">
            <v>0</v>
          </cell>
        </row>
        <row r="6641">
          <cell r="E6641">
            <v>0</v>
          </cell>
          <cell r="F6641">
            <v>0</v>
          </cell>
          <cell r="DN6641">
            <v>0</v>
          </cell>
        </row>
        <row r="6642">
          <cell r="E6642">
            <v>0</v>
          </cell>
          <cell r="F6642">
            <v>0</v>
          </cell>
          <cell r="DN6642">
            <v>0</v>
          </cell>
        </row>
        <row r="6643">
          <cell r="E6643">
            <v>0</v>
          </cell>
          <cell r="F6643">
            <v>0</v>
          </cell>
          <cell r="DN6643">
            <v>0</v>
          </cell>
        </row>
        <row r="6644">
          <cell r="E6644">
            <v>0</v>
          </cell>
          <cell r="F6644">
            <v>0</v>
          </cell>
          <cell r="DN6644">
            <v>0</v>
          </cell>
        </row>
        <row r="6645">
          <cell r="E6645">
            <v>0</v>
          </cell>
          <cell r="F6645">
            <v>0</v>
          </cell>
          <cell r="DN6645">
            <v>0</v>
          </cell>
        </row>
        <row r="6646">
          <cell r="E6646">
            <v>0</v>
          </cell>
          <cell r="F6646">
            <v>0</v>
          </cell>
          <cell r="DN6646">
            <v>0</v>
          </cell>
        </row>
        <row r="6647">
          <cell r="E6647">
            <v>0</v>
          </cell>
          <cell r="F6647">
            <v>0</v>
          </cell>
          <cell r="DN6647">
            <v>0</v>
          </cell>
        </row>
        <row r="6648">
          <cell r="E6648">
            <v>0</v>
          </cell>
          <cell r="F6648">
            <v>0</v>
          </cell>
          <cell r="DN6648">
            <v>0</v>
          </cell>
        </row>
        <row r="6649">
          <cell r="E6649">
            <v>0</v>
          </cell>
          <cell r="F6649">
            <v>0</v>
          </cell>
          <cell r="DN6649">
            <v>0</v>
          </cell>
        </row>
        <row r="6650">
          <cell r="E6650">
            <v>0</v>
          </cell>
          <cell r="F6650">
            <v>0</v>
          </cell>
          <cell r="DN6650">
            <v>0</v>
          </cell>
        </row>
        <row r="6651">
          <cell r="E6651">
            <v>0</v>
          </cell>
          <cell r="F6651">
            <v>0</v>
          </cell>
          <cell r="DN6651">
            <v>0</v>
          </cell>
        </row>
        <row r="6652">
          <cell r="E6652">
            <v>0</v>
          </cell>
          <cell r="F6652">
            <v>0</v>
          </cell>
          <cell r="DN6652">
            <v>0</v>
          </cell>
        </row>
        <row r="6653">
          <cell r="E6653">
            <v>0</v>
          </cell>
          <cell r="F6653">
            <v>0</v>
          </cell>
          <cell r="DN6653">
            <v>0</v>
          </cell>
        </row>
        <row r="6654">
          <cell r="E6654">
            <v>0</v>
          </cell>
          <cell r="F6654">
            <v>0</v>
          </cell>
          <cell r="DN6654">
            <v>0</v>
          </cell>
        </row>
        <row r="6655">
          <cell r="E6655">
            <v>0</v>
          </cell>
          <cell r="F6655">
            <v>0</v>
          </cell>
          <cell r="DN6655">
            <v>0</v>
          </cell>
        </row>
        <row r="6656">
          <cell r="E6656">
            <v>0</v>
          </cell>
          <cell r="F6656">
            <v>0</v>
          </cell>
          <cell r="DN6656">
            <v>0</v>
          </cell>
        </row>
        <row r="6657">
          <cell r="E6657">
            <v>0</v>
          </cell>
          <cell r="F6657">
            <v>0</v>
          </cell>
          <cell r="DN6657">
            <v>0</v>
          </cell>
        </row>
        <row r="6658">
          <cell r="E6658">
            <v>0</v>
          </cell>
          <cell r="F6658">
            <v>0</v>
          </cell>
          <cell r="DN6658">
            <v>0</v>
          </cell>
        </row>
        <row r="6659">
          <cell r="E6659">
            <v>0</v>
          </cell>
          <cell r="F6659">
            <v>0</v>
          </cell>
          <cell r="DN6659">
            <v>0</v>
          </cell>
        </row>
        <row r="6660">
          <cell r="E6660">
            <v>0</v>
          </cell>
          <cell r="F6660">
            <v>0</v>
          </cell>
          <cell r="DN6660">
            <v>0</v>
          </cell>
        </row>
        <row r="6661">
          <cell r="E6661">
            <v>0</v>
          </cell>
          <cell r="F6661">
            <v>0</v>
          </cell>
          <cell r="DN6661">
            <v>0</v>
          </cell>
        </row>
        <row r="6662">
          <cell r="E6662">
            <v>0</v>
          </cell>
          <cell r="F6662">
            <v>0</v>
          </cell>
          <cell r="DN6662">
            <v>0</v>
          </cell>
        </row>
        <row r="6663">
          <cell r="E6663">
            <v>0</v>
          </cell>
          <cell r="F6663">
            <v>0</v>
          </cell>
          <cell r="DN6663">
            <v>0</v>
          </cell>
        </row>
        <row r="6664">
          <cell r="E6664">
            <v>0</v>
          </cell>
          <cell r="F6664">
            <v>0</v>
          </cell>
          <cell r="DN6664">
            <v>0</v>
          </cell>
        </row>
        <row r="6665">
          <cell r="E6665">
            <v>0</v>
          </cell>
          <cell r="F6665">
            <v>0</v>
          </cell>
          <cell r="DN6665">
            <v>0</v>
          </cell>
        </row>
        <row r="6666">
          <cell r="E6666">
            <v>0</v>
          </cell>
          <cell r="F6666">
            <v>0</v>
          </cell>
          <cell r="DN6666">
            <v>0</v>
          </cell>
        </row>
        <row r="6667">
          <cell r="E6667">
            <v>0</v>
          </cell>
          <cell r="F6667">
            <v>0</v>
          </cell>
          <cell r="DN6667">
            <v>0</v>
          </cell>
        </row>
        <row r="6668">
          <cell r="E6668">
            <v>0</v>
          </cell>
          <cell r="F6668">
            <v>0</v>
          </cell>
          <cell r="DN6668">
            <v>0</v>
          </cell>
        </row>
        <row r="6669">
          <cell r="E6669">
            <v>0</v>
          </cell>
          <cell r="F6669">
            <v>0</v>
          </cell>
          <cell r="DN6669">
            <v>0</v>
          </cell>
        </row>
        <row r="6670">
          <cell r="E6670">
            <v>0</v>
          </cell>
          <cell r="F6670">
            <v>0</v>
          </cell>
          <cell r="DN6670">
            <v>0</v>
          </cell>
        </row>
        <row r="6671">
          <cell r="E6671">
            <v>0</v>
          </cell>
          <cell r="F6671">
            <v>0</v>
          </cell>
          <cell r="DN6671">
            <v>0</v>
          </cell>
        </row>
        <row r="6672">
          <cell r="E6672">
            <v>0</v>
          </cell>
          <cell r="F6672">
            <v>0</v>
          </cell>
          <cell r="DN6672">
            <v>0</v>
          </cell>
        </row>
        <row r="6673">
          <cell r="E6673">
            <v>0</v>
          </cell>
          <cell r="F6673">
            <v>0</v>
          </cell>
          <cell r="DN6673">
            <v>0</v>
          </cell>
        </row>
        <row r="6674">
          <cell r="E6674">
            <v>0</v>
          </cell>
          <cell r="F6674">
            <v>0</v>
          </cell>
          <cell r="DN6674">
            <v>0</v>
          </cell>
        </row>
        <row r="6675">
          <cell r="E6675">
            <v>0</v>
          </cell>
          <cell r="F6675">
            <v>0</v>
          </cell>
          <cell r="DN6675">
            <v>0</v>
          </cell>
        </row>
        <row r="6676">
          <cell r="E6676">
            <v>0</v>
          </cell>
          <cell r="F6676">
            <v>0</v>
          </cell>
          <cell r="DN6676">
            <v>0</v>
          </cell>
        </row>
        <row r="6677">
          <cell r="E6677">
            <v>0</v>
          </cell>
          <cell r="F6677">
            <v>0</v>
          </cell>
          <cell r="DN6677">
            <v>0</v>
          </cell>
        </row>
        <row r="6678">
          <cell r="E6678">
            <v>0</v>
          </cell>
          <cell r="F6678">
            <v>0</v>
          </cell>
          <cell r="DN6678">
            <v>0</v>
          </cell>
        </row>
        <row r="6679">
          <cell r="E6679">
            <v>0</v>
          </cell>
          <cell r="F6679">
            <v>0</v>
          </cell>
          <cell r="DN6679">
            <v>0</v>
          </cell>
        </row>
        <row r="6680">
          <cell r="E6680">
            <v>0</v>
          </cell>
          <cell r="F6680">
            <v>0</v>
          </cell>
          <cell r="DN6680">
            <v>0</v>
          </cell>
        </row>
        <row r="6681">
          <cell r="E6681">
            <v>0</v>
          </cell>
          <cell r="F6681">
            <v>0</v>
          </cell>
          <cell r="DN6681">
            <v>0</v>
          </cell>
        </row>
        <row r="6682">
          <cell r="E6682">
            <v>0</v>
          </cell>
          <cell r="F6682">
            <v>0</v>
          </cell>
          <cell r="DN6682">
            <v>0</v>
          </cell>
        </row>
        <row r="6683">
          <cell r="E6683">
            <v>0</v>
          </cell>
          <cell r="F6683">
            <v>0</v>
          </cell>
          <cell r="DN6683">
            <v>0</v>
          </cell>
        </row>
        <row r="6684">
          <cell r="E6684">
            <v>0</v>
          </cell>
          <cell r="F6684">
            <v>0</v>
          </cell>
          <cell r="DN6684">
            <v>0</v>
          </cell>
        </row>
        <row r="6685">
          <cell r="E6685">
            <v>0</v>
          </cell>
          <cell r="F6685">
            <v>0</v>
          </cell>
          <cell r="DN6685">
            <v>0</v>
          </cell>
        </row>
        <row r="6686">
          <cell r="E6686">
            <v>0</v>
          </cell>
          <cell r="F6686">
            <v>0</v>
          </cell>
          <cell r="DN6686">
            <v>0</v>
          </cell>
        </row>
        <row r="6687">
          <cell r="E6687">
            <v>0</v>
          </cell>
          <cell r="F6687">
            <v>0</v>
          </cell>
          <cell r="DN6687">
            <v>0</v>
          </cell>
        </row>
        <row r="6688">
          <cell r="E6688">
            <v>0</v>
          </cell>
          <cell r="F6688">
            <v>0</v>
          </cell>
          <cell r="DN6688">
            <v>0</v>
          </cell>
        </row>
        <row r="6689">
          <cell r="E6689">
            <v>0</v>
          </cell>
          <cell r="F6689">
            <v>0</v>
          </cell>
          <cell r="DN6689">
            <v>0</v>
          </cell>
        </row>
        <row r="6690">
          <cell r="E6690">
            <v>0</v>
          </cell>
          <cell r="F6690">
            <v>0</v>
          </cell>
          <cell r="DN6690">
            <v>0</v>
          </cell>
        </row>
        <row r="6691">
          <cell r="E6691">
            <v>0</v>
          </cell>
          <cell r="F6691">
            <v>0</v>
          </cell>
          <cell r="DN6691">
            <v>0</v>
          </cell>
        </row>
        <row r="6692">
          <cell r="E6692">
            <v>0</v>
          </cell>
          <cell r="F6692">
            <v>0</v>
          </cell>
          <cell r="DN6692">
            <v>0</v>
          </cell>
        </row>
        <row r="6693">
          <cell r="E6693">
            <v>0</v>
          </cell>
          <cell r="F6693">
            <v>0</v>
          </cell>
          <cell r="DN6693">
            <v>0</v>
          </cell>
        </row>
        <row r="6694">
          <cell r="E6694">
            <v>0</v>
          </cell>
          <cell r="F6694">
            <v>0</v>
          </cell>
          <cell r="DN6694">
            <v>0</v>
          </cell>
        </row>
        <row r="6695">
          <cell r="E6695">
            <v>0</v>
          </cell>
          <cell r="F6695">
            <v>0</v>
          </cell>
          <cell r="DN6695">
            <v>0</v>
          </cell>
        </row>
        <row r="6696">
          <cell r="E6696">
            <v>0</v>
          </cell>
          <cell r="F6696">
            <v>0</v>
          </cell>
          <cell r="DN6696">
            <v>0</v>
          </cell>
        </row>
        <row r="6697">
          <cell r="E6697">
            <v>0</v>
          </cell>
          <cell r="F6697">
            <v>0</v>
          </cell>
          <cell r="DN6697">
            <v>0</v>
          </cell>
        </row>
        <row r="6698">
          <cell r="E6698">
            <v>0</v>
          </cell>
          <cell r="F6698">
            <v>0</v>
          </cell>
          <cell r="DN6698">
            <v>0</v>
          </cell>
        </row>
        <row r="6699">
          <cell r="E6699">
            <v>0</v>
          </cell>
          <cell r="F6699">
            <v>0</v>
          </cell>
          <cell r="DN6699">
            <v>0</v>
          </cell>
        </row>
        <row r="6700">
          <cell r="E6700">
            <v>0</v>
          </cell>
          <cell r="F6700">
            <v>0</v>
          </cell>
          <cell r="DN6700">
            <v>0</v>
          </cell>
        </row>
        <row r="6701">
          <cell r="E6701">
            <v>0</v>
          </cell>
          <cell r="F6701">
            <v>0</v>
          </cell>
          <cell r="DN6701">
            <v>0</v>
          </cell>
        </row>
        <row r="6702">
          <cell r="E6702">
            <v>0</v>
          </cell>
          <cell r="F6702">
            <v>0</v>
          </cell>
          <cell r="DN6702">
            <v>0</v>
          </cell>
        </row>
        <row r="6703">
          <cell r="E6703">
            <v>0</v>
          </cell>
          <cell r="F6703">
            <v>0</v>
          </cell>
          <cell r="DN6703">
            <v>0</v>
          </cell>
        </row>
        <row r="6704">
          <cell r="E6704">
            <v>0</v>
          </cell>
          <cell r="F6704">
            <v>0</v>
          </cell>
          <cell r="DN6704">
            <v>0</v>
          </cell>
        </row>
        <row r="6705">
          <cell r="E6705">
            <v>0</v>
          </cell>
          <cell r="F6705">
            <v>0</v>
          </cell>
          <cell r="DN6705">
            <v>0</v>
          </cell>
        </row>
        <row r="6706">
          <cell r="E6706">
            <v>0</v>
          </cell>
          <cell r="F6706">
            <v>0</v>
          </cell>
          <cell r="DN6706">
            <v>0</v>
          </cell>
        </row>
        <row r="6707">
          <cell r="E6707">
            <v>0</v>
          </cell>
          <cell r="F6707">
            <v>0</v>
          </cell>
          <cell r="DN6707">
            <v>0</v>
          </cell>
        </row>
        <row r="6708">
          <cell r="E6708">
            <v>0</v>
          </cell>
          <cell r="F6708">
            <v>0</v>
          </cell>
          <cell r="DN6708">
            <v>0</v>
          </cell>
        </row>
        <row r="6709">
          <cell r="E6709">
            <v>0</v>
          </cell>
          <cell r="F6709">
            <v>0</v>
          </cell>
          <cell r="DN6709">
            <v>0</v>
          </cell>
        </row>
        <row r="6710">
          <cell r="E6710">
            <v>0</v>
          </cell>
          <cell r="F6710">
            <v>0</v>
          </cell>
          <cell r="DN6710">
            <v>0</v>
          </cell>
        </row>
        <row r="6711">
          <cell r="E6711">
            <v>0</v>
          </cell>
          <cell r="F6711">
            <v>0</v>
          </cell>
          <cell r="DN6711">
            <v>0</v>
          </cell>
        </row>
        <row r="6712">
          <cell r="E6712">
            <v>0</v>
          </cell>
          <cell r="F6712">
            <v>0</v>
          </cell>
          <cell r="DN6712">
            <v>0</v>
          </cell>
        </row>
        <row r="6713">
          <cell r="E6713">
            <v>0</v>
          </cell>
          <cell r="F6713">
            <v>0</v>
          </cell>
          <cell r="DN6713">
            <v>0</v>
          </cell>
        </row>
        <row r="6714">
          <cell r="E6714">
            <v>0</v>
          </cell>
          <cell r="F6714">
            <v>0</v>
          </cell>
          <cell r="DN6714">
            <v>0</v>
          </cell>
        </row>
        <row r="6715">
          <cell r="E6715">
            <v>0</v>
          </cell>
          <cell r="F6715">
            <v>0</v>
          </cell>
          <cell r="DN6715">
            <v>0</v>
          </cell>
        </row>
        <row r="6716">
          <cell r="E6716">
            <v>0</v>
          </cell>
          <cell r="F6716">
            <v>0</v>
          </cell>
          <cell r="DN6716">
            <v>0</v>
          </cell>
        </row>
        <row r="6717">
          <cell r="E6717">
            <v>0</v>
          </cell>
          <cell r="F6717">
            <v>0</v>
          </cell>
          <cell r="DN6717">
            <v>0</v>
          </cell>
        </row>
        <row r="6718">
          <cell r="E6718">
            <v>0</v>
          </cell>
          <cell r="F6718">
            <v>0</v>
          </cell>
          <cell r="DN6718">
            <v>0</v>
          </cell>
        </row>
        <row r="6719">
          <cell r="E6719">
            <v>0</v>
          </cell>
          <cell r="F6719">
            <v>0</v>
          </cell>
          <cell r="DN6719">
            <v>0</v>
          </cell>
        </row>
        <row r="6720">
          <cell r="E6720">
            <v>0</v>
          </cell>
          <cell r="F6720">
            <v>0</v>
          </cell>
          <cell r="DN6720">
            <v>0</v>
          </cell>
        </row>
        <row r="6721">
          <cell r="E6721">
            <v>0</v>
          </cell>
          <cell r="F6721">
            <v>0</v>
          </cell>
          <cell r="DN6721">
            <v>0</v>
          </cell>
        </row>
        <row r="6722">
          <cell r="E6722">
            <v>0</v>
          </cell>
          <cell r="F6722">
            <v>0</v>
          </cell>
          <cell r="DN6722">
            <v>0</v>
          </cell>
        </row>
        <row r="6723">
          <cell r="E6723">
            <v>0</v>
          </cell>
          <cell r="F6723">
            <v>0</v>
          </cell>
          <cell r="DN6723">
            <v>0</v>
          </cell>
        </row>
        <row r="6724">
          <cell r="E6724">
            <v>0</v>
          </cell>
          <cell r="F6724">
            <v>0</v>
          </cell>
          <cell r="DN6724">
            <v>0</v>
          </cell>
        </row>
        <row r="6725">
          <cell r="E6725">
            <v>0</v>
          </cell>
          <cell r="F6725">
            <v>0</v>
          </cell>
          <cell r="DN6725">
            <v>0</v>
          </cell>
        </row>
        <row r="6726">
          <cell r="E6726">
            <v>0</v>
          </cell>
          <cell r="F6726">
            <v>0</v>
          </cell>
          <cell r="DN6726">
            <v>0</v>
          </cell>
        </row>
        <row r="6727">
          <cell r="E6727">
            <v>0</v>
          </cell>
          <cell r="F6727">
            <v>0</v>
          </cell>
          <cell r="DN6727">
            <v>0</v>
          </cell>
        </row>
        <row r="6728">
          <cell r="E6728">
            <v>0</v>
          </cell>
          <cell r="F6728">
            <v>0</v>
          </cell>
          <cell r="DN6728">
            <v>0</v>
          </cell>
        </row>
        <row r="6729">
          <cell r="E6729">
            <v>0</v>
          </cell>
          <cell r="F6729">
            <v>0</v>
          </cell>
          <cell r="DN6729">
            <v>0</v>
          </cell>
        </row>
        <row r="6730">
          <cell r="E6730">
            <v>0</v>
          </cell>
          <cell r="F6730">
            <v>0</v>
          </cell>
          <cell r="DN6730">
            <v>0</v>
          </cell>
        </row>
        <row r="6731">
          <cell r="E6731">
            <v>0</v>
          </cell>
          <cell r="F6731">
            <v>0</v>
          </cell>
          <cell r="DN6731">
            <v>0</v>
          </cell>
        </row>
        <row r="6732">
          <cell r="E6732">
            <v>0</v>
          </cell>
          <cell r="F6732">
            <v>0</v>
          </cell>
          <cell r="DN6732">
            <v>0</v>
          </cell>
        </row>
        <row r="6733">
          <cell r="E6733">
            <v>0</v>
          </cell>
          <cell r="F6733">
            <v>0</v>
          </cell>
          <cell r="DN6733">
            <v>0</v>
          </cell>
        </row>
        <row r="6734">
          <cell r="E6734">
            <v>0</v>
          </cell>
          <cell r="F6734">
            <v>0</v>
          </cell>
          <cell r="DN6734">
            <v>0</v>
          </cell>
        </row>
        <row r="6735">
          <cell r="E6735">
            <v>0</v>
          </cell>
          <cell r="F6735">
            <v>0</v>
          </cell>
          <cell r="DN6735">
            <v>0</v>
          </cell>
        </row>
        <row r="6736">
          <cell r="E6736">
            <v>0</v>
          </cell>
          <cell r="F6736">
            <v>0</v>
          </cell>
          <cell r="DN6736">
            <v>0</v>
          </cell>
        </row>
        <row r="6737">
          <cell r="E6737">
            <v>0</v>
          </cell>
          <cell r="F6737">
            <v>0</v>
          </cell>
          <cell r="DN6737">
            <v>0</v>
          </cell>
        </row>
        <row r="6738">
          <cell r="E6738">
            <v>0</v>
          </cell>
          <cell r="F6738">
            <v>0</v>
          </cell>
          <cell r="DN6738">
            <v>0</v>
          </cell>
        </row>
        <row r="6739">
          <cell r="E6739">
            <v>0</v>
          </cell>
          <cell r="F6739">
            <v>0</v>
          </cell>
          <cell r="DN6739">
            <v>0</v>
          </cell>
        </row>
        <row r="6740">
          <cell r="E6740">
            <v>0</v>
          </cell>
          <cell r="F6740">
            <v>0</v>
          </cell>
          <cell r="DN6740">
            <v>0</v>
          </cell>
        </row>
        <row r="6741">
          <cell r="E6741">
            <v>0</v>
          </cell>
          <cell r="F6741">
            <v>0</v>
          </cell>
          <cell r="DN6741">
            <v>0</v>
          </cell>
        </row>
        <row r="6742">
          <cell r="E6742">
            <v>0</v>
          </cell>
          <cell r="F6742">
            <v>0</v>
          </cell>
          <cell r="DN6742">
            <v>0</v>
          </cell>
        </row>
        <row r="6743">
          <cell r="E6743">
            <v>0</v>
          </cell>
          <cell r="F6743">
            <v>0</v>
          </cell>
          <cell r="DN6743">
            <v>0</v>
          </cell>
        </row>
        <row r="6744">
          <cell r="E6744">
            <v>0</v>
          </cell>
          <cell r="F6744">
            <v>0</v>
          </cell>
          <cell r="DN6744">
            <v>0</v>
          </cell>
        </row>
        <row r="6745">
          <cell r="E6745">
            <v>0</v>
          </cell>
          <cell r="F6745">
            <v>0</v>
          </cell>
          <cell r="DN6745">
            <v>0</v>
          </cell>
        </row>
        <row r="6746">
          <cell r="E6746">
            <v>0</v>
          </cell>
          <cell r="F6746">
            <v>0</v>
          </cell>
          <cell r="DN6746">
            <v>0</v>
          </cell>
        </row>
        <row r="6747">
          <cell r="E6747">
            <v>0</v>
          </cell>
          <cell r="F6747">
            <v>0</v>
          </cell>
          <cell r="DN6747">
            <v>0</v>
          </cell>
        </row>
        <row r="6748">
          <cell r="E6748">
            <v>0</v>
          </cell>
          <cell r="F6748">
            <v>0</v>
          </cell>
          <cell r="DN6748">
            <v>0</v>
          </cell>
        </row>
        <row r="6749">
          <cell r="E6749">
            <v>0</v>
          </cell>
          <cell r="F6749">
            <v>0</v>
          </cell>
          <cell r="DN6749">
            <v>0</v>
          </cell>
        </row>
        <row r="6750">
          <cell r="E6750">
            <v>0</v>
          </cell>
          <cell r="F6750">
            <v>0</v>
          </cell>
          <cell r="DN6750">
            <v>0</v>
          </cell>
        </row>
        <row r="6751">
          <cell r="E6751">
            <v>0</v>
          </cell>
          <cell r="F6751">
            <v>0</v>
          </cell>
          <cell r="DN6751">
            <v>0</v>
          </cell>
        </row>
        <row r="6752">
          <cell r="E6752">
            <v>0</v>
          </cell>
          <cell r="F6752">
            <v>0</v>
          </cell>
          <cell r="DN6752">
            <v>0</v>
          </cell>
        </row>
        <row r="6753">
          <cell r="E6753">
            <v>0</v>
          </cell>
          <cell r="F6753">
            <v>0</v>
          </cell>
          <cell r="DN6753">
            <v>0</v>
          </cell>
        </row>
        <row r="6754">
          <cell r="E6754">
            <v>0</v>
          </cell>
          <cell r="F6754">
            <v>0</v>
          </cell>
          <cell r="DN6754">
            <v>0</v>
          </cell>
        </row>
        <row r="6755">
          <cell r="E6755">
            <v>0</v>
          </cell>
          <cell r="F6755">
            <v>0</v>
          </cell>
          <cell r="DN6755">
            <v>0</v>
          </cell>
        </row>
        <row r="6756">
          <cell r="E6756">
            <v>0</v>
          </cell>
          <cell r="F6756">
            <v>0</v>
          </cell>
          <cell r="DN6756">
            <v>0</v>
          </cell>
        </row>
        <row r="6757">
          <cell r="E6757">
            <v>0</v>
          </cell>
          <cell r="F6757">
            <v>0</v>
          </cell>
          <cell r="DN6757">
            <v>0</v>
          </cell>
        </row>
        <row r="6758">
          <cell r="E6758">
            <v>0</v>
          </cell>
          <cell r="F6758">
            <v>0</v>
          </cell>
          <cell r="DN6758">
            <v>0</v>
          </cell>
        </row>
        <row r="6759">
          <cell r="E6759">
            <v>0</v>
          </cell>
          <cell r="F6759">
            <v>0</v>
          </cell>
          <cell r="DN6759">
            <v>0</v>
          </cell>
        </row>
        <row r="6760">
          <cell r="E6760">
            <v>0</v>
          </cell>
          <cell r="F6760">
            <v>0</v>
          </cell>
          <cell r="DN6760">
            <v>0</v>
          </cell>
        </row>
        <row r="6761">
          <cell r="E6761">
            <v>0</v>
          </cell>
          <cell r="F6761">
            <v>0</v>
          </cell>
          <cell r="DN6761">
            <v>0</v>
          </cell>
        </row>
        <row r="6762">
          <cell r="E6762">
            <v>0</v>
          </cell>
          <cell r="F6762">
            <v>0</v>
          </cell>
          <cell r="DN6762">
            <v>0</v>
          </cell>
        </row>
        <row r="6763">
          <cell r="E6763">
            <v>0</v>
          </cell>
          <cell r="F6763">
            <v>0</v>
          </cell>
          <cell r="DN6763">
            <v>0</v>
          </cell>
        </row>
        <row r="6764">
          <cell r="E6764">
            <v>0</v>
          </cell>
          <cell r="F6764">
            <v>0</v>
          </cell>
          <cell r="DN6764">
            <v>0</v>
          </cell>
        </row>
        <row r="6765">
          <cell r="E6765">
            <v>0</v>
          </cell>
          <cell r="F6765">
            <v>0</v>
          </cell>
          <cell r="DN6765">
            <v>0</v>
          </cell>
        </row>
        <row r="6766">
          <cell r="E6766">
            <v>0</v>
          </cell>
          <cell r="F6766">
            <v>0</v>
          </cell>
          <cell r="DN6766">
            <v>0</v>
          </cell>
        </row>
        <row r="6767">
          <cell r="E6767">
            <v>0</v>
          </cell>
          <cell r="F6767">
            <v>0</v>
          </cell>
          <cell r="DN6767">
            <v>0</v>
          </cell>
        </row>
        <row r="6768">
          <cell r="E6768">
            <v>0</v>
          </cell>
          <cell r="F6768">
            <v>0</v>
          </cell>
          <cell r="DN6768">
            <v>0</v>
          </cell>
        </row>
        <row r="6769">
          <cell r="E6769">
            <v>0</v>
          </cell>
          <cell r="F6769">
            <v>0</v>
          </cell>
          <cell r="DN6769">
            <v>0</v>
          </cell>
        </row>
        <row r="6770">
          <cell r="E6770">
            <v>0</v>
          </cell>
          <cell r="F6770">
            <v>0</v>
          </cell>
          <cell r="DN6770">
            <v>0</v>
          </cell>
        </row>
        <row r="6771">
          <cell r="E6771">
            <v>0</v>
          </cell>
          <cell r="F6771">
            <v>0</v>
          </cell>
          <cell r="DN6771">
            <v>0</v>
          </cell>
        </row>
        <row r="6772">
          <cell r="E6772">
            <v>0</v>
          </cell>
          <cell r="F6772">
            <v>0</v>
          </cell>
          <cell r="DN6772">
            <v>0</v>
          </cell>
        </row>
        <row r="6773">
          <cell r="E6773">
            <v>0</v>
          </cell>
          <cell r="F6773">
            <v>0</v>
          </cell>
          <cell r="DN6773">
            <v>0</v>
          </cell>
        </row>
        <row r="6774">
          <cell r="E6774">
            <v>0</v>
          </cell>
          <cell r="F6774">
            <v>0</v>
          </cell>
          <cell r="DN6774">
            <v>0</v>
          </cell>
        </row>
        <row r="6775">
          <cell r="E6775">
            <v>0</v>
          </cell>
          <cell r="F6775">
            <v>0</v>
          </cell>
          <cell r="DN6775">
            <v>0</v>
          </cell>
        </row>
        <row r="6776">
          <cell r="E6776">
            <v>0</v>
          </cell>
          <cell r="F6776">
            <v>0</v>
          </cell>
          <cell r="DN6776">
            <v>0</v>
          </cell>
        </row>
        <row r="6777">
          <cell r="E6777">
            <v>0</v>
          </cell>
          <cell r="F6777">
            <v>0</v>
          </cell>
          <cell r="DN6777">
            <v>0</v>
          </cell>
        </row>
        <row r="6778">
          <cell r="E6778">
            <v>0</v>
          </cell>
          <cell r="F6778">
            <v>0</v>
          </cell>
          <cell r="DN6778">
            <v>0</v>
          </cell>
        </row>
        <row r="6779">
          <cell r="E6779">
            <v>0</v>
          </cell>
          <cell r="F6779">
            <v>0</v>
          </cell>
          <cell r="DN6779">
            <v>0</v>
          </cell>
        </row>
        <row r="6780">
          <cell r="E6780">
            <v>0</v>
          </cell>
          <cell r="F6780">
            <v>0</v>
          </cell>
          <cell r="DN6780">
            <v>0</v>
          </cell>
        </row>
        <row r="6781">
          <cell r="E6781">
            <v>0</v>
          </cell>
          <cell r="F6781">
            <v>0</v>
          </cell>
          <cell r="DN6781">
            <v>0</v>
          </cell>
        </row>
        <row r="6782">
          <cell r="E6782">
            <v>0</v>
          </cell>
          <cell r="F6782">
            <v>0</v>
          </cell>
          <cell r="DN6782">
            <v>0</v>
          </cell>
        </row>
        <row r="6783">
          <cell r="E6783">
            <v>0</v>
          </cell>
          <cell r="F6783">
            <v>0</v>
          </cell>
          <cell r="DN6783">
            <v>0</v>
          </cell>
        </row>
        <row r="6784">
          <cell r="E6784">
            <v>0</v>
          </cell>
          <cell r="F6784">
            <v>0</v>
          </cell>
          <cell r="DN6784">
            <v>0</v>
          </cell>
        </row>
        <row r="6785">
          <cell r="E6785">
            <v>0</v>
          </cell>
          <cell r="F6785">
            <v>0</v>
          </cell>
          <cell r="DN6785">
            <v>0</v>
          </cell>
        </row>
        <row r="6786">
          <cell r="E6786">
            <v>0</v>
          </cell>
          <cell r="F6786">
            <v>0</v>
          </cell>
          <cell r="DN6786">
            <v>0</v>
          </cell>
        </row>
        <row r="6787">
          <cell r="E6787">
            <v>0</v>
          </cell>
          <cell r="F6787">
            <v>0</v>
          </cell>
          <cell r="DN6787">
            <v>0</v>
          </cell>
        </row>
        <row r="6788">
          <cell r="E6788">
            <v>0</v>
          </cell>
          <cell r="F6788">
            <v>0</v>
          </cell>
          <cell r="DN6788">
            <v>0</v>
          </cell>
        </row>
        <row r="6789">
          <cell r="E6789">
            <v>0</v>
          </cell>
          <cell r="F6789">
            <v>0</v>
          </cell>
          <cell r="DN6789">
            <v>0</v>
          </cell>
        </row>
        <row r="6790">
          <cell r="E6790">
            <v>0</v>
          </cell>
          <cell r="F6790">
            <v>0</v>
          </cell>
          <cell r="DN6790">
            <v>0</v>
          </cell>
        </row>
        <row r="6791">
          <cell r="E6791">
            <v>0</v>
          </cell>
          <cell r="F6791">
            <v>0</v>
          </cell>
          <cell r="DN6791">
            <v>0</v>
          </cell>
        </row>
        <row r="6792">
          <cell r="E6792">
            <v>0</v>
          </cell>
          <cell r="F6792">
            <v>0</v>
          </cell>
          <cell r="DN6792">
            <v>0</v>
          </cell>
        </row>
        <row r="6793">
          <cell r="E6793">
            <v>0</v>
          </cell>
          <cell r="F6793">
            <v>0</v>
          </cell>
          <cell r="DN6793">
            <v>0</v>
          </cell>
        </row>
        <row r="6794">
          <cell r="E6794">
            <v>0</v>
          </cell>
          <cell r="F6794">
            <v>0</v>
          </cell>
          <cell r="DN6794">
            <v>0</v>
          </cell>
        </row>
        <row r="6795">
          <cell r="E6795">
            <v>0</v>
          </cell>
          <cell r="F6795">
            <v>0</v>
          </cell>
          <cell r="DN6795">
            <v>0</v>
          </cell>
        </row>
        <row r="6796">
          <cell r="E6796">
            <v>0</v>
          </cell>
          <cell r="F6796">
            <v>0</v>
          </cell>
          <cell r="DN6796">
            <v>0</v>
          </cell>
        </row>
        <row r="6797">
          <cell r="E6797">
            <v>0</v>
          </cell>
          <cell r="F6797">
            <v>0</v>
          </cell>
          <cell r="DN6797">
            <v>0</v>
          </cell>
        </row>
        <row r="6798">
          <cell r="E6798">
            <v>0</v>
          </cell>
          <cell r="F6798">
            <v>0</v>
          </cell>
          <cell r="DN6798">
            <v>0</v>
          </cell>
        </row>
        <row r="6799">
          <cell r="E6799">
            <v>0</v>
          </cell>
          <cell r="F6799">
            <v>0</v>
          </cell>
          <cell r="DN6799">
            <v>0</v>
          </cell>
        </row>
        <row r="6800">
          <cell r="E6800">
            <v>0</v>
          </cell>
          <cell r="F6800">
            <v>0</v>
          </cell>
          <cell r="DN6800">
            <v>0</v>
          </cell>
        </row>
        <row r="6801">
          <cell r="E6801">
            <v>0</v>
          </cell>
          <cell r="F6801">
            <v>0</v>
          </cell>
          <cell r="DN6801">
            <v>0</v>
          </cell>
        </row>
        <row r="6802">
          <cell r="E6802">
            <v>0</v>
          </cell>
          <cell r="F6802">
            <v>0</v>
          </cell>
          <cell r="DN6802">
            <v>0</v>
          </cell>
        </row>
        <row r="6803">
          <cell r="E6803">
            <v>0</v>
          </cell>
          <cell r="F6803">
            <v>0</v>
          </cell>
          <cell r="DN6803">
            <v>0</v>
          </cell>
        </row>
        <row r="6804">
          <cell r="E6804">
            <v>0</v>
          </cell>
          <cell r="F6804">
            <v>0</v>
          </cell>
          <cell r="DN6804">
            <v>0</v>
          </cell>
        </row>
        <row r="6805">
          <cell r="E6805">
            <v>0</v>
          </cell>
          <cell r="F6805">
            <v>0</v>
          </cell>
          <cell r="DN6805">
            <v>0</v>
          </cell>
        </row>
        <row r="6806">
          <cell r="E6806">
            <v>0</v>
          </cell>
          <cell r="F6806">
            <v>0</v>
          </cell>
          <cell r="DN6806">
            <v>0</v>
          </cell>
        </row>
        <row r="6807">
          <cell r="E6807">
            <v>0</v>
          </cell>
          <cell r="F6807">
            <v>0</v>
          </cell>
          <cell r="DN6807">
            <v>0</v>
          </cell>
        </row>
        <row r="6808">
          <cell r="E6808">
            <v>0</v>
          </cell>
          <cell r="F6808">
            <v>0</v>
          </cell>
          <cell r="DN6808">
            <v>0</v>
          </cell>
        </row>
        <row r="6809">
          <cell r="E6809">
            <v>0</v>
          </cell>
          <cell r="F6809">
            <v>0</v>
          </cell>
          <cell r="DN6809">
            <v>0</v>
          </cell>
        </row>
        <row r="6810">
          <cell r="E6810">
            <v>0</v>
          </cell>
          <cell r="F6810">
            <v>0</v>
          </cell>
          <cell r="DN6810">
            <v>0</v>
          </cell>
        </row>
        <row r="6811">
          <cell r="E6811">
            <v>0</v>
          </cell>
          <cell r="F6811">
            <v>0</v>
          </cell>
          <cell r="DN6811">
            <v>0</v>
          </cell>
        </row>
        <row r="6812">
          <cell r="E6812">
            <v>0</v>
          </cell>
          <cell r="F6812">
            <v>0</v>
          </cell>
          <cell r="DN6812">
            <v>0</v>
          </cell>
        </row>
        <row r="6813">
          <cell r="E6813">
            <v>0</v>
          </cell>
          <cell r="F6813">
            <v>0</v>
          </cell>
          <cell r="DN6813">
            <v>0</v>
          </cell>
        </row>
        <row r="6814">
          <cell r="E6814">
            <v>0</v>
          </cell>
          <cell r="F6814">
            <v>0</v>
          </cell>
          <cell r="DN6814">
            <v>0</v>
          </cell>
        </row>
        <row r="6815">
          <cell r="E6815">
            <v>0</v>
          </cell>
          <cell r="F6815">
            <v>0</v>
          </cell>
          <cell r="DN6815">
            <v>0</v>
          </cell>
        </row>
        <row r="6816">
          <cell r="E6816">
            <v>0</v>
          </cell>
          <cell r="F6816">
            <v>0</v>
          </cell>
          <cell r="DN6816">
            <v>0</v>
          </cell>
        </row>
        <row r="6817">
          <cell r="E6817">
            <v>0</v>
          </cell>
          <cell r="F6817">
            <v>0</v>
          </cell>
          <cell r="DN6817">
            <v>0</v>
          </cell>
        </row>
        <row r="6818">
          <cell r="E6818">
            <v>0</v>
          </cell>
          <cell r="F6818">
            <v>0</v>
          </cell>
          <cell r="DN6818">
            <v>0</v>
          </cell>
        </row>
        <row r="6819">
          <cell r="E6819">
            <v>0</v>
          </cell>
          <cell r="F6819">
            <v>0</v>
          </cell>
          <cell r="DN6819">
            <v>0</v>
          </cell>
        </row>
        <row r="6820">
          <cell r="E6820">
            <v>0</v>
          </cell>
          <cell r="F6820">
            <v>0</v>
          </cell>
          <cell r="DN6820">
            <v>0</v>
          </cell>
        </row>
        <row r="6821">
          <cell r="E6821">
            <v>0</v>
          </cell>
          <cell r="F6821">
            <v>0</v>
          </cell>
          <cell r="DN6821">
            <v>0</v>
          </cell>
        </row>
        <row r="6822">
          <cell r="E6822">
            <v>0</v>
          </cell>
          <cell r="F6822">
            <v>0</v>
          </cell>
          <cell r="DN6822">
            <v>0</v>
          </cell>
        </row>
        <row r="6823">
          <cell r="E6823">
            <v>0</v>
          </cell>
          <cell r="F6823">
            <v>0</v>
          </cell>
          <cell r="DN6823">
            <v>0</v>
          </cell>
        </row>
        <row r="6824">
          <cell r="E6824">
            <v>0</v>
          </cell>
          <cell r="F6824">
            <v>0</v>
          </cell>
          <cell r="DN6824">
            <v>0</v>
          </cell>
        </row>
        <row r="6825">
          <cell r="E6825">
            <v>0</v>
          </cell>
          <cell r="F6825">
            <v>0</v>
          </cell>
          <cell r="DN6825">
            <v>0</v>
          </cell>
        </row>
        <row r="6826">
          <cell r="E6826">
            <v>0</v>
          </cell>
          <cell r="F6826">
            <v>0</v>
          </cell>
          <cell r="DN6826">
            <v>0</v>
          </cell>
        </row>
        <row r="6827">
          <cell r="E6827">
            <v>0</v>
          </cell>
          <cell r="F6827">
            <v>0</v>
          </cell>
          <cell r="DN6827">
            <v>0</v>
          </cell>
        </row>
        <row r="6828">
          <cell r="E6828">
            <v>0</v>
          </cell>
          <cell r="F6828">
            <v>0</v>
          </cell>
          <cell r="DN6828">
            <v>0</v>
          </cell>
        </row>
        <row r="6829">
          <cell r="E6829">
            <v>0</v>
          </cell>
          <cell r="F6829">
            <v>0</v>
          </cell>
          <cell r="DN6829">
            <v>0</v>
          </cell>
        </row>
        <row r="6830">
          <cell r="E6830">
            <v>0</v>
          </cell>
          <cell r="F6830">
            <v>0</v>
          </cell>
          <cell r="DN6830">
            <v>0</v>
          </cell>
        </row>
        <row r="6831">
          <cell r="E6831">
            <v>0</v>
          </cell>
          <cell r="F6831">
            <v>0</v>
          </cell>
          <cell r="DN6831">
            <v>0</v>
          </cell>
        </row>
        <row r="6832">
          <cell r="E6832">
            <v>0</v>
          </cell>
          <cell r="F6832">
            <v>0</v>
          </cell>
          <cell r="DN6832">
            <v>0</v>
          </cell>
        </row>
        <row r="6833">
          <cell r="E6833">
            <v>0</v>
          </cell>
          <cell r="F6833">
            <v>0</v>
          </cell>
          <cell r="DN6833">
            <v>0</v>
          </cell>
        </row>
        <row r="6834">
          <cell r="E6834">
            <v>0</v>
          </cell>
          <cell r="F6834">
            <v>0</v>
          </cell>
          <cell r="DN6834">
            <v>0</v>
          </cell>
        </row>
        <row r="6835">
          <cell r="E6835">
            <v>0</v>
          </cell>
          <cell r="F6835">
            <v>0</v>
          </cell>
          <cell r="DN6835">
            <v>0</v>
          </cell>
        </row>
        <row r="6836">
          <cell r="E6836">
            <v>0</v>
          </cell>
          <cell r="F6836">
            <v>0</v>
          </cell>
          <cell r="DN6836">
            <v>0</v>
          </cell>
        </row>
        <row r="6837">
          <cell r="E6837">
            <v>0</v>
          </cell>
          <cell r="F6837">
            <v>0</v>
          </cell>
          <cell r="DN6837">
            <v>0</v>
          </cell>
        </row>
        <row r="6838">
          <cell r="E6838">
            <v>0</v>
          </cell>
          <cell r="F6838">
            <v>0</v>
          </cell>
          <cell r="DN6838">
            <v>0</v>
          </cell>
        </row>
        <row r="6839">
          <cell r="E6839">
            <v>0</v>
          </cell>
          <cell r="F6839">
            <v>0</v>
          </cell>
          <cell r="DN6839">
            <v>0</v>
          </cell>
        </row>
        <row r="6840">
          <cell r="E6840">
            <v>0</v>
          </cell>
          <cell r="F6840">
            <v>0</v>
          </cell>
          <cell r="DN6840">
            <v>0</v>
          </cell>
        </row>
        <row r="6841">
          <cell r="E6841">
            <v>0</v>
          </cell>
          <cell r="F6841">
            <v>0</v>
          </cell>
          <cell r="DN6841">
            <v>0</v>
          </cell>
        </row>
        <row r="6842">
          <cell r="E6842">
            <v>0</v>
          </cell>
          <cell r="F6842">
            <v>0</v>
          </cell>
          <cell r="DN6842">
            <v>0</v>
          </cell>
        </row>
        <row r="6843">
          <cell r="E6843">
            <v>0</v>
          </cell>
          <cell r="F6843">
            <v>0</v>
          </cell>
          <cell r="DN6843">
            <v>0</v>
          </cell>
        </row>
        <row r="6844">
          <cell r="E6844">
            <v>0</v>
          </cell>
          <cell r="F6844">
            <v>0</v>
          </cell>
          <cell r="DN6844">
            <v>0</v>
          </cell>
        </row>
        <row r="6845">
          <cell r="E6845">
            <v>0</v>
          </cell>
          <cell r="F6845">
            <v>0</v>
          </cell>
          <cell r="DN6845">
            <v>0</v>
          </cell>
        </row>
        <row r="6846">
          <cell r="E6846">
            <v>0</v>
          </cell>
          <cell r="F6846">
            <v>0</v>
          </cell>
          <cell r="DN6846">
            <v>0</v>
          </cell>
        </row>
        <row r="6847">
          <cell r="E6847">
            <v>0</v>
          </cell>
          <cell r="F6847">
            <v>0</v>
          </cell>
          <cell r="DN6847">
            <v>0</v>
          </cell>
        </row>
        <row r="6848">
          <cell r="E6848">
            <v>0</v>
          </cell>
          <cell r="F6848">
            <v>0</v>
          </cell>
          <cell r="DN6848">
            <v>0</v>
          </cell>
        </row>
        <row r="6849">
          <cell r="E6849">
            <v>0</v>
          </cell>
          <cell r="F6849">
            <v>0</v>
          </cell>
          <cell r="DN6849">
            <v>0</v>
          </cell>
        </row>
        <row r="6850">
          <cell r="E6850">
            <v>0</v>
          </cell>
          <cell r="F6850">
            <v>0</v>
          </cell>
          <cell r="DN6850">
            <v>0</v>
          </cell>
        </row>
        <row r="6851">
          <cell r="E6851">
            <v>0</v>
          </cell>
          <cell r="F6851">
            <v>0</v>
          </cell>
          <cell r="DN6851">
            <v>0</v>
          </cell>
        </row>
        <row r="6852">
          <cell r="E6852">
            <v>0</v>
          </cell>
          <cell r="F6852">
            <v>0</v>
          </cell>
          <cell r="DN6852">
            <v>0</v>
          </cell>
        </row>
        <row r="6853">
          <cell r="E6853">
            <v>0</v>
          </cell>
          <cell r="F6853">
            <v>0</v>
          </cell>
          <cell r="DN6853">
            <v>0</v>
          </cell>
        </row>
        <row r="6854">
          <cell r="E6854">
            <v>0</v>
          </cell>
          <cell r="F6854">
            <v>0</v>
          </cell>
          <cell r="DN6854">
            <v>0</v>
          </cell>
        </row>
        <row r="6855">
          <cell r="E6855">
            <v>0</v>
          </cell>
          <cell r="F6855">
            <v>0</v>
          </cell>
          <cell r="DN6855">
            <v>0</v>
          </cell>
        </row>
        <row r="6856">
          <cell r="E6856">
            <v>0</v>
          </cell>
          <cell r="F6856">
            <v>0</v>
          </cell>
          <cell r="DN6856">
            <v>0</v>
          </cell>
        </row>
        <row r="6857">
          <cell r="E6857">
            <v>0</v>
          </cell>
          <cell r="F6857">
            <v>0</v>
          </cell>
          <cell r="DN6857">
            <v>0</v>
          </cell>
        </row>
        <row r="6858">
          <cell r="E6858">
            <v>0</v>
          </cell>
          <cell r="F6858">
            <v>0</v>
          </cell>
          <cell r="DN6858">
            <v>0</v>
          </cell>
        </row>
        <row r="6859">
          <cell r="E6859">
            <v>0</v>
          </cell>
          <cell r="F6859">
            <v>0</v>
          </cell>
          <cell r="DN6859">
            <v>0</v>
          </cell>
        </row>
        <row r="6860">
          <cell r="E6860">
            <v>0</v>
          </cell>
          <cell r="F6860">
            <v>0</v>
          </cell>
          <cell r="DN6860">
            <v>0</v>
          </cell>
        </row>
        <row r="6861">
          <cell r="E6861">
            <v>0</v>
          </cell>
          <cell r="F6861">
            <v>0</v>
          </cell>
          <cell r="DN6861">
            <v>0</v>
          </cell>
        </row>
        <row r="6862">
          <cell r="E6862">
            <v>0</v>
          </cell>
          <cell r="F6862">
            <v>0</v>
          </cell>
          <cell r="DN6862">
            <v>0</v>
          </cell>
        </row>
        <row r="6863">
          <cell r="E6863">
            <v>0</v>
          </cell>
          <cell r="F6863">
            <v>0</v>
          </cell>
          <cell r="DN6863">
            <v>0</v>
          </cell>
        </row>
        <row r="6864">
          <cell r="E6864">
            <v>0</v>
          </cell>
          <cell r="F6864">
            <v>0</v>
          </cell>
          <cell r="DN6864">
            <v>0</v>
          </cell>
        </row>
        <row r="6865">
          <cell r="E6865">
            <v>0</v>
          </cell>
          <cell r="F6865">
            <v>0</v>
          </cell>
          <cell r="DN6865">
            <v>0</v>
          </cell>
        </row>
        <row r="6866">
          <cell r="E6866">
            <v>0</v>
          </cell>
          <cell r="F6866">
            <v>0</v>
          </cell>
          <cell r="DN6866">
            <v>0</v>
          </cell>
        </row>
        <row r="6867">
          <cell r="E6867">
            <v>0</v>
          </cell>
          <cell r="F6867">
            <v>0</v>
          </cell>
          <cell r="DN6867">
            <v>0</v>
          </cell>
        </row>
        <row r="6868">
          <cell r="E6868">
            <v>0</v>
          </cell>
          <cell r="F6868">
            <v>0</v>
          </cell>
          <cell r="DN6868">
            <v>0</v>
          </cell>
        </row>
        <row r="6869">
          <cell r="E6869">
            <v>0</v>
          </cell>
          <cell r="F6869">
            <v>0</v>
          </cell>
          <cell r="DN6869">
            <v>0</v>
          </cell>
        </row>
        <row r="6870">
          <cell r="E6870">
            <v>0</v>
          </cell>
          <cell r="F6870">
            <v>0</v>
          </cell>
          <cell r="DN6870">
            <v>0</v>
          </cell>
        </row>
        <row r="6871">
          <cell r="E6871">
            <v>0</v>
          </cell>
          <cell r="F6871">
            <v>0</v>
          </cell>
          <cell r="DN6871">
            <v>0</v>
          </cell>
        </row>
        <row r="6872">
          <cell r="E6872">
            <v>0</v>
          </cell>
          <cell r="F6872">
            <v>0</v>
          </cell>
          <cell r="DN6872">
            <v>0</v>
          </cell>
        </row>
        <row r="6873">
          <cell r="E6873">
            <v>0</v>
          </cell>
          <cell r="F6873">
            <v>0</v>
          </cell>
          <cell r="DN6873">
            <v>0</v>
          </cell>
        </row>
        <row r="6874">
          <cell r="E6874">
            <v>0</v>
          </cell>
          <cell r="F6874">
            <v>0</v>
          </cell>
          <cell r="DN6874">
            <v>0</v>
          </cell>
        </row>
        <row r="6875">
          <cell r="E6875">
            <v>0</v>
          </cell>
          <cell r="F6875">
            <v>0</v>
          </cell>
          <cell r="DN6875">
            <v>0</v>
          </cell>
        </row>
        <row r="6876">
          <cell r="E6876">
            <v>0</v>
          </cell>
          <cell r="F6876">
            <v>0</v>
          </cell>
          <cell r="DN6876">
            <v>0</v>
          </cell>
        </row>
        <row r="6877">
          <cell r="E6877">
            <v>0</v>
          </cell>
          <cell r="F6877">
            <v>0</v>
          </cell>
          <cell r="DN6877">
            <v>0</v>
          </cell>
        </row>
        <row r="6878">
          <cell r="E6878">
            <v>0</v>
          </cell>
          <cell r="F6878">
            <v>0</v>
          </cell>
          <cell r="DN6878">
            <v>0</v>
          </cell>
        </row>
        <row r="6879">
          <cell r="E6879">
            <v>0</v>
          </cell>
          <cell r="F6879">
            <v>0</v>
          </cell>
          <cell r="DN6879">
            <v>0</v>
          </cell>
        </row>
        <row r="6880">
          <cell r="E6880">
            <v>0</v>
          </cell>
          <cell r="F6880">
            <v>0</v>
          </cell>
          <cell r="DN6880">
            <v>0</v>
          </cell>
        </row>
        <row r="6881">
          <cell r="E6881">
            <v>0</v>
          </cell>
          <cell r="F6881">
            <v>0</v>
          </cell>
          <cell r="DN6881">
            <v>0</v>
          </cell>
        </row>
        <row r="6882">
          <cell r="E6882">
            <v>0</v>
          </cell>
          <cell r="F6882">
            <v>0</v>
          </cell>
          <cell r="DN6882">
            <v>0</v>
          </cell>
        </row>
        <row r="6883">
          <cell r="E6883">
            <v>0</v>
          </cell>
          <cell r="F6883">
            <v>0</v>
          </cell>
          <cell r="DN6883">
            <v>0</v>
          </cell>
        </row>
        <row r="6884">
          <cell r="E6884">
            <v>0</v>
          </cell>
          <cell r="F6884">
            <v>0</v>
          </cell>
          <cell r="DN6884">
            <v>0</v>
          </cell>
        </row>
        <row r="6885">
          <cell r="E6885">
            <v>0</v>
          </cell>
          <cell r="F6885">
            <v>0</v>
          </cell>
          <cell r="DN6885">
            <v>0</v>
          </cell>
        </row>
        <row r="6886">
          <cell r="E6886">
            <v>0</v>
          </cell>
          <cell r="F6886">
            <v>0</v>
          </cell>
          <cell r="DN6886">
            <v>0</v>
          </cell>
        </row>
        <row r="6887">
          <cell r="E6887">
            <v>0</v>
          </cell>
          <cell r="F6887">
            <v>0</v>
          </cell>
          <cell r="DN6887">
            <v>0</v>
          </cell>
        </row>
        <row r="6888">
          <cell r="E6888">
            <v>0</v>
          </cell>
          <cell r="F6888">
            <v>0</v>
          </cell>
          <cell r="DN6888">
            <v>0</v>
          </cell>
        </row>
        <row r="6889">
          <cell r="E6889">
            <v>0</v>
          </cell>
          <cell r="F6889">
            <v>0</v>
          </cell>
          <cell r="DN6889">
            <v>0</v>
          </cell>
        </row>
        <row r="6890">
          <cell r="E6890">
            <v>0</v>
          </cell>
          <cell r="F6890">
            <v>0</v>
          </cell>
          <cell r="DN6890">
            <v>0</v>
          </cell>
        </row>
        <row r="6891">
          <cell r="E6891">
            <v>0</v>
          </cell>
          <cell r="F6891">
            <v>0</v>
          </cell>
          <cell r="DN6891">
            <v>0</v>
          </cell>
        </row>
        <row r="6892">
          <cell r="E6892">
            <v>0</v>
          </cell>
          <cell r="F6892">
            <v>0</v>
          </cell>
          <cell r="DN6892">
            <v>0</v>
          </cell>
        </row>
        <row r="6893">
          <cell r="E6893">
            <v>0</v>
          </cell>
          <cell r="F6893">
            <v>0</v>
          </cell>
          <cell r="DN6893">
            <v>0</v>
          </cell>
        </row>
        <row r="6894">
          <cell r="E6894">
            <v>0</v>
          </cell>
          <cell r="F6894">
            <v>0</v>
          </cell>
          <cell r="DN6894">
            <v>0</v>
          </cell>
        </row>
        <row r="6895">
          <cell r="E6895">
            <v>0</v>
          </cell>
          <cell r="F6895">
            <v>0</v>
          </cell>
          <cell r="DN6895">
            <v>0</v>
          </cell>
        </row>
        <row r="6896">
          <cell r="E6896">
            <v>0</v>
          </cell>
          <cell r="F6896">
            <v>0</v>
          </cell>
          <cell r="DN6896">
            <v>0</v>
          </cell>
        </row>
        <row r="6897">
          <cell r="E6897">
            <v>0</v>
          </cell>
          <cell r="F6897">
            <v>0</v>
          </cell>
          <cell r="DN6897">
            <v>0</v>
          </cell>
        </row>
        <row r="6898">
          <cell r="E6898">
            <v>0</v>
          </cell>
          <cell r="F6898">
            <v>0</v>
          </cell>
          <cell r="DN6898">
            <v>0</v>
          </cell>
        </row>
        <row r="6899">
          <cell r="E6899">
            <v>0</v>
          </cell>
          <cell r="F6899">
            <v>0</v>
          </cell>
          <cell r="DN6899">
            <v>0</v>
          </cell>
        </row>
        <row r="6900">
          <cell r="E6900">
            <v>0</v>
          </cell>
          <cell r="F6900">
            <v>0</v>
          </cell>
          <cell r="DN6900">
            <v>0</v>
          </cell>
        </row>
        <row r="6901">
          <cell r="E6901">
            <v>0</v>
          </cell>
          <cell r="F6901">
            <v>0</v>
          </cell>
          <cell r="DN6901">
            <v>0</v>
          </cell>
        </row>
        <row r="6902">
          <cell r="E6902">
            <v>0</v>
          </cell>
          <cell r="F6902">
            <v>0</v>
          </cell>
          <cell r="DN6902">
            <v>0</v>
          </cell>
        </row>
        <row r="6903">
          <cell r="E6903">
            <v>0</v>
          </cell>
          <cell r="F6903">
            <v>0</v>
          </cell>
          <cell r="DN6903">
            <v>0</v>
          </cell>
        </row>
        <row r="6904">
          <cell r="E6904">
            <v>0</v>
          </cell>
          <cell r="F6904">
            <v>0</v>
          </cell>
          <cell r="DN6904">
            <v>0</v>
          </cell>
        </row>
        <row r="6905">
          <cell r="E6905">
            <v>0</v>
          </cell>
          <cell r="F6905">
            <v>0</v>
          </cell>
          <cell r="DN6905">
            <v>0</v>
          </cell>
        </row>
        <row r="6906">
          <cell r="E6906">
            <v>0</v>
          </cell>
          <cell r="F6906">
            <v>0</v>
          </cell>
          <cell r="DN6906">
            <v>0</v>
          </cell>
        </row>
        <row r="6907">
          <cell r="E6907">
            <v>0</v>
          </cell>
          <cell r="F6907">
            <v>0</v>
          </cell>
          <cell r="DN6907">
            <v>0</v>
          </cell>
        </row>
        <row r="6908">
          <cell r="E6908">
            <v>0</v>
          </cell>
          <cell r="F6908">
            <v>0</v>
          </cell>
          <cell r="DN6908">
            <v>0</v>
          </cell>
        </row>
        <row r="6909">
          <cell r="E6909">
            <v>0</v>
          </cell>
          <cell r="F6909">
            <v>0</v>
          </cell>
          <cell r="DN6909">
            <v>0</v>
          </cell>
        </row>
        <row r="6910">
          <cell r="E6910">
            <v>0</v>
          </cell>
          <cell r="F6910">
            <v>0</v>
          </cell>
          <cell r="DN6910">
            <v>0</v>
          </cell>
        </row>
        <row r="6911">
          <cell r="E6911">
            <v>0</v>
          </cell>
          <cell r="F6911">
            <v>0</v>
          </cell>
          <cell r="DN6911">
            <v>0</v>
          </cell>
        </row>
        <row r="6912">
          <cell r="E6912">
            <v>0</v>
          </cell>
          <cell r="F6912">
            <v>0</v>
          </cell>
          <cell r="DN6912">
            <v>0</v>
          </cell>
        </row>
        <row r="6913">
          <cell r="E6913">
            <v>0</v>
          </cell>
          <cell r="F6913">
            <v>0</v>
          </cell>
          <cell r="DN6913">
            <v>0</v>
          </cell>
        </row>
        <row r="6914">
          <cell r="E6914">
            <v>0</v>
          </cell>
          <cell r="F6914">
            <v>0</v>
          </cell>
          <cell r="DN6914">
            <v>0</v>
          </cell>
        </row>
        <row r="6915">
          <cell r="E6915">
            <v>0</v>
          </cell>
          <cell r="F6915">
            <v>0</v>
          </cell>
          <cell r="DN6915">
            <v>0</v>
          </cell>
        </row>
        <row r="6916">
          <cell r="E6916">
            <v>0</v>
          </cell>
          <cell r="F6916">
            <v>0</v>
          </cell>
          <cell r="DN6916">
            <v>0</v>
          </cell>
        </row>
        <row r="6917">
          <cell r="E6917">
            <v>0</v>
          </cell>
          <cell r="F6917">
            <v>0</v>
          </cell>
          <cell r="DN6917">
            <v>0</v>
          </cell>
        </row>
        <row r="6918">
          <cell r="E6918">
            <v>0</v>
          </cell>
          <cell r="F6918">
            <v>0</v>
          </cell>
          <cell r="DN6918">
            <v>0</v>
          </cell>
        </row>
        <row r="6919">
          <cell r="E6919">
            <v>0</v>
          </cell>
          <cell r="F6919">
            <v>0</v>
          </cell>
          <cell r="DN6919">
            <v>0</v>
          </cell>
        </row>
        <row r="6920">
          <cell r="E6920">
            <v>0</v>
          </cell>
          <cell r="F6920">
            <v>0</v>
          </cell>
          <cell r="DN6920">
            <v>0</v>
          </cell>
        </row>
        <row r="6921">
          <cell r="E6921">
            <v>0</v>
          </cell>
          <cell r="F6921">
            <v>0</v>
          </cell>
          <cell r="DN6921">
            <v>0</v>
          </cell>
        </row>
        <row r="6922">
          <cell r="E6922">
            <v>0</v>
          </cell>
          <cell r="F6922">
            <v>0</v>
          </cell>
          <cell r="DN6922">
            <v>0</v>
          </cell>
        </row>
        <row r="6923">
          <cell r="E6923">
            <v>0</v>
          </cell>
          <cell r="F6923">
            <v>0</v>
          </cell>
          <cell r="DN6923">
            <v>0</v>
          </cell>
        </row>
        <row r="6924">
          <cell r="E6924">
            <v>0</v>
          </cell>
          <cell r="F6924">
            <v>0</v>
          </cell>
          <cell r="DN6924">
            <v>0</v>
          </cell>
        </row>
        <row r="6925">
          <cell r="E6925">
            <v>0</v>
          </cell>
          <cell r="F6925">
            <v>0</v>
          </cell>
          <cell r="DN6925">
            <v>0</v>
          </cell>
        </row>
        <row r="6926">
          <cell r="E6926">
            <v>0</v>
          </cell>
          <cell r="F6926">
            <v>0</v>
          </cell>
          <cell r="DN6926">
            <v>0</v>
          </cell>
        </row>
        <row r="6927">
          <cell r="E6927">
            <v>0</v>
          </cell>
          <cell r="F6927">
            <v>0</v>
          </cell>
          <cell r="DN6927">
            <v>0</v>
          </cell>
        </row>
        <row r="6928">
          <cell r="E6928">
            <v>0</v>
          </cell>
          <cell r="F6928">
            <v>0</v>
          </cell>
          <cell r="DN6928">
            <v>0</v>
          </cell>
        </row>
        <row r="6929">
          <cell r="E6929">
            <v>0</v>
          </cell>
          <cell r="F6929">
            <v>0</v>
          </cell>
          <cell r="DN6929">
            <v>0</v>
          </cell>
        </row>
        <row r="6930">
          <cell r="E6930">
            <v>0</v>
          </cell>
          <cell r="F6930">
            <v>0</v>
          </cell>
          <cell r="DN6930">
            <v>0</v>
          </cell>
        </row>
        <row r="6931">
          <cell r="E6931">
            <v>0</v>
          </cell>
          <cell r="F6931">
            <v>0</v>
          </cell>
          <cell r="DN6931">
            <v>0</v>
          </cell>
        </row>
        <row r="6932">
          <cell r="E6932">
            <v>0</v>
          </cell>
          <cell r="F6932">
            <v>0</v>
          </cell>
          <cell r="DN6932">
            <v>0</v>
          </cell>
        </row>
        <row r="6933">
          <cell r="E6933">
            <v>0</v>
          </cell>
          <cell r="F6933">
            <v>0</v>
          </cell>
          <cell r="DN6933">
            <v>0</v>
          </cell>
        </row>
        <row r="6934">
          <cell r="E6934">
            <v>0</v>
          </cell>
          <cell r="F6934">
            <v>0</v>
          </cell>
          <cell r="DN6934">
            <v>0</v>
          </cell>
        </row>
        <row r="6935">
          <cell r="E6935">
            <v>0</v>
          </cell>
          <cell r="F6935">
            <v>0</v>
          </cell>
          <cell r="DN6935">
            <v>0</v>
          </cell>
        </row>
        <row r="6936">
          <cell r="E6936">
            <v>0</v>
          </cell>
          <cell r="F6936">
            <v>0</v>
          </cell>
          <cell r="DN6936">
            <v>0</v>
          </cell>
        </row>
        <row r="6937">
          <cell r="E6937">
            <v>0</v>
          </cell>
          <cell r="F6937">
            <v>0</v>
          </cell>
          <cell r="DN6937">
            <v>0</v>
          </cell>
        </row>
        <row r="6938">
          <cell r="E6938">
            <v>0</v>
          </cell>
          <cell r="F6938">
            <v>0</v>
          </cell>
          <cell r="DN6938">
            <v>0</v>
          </cell>
        </row>
        <row r="6939">
          <cell r="E6939">
            <v>0</v>
          </cell>
          <cell r="F6939">
            <v>0</v>
          </cell>
          <cell r="DN6939">
            <v>0</v>
          </cell>
        </row>
        <row r="6940">
          <cell r="E6940">
            <v>0</v>
          </cell>
          <cell r="F6940">
            <v>0</v>
          </cell>
          <cell r="DN6940">
            <v>0</v>
          </cell>
        </row>
        <row r="6941">
          <cell r="E6941">
            <v>0</v>
          </cell>
          <cell r="F6941">
            <v>0</v>
          </cell>
          <cell r="DN6941">
            <v>0</v>
          </cell>
        </row>
        <row r="6942">
          <cell r="E6942">
            <v>0</v>
          </cell>
          <cell r="F6942">
            <v>0</v>
          </cell>
          <cell r="DN6942">
            <v>0</v>
          </cell>
        </row>
        <row r="6943">
          <cell r="E6943">
            <v>0</v>
          </cell>
          <cell r="F6943">
            <v>0</v>
          </cell>
          <cell r="DN6943">
            <v>0</v>
          </cell>
        </row>
        <row r="6944">
          <cell r="E6944">
            <v>0</v>
          </cell>
          <cell r="F6944">
            <v>0</v>
          </cell>
          <cell r="DN6944">
            <v>0</v>
          </cell>
        </row>
        <row r="6945">
          <cell r="E6945">
            <v>0</v>
          </cell>
          <cell r="F6945">
            <v>0</v>
          </cell>
          <cell r="DN6945">
            <v>0</v>
          </cell>
        </row>
        <row r="6946">
          <cell r="E6946">
            <v>0</v>
          </cell>
          <cell r="F6946">
            <v>0</v>
          </cell>
          <cell r="DN6946">
            <v>0</v>
          </cell>
        </row>
        <row r="6947">
          <cell r="E6947">
            <v>0</v>
          </cell>
          <cell r="F6947">
            <v>0</v>
          </cell>
          <cell r="DN6947">
            <v>0</v>
          </cell>
        </row>
        <row r="6948">
          <cell r="E6948">
            <v>0</v>
          </cell>
          <cell r="F6948">
            <v>0</v>
          </cell>
          <cell r="DN6948">
            <v>0</v>
          </cell>
        </row>
        <row r="6949">
          <cell r="E6949">
            <v>0</v>
          </cell>
          <cell r="F6949">
            <v>0</v>
          </cell>
          <cell r="DN6949">
            <v>0</v>
          </cell>
        </row>
        <row r="6950">
          <cell r="E6950">
            <v>0</v>
          </cell>
          <cell r="F6950">
            <v>0</v>
          </cell>
          <cell r="DN6950">
            <v>0</v>
          </cell>
        </row>
        <row r="6951">
          <cell r="E6951">
            <v>0</v>
          </cell>
          <cell r="F6951">
            <v>0</v>
          </cell>
          <cell r="DN6951">
            <v>0</v>
          </cell>
        </row>
        <row r="6952">
          <cell r="E6952">
            <v>0</v>
          </cell>
          <cell r="F6952">
            <v>0</v>
          </cell>
          <cell r="DN6952">
            <v>0</v>
          </cell>
        </row>
        <row r="6953">
          <cell r="E6953">
            <v>0</v>
          </cell>
          <cell r="F6953">
            <v>0</v>
          </cell>
          <cell r="DN6953">
            <v>0</v>
          </cell>
        </row>
        <row r="6954">
          <cell r="E6954">
            <v>0</v>
          </cell>
          <cell r="F6954">
            <v>0</v>
          </cell>
          <cell r="DN6954">
            <v>0</v>
          </cell>
        </row>
        <row r="6955">
          <cell r="E6955">
            <v>0</v>
          </cell>
          <cell r="F6955">
            <v>0</v>
          </cell>
          <cell r="DN6955">
            <v>0</v>
          </cell>
        </row>
        <row r="6956">
          <cell r="E6956">
            <v>0</v>
          </cell>
          <cell r="F6956">
            <v>0</v>
          </cell>
          <cell r="DN6956">
            <v>0</v>
          </cell>
        </row>
        <row r="6957">
          <cell r="E6957">
            <v>0</v>
          </cell>
          <cell r="F6957">
            <v>0</v>
          </cell>
          <cell r="DN6957">
            <v>0</v>
          </cell>
        </row>
        <row r="6958">
          <cell r="E6958">
            <v>0</v>
          </cell>
          <cell r="F6958">
            <v>0</v>
          </cell>
          <cell r="DN6958">
            <v>0</v>
          </cell>
        </row>
        <row r="6959">
          <cell r="E6959">
            <v>0</v>
          </cell>
          <cell r="F6959">
            <v>0</v>
          </cell>
          <cell r="DN6959">
            <v>0</v>
          </cell>
        </row>
        <row r="6960">
          <cell r="E6960">
            <v>0</v>
          </cell>
          <cell r="F6960">
            <v>0</v>
          </cell>
          <cell r="DN6960">
            <v>0</v>
          </cell>
        </row>
        <row r="6961">
          <cell r="E6961">
            <v>0</v>
          </cell>
          <cell r="F6961">
            <v>0</v>
          </cell>
          <cell r="DN6961">
            <v>0</v>
          </cell>
        </row>
        <row r="6962">
          <cell r="E6962">
            <v>0</v>
          </cell>
          <cell r="F6962">
            <v>0</v>
          </cell>
          <cell r="DN6962">
            <v>0</v>
          </cell>
        </row>
        <row r="6963">
          <cell r="E6963">
            <v>0</v>
          </cell>
          <cell r="F6963">
            <v>0</v>
          </cell>
          <cell r="DN6963">
            <v>0</v>
          </cell>
        </row>
        <row r="6964">
          <cell r="E6964">
            <v>0</v>
          </cell>
          <cell r="F6964">
            <v>0</v>
          </cell>
          <cell r="DN6964">
            <v>0</v>
          </cell>
        </row>
        <row r="6965">
          <cell r="E6965">
            <v>0</v>
          </cell>
          <cell r="F6965">
            <v>0</v>
          </cell>
          <cell r="DN6965">
            <v>0</v>
          </cell>
        </row>
        <row r="6966">
          <cell r="E6966">
            <v>0</v>
          </cell>
          <cell r="F6966">
            <v>0</v>
          </cell>
          <cell r="DN6966">
            <v>0</v>
          </cell>
        </row>
        <row r="6967">
          <cell r="E6967">
            <v>0</v>
          </cell>
          <cell r="F6967">
            <v>0</v>
          </cell>
          <cell r="DN6967">
            <v>0</v>
          </cell>
        </row>
        <row r="6968">
          <cell r="E6968">
            <v>0</v>
          </cell>
          <cell r="F6968">
            <v>0</v>
          </cell>
          <cell r="DN6968">
            <v>0</v>
          </cell>
        </row>
        <row r="6969">
          <cell r="E6969">
            <v>0</v>
          </cell>
          <cell r="F6969">
            <v>0</v>
          </cell>
          <cell r="DN6969">
            <v>0</v>
          </cell>
        </row>
        <row r="6970">
          <cell r="E6970">
            <v>0</v>
          </cell>
          <cell r="F6970">
            <v>0</v>
          </cell>
          <cell r="DN6970">
            <v>0</v>
          </cell>
        </row>
        <row r="6971">
          <cell r="E6971">
            <v>0</v>
          </cell>
          <cell r="F6971">
            <v>0</v>
          </cell>
          <cell r="DN6971">
            <v>0</v>
          </cell>
        </row>
        <row r="6972">
          <cell r="E6972">
            <v>0</v>
          </cell>
          <cell r="F6972">
            <v>0</v>
          </cell>
          <cell r="DN6972">
            <v>0</v>
          </cell>
        </row>
        <row r="6973">
          <cell r="E6973">
            <v>0</v>
          </cell>
          <cell r="F6973">
            <v>0</v>
          </cell>
          <cell r="DN6973">
            <v>0</v>
          </cell>
        </row>
        <row r="6974">
          <cell r="E6974">
            <v>0</v>
          </cell>
          <cell r="F6974">
            <v>0</v>
          </cell>
          <cell r="DN6974">
            <v>0</v>
          </cell>
        </row>
        <row r="6975">
          <cell r="E6975">
            <v>0</v>
          </cell>
          <cell r="F6975">
            <v>0</v>
          </cell>
          <cell r="DN6975">
            <v>0</v>
          </cell>
        </row>
        <row r="6976">
          <cell r="E6976">
            <v>0</v>
          </cell>
          <cell r="F6976">
            <v>0</v>
          </cell>
          <cell r="DN6976">
            <v>0</v>
          </cell>
        </row>
        <row r="6977">
          <cell r="E6977">
            <v>0</v>
          </cell>
          <cell r="F6977">
            <v>0</v>
          </cell>
          <cell r="DN6977">
            <v>0</v>
          </cell>
        </row>
        <row r="6978">
          <cell r="E6978">
            <v>0</v>
          </cell>
          <cell r="F6978">
            <v>0</v>
          </cell>
          <cell r="DN6978">
            <v>0</v>
          </cell>
        </row>
        <row r="6979">
          <cell r="E6979">
            <v>0</v>
          </cell>
          <cell r="F6979">
            <v>0</v>
          </cell>
          <cell r="DN6979">
            <v>0</v>
          </cell>
        </row>
        <row r="6980">
          <cell r="E6980">
            <v>0</v>
          </cell>
          <cell r="F6980">
            <v>0</v>
          </cell>
          <cell r="DN6980">
            <v>0</v>
          </cell>
        </row>
        <row r="6981">
          <cell r="E6981">
            <v>0</v>
          </cell>
          <cell r="F6981">
            <v>0</v>
          </cell>
          <cell r="DN6981">
            <v>0</v>
          </cell>
        </row>
        <row r="6982">
          <cell r="E6982">
            <v>0</v>
          </cell>
          <cell r="F6982">
            <v>0</v>
          </cell>
          <cell r="DN6982">
            <v>0</v>
          </cell>
        </row>
        <row r="6983">
          <cell r="E6983">
            <v>0</v>
          </cell>
          <cell r="F6983">
            <v>0</v>
          </cell>
          <cell r="DN6983">
            <v>0</v>
          </cell>
        </row>
        <row r="6984">
          <cell r="E6984">
            <v>0</v>
          </cell>
          <cell r="F6984">
            <v>0</v>
          </cell>
          <cell r="DN6984">
            <v>0</v>
          </cell>
        </row>
        <row r="6985">
          <cell r="E6985">
            <v>0</v>
          </cell>
          <cell r="F6985">
            <v>0</v>
          </cell>
          <cell r="DN6985">
            <v>0</v>
          </cell>
        </row>
        <row r="6986">
          <cell r="E6986">
            <v>0</v>
          </cell>
          <cell r="F6986">
            <v>0</v>
          </cell>
          <cell r="DN6986">
            <v>0</v>
          </cell>
        </row>
        <row r="6987">
          <cell r="E6987">
            <v>0</v>
          </cell>
          <cell r="F6987">
            <v>0</v>
          </cell>
          <cell r="DN6987">
            <v>0</v>
          </cell>
        </row>
        <row r="6988">
          <cell r="E6988">
            <v>0</v>
          </cell>
          <cell r="F6988">
            <v>0</v>
          </cell>
          <cell r="DN6988">
            <v>0</v>
          </cell>
        </row>
        <row r="6989">
          <cell r="E6989">
            <v>0</v>
          </cell>
          <cell r="F6989">
            <v>0</v>
          </cell>
          <cell r="DN6989">
            <v>0</v>
          </cell>
        </row>
        <row r="6990">
          <cell r="E6990">
            <v>0</v>
          </cell>
          <cell r="F6990">
            <v>0</v>
          </cell>
          <cell r="DN6990">
            <v>0</v>
          </cell>
        </row>
        <row r="6991">
          <cell r="E6991">
            <v>0</v>
          </cell>
          <cell r="F6991">
            <v>0</v>
          </cell>
          <cell r="DN6991">
            <v>0</v>
          </cell>
        </row>
        <row r="6992">
          <cell r="E6992">
            <v>0</v>
          </cell>
          <cell r="F6992">
            <v>0</v>
          </cell>
          <cell r="DN6992">
            <v>0</v>
          </cell>
        </row>
        <row r="6993">
          <cell r="E6993">
            <v>0</v>
          </cell>
          <cell r="F6993">
            <v>0</v>
          </cell>
          <cell r="DN6993">
            <v>0</v>
          </cell>
        </row>
        <row r="6994">
          <cell r="E6994">
            <v>0</v>
          </cell>
          <cell r="F6994">
            <v>0</v>
          </cell>
          <cell r="DN6994">
            <v>0</v>
          </cell>
        </row>
        <row r="6995">
          <cell r="E6995">
            <v>0</v>
          </cell>
          <cell r="F6995">
            <v>0</v>
          </cell>
          <cell r="DN6995">
            <v>0</v>
          </cell>
        </row>
        <row r="6996">
          <cell r="E6996">
            <v>0</v>
          </cell>
          <cell r="F6996">
            <v>0</v>
          </cell>
          <cell r="DN6996">
            <v>0</v>
          </cell>
        </row>
        <row r="6997">
          <cell r="E6997">
            <v>0</v>
          </cell>
          <cell r="F6997">
            <v>0</v>
          </cell>
          <cell r="DN6997">
            <v>0</v>
          </cell>
        </row>
        <row r="6998">
          <cell r="E6998">
            <v>0</v>
          </cell>
          <cell r="F6998">
            <v>0</v>
          </cell>
          <cell r="DN6998">
            <v>0</v>
          </cell>
        </row>
        <row r="6999">
          <cell r="E6999">
            <v>0</v>
          </cell>
          <cell r="F6999">
            <v>0</v>
          </cell>
          <cell r="DN6999">
            <v>0</v>
          </cell>
        </row>
        <row r="7000">
          <cell r="E7000">
            <v>0</v>
          </cell>
          <cell r="F7000">
            <v>0</v>
          </cell>
          <cell r="DN7000">
            <v>0</v>
          </cell>
        </row>
        <row r="7001">
          <cell r="E7001">
            <v>0</v>
          </cell>
          <cell r="F7001">
            <v>0</v>
          </cell>
          <cell r="DN7001">
            <v>0</v>
          </cell>
        </row>
        <row r="7002">
          <cell r="E7002">
            <v>0</v>
          </cell>
          <cell r="F7002">
            <v>0</v>
          </cell>
          <cell r="DN7002">
            <v>0</v>
          </cell>
        </row>
        <row r="7003">
          <cell r="E7003">
            <v>0</v>
          </cell>
          <cell r="F7003">
            <v>0</v>
          </cell>
          <cell r="DN7003">
            <v>0</v>
          </cell>
        </row>
        <row r="7004">
          <cell r="E7004">
            <v>0</v>
          </cell>
          <cell r="F7004">
            <v>0</v>
          </cell>
          <cell r="DN7004">
            <v>0</v>
          </cell>
        </row>
        <row r="7005">
          <cell r="E7005">
            <v>0</v>
          </cell>
          <cell r="F7005">
            <v>0</v>
          </cell>
          <cell r="DN7005">
            <v>0</v>
          </cell>
        </row>
        <row r="7006">
          <cell r="E7006">
            <v>0</v>
          </cell>
          <cell r="F7006">
            <v>0</v>
          </cell>
          <cell r="DN7006">
            <v>0</v>
          </cell>
        </row>
        <row r="7007">
          <cell r="E7007">
            <v>0</v>
          </cell>
          <cell r="F7007">
            <v>0</v>
          </cell>
          <cell r="DN7007">
            <v>0</v>
          </cell>
        </row>
        <row r="7008">
          <cell r="E7008">
            <v>0</v>
          </cell>
          <cell r="F7008">
            <v>0</v>
          </cell>
          <cell r="DN7008">
            <v>0</v>
          </cell>
        </row>
        <row r="7009">
          <cell r="E7009">
            <v>0</v>
          </cell>
          <cell r="F7009">
            <v>0</v>
          </cell>
          <cell r="DN7009">
            <v>0</v>
          </cell>
        </row>
        <row r="7010">
          <cell r="E7010">
            <v>0</v>
          </cell>
          <cell r="F7010">
            <v>0</v>
          </cell>
          <cell r="DN7010">
            <v>0</v>
          </cell>
        </row>
        <row r="7011">
          <cell r="E7011">
            <v>0</v>
          </cell>
          <cell r="F7011">
            <v>0</v>
          </cell>
          <cell r="DN7011">
            <v>0</v>
          </cell>
        </row>
        <row r="7012">
          <cell r="E7012">
            <v>0</v>
          </cell>
          <cell r="F7012">
            <v>0</v>
          </cell>
          <cell r="DN7012">
            <v>0</v>
          </cell>
        </row>
        <row r="7013">
          <cell r="E7013">
            <v>0</v>
          </cell>
          <cell r="F7013">
            <v>0</v>
          </cell>
          <cell r="DN7013">
            <v>0</v>
          </cell>
        </row>
        <row r="7014">
          <cell r="E7014">
            <v>0</v>
          </cell>
          <cell r="F7014">
            <v>0</v>
          </cell>
          <cell r="DN7014">
            <v>0</v>
          </cell>
        </row>
        <row r="7015">
          <cell r="E7015">
            <v>0</v>
          </cell>
          <cell r="F7015">
            <v>0</v>
          </cell>
          <cell r="DN7015">
            <v>0</v>
          </cell>
        </row>
        <row r="7016">
          <cell r="E7016">
            <v>0</v>
          </cell>
          <cell r="F7016">
            <v>0</v>
          </cell>
          <cell r="DN7016">
            <v>0</v>
          </cell>
        </row>
        <row r="7017">
          <cell r="E7017">
            <v>0</v>
          </cell>
          <cell r="F7017">
            <v>0</v>
          </cell>
          <cell r="DN7017">
            <v>0</v>
          </cell>
        </row>
        <row r="7018">
          <cell r="E7018">
            <v>0</v>
          </cell>
          <cell r="F7018">
            <v>0</v>
          </cell>
          <cell r="DN7018">
            <v>0</v>
          </cell>
        </row>
        <row r="7019">
          <cell r="E7019">
            <v>0</v>
          </cell>
          <cell r="F7019">
            <v>0</v>
          </cell>
          <cell r="DN7019">
            <v>0</v>
          </cell>
        </row>
        <row r="7020">
          <cell r="E7020">
            <v>0</v>
          </cell>
          <cell r="F7020">
            <v>0</v>
          </cell>
          <cell r="DN7020">
            <v>0</v>
          </cell>
        </row>
        <row r="7021">
          <cell r="E7021">
            <v>0</v>
          </cell>
          <cell r="F7021">
            <v>0</v>
          </cell>
          <cell r="DN7021">
            <v>0</v>
          </cell>
        </row>
        <row r="7022">
          <cell r="E7022">
            <v>0</v>
          </cell>
          <cell r="F7022">
            <v>0</v>
          </cell>
          <cell r="DN7022">
            <v>0</v>
          </cell>
        </row>
        <row r="7023">
          <cell r="E7023">
            <v>0</v>
          </cell>
          <cell r="F7023">
            <v>0</v>
          </cell>
          <cell r="DN7023">
            <v>0</v>
          </cell>
        </row>
        <row r="7024">
          <cell r="E7024">
            <v>0</v>
          </cell>
          <cell r="F7024">
            <v>0</v>
          </cell>
          <cell r="DN7024">
            <v>0</v>
          </cell>
        </row>
        <row r="7025">
          <cell r="E7025">
            <v>0</v>
          </cell>
          <cell r="F7025">
            <v>0</v>
          </cell>
          <cell r="DN7025">
            <v>0</v>
          </cell>
        </row>
        <row r="7026">
          <cell r="E7026">
            <v>0</v>
          </cell>
          <cell r="F7026">
            <v>0</v>
          </cell>
          <cell r="DN7026">
            <v>0</v>
          </cell>
        </row>
        <row r="7027">
          <cell r="E7027">
            <v>0</v>
          </cell>
          <cell r="F7027">
            <v>0</v>
          </cell>
          <cell r="DN7027">
            <v>0</v>
          </cell>
        </row>
        <row r="7028">
          <cell r="E7028">
            <v>0</v>
          </cell>
          <cell r="F7028">
            <v>0</v>
          </cell>
          <cell r="DN7028">
            <v>0</v>
          </cell>
        </row>
        <row r="7029">
          <cell r="E7029">
            <v>0</v>
          </cell>
          <cell r="F7029">
            <v>0</v>
          </cell>
          <cell r="DN7029">
            <v>0</v>
          </cell>
        </row>
        <row r="7030">
          <cell r="E7030">
            <v>0</v>
          </cell>
          <cell r="F7030">
            <v>0</v>
          </cell>
          <cell r="DN7030">
            <v>0</v>
          </cell>
        </row>
        <row r="7031">
          <cell r="E7031">
            <v>0</v>
          </cell>
          <cell r="F7031">
            <v>0</v>
          </cell>
          <cell r="DN7031">
            <v>0</v>
          </cell>
        </row>
        <row r="7032">
          <cell r="E7032">
            <v>0</v>
          </cell>
          <cell r="F7032">
            <v>0</v>
          </cell>
          <cell r="DN7032">
            <v>0</v>
          </cell>
        </row>
        <row r="7033">
          <cell r="E7033">
            <v>0</v>
          </cell>
          <cell r="F7033">
            <v>0</v>
          </cell>
          <cell r="DN7033">
            <v>0</v>
          </cell>
        </row>
        <row r="7034">
          <cell r="E7034">
            <v>0</v>
          </cell>
          <cell r="F7034">
            <v>0</v>
          </cell>
          <cell r="DN7034">
            <v>0</v>
          </cell>
        </row>
        <row r="7035">
          <cell r="E7035">
            <v>0</v>
          </cell>
          <cell r="F7035">
            <v>0</v>
          </cell>
          <cell r="DN7035">
            <v>0</v>
          </cell>
        </row>
        <row r="7036">
          <cell r="E7036">
            <v>0</v>
          </cell>
          <cell r="F7036">
            <v>0</v>
          </cell>
          <cell r="DN7036">
            <v>0</v>
          </cell>
        </row>
        <row r="7037">
          <cell r="E7037">
            <v>0</v>
          </cell>
          <cell r="F7037">
            <v>0</v>
          </cell>
          <cell r="DN7037">
            <v>0</v>
          </cell>
        </row>
        <row r="7038">
          <cell r="E7038">
            <v>0</v>
          </cell>
          <cell r="F7038">
            <v>0</v>
          </cell>
          <cell r="DN7038">
            <v>0</v>
          </cell>
        </row>
        <row r="7039">
          <cell r="E7039">
            <v>0</v>
          </cell>
          <cell r="F7039">
            <v>0</v>
          </cell>
          <cell r="DN7039">
            <v>0</v>
          </cell>
        </row>
        <row r="7040">
          <cell r="E7040">
            <v>0</v>
          </cell>
          <cell r="F7040">
            <v>0</v>
          </cell>
          <cell r="DN7040">
            <v>0</v>
          </cell>
        </row>
        <row r="7041">
          <cell r="E7041">
            <v>0</v>
          </cell>
          <cell r="F7041">
            <v>0</v>
          </cell>
          <cell r="DN7041">
            <v>0</v>
          </cell>
        </row>
        <row r="7042">
          <cell r="E7042">
            <v>0</v>
          </cell>
          <cell r="F7042">
            <v>0</v>
          </cell>
          <cell r="DN7042">
            <v>0</v>
          </cell>
        </row>
        <row r="7043">
          <cell r="E7043">
            <v>0</v>
          </cell>
          <cell r="F7043">
            <v>0</v>
          </cell>
          <cell r="DN7043">
            <v>0</v>
          </cell>
        </row>
        <row r="7044">
          <cell r="E7044">
            <v>0</v>
          </cell>
          <cell r="F7044">
            <v>0</v>
          </cell>
          <cell r="DN7044">
            <v>0</v>
          </cell>
        </row>
        <row r="7045">
          <cell r="E7045">
            <v>0</v>
          </cell>
          <cell r="F7045">
            <v>0</v>
          </cell>
          <cell r="DN7045">
            <v>0</v>
          </cell>
        </row>
        <row r="7046">
          <cell r="E7046">
            <v>0</v>
          </cell>
          <cell r="F7046">
            <v>0</v>
          </cell>
          <cell r="DN7046">
            <v>0</v>
          </cell>
        </row>
        <row r="7047">
          <cell r="E7047">
            <v>0</v>
          </cell>
          <cell r="F7047">
            <v>0</v>
          </cell>
          <cell r="DN7047">
            <v>0</v>
          </cell>
        </row>
        <row r="7048">
          <cell r="E7048">
            <v>0</v>
          </cell>
          <cell r="F7048">
            <v>0</v>
          </cell>
          <cell r="DN7048">
            <v>0</v>
          </cell>
        </row>
        <row r="7049">
          <cell r="E7049">
            <v>0</v>
          </cell>
          <cell r="F7049">
            <v>0</v>
          </cell>
          <cell r="DN7049">
            <v>0</v>
          </cell>
        </row>
        <row r="7050">
          <cell r="E7050">
            <v>0</v>
          </cell>
          <cell r="F7050">
            <v>0</v>
          </cell>
          <cell r="DN7050">
            <v>0</v>
          </cell>
        </row>
        <row r="7051">
          <cell r="E7051">
            <v>0</v>
          </cell>
          <cell r="F7051">
            <v>0</v>
          </cell>
          <cell r="DN7051">
            <v>0</v>
          </cell>
        </row>
        <row r="7052">
          <cell r="E7052">
            <v>0</v>
          </cell>
          <cell r="F7052">
            <v>0</v>
          </cell>
          <cell r="DN7052">
            <v>0</v>
          </cell>
        </row>
        <row r="7053">
          <cell r="E7053">
            <v>0</v>
          </cell>
          <cell r="F7053">
            <v>0</v>
          </cell>
          <cell r="DN7053">
            <v>0</v>
          </cell>
        </row>
        <row r="7054">
          <cell r="E7054">
            <v>0</v>
          </cell>
          <cell r="F7054">
            <v>0</v>
          </cell>
          <cell r="DN7054">
            <v>0</v>
          </cell>
        </row>
        <row r="7055">
          <cell r="E7055">
            <v>0</v>
          </cell>
          <cell r="F7055">
            <v>0</v>
          </cell>
          <cell r="DN7055">
            <v>0</v>
          </cell>
        </row>
        <row r="7056">
          <cell r="E7056">
            <v>0</v>
          </cell>
          <cell r="F7056">
            <v>0</v>
          </cell>
          <cell r="DN7056">
            <v>0</v>
          </cell>
        </row>
        <row r="7057">
          <cell r="E7057">
            <v>0</v>
          </cell>
          <cell r="F7057">
            <v>0</v>
          </cell>
          <cell r="DN7057">
            <v>0</v>
          </cell>
        </row>
        <row r="7058">
          <cell r="E7058">
            <v>0</v>
          </cell>
          <cell r="F7058">
            <v>0</v>
          </cell>
          <cell r="DN7058">
            <v>0</v>
          </cell>
        </row>
        <row r="7059">
          <cell r="E7059">
            <v>0</v>
          </cell>
          <cell r="F7059">
            <v>0</v>
          </cell>
          <cell r="DN7059">
            <v>0</v>
          </cell>
        </row>
        <row r="7060">
          <cell r="E7060">
            <v>0</v>
          </cell>
          <cell r="F7060">
            <v>0</v>
          </cell>
          <cell r="DN7060">
            <v>0</v>
          </cell>
        </row>
        <row r="7061">
          <cell r="E7061">
            <v>0</v>
          </cell>
          <cell r="F7061">
            <v>0</v>
          </cell>
          <cell r="DN7061">
            <v>0</v>
          </cell>
        </row>
        <row r="7062">
          <cell r="E7062">
            <v>0</v>
          </cell>
          <cell r="F7062">
            <v>0</v>
          </cell>
          <cell r="DN7062">
            <v>0</v>
          </cell>
        </row>
        <row r="7063">
          <cell r="E7063">
            <v>0</v>
          </cell>
          <cell r="F7063">
            <v>0</v>
          </cell>
          <cell r="DN7063">
            <v>0</v>
          </cell>
        </row>
        <row r="7064">
          <cell r="E7064">
            <v>0</v>
          </cell>
          <cell r="F7064">
            <v>0</v>
          </cell>
          <cell r="DN7064">
            <v>0</v>
          </cell>
        </row>
        <row r="7065">
          <cell r="E7065">
            <v>0</v>
          </cell>
          <cell r="F7065">
            <v>0</v>
          </cell>
          <cell r="DN7065">
            <v>0</v>
          </cell>
        </row>
        <row r="7066">
          <cell r="E7066">
            <v>0</v>
          </cell>
          <cell r="F7066">
            <v>0</v>
          </cell>
          <cell r="DN7066">
            <v>0</v>
          </cell>
        </row>
        <row r="7067">
          <cell r="E7067">
            <v>0</v>
          </cell>
          <cell r="F7067">
            <v>0</v>
          </cell>
          <cell r="DN7067">
            <v>0</v>
          </cell>
        </row>
        <row r="7068">
          <cell r="E7068">
            <v>0</v>
          </cell>
          <cell r="F7068">
            <v>0</v>
          </cell>
          <cell r="DN7068">
            <v>0</v>
          </cell>
        </row>
        <row r="7069">
          <cell r="E7069">
            <v>0</v>
          </cell>
          <cell r="F7069">
            <v>0</v>
          </cell>
          <cell r="DN7069">
            <v>0</v>
          </cell>
        </row>
        <row r="7070">
          <cell r="E7070">
            <v>0</v>
          </cell>
          <cell r="F7070">
            <v>0</v>
          </cell>
          <cell r="DN7070">
            <v>0</v>
          </cell>
        </row>
        <row r="7071">
          <cell r="E7071">
            <v>0</v>
          </cell>
          <cell r="F7071">
            <v>0</v>
          </cell>
          <cell r="DN7071">
            <v>0</v>
          </cell>
        </row>
        <row r="7072">
          <cell r="E7072">
            <v>0</v>
          </cell>
          <cell r="F7072">
            <v>0</v>
          </cell>
          <cell r="DN7072">
            <v>0</v>
          </cell>
        </row>
        <row r="7073">
          <cell r="E7073">
            <v>0</v>
          </cell>
          <cell r="F7073">
            <v>0</v>
          </cell>
          <cell r="DN7073">
            <v>0</v>
          </cell>
        </row>
        <row r="7074">
          <cell r="E7074">
            <v>0</v>
          </cell>
          <cell r="F7074">
            <v>0</v>
          </cell>
          <cell r="DN7074">
            <v>0</v>
          </cell>
        </row>
        <row r="7075">
          <cell r="E7075">
            <v>0</v>
          </cell>
          <cell r="F7075">
            <v>0</v>
          </cell>
          <cell r="DN7075">
            <v>0</v>
          </cell>
        </row>
        <row r="7076">
          <cell r="E7076">
            <v>0</v>
          </cell>
          <cell r="F7076">
            <v>0</v>
          </cell>
          <cell r="DN7076">
            <v>0</v>
          </cell>
        </row>
        <row r="7077">
          <cell r="E7077">
            <v>0</v>
          </cell>
          <cell r="F7077">
            <v>0</v>
          </cell>
          <cell r="DN7077">
            <v>0</v>
          </cell>
        </row>
        <row r="7078">
          <cell r="E7078">
            <v>0</v>
          </cell>
          <cell r="F7078">
            <v>0</v>
          </cell>
          <cell r="DN7078">
            <v>0</v>
          </cell>
        </row>
        <row r="7079">
          <cell r="E7079">
            <v>0</v>
          </cell>
          <cell r="F7079">
            <v>0</v>
          </cell>
          <cell r="DN7079">
            <v>0</v>
          </cell>
        </row>
        <row r="7080">
          <cell r="E7080">
            <v>0</v>
          </cell>
          <cell r="F7080">
            <v>0</v>
          </cell>
          <cell r="DN7080">
            <v>0</v>
          </cell>
        </row>
        <row r="7081">
          <cell r="E7081">
            <v>0</v>
          </cell>
          <cell r="F7081">
            <v>0</v>
          </cell>
          <cell r="DN7081">
            <v>0</v>
          </cell>
        </row>
        <row r="7082">
          <cell r="E7082">
            <v>0</v>
          </cell>
          <cell r="F7082">
            <v>0</v>
          </cell>
          <cell r="DN7082">
            <v>0</v>
          </cell>
        </row>
        <row r="7083">
          <cell r="E7083">
            <v>0</v>
          </cell>
          <cell r="F7083">
            <v>0</v>
          </cell>
          <cell r="DN7083">
            <v>0</v>
          </cell>
        </row>
        <row r="7084">
          <cell r="E7084">
            <v>0</v>
          </cell>
          <cell r="F7084">
            <v>0</v>
          </cell>
          <cell r="DN7084">
            <v>0</v>
          </cell>
        </row>
        <row r="7085">
          <cell r="E7085">
            <v>0</v>
          </cell>
          <cell r="F7085">
            <v>0</v>
          </cell>
          <cell r="DN7085">
            <v>0</v>
          </cell>
        </row>
        <row r="7086">
          <cell r="E7086">
            <v>0</v>
          </cell>
          <cell r="F7086">
            <v>0</v>
          </cell>
          <cell r="DN7086">
            <v>0</v>
          </cell>
        </row>
        <row r="7087">
          <cell r="E7087">
            <v>0</v>
          </cell>
          <cell r="F7087">
            <v>0</v>
          </cell>
          <cell r="DN7087">
            <v>0</v>
          </cell>
        </row>
        <row r="7088">
          <cell r="E7088">
            <v>0</v>
          </cell>
          <cell r="F7088">
            <v>0</v>
          </cell>
          <cell r="DN7088">
            <v>0</v>
          </cell>
        </row>
        <row r="7089">
          <cell r="E7089">
            <v>0</v>
          </cell>
          <cell r="F7089">
            <v>0</v>
          </cell>
          <cell r="DN7089">
            <v>0</v>
          </cell>
        </row>
        <row r="7090">
          <cell r="E7090">
            <v>0</v>
          </cell>
          <cell r="F7090">
            <v>0</v>
          </cell>
          <cell r="DN7090">
            <v>0</v>
          </cell>
        </row>
        <row r="7091">
          <cell r="E7091">
            <v>0</v>
          </cell>
          <cell r="F7091">
            <v>0</v>
          </cell>
          <cell r="DN7091">
            <v>0</v>
          </cell>
        </row>
        <row r="7092">
          <cell r="E7092">
            <v>0</v>
          </cell>
          <cell r="F7092">
            <v>0</v>
          </cell>
          <cell r="DN7092">
            <v>0</v>
          </cell>
        </row>
        <row r="7093">
          <cell r="E7093">
            <v>0</v>
          </cell>
          <cell r="F7093">
            <v>0</v>
          </cell>
          <cell r="DN7093">
            <v>0</v>
          </cell>
        </row>
        <row r="7094">
          <cell r="E7094">
            <v>0</v>
          </cell>
          <cell r="F7094">
            <v>0</v>
          </cell>
          <cell r="DN7094">
            <v>0</v>
          </cell>
        </row>
        <row r="7095">
          <cell r="E7095">
            <v>0</v>
          </cell>
          <cell r="F7095">
            <v>0</v>
          </cell>
          <cell r="DN7095">
            <v>0</v>
          </cell>
        </row>
        <row r="7096">
          <cell r="E7096">
            <v>0</v>
          </cell>
          <cell r="F7096">
            <v>0</v>
          </cell>
          <cell r="DN7096">
            <v>0</v>
          </cell>
        </row>
        <row r="7097">
          <cell r="E7097">
            <v>0</v>
          </cell>
          <cell r="F7097">
            <v>0</v>
          </cell>
          <cell r="DN7097">
            <v>0</v>
          </cell>
        </row>
        <row r="7098">
          <cell r="E7098">
            <v>0</v>
          </cell>
          <cell r="F7098">
            <v>0</v>
          </cell>
          <cell r="DN7098">
            <v>0</v>
          </cell>
        </row>
        <row r="7099">
          <cell r="E7099">
            <v>0</v>
          </cell>
          <cell r="F7099">
            <v>0</v>
          </cell>
          <cell r="DN7099">
            <v>0</v>
          </cell>
        </row>
        <row r="7100">
          <cell r="E7100">
            <v>0</v>
          </cell>
          <cell r="F7100">
            <v>0</v>
          </cell>
          <cell r="DN7100">
            <v>0</v>
          </cell>
        </row>
        <row r="7101">
          <cell r="E7101">
            <v>0</v>
          </cell>
          <cell r="F7101">
            <v>0</v>
          </cell>
          <cell r="DN7101">
            <v>0</v>
          </cell>
        </row>
        <row r="7102">
          <cell r="E7102">
            <v>0</v>
          </cell>
          <cell r="F7102">
            <v>0</v>
          </cell>
          <cell r="DN7102">
            <v>0</v>
          </cell>
        </row>
        <row r="7103">
          <cell r="E7103">
            <v>0</v>
          </cell>
          <cell r="F7103">
            <v>0</v>
          </cell>
          <cell r="DN7103">
            <v>0</v>
          </cell>
        </row>
        <row r="7104">
          <cell r="E7104">
            <v>0</v>
          </cell>
          <cell r="F7104">
            <v>0</v>
          </cell>
          <cell r="DN7104">
            <v>0</v>
          </cell>
        </row>
        <row r="7105">
          <cell r="E7105">
            <v>0</v>
          </cell>
          <cell r="F7105">
            <v>0</v>
          </cell>
          <cell r="DN7105">
            <v>0</v>
          </cell>
        </row>
        <row r="7106">
          <cell r="E7106">
            <v>0</v>
          </cell>
          <cell r="F7106">
            <v>0</v>
          </cell>
          <cell r="DN7106">
            <v>0</v>
          </cell>
        </row>
        <row r="7107">
          <cell r="E7107">
            <v>0</v>
          </cell>
          <cell r="F7107">
            <v>0</v>
          </cell>
          <cell r="DN7107">
            <v>0</v>
          </cell>
        </row>
        <row r="7108">
          <cell r="E7108">
            <v>0</v>
          </cell>
          <cell r="F7108">
            <v>0</v>
          </cell>
          <cell r="DN7108">
            <v>0</v>
          </cell>
        </row>
        <row r="7109">
          <cell r="E7109">
            <v>0</v>
          </cell>
          <cell r="F7109">
            <v>0</v>
          </cell>
          <cell r="DN7109">
            <v>0</v>
          </cell>
        </row>
        <row r="7110">
          <cell r="E7110">
            <v>0</v>
          </cell>
          <cell r="F7110">
            <v>0</v>
          </cell>
          <cell r="DN7110">
            <v>0</v>
          </cell>
        </row>
        <row r="7111">
          <cell r="E7111">
            <v>0</v>
          </cell>
          <cell r="F7111">
            <v>0</v>
          </cell>
          <cell r="DN7111">
            <v>0</v>
          </cell>
        </row>
        <row r="7112">
          <cell r="E7112">
            <v>0</v>
          </cell>
          <cell r="F7112">
            <v>0</v>
          </cell>
          <cell r="DN7112">
            <v>0</v>
          </cell>
        </row>
        <row r="7113">
          <cell r="E7113">
            <v>0</v>
          </cell>
          <cell r="F7113">
            <v>0</v>
          </cell>
          <cell r="DN7113">
            <v>0</v>
          </cell>
        </row>
        <row r="7114">
          <cell r="E7114">
            <v>0</v>
          </cell>
          <cell r="F7114">
            <v>0</v>
          </cell>
          <cell r="DN7114">
            <v>0</v>
          </cell>
        </row>
        <row r="7115">
          <cell r="E7115">
            <v>0</v>
          </cell>
          <cell r="F7115">
            <v>0</v>
          </cell>
          <cell r="DN7115">
            <v>0</v>
          </cell>
        </row>
        <row r="7116">
          <cell r="E7116">
            <v>0</v>
          </cell>
          <cell r="F7116">
            <v>0</v>
          </cell>
          <cell r="DN7116">
            <v>0</v>
          </cell>
        </row>
        <row r="7117">
          <cell r="E7117">
            <v>0</v>
          </cell>
          <cell r="F7117">
            <v>0</v>
          </cell>
          <cell r="DN7117">
            <v>0</v>
          </cell>
        </row>
        <row r="7118">
          <cell r="E7118">
            <v>0</v>
          </cell>
          <cell r="F7118">
            <v>0</v>
          </cell>
          <cell r="DN7118">
            <v>0</v>
          </cell>
        </row>
        <row r="7119">
          <cell r="E7119">
            <v>0</v>
          </cell>
          <cell r="F7119">
            <v>0</v>
          </cell>
          <cell r="DN7119">
            <v>0</v>
          </cell>
        </row>
        <row r="7120">
          <cell r="E7120">
            <v>0</v>
          </cell>
          <cell r="F7120">
            <v>0</v>
          </cell>
          <cell r="DN7120">
            <v>0</v>
          </cell>
        </row>
        <row r="7121">
          <cell r="E7121">
            <v>0</v>
          </cell>
          <cell r="F7121">
            <v>0</v>
          </cell>
          <cell r="DN7121">
            <v>0</v>
          </cell>
        </row>
        <row r="7122">
          <cell r="E7122">
            <v>0</v>
          </cell>
          <cell r="F7122">
            <v>0</v>
          </cell>
          <cell r="DN7122">
            <v>0</v>
          </cell>
        </row>
        <row r="7123">
          <cell r="E7123">
            <v>0</v>
          </cell>
          <cell r="F7123">
            <v>0</v>
          </cell>
          <cell r="DN7123">
            <v>0</v>
          </cell>
        </row>
        <row r="7124">
          <cell r="E7124">
            <v>0</v>
          </cell>
          <cell r="F7124">
            <v>0</v>
          </cell>
          <cell r="DN7124">
            <v>0</v>
          </cell>
        </row>
        <row r="7125">
          <cell r="E7125">
            <v>0</v>
          </cell>
          <cell r="F7125">
            <v>0</v>
          </cell>
          <cell r="DN7125">
            <v>0</v>
          </cell>
        </row>
        <row r="7126">
          <cell r="E7126">
            <v>0</v>
          </cell>
          <cell r="F7126">
            <v>0</v>
          </cell>
          <cell r="DN7126">
            <v>0</v>
          </cell>
        </row>
        <row r="7127">
          <cell r="E7127">
            <v>0</v>
          </cell>
          <cell r="F7127">
            <v>0</v>
          </cell>
          <cell r="DN7127">
            <v>0</v>
          </cell>
        </row>
        <row r="7128">
          <cell r="E7128">
            <v>0</v>
          </cell>
          <cell r="F7128">
            <v>0</v>
          </cell>
          <cell r="DN7128">
            <v>0</v>
          </cell>
        </row>
        <row r="7129">
          <cell r="E7129">
            <v>0</v>
          </cell>
          <cell r="F7129">
            <v>0</v>
          </cell>
          <cell r="DN7129">
            <v>0</v>
          </cell>
        </row>
        <row r="7130">
          <cell r="E7130">
            <v>0</v>
          </cell>
          <cell r="F7130">
            <v>0</v>
          </cell>
          <cell r="DN7130">
            <v>0</v>
          </cell>
        </row>
        <row r="7131">
          <cell r="E7131">
            <v>0</v>
          </cell>
          <cell r="F7131">
            <v>0</v>
          </cell>
          <cell r="DN7131">
            <v>0</v>
          </cell>
        </row>
        <row r="7132">
          <cell r="E7132">
            <v>0</v>
          </cell>
          <cell r="F7132">
            <v>0</v>
          </cell>
          <cell r="DN7132">
            <v>0</v>
          </cell>
        </row>
        <row r="7133">
          <cell r="E7133">
            <v>0</v>
          </cell>
          <cell r="F7133">
            <v>0</v>
          </cell>
          <cell r="DN7133">
            <v>0</v>
          </cell>
        </row>
        <row r="7134">
          <cell r="E7134">
            <v>0</v>
          </cell>
          <cell r="F7134">
            <v>0</v>
          </cell>
          <cell r="DN7134">
            <v>0</v>
          </cell>
        </row>
        <row r="7135">
          <cell r="E7135">
            <v>0</v>
          </cell>
          <cell r="F7135">
            <v>0</v>
          </cell>
          <cell r="DN7135">
            <v>0</v>
          </cell>
        </row>
        <row r="7136">
          <cell r="E7136">
            <v>0</v>
          </cell>
          <cell r="F7136">
            <v>0</v>
          </cell>
          <cell r="DN7136">
            <v>0</v>
          </cell>
        </row>
        <row r="7137">
          <cell r="E7137">
            <v>0</v>
          </cell>
          <cell r="F7137">
            <v>0</v>
          </cell>
          <cell r="DN7137">
            <v>0</v>
          </cell>
        </row>
        <row r="7138">
          <cell r="E7138">
            <v>0</v>
          </cell>
          <cell r="F7138">
            <v>0</v>
          </cell>
          <cell r="DN7138">
            <v>0</v>
          </cell>
        </row>
        <row r="7139">
          <cell r="E7139">
            <v>0</v>
          </cell>
          <cell r="F7139">
            <v>0</v>
          </cell>
          <cell r="DN7139">
            <v>0</v>
          </cell>
        </row>
        <row r="7140">
          <cell r="E7140">
            <v>0</v>
          </cell>
          <cell r="F7140">
            <v>0</v>
          </cell>
          <cell r="DN7140">
            <v>0</v>
          </cell>
        </row>
        <row r="7141">
          <cell r="E7141">
            <v>0</v>
          </cell>
          <cell r="F7141">
            <v>0</v>
          </cell>
          <cell r="DN7141">
            <v>0</v>
          </cell>
        </row>
        <row r="7142">
          <cell r="E7142">
            <v>0</v>
          </cell>
          <cell r="F7142">
            <v>0</v>
          </cell>
          <cell r="DN7142">
            <v>0</v>
          </cell>
        </row>
        <row r="7143">
          <cell r="E7143">
            <v>0</v>
          </cell>
          <cell r="F7143">
            <v>0</v>
          </cell>
          <cell r="DN7143">
            <v>0</v>
          </cell>
        </row>
        <row r="7144">
          <cell r="E7144">
            <v>0</v>
          </cell>
          <cell r="F7144">
            <v>0</v>
          </cell>
          <cell r="DN7144">
            <v>0</v>
          </cell>
        </row>
        <row r="7145">
          <cell r="E7145">
            <v>0</v>
          </cell>
          <cell r="F7145">
            <v>0</v>
          </cell>
          <cell r="DN7145">
            <v>0</v>
          </cell>
        </row>
        <row r="7146">
          <cell r="E7146">
            <v>0</v>
          </cell>
          <cell r="F7146">
            <v>0</v>
          </cell>
          <cell r="DN7146">
            <v>0</v>
          </cell>
        </row>
        <row r="7147">
          <cell r="E7147">
            <v>0</v>
          </cell>
          <cell r="F7147">
            <v>0</v>
          </cell>
          <cell r="DN7147">
            <v>0</v>
          </cell>
        </row>
        <row r="7148">
          <cell r="E7148">
            <v>0</v>
          </cell>
          <cell r="F7148">
            <v>0</v>
          </cell>
          <cell r="DN7148">
            <v>0</v>
          </cell>
        </row>
        <row r="7149">
          <cell r="E7149">
            <v>0</v>
          </cell>
          <cell r="F7149">
            <v>0</v>
          </cell>
          <cell r="DN7149">
            <v>0</v>
          </cell>
        </row>
        <row r="7150">
          <cell r="E7150">
            <v>0</v>
          </cell>
          <cell r="F7150">
            <v>0</v>
          </cell>
          <cell r="DN7150">
            <v>0</v>
          </cell>
        </row>
        <row r="7151">
          <cell r="E7151">
            <v>0</v>
          </cell>
          <cell r="F7151">
            <v>0</v>
          </cell>
          <cell r="DN7151">
            <v>0</v>
          </cell>
        </row>
        <row r="7152">
          <cell r="E7152">
            <v>0</v>
          </cell>
          <cell r="F7152">
            <v>0</v>
          </cell>
          <cell r="DN7152">
            <v>0</v>
          </cell>
        </row>
        <row r="7153">
          <cell r="E7153">
            <v>0</v>
          </cell>
          <cell r="F7153">
            <v>0</v>
          </cell>
          <cell r="DN7153">
            <v>0</v>
          </cell>
        </row>
        <row r="7154">
          <cell r="E7154">
            <v>0</v>
          </cell>
          <cell r="F7154">
            <v>0</v>
          </cell>
          <cell r="DN7154">
            <v>0</v>
          </cell>
        </row>
        <row r="7155">
          <cell r="E7155">
            <v>0</v>
          </cell>
          <cell r="F7155">
            <v>0</v>
          </cell>
          <cell r="DN7155">
            <v>0</v>
          </cell>
        </row>
        <row r="7156">
          <cell r="E7156">
            <v>0</v>
          </cell>
          <cell r="F7156">
            <v>0</v>
          </cell>
          <cell r="DN7156">
            <v>0</v>
          </cell>
        </row>
        <row r="7157">
          <cell r="E7157">
            <v>0</v>
          </cell>
          <cell r="F7157">
            <v>0</v>
          </cell>
          <cell r="DN7157">
            <v>0</v>
          </cell>
        </row>
        <row r="7158">
          <cell r="E7158">
            <v>0</v>
          </cell>
          <cell r="F7158">
            <v>0</v>
          </cell>
          <cell r="DN7158">
            <v>0</v>
          </cell>
        </row>
        <row r="7159">
          <cell r="E7159">
            <v>0</v>
          </cell>
          <cell r="F7159">
            <v>0</v>
          </cell>
          <cell r="DN7159">
            <v>0</v>
          </cell>
        </row>
        <row r="7160">
          <cell r="E7160">
            <v>0</v>
          </cell>
          <cell r="F7160">
            <v>0</v>
          </cell>
          <cell r="DN7160">
            <v>0</v>
          </cell>
        </row>
        <row r="7161">
          <cell r="E7161">
            <v>0</v>
          </cell>
          <cell r="F7161">
            <v>0</v>
          </cell>
          <cell r="DN7161">
            <v>0</v>
          </cell>
        </row>
        <row r="7162">
          <cell r="E7162">
            <v>0</v>
          </cell>
          <cell r="F7162">
            <v>0</v>
          </cell>
          <cell r="DN7162">
            <v>0</v>
          </cell>
        </row>
        <row r="7163">
          <cell r="E7163">
            <v>0</v>
          </cell>
          <cell r="F7163">
            <v>0</v>
          </cell>
          <cell r="DN7163">
            <v>0</v>
          </cell>
        </row>
        <row r="7164">
          <cell r="E7164">
            <v>0</v>
          </cell>
          <cell r="F7164">
            <v>0</v>
          </cell>
          <cell r="DN7164">
            <v>0</v>
          </cell>
        </row>
        <row r="7165">
          <cell r="E7165">
            <v>0</v>
          </cell>
          <cell r="F7165">
            <v>0</v>
          </cell>
          <cell r="DN7165">
            <v>0</v>
          </cell>
        </row>
        <row r="7166">
          <cell r="E7166">
            <v>0</v>
          </cell>
          <cell r="F7166">
            <v>0</v>
          </cell>
          <cell r="DN7166">
            <v>0</v>
          </cell>
        </row>
        <row r="7167">
          <cell r="E7167">
            <v>0</v>
          </cell>
          <cell r="F7167">
            <v>0</v>
          </cell>
          <cell r="DN7167">
            <v>0</v>
          </cell>
        </row>
        <row r="7168">
          <cell r="E7168">
            <v>0</v>
          </cell>
          <cell r="F7168">
            <v>0</v>
          </cell>
          <cell r="DN7168">
            <v>0</v>
          </cell>
        </row>
        <row r="7169">
          <cell r="E7169">
            <v>0</v>
          </cell>
          <cell r="F7169">
            <v>0</v>
          </cell>
          <cell r="DN7169">
            <v>0</v>
          </cell>
        </row>
        <row r="7170">
          <cell r="E7170">
            <v>0</v>
          </cell>
          <cell r="F7170">
            <v>0</v>
          </cell>
          <cell r="DN7170">
            <v>0</v>
          </cell>
        </row>
        <row r="7171">
          <cell r="E7171">
            <v>0</v>
          </cell>
          <cell r="F7171">
            <v>0</v>
          </cell>
          <cell r="DN7171">
            <v>0</v>
          </cell>
        </row>
        <row r="7172">
          <cell r="E7172">
            <v>0</v>
          </cell>
          <cell r="F7172">
            <v>0</v>
          </cell>
          <cell r="DN7172">
            <v>0</v>
          </cell>
        </row>
        <row r="7173">
          <cell r="E7173">
            <v>0</v>
          </cell>
          <cell r="F7173">
            <v>0</v>
          </cell>
          <cell r="DN7173">
            <v>0</v>
          </cell>
        </row>
        <row r="7174">
          <cell r="E7174">
            <v>0</v>
          </cell>
          <cell r="F7174">
            <v>0</v>
          </cell>
          <cell r="DN7174">
            <v>0</v>
          </cell>
        </row>
        <row r="7175">
          <cell r="E7175">
            <v>0</v>
          </cell>
          <cell r="F7175">
            <v>0</v>
          </cell>
          <cell r="DN7175">
            <v>0</v>
          </cell>
        </row>
        <row r="7176">
          <cell r="E7176">
            <v>0</v>
          </cell>
          <cell r="F7176">
            <v>0</v>
          </cell>
          <cell r="DN7176">
            <v>0</v>
          </cell>
        </row>
        <row r="7177">
          <cell r="E7177">
            <v>0</v>
          </cell>
          <cell r="F7177">
            <v>0</v>
          </cell>
          <cell r="DN7177">
            <v>0</v>
          </cell>
        </row>
        <row r="7178">
          <cell r="E7178">
            <v>0</v>
          </cell>
          <cell r="F7178">
            <v>0</v>
          </cell>
          <cell r="DN7178">
            <v>0</v>
          </cell>
        </row>
        <row r="7179">
          <cell r="E7179">
            <v>0</v>
          </cell>
          <cell r="F7179">
            <v>0</v>
          </cell>
          <cell r="DN7179">
            <v>0</v>
          </cell>
        </row>
        <row r="7180">
          <cell r="E7180">
            <v>0</v>
          </cell>
          <cell r="F7180">
            <v>0</v>
          </cell>
          <cell r="DN7180">
            <v>0</v>
          </cell>
        </row>
        <row r="7181">
          <cell r="E7181">
            <v>0</v>
          </cell>
          <cell r="F7181">
            <v>0</v>
          </cell>
          <cell r="DN7181">
            <v>0</v>
          </cell>
        </row>
        <row r="7182">
          <cell r="E7182">
            <v>0</v>
          </cell>
          <cell r="F7182">
            <v>0</v>
          </cell>
          <cell r="DN7182">
            <v>0</v>
          </cell>
        </row>
        <row r="7183">
          <cell r="E7183">
            <v>0</v>
          </cell>
          <cell r="F7183">
            <v>0</v>
          </cell>
          <cell r="DN7183">
            <v>0</v>
          </cell>
        </row>
        <row r="7184">
          <cell r="E7184">
            <v>0</v>
          </cell>
          <cell r="F7184">
            <v>0</v>
          </cell>
          <cell r="DN7184">
            <v>0</v>
          </cell>
        </row>
        <row r="7185">
          <cell r="E7185">
            <v>0</v>
          </cell>
          <cell r="F7185">
            <v>0</v>
          </cell>
          <cell r="DN7185">
            <v>0</v>
          </cell>
        </row>
        <row r="7186">
          <cell r="E7186">
            <v>0</v>
          </cell>
          <cell r="F7186">
            <v>0</v>
          </cell>
          <cell r="DN7186">
            <v>0</v>
          </cell>
        </row>
        <row r="7187">
          <cell r="E7187">
            <v>0</v>
          </cell>
          <cell r="F7187">
            <v>0</v>
          </cell>
          <cell r="DN7187">
            <v>0</v>
          </cell>
        </row>
        <row r="7188">
          <cell r="E7188">
            <v>0</v>
          </cell>
          <cell r="F7188">
            <v>0</v>
          </cell>
          <cell r="DN7188">
            <v>0</v>
          </cell>
        </row>
        <row r="7189">
          <cell r="E7189">
            <v>0</v>
          </cell>
          <cell r="F7189">
            <v>0</v>
          </cell>
          <cell r="DN7189">
            <v>0</v>
          </cell>
        </row>
        <row r="7190">
          <cell r="E7190">
            <v>0</v>
          </cell>
          <cell r="F7190">
            <v>0</v>
          </cell>
          <cell r="DN7190">
            <v>0</v>
          </cell>
        </row>
        <row r="7191">
          <cell r="E7191">
            <v>0</v>
          </cell>
          <cell r="F7191">
            <v>0</v>
          </cell>
          <cell r="DN7191">
            <v>0</v>
          </cell>
        </row>
        <row r="7192">
          <cell r="E7192">
            <v>0</v>
          </cell>
          <cell r="F7192">
            <v>0</v>
          </cell>
          <cell r="DN7192">
            <v>0</v>
          </cell>
        </row>
        <row r="7193">
          <cell r="E7193">
            <v>0</v>
          </cell>
          <cell r="F7193">
            <v>0</v>
          </cell>
          <cell r="DN7193">
            <v>0</v>
          </cell>
        </row>
        <row r="7194">
          <cell r="E7194">
            <v>0</v>
          </cell>
          <cell r="F7194">
            <v>0</v>
          </cell>
          <cell r="DN7194">
            <v>0</v>
          </cell>
        </row>
        <row r="7195">
          <cell r="E7195">
            <v>0</v>
          </cell>
          <cell r="F7195">
            <v>0</v>
          </cell>
          <cell r="DN7195">
            <v>0</v>
          </cell>
        </row>
        <row r="7196">
          <cell r="E7196">
            <v>0</v>
          </cell>
          <cell r="F7196">
            <v>0</v>
          </cell>
          <cell r="DN7196">
            <v>0</v>
          </cell>
        </row>
        <row r="7197">
          <cell r="E7197">
            <v>0</v>
          </cell>
          <cell r="F7197">
            <v>0</v>
          </cell>
          <cell r="DN7197">
            <v>0</v>
          </cell>
        </row>
        <row r="7198">
          <cell r="E7198">
            <v>0</v>
          </cell>
          <cell r="F7198">
            <v>0</v>
          </cell>
          <cell r="DN7198">
            <v>0</v>
          </cell>
        </row>
        <row r="7199">
          <cell r="E7199">
            <v>0</v>
          </cell>
          <cell r="F7199">
            <v>0</v>
          </cell>
          <cell r="DN7199">
            <v>0</v>
          </cell>
        </row>
        <row r="7200">
          <cell r="E7200">
            <v>0</v>
          </cell>
          <cell r="F7200">
            <v>0</v>
          </cell>
          <cell r="DN7200">
            <v>0</v>
          </cell>
        </row>
        <row r="7201">
          <cell r="E7201">
            <v>0</v>
          </cell>
          <cell r="F7201">
            <v>0</v>
          </cell>
          <cell r="DN7201">
            <v>0</v>
          </cell>
        </row>
        <row r="7202">
          <cell r="E7202">
            <v>0</v>
          </cell>
          <cell r="F7202">
            <v>0</v>
          </cell>
          <cell r="DN7202">
            <v>0</v>
          </cell>
        </row>
        <row r="7203">
          <cell r="E7203">
            <v>0</v>
          </cell>
          <cell r="F7203">
            <v>0</v>
          </cell>
          <cell r="DN7203">
            <v>0</v>
          </cell>
        </row>
        <row r="7204">
          <cell r="E7204">
            <v>0</v>
          </cell>
          <cell r="F7204">
            <v>0</v>
          </cell>
          <cell r="DN7204">
            <v>0</v>
          </cell>
        </row>
        <row r="7205">
          <cell r="E7205">
            <v>0</v>
          </cell>
          <cell r="F7205">
            <v>0</v>
          </cell>
          <cell r="DN7205">
            <v>0</v>
          </cell>
        </row>
        <row r="7206">
          <cell r="E7206">
            <v>0</v>
          </cell>
          <cell r="F7206">
            <v>0</v>
          </cell>
          <cell r="DN7206">
            <v>0</v>
          </cell>
        </row>
        <row r="7207">
          <cell r="E7207">
            <v>0</v>
          </cell>
          <cell r="F7207">
            <v>0</v>
          </cell>
          <cell r="DN7207">
            <v>0</v>
          </cell>
        </row>
        <row r="7208">
          <cell r="E7208">
            <v>0</v>
          </cell>
          <cell r="F7208">
            <v>0</v>
          </cell>
          <cell r="DN7208">
            <v>0</v>
          </cell>
        </row>
        <row r="7209">
          <cell r="E7209">
            <v>0</v>
          </cell>
          <cell r="F7209">
            <v>0</v>
          </cell>
          <cell r="DN7209">
            <v>0</v>
          </cell>
        </row>
        <row r="7210">
          <cell r="E7210">
            <v>0</v>
          </cell>
          <cell r="F7210">
            <v>0</v>
          </cell>
          <cell r="DN7210">
            <v>0</v>
          </cell>
        </row>
        <row r="7211">
          <cell r="E7211">
            <v>0</v>
          </cell>
          <cell r="F7211">
            <v>0</v>
          </cell>
          <cell r="DN7211">
            <v>0</v>
          </cell>
        </row>
        <row r="7212">
          <cell r="E7212">
            <v>0</v>
          </cell>
          <cell r="F7212">
            <v>0</v>
          </cell>
          <cell r="DN7212">
            <v>0</v>
          </cell>
        </row>
        <row r="7213">
          <cell r="E7213">
            <v>0</v>
          </cell>
          <cell r="F7213">
            <v>0</v>
          </cell>
          <cell r="DN7213">
            <v>0</v>
          </cell>
        </row>
        <row r="7214">
          <cell r="E7214">
            <v>0</v>
          </cell>
          <cell r="F7214">
            <v>0</v>
          </cell>
          <cell r="DN7214">
            <v>0</v>
          </cell>
        </row>
        <row r="7215">
          <cell r="E7215">
            <v>0</v>
          </cell>
          <cell r="F7215">
            <v>0</v>
          </cell>
          <cell r="DN7215">
            <v>0</v>
          </cell>
        </row>
        <row r="7216">
          <cell r="E7216">
            <v>0</v>
          </cell>
          <cell r="F7216">
            <v>0</v>
          </cell>
          <cell r="DN7216">
            <v>0</v>
          </cell>
        </row>
        <row r="7217">
          <cell r="E7217">
            <v>0</v>
          </cell>
          <cell r="F7217">
            <v>0</v>
          </cell>
          <cell r="DN7217">
            <v>0</v>
          </cell>
        </row>
        <row r="7218">
          <cell r="E7218">
            <v>0</v>
          </cell>
          <cell r="F7218">
            <v>0</v>
          </cell>
          <cell r="DN7218">
            <v>0</v>
          </cell>
        </row>
        <row r="7219">
          <cell r="E7219">
            <v>0</v>
          </cell>
          <cell r="F7219">
            <v>0</v>
          </cell>
          <cell r="DN7219">
            <v>0</v>
          </cell>
        </row>
        <row r="7220">
          <cell r="E7220">
            <v>0</v>
          </cell>
          <cell r="F7220">
            <v>0</v>
          </cell>
          <cell r="DN7220">
            <v>0</v>
          </cell>
        </row>
        <row r="7221">
          <cell r="E7221">
            <v>0</v>
          </cell>
          <cell r="F7221">
            <v>0</v>
          </cell>
          <cell r="DN7221">
            <v>0</v>
          </cell>
        </row>
        <row r="7222">
          <cell r="E7222">
            <v>0</v>
          </cell>
          <cell r="F7222">
            <v>0</v>
          </cell>
          <cell r="DN7222">
            <v>0</v>
          </cell>
        </row>
        <row r="7223">
          <cell r="E7223">
            <v>0</v>
          </cell>
          <cell r="F7223">
            <v>0</v>
          </cell>
          <cell r="DN7223">
            <v>0</v>
          </cell>
        </row>
        <row r="7224">
          <cell r="E7224">
            <v>0</v>
          </cell>
          <cell r="F7224">
            <v>0</v>
          </cell>
          <cell r="DN7224">
            <v>0</v>
          </cell>
        </row>
        <row r="7225">
          <cell r="E7225">
            <v>0</v>
          </cell>
          <cell r="F7225">
            <v>0</v>
          </cell>
          <cell r="DN7225">
            <v>0</v>
          </cell>
        </row>
        <row r="7226">
          <cell r="E7226">
            <v>0</v>
          </cell>
          <cell r="F7226">
            <v>0</v>
          </cell>
          <cell r="DN7226">
            <v>0</v>
          </cell>
        </row>
        <row r="7227">
          <cell r="E7227">
            <v>0</v>
          </cell>
          <cell r="F7227">
            <v>0</v>
          </cell>
          <cell r="DN7227">
            <v>0</v>
          </cell>
        </row>
        <row r="7228">
          <cell r="E7228">
            <v>0</v>
          </cell>
          <cell r="F7228">
            <v>0</v>
          </cell>
          <cell r="DN7228">
            <v>0</v>
          </cell>
        </row>
        <row r="7229">
          <cell r="E7229">
            <v>0</v>
          </cell>
          <cell r="F7229">
            <v>0</v>
          </cell>
          <cell r="DN7229">
            <v>0</v>
          </cell>
        </row>
        <row r="7230">
          <cell r="E7230">
            <v>0</v>
          </cell>
          <cell r="F7230">
            <v>0</v>
          </cell>
          <cell r="DN7230">
            <v>0</v>
          </cell>
        </row>
        <row r="7231">
          <cell r="E7231">
            <v>0</v>
          </cell>
          <cell r="F7231">
            <v>0</v>
          </cell>
          <cell r="DN7231">
            <v>0</v>
          </cell>
        </row>
        <row r="7232">
          <cell r="E7232">
            <v>0</v>
          </cell>
          <cell r="F7232">
            <v>0</v>
          </cell>
          <cell r="DN7232">
            <v>0</v>
          </cell>
        </row>
        <row r="7233">
          <cell r="E7233">
            <v>0</v>
          </cell>
          <cell r="F7233">
            <v>0</v>
          </cell>
          <cell r="DN7233">
            <v>0</v>
          </cell>
        </row>
        <row r="7234">
          <cell r="E7234">
            <v>0</v>
          </cell>
          <cell r="F7234">
            <v>0</v>
          </cell>
          <cell r="DN7234">
            <v>0</v>
          </cell>
        </row>
        <row r="7235">
          <cell r="E7235">
            <v>0</v>
          </cell>
          <cell r="F7235">
            <v>0</v>
          </cell>
          <cell r="DN7235">
            <v>0</v>
          </cell>
        </row>
        <row r="7236">
          <cell r="E7236">
            <v>0</v>
          </cell>
          <cell r="F7236">
            <v>0</v>
          </cell>
          <cell r="DN7236">
            <v>0</v>
          </cell>
        </row>
        <row r="7237">
          <cell r="E7237">
            <v>0</v>
          </cell>
          <cell r="F7237">
            <v>0</v>
          </cell>
          <cell r="DN7237">
            <v>0</v>
          </cell>
        </row>
        <row r="7238">
          <cell r="E7238">
            <v>0</v>
          </cell>
          <cell r="F7238">
            <v>0</v>
          </cell>
          <cell r="DN7238">
            <v>0</v>
          </cell>
        </row>
        <row r="7239">
          <cell r="E7239">
            <v>0</v>
          </cell>
          <cell r="F7239">
            <v>0</v>
          </cell>
          <cell r="DN7239">
            <v>0</v>
          </cell>
        </row>
        <row r="7240">
          <cell r="E7240">
            <v>0</v>
          </cell>
          <cell r="F7240">
            <v>0</v>
          </cell>
          <cell r="DN7240">
            <v>0</v>
          </cell>
        </row>
        <row r="7241">
          <cell r="E7241">
            <v>0</v>
          </cell>
          <cell r="F7241">
            <v>0</v>
          </cell>
          <cell r="DN7241">
            <v>0</v>
          </cell>
        </row>
        <row r="7242">
          <cell r="E7242">
            <v>0</v>
          </cell>
          <cell r="F7242">
            <v>0</v>
          </cell>
          <cell r="DN7242">
            <v>0</v>
          </cell>
        </row>
        <row r="7243">
          <cell r="E7243">
            <v>0</v>
          </cell>
          <cell r="F7243">
            <v>0</v>
          </cell>
          <cell r="DN7243">
            <v>0</v>
          </cell>
        </row>
        <row r="7244">
          <cell r="E7244">
            <v>0</v>
          </cell>
          <cell r="F7244">
            <v>0</v>
          </cell>
          <cell r="DN7244">
            <v>0</v>
          </cell>
        </row>
        <row r="7245">
          <cell r="E7245">
            <v>0</v>
          </cell>
          <cell r="F7245">
            <v>0</v>
          </cell>
          <cell r="DN7245">
            <v>0</v>
          </cell>
        </row>
        <row r="7246">
          <cell r="E7246">
            <v>0</v>
          </cell>
          <cell r="F7246">
            <v>0</v>
          </cell>
          <cell r="DN7246">
            <v>0</v>
          </cell>
        </row>
        <row r="7247">
          <cell r="E7247">
            <v>0</v>
          </cell>
          <cell r="F7247">
            <v>0</v>
          </cell>
          <cell r="DN7247">
            <v>0</v>
          </cell>
        </row>
        <row r="7248">
          <cell r="E7248">
            <v>0</v>
          </cell>
          <cell r="F7248">
            <v>0</v>
          </cell>
          <cell r="DN7248">
            <v>0</v>
          </cell>
        </row>
        <row r="7249">
          <cell r="E7249">
            <v>0</v>
          </cell>
          <cell r="F7249">
            <v>0</v>
          </cell>
          <cell r="DN7249">
            <v>0</v>
          </cell>
        </row>
        <row r="7250">
          <cell r="E7250">
            <v>0</v>
          </cell>
          <cell r="F7250">
            <v>0</v>
          </cell>
          <cell r="DN7250">
            <v>0</v>
          </cell>
        </row>
        <row r="7251">
          <cell r="E7251">
            <v>0</v>
          </cell>
          <cell r="F7251">
            <v>0</v>
          </cell>
          <cell r="DN7251">
            <v>0</v>
          </cell>
        </row>
        <row r="7252">
          <cell r="E7252">
            <v>0</v>
          </cell>
          <cell r="F7252">
            <v>0</v>
          </cell>
          <cell r="DN7252">
            <v>0</v>
          </cell>
        </row>
        <row r="7253">
          <cell r="E7253">
            <v>0</v>
          </cell>
          <cell r="F7253">
            <v>0</v>
          </cell>
          <cell r="DN7253">
            <v>0</v>
          </cell>
        </row>
        <row r="7254">
          <cell r="E7254">
            <v>0</v>
          </cell>
          <cell r="F7254">
            <v>0</v>
          </cell>
          <cell r="DN7254">
            <v>0</v>
          </cell>
        </row>
        <row r="7255">
          <cell r="E7255">
            <v>0</v>
          </cell>
          <cell r="F7255">
            <v>0</v>
          </cell>
          <cell r="DN7255">
            <v>0</v>
          </cell>
        </row>
        <row r="7256">
          <cell r="E7256">
            <v>0</v>
          </cell>
          <cell r="F7256">
            <v>0</v>
          </cell>
          <cell r="DN7256">
            <v>0</v>
          </cell>
        </row>
        <row r="7257">
          <cell r="E7257">
            <v>0</v>
          </cell>
          <cell r="F7257">
            <v>0</v>
          </cell>
          <cell r="DN7257">
            <v>0</v>
          </cell>
        </row>
        <row r="7258">
          <cell r="E7258">
            <v>0</v>
          </cell>
          <cell r="F7258">
            <v>0</v>
          </cell>
          <cell r="DN7258">
            <v>0</v>
          </cell>
        </row>
        <row r="7259">
          <cell r="E7259">
            <v>0</v>
          </cell>
          <cell r="F7259">
            <v>0</v>
          </cell>
          <cell r="DN7259">
            <v>0</v>
          </cell>
        </row>
        <row r="7260">
          <cell r="E7260">
            <v>0</v>
          </cell>
          <cell r="F7260">
            <v>0</v>
          </cell>
          <cell r="DN7260">
            <v>0</v>
          </cell>
        </row>
        <row r="7261">
          <cell r="E7261">
            <v>0</v>
          </cell>
          <cell r="F7261">
            <v>0</v>
          </cell>
          <cell r="DN7261">
            <v>0</v>
          </cell>
        </row>
        <row r="7262">
          <cell r="E7262">
            <v>0</v>
          </cell>
          <cell r="F7262">
            <v>0</v>
          </cell>
          <cell r="DN7262">
            <v>0</v>
          </cell>
        </row>
        <row r="7263">
          <cell r="E7263">
            <v>0</v>
          </cell>
          <cell r="F7263">
            <v>0</v>
          </cell>
          <cell r="DN7263">
            <v>0</v>
          </cell>
        </row>
        <row r="7264">
          <cell r="E7264">
            <v>0</v>
          </cell>
          <cell r="F7264">
            <v>0</v>
          </cell>
          <cell r="DN7264">
            <v>0</v>
          </cell>
        </row>
        <row r="7265">
          <cell r="E7265">
            <v>0</v>
          </cell>
          <cell r="F7265">
            <v>0</v>
          </cell>
          <cell r="DN7265">
            <v>0</v>
          </cell>
        </row>
        <row r="7266">
          <cell r="E7266">
            <v>0</v>
          </cell>
          <cell r="F7266">
            <v>0</v>
          </cell>
          <cell r="DN7266">
            <v>0</v>
          </cell>
        </row>
        <row r="7267">
          <cell r="E7267">
            <v>0</v>
          </cell>
          <cell r="F7267">
            <v>0</v>
          </cell>
          <cell r="DN7267">
            <v>0</v>
          </cell>
        </row>
        <row r="7268">
          <cell r="E7268">
            <v>0</v>
          </cell>
          <cell r="F7268">
            <v>0</v>
          </cell>
          <cell r="DN7268">
            <v>0</v>
          </cell>
        </row>
        <row r="7269">
          <cell r="E7269">
            <v>0</v>
          </cell>
          <cell r="F7269">
            <v>0</v>
          </cell>
          <cell r="DN7269">
            <v>0</v>
          </cell>
        </row>
        <row r="7270">
          <cell r="E7270">
            <v>0</v>
          </cell>
          <cell r="F7270">
            <v>0</v>
          </cell>
          <cell r="DN7270">
            <v>0</v>
          </cell>
        </row>
        <row r="7271">
          <cell r="E7271">
            <v>0</v>
          </cell>
          <cell r="F7271">
            <v>0</v>
          </cell>
          <cell r="DN7271">
            <v>0</v>
          </cell>
        </row>
        <row r="7272">
          <cell r="E7272">
            <v>0</v>
          </cell>
          <cell r="F7272">
            <v>0</v>
          </cell>
          <cell r="DN7272">
            <v>0</v>
          </cell>
        </row>
        <row r="7273">
          <cell r="E7273">
            <v>0</v>
          </cell>
          <cell r="F7273">
            <v>0</v>
          </cell>
          <cell r="DN7273">
            <v>0</v>
          </cell>
        </row>
        <row r="7274">
          <cell r="E7274">
            <v>0</v>
          </cell>
          <cell r="F7274">
            <v>0</v>
          </cell>
          <cell r="DN7274">
            <v>0</v>
          </cell>
        </row>
        <row r="7275">
          <cell r="E7275">
            <v>0</v>
          </cell>
          <cell r="F7275">
            <v>0</v>
          </cell>
          <cell r="DN7275">
            <v>0</v>
          </cell>
        </row>
        <row r="7276">
          <cell r="E7276">
            <v>0</v>
          </cell>
          <cell r="F7276">
            <v>0</v>
          </cell>
          <cell r="DN7276">
            <v>0</v>
          </cell>
        </row>
        <row r="7277">
          <cell r="E7277">
            <v>0</v>
          </cell>
          <cell r="F7277">
            <v>0</v>
          </cell>
          <cell r="DN7277">
            <v>0</v>
          </cell>
        </row>
        <row r="7278">
          <cell r="E7278">
            <v>0</v>
          </cell>
          <cell r="F7278">
            <v>0</v>
          </cell>
          <cell r="DN7278">
            <v>0</v>
          </cell>
        </row>
        <row r="7279">
          <cell r="E7279">
            <v>0</v>
          </cell>
          <cell r="F7279">
            <v>0</v>
          </cell>
          <cell r="DN7279">
            <v>0</v>
          </cell>
        </row>
        <row r="7280">
          <cell r="E7280">
            <v>0</v>
          </cell>
          <cell r="F7280">
            <v>0</v>
          </cell>
          <cell r="DN7280">
            <v>0</v>
          </cell>
        </row>
        <row r="7281">
          <cell r="E7281">
            <v>0</v>
          </cell>
          <cell r="F7281">
            <v>0</v>
          </cell>
          <cell r="DN7281">
            <v>0</v>
          </cell>
        </row>
        <row r="7282">
          <cell r="E7282">
            <v>0</v>
          </cell>
          <cell r="F7282">
            <v>0</v>
          </cell>
          <cell r="DN7282">
            <v>0</v>
          </cell>
        </row>
        <row r="7283">
          <cell r="E7283">
            <v>0</v>
          </cell>
          <cell r="F7283">
            <v>0</v>
          </cell>
          <cell r="DN7283">
            <v>0</v>
          </cell>
        </row>
        <row r="7284">
          <cell r="E7284">
            <v>0</v>
          </cell>
          <cell r="F7284">
            <v>0</v>
          </cell>
          <cell r="DN7284">
            <v>0</v>
          </cell>
        </row>
        <row r="7285">
          <cell r="E7285">
            <v>0</v>
          </cell>
          <cell r="F7285">
            <v>0</v>
          </cell>
          <cell r="DN7285">
            <v>0</v>
          </cell>
        </row>
        <row r="7286">
          <cell r="E7286">
            <v>0</v>
          </cell>
          <cell r="F7286">
            <v>0</v>
          </cell>
          <cell r="DN7286">
            <v>0</v>
          </cell>
        </row>
        <row r="7287">
          <cell r="E7287">
            <v>0</v>
          </cell>
          <cell r="F7287">
            <v>0</v>
          </cell>
          <cell r="DN7287">
            <v>0</v>
          </cell>
        </row>
        <row r="7288">
          <cell r="E7288">
            <v>0</v>
          </cell>
          <cell r="F7288">
            <v>0</v>
          </cell>
          <cell r="DN7288">
            <v>0</v>
          </cell>
        </row>
        <row r="7289">
          <cell r="E7289">
            <v>0</v>
          </cell>
          <cell r="F7289">
            <v>0</v>
          </cell>
          <cell r="DN7289">
            <v>0</v>
          </cell>
        </row>
        <row r="7290">
          <cell r="E7290">
            <v>0</v>
          </cell>
          <cell r="F7290">
            <v>0</v>
          </cell>
          <cell r="DN7290">
            <v>0</v>
          </cell>
        </row>
        <row r="7291">
          <cell r="E7291">
            <v>0</v>
          </cell>
          <cell r="F7291">
            <v>0</v>
          </cell>
          <cell r="DN7291">
            <v>0</v>
          </cell>
        </row>
        <row r="7292">
          <cell r="E7292">
            <v>0</v>
          </cell>
          <cell r="F7292">
            <v>0</v>
          </cell>
          <cell r="DN7292">
            <v>0</v>
          </cell>
        </row>
        <row r="7293">
          <cell r="E7293">
            <v>0</v>
          </cell>
          <cell r="F7293">
            <v>0</v>
          </cell>
          <cell r="DN7293">
            <v>0</v>
          </cell>
        </row>
        <row r="7294">
          <cell r="E7294">
            <v>0</v>
          </cell>
          <cell r="F7294">
            <v>0</v>
          </cell>
          <cell r="DN7294">
            <v>0</v>
          </cell>
        </row>
        <row r="7295">
          <cell r="E7295">
            <v>0</v>
          </cell>
          <cell r="F7295">
            <v>0</v>
          </cell>
          <cell r="DN7295">
            <v>0</v>
          </cell>
        </row>
        <row r="7296">
          <cell r="E7296">
            <v>0</v>
          </cell>
          <cell r="F7296">
            <v>0</v>
          </cell>
          <cell r="DN7296">
            <v>0</v>
          </cell>
        </row>
        <row r="7297">
          <cell r="E7297">
            <v>0</v>
          </cell>
          <cell r="F7297">
            <v>0</v>
          </cell>
          <cell r="DN7297">
            <v>0</v>
          </cell>
        </row>
        <row r="7298">
          <cell r="E7298">
            <v>0</v>
          </cell>
          <cell r="F7298">
            <v>0</v>
          </cell>
          <cell r="DN7298">
            <v>0</v>
          </cell>
        </row>
        <row r="7299">
          <cell r="E7299">
            <v>0</v>
          </cell>
          <cell r="F7299">
            <v>0</v>
          </cell>
          <cell r="DN7299">
            <v>0</v>
          </cell>
        </row>
        <row r="7300">
          <cell r="E7300">
            <v>0</v>
          </cell>
          <cell r="F7300">
            <v>0</v>
          </cell>
          <cell r="DN7300">
            <v>0</v>
          </cell>
        </row>
        <row r="7301">
          <cell r="E7301">
            <v>0</v>
          </cell>
          <cell r="F7301">
            <v>0</v>
          </cell>
          <cell r="DN7301">
            <v>0</v>
          </cell>
        </row>
        <row r="7302">
          <cell r="E7302">
            <v>0</v>
          </cell>
          <cell r="F7302">
            <v>0</v>
          </cell>
          <cell r="DN7302">
            <v>0</v>
          </cell>
        </row>
        <row r="7303">
          <cell r="E7303">
            <v>0</v>
          </cell>
          <cell r="F7303">
            <v>0</v>
          </cell>
          <cell r="DN7303">
            <v>0</v>
          </cell>
        </row>
        <row r="7304">
          <cell r="E7304">
            <v>0</v>
          </cell>
          <cell r="F7304">
            <v>0</v>
          </cell>
          <cell r="DN7304">
            <v>0</v>
          </cell>
        </row>
        <row r="7305">
          <cell r="E7305">
            <v>0</v>
          </cell>
          <cell r="F7305">
            <v>0</v>
          </cell>
          <cell r="DN7305">
            <v>0</v>
          </cell>
        </row>
        <row r="7306">
          <cell r="E7306">
            <v>0</v>
          </cell>
          <cell r="F7306">
            <v>0</v>
          </cell>
          <cell r="DN7306">
            <v>0</v>
          </cell>
        </row>
        <row r="7307">
          <cell r="E7307">
            <v>0</v>
          </cell>
          <cell r="F7307">
            <v>0</v>
          </cell>
          <cell r="DN7307">
            <v>0</v>
          </cell>
        </row>
        <row r="7308">
          <cell r="E7308">
            <v>0</v>
          </cell>
          <cell r="F7308">
            <v>0</v>
          </cell>
          <cell r="DN7308">
            <v>0</v>
          </cell>
        </row>
        <row r="7309">
          <cell r="E7309">
            <v>0</v>
          </cell>
          <cell r="F7309">
            <v>0</v>
          </cell>
          <cell r="DN7309">
            <v>0</v>
          </cell>
        </row>
        <row r="7310">
          <cell r="E7310">
            <v>0</v>
          </cell>
          <cell r="F7310">
            <v>0</v>
          </cell>
          <cell r="DN7310">
            <v>0</v>
          </cell>
        </row>
        <row r="7311">
          <cell r="E7311">
            <v>0</v>
          </cell>
          <cell r="F7311">
            <v>0</v>
          </cell>
          <cell r="DN7311">
            <v>0</v>
          </cell>
        </row>
        <row r="7312">
          <cell r="E7312">
            <v>0</v>
          </cell>
          <cell r="F7312">
            <v>0</v>
          </cell>
          <cell r="DN7312">
            <v>0</v>
          </cell>
        </row>
        <row r="7313">
          <cell r="E7313">
            <v>0</v>
          </cell>
          <cell r="F7313">
            <v>0</v>
          </cell>
          <cell r="DN7313">
            <v>0</v>
          </cell>
        </row>
        <row r="7314">
          <cell r="E7314">
            <v>0</v>
          </cell>
          <cell r="F7314">
            <v>0</v>
          </cell>
          <cell r="DN7314">
            <v>0</v>
          </cell>
        </row>
        <row r="7315">
          <cell r="E7315">
            <v>0</v>
          </cell>
          <cell r="F7315">
            <v>0</v>
          </cell>
          <cell r="DN7315">
            <v>0</v>
          </cell>
        </row>
        <row r="7316">
          <cell r="E7316">
            <v>0</v>
          </cell>
          <cell r="F7316">
            <v>0</v>
          </cell>
          <cell r="DN7316">
            <v>0</v>
          </cell>
        </row>
        <row r="7317">
          <cell r="E7317">
            <v>0</v>
          </cell>
          <cell r="F7317">
            <v>0</v>
          </cell>
          <cell r="DN7317">
            <v>0</v>
          </cell>
        </row>
        <row r="7318">
          <cell r="E7318">
            <v>0</v>
          </cell>
          <cell r="F7318">
            <v>0</v>
          </cell>
          <cell r="DN7318">
            <v>0</v>
          </cell>
        </row>
        <row r="7319">
          <cell r="E7319">
            <v>0</v>
          </cell>
          <cell r="F7319">
            <v>0</v>
          </cell>
          <cell r="DN7319">
            <v>0</v>
          </cell>
        </row>
        <row r="7320">
          <cell r="E7320">
            <v>0</v>
          </cell>
          <cell r="F7320">
            <v>0</v>
          </cell>
          <cell r="DN7320">
            <v>0</v>
          </cell>
        </row>
        <row r="7321">
          <cell r="E7321">
            <v>0</v>
          </cell>
          <cell r="F7321">
            <v>0</v>
          </cell>
          <cell r="DN7321">
            <v>0</v>
          </cell>
        </row>
        <row r="7322">
          <cell r="E7322">
            <v>0</v>
          </cell>
          <cell r="F7322">
            <v>0</v>
          </cell>
          <cell r="DN7322">
            <v>0</v>
          </cell>
        </row>
        <row r="7323">
          <cell r="E7323">
            <v>0</v>
          </cell>
          <cell r="F7323">
            <v>0</v>
          </cell>
          <cell r="DN7323">
            <v>0</v>
          </cell>
        </row>
        <row r="7324">
          <cell r="E7324">
            <v>0</v>
          </cell>
          <cell r="F7324">
            <v>0</v>
          </cell>
          <cell r="DN7324">
            <v>0</v>
          </cell>
        </row>
        <row r="7325">
          <cell r="E7325">
            <v>0</v>
          </cell>
          <cell r="F7325">
            <v>0</v>
          </cell>
          <cell r="DN7325">
            <v>0</v>
          </cell>
        </row>
        <row r="7326">
          <cell r="E7326">
            <v>0</v>
          </cell>
          <cell r="F7326">
            <v>0</v>
          </cell>
          <cell r="DN7326">
            <v>0</v>
          </cell>
        </row>
        <row r="7327">
          <cell r="E7327">
            <v>0</v>
          </cell>
          <cell r="F7327">
            <v>0</v>
          </cell>
          <cell r="DN7327">
            <v>0</v>
          </cell>
        </row>
        <row r="7328">
          <cell r="E7328">
            <v>0</v>
          </cell>
          <cell r="F7328">
            <v>0</v>
          </cell>
          <cell r="DN7328">
            <v>0</v>
          </cell>
        </row>
        <row r="7329">
          <cell r="E7329">
            <v>0</v>
          </cell>
          <cell r="F7329">
            <v>0</v>
          </cell>
          <cell r="DN7329">
            <v>0</v>
          </cell>
        </row>
        <row r="7330">
          <cell r="E7330">
            <v>0</v>
          </cell>
          <cell r="F7330">
            <v>0</v>
          </cell>
          <cell r="DN7330">
            <v>0</v>
          </cell>
        </row>
        <row r="7331">
          <cell r="E7331">
            <v>0</v>
          </cell>
          <cell r="F7331">
            <v>0</v>
          </cell>
          <cell r="DN7331">
            <v>0</v>
          </cell>
        </row>
        <row r="7332">
          <cell r="E7332">
            <v>0</v>
          </cell>
          <cell r="F7332">
            <v>0</v>
          </cell>
          <cell r="DN7332">
            <v>0</v>
          </cell>
        </row>
        <row r="7333">
          <cell r="E7333">
            <v>0</v>
          </cell>
          <cell r="F7333">
            <v>0</v>
          </cell>
          <cell r="DN7333">
            <v>0</v>
          </cell>
        </row>
        <row r="7334">
          <cell r="E7334">
            <v>0</v>
          </cell>
          <cell r="F7334">
            <v>0</v>
          </cell>
          <cell r="DN7334">
            <v>0</v>
          </cell>
        </row>
        <row r="7335">
          <cell r="E7335">
            <v>0</v>
          </cell>
          <cell r="F7335">
            <v>0</v>
          </cell>
          <cell r="DN7335">
            <v>0</v>
          </cell>
        </row>
        <row r="7336">
          <cell r="E7336">
            <v>0</v>
          </cell>
          <cell r="F7336">
            <v>0</v>
          </cell>
          <cell r="DN7336">
            <v>0</v>
          </cell>
        </row>
        <row r="7337">
          <cell r="E7337">
            <v>0</v>
          </cell>
          <cell r="F7337">
            <v>0</v>
          </cell>
          <cell r="DN7337">
            <v>0</v>
          </cell>
        </row>
        <row r="7338">
          <cell r="E7338">
            <v>0</v>
          </cell>
          <cell r="F7338">
            <v>0</v>
          </cell>
          <cell r="DN7338">
            <v>0</v>
          </cell>
        </row>
        <row r="7339">
          <cell r="E7339">
            <v>0</v>
          </cell>
          <cell r="F7339">
            <v>0</v>
          </cell>
          <cell r="DN7339">
            <v>0</v>
          </cell>
        </row>
        <row r="7340">
          <cell r="E7340">
            <v>0</v>
          </cell>
          <cell r="F7340">
            <v>0</v>
          </cell>
          <cell r="DN7340">
            <v>0</v>
          </cell>
        </row>
        <row r="7341">
          <cell r="E7341">
            <v>0</v>
          </cell>
          <cell r="F7341">
            <v>0</v>
          </cell>
          <cell r="DN7341">
            <v>0</v>
          </cell>
        </row>
        <row r="7342">
          <cell r="E7342">
            <v>0</v>
          </cell>
          <cell r="F7342">
            <v>0</v>
          </cell>
          <cell r="DN7342">
            <v>0</v>
          </cell>
        </row>
        <row r="7343">
          <cell r="E7343">
            <v>0</v>
          </cell>
          <cell r="F7343">
            <v>0</v>
          </cell>
          <cell r="DN7343">
            <v>0</v>
          </cell>
        </row>
        <row r="7344">
          <cell r="E7344">
            <v>0</v>
          </cell>
          <cell r="F7344">
            <v>0</v>
          </cell>
          <cell r="DN7344">
            <v>0</v>
          </cell>
        </row>
        <row r="7345">
          <cell r="E7345">
            <v>0</v>
          </cell>
          <cell r="F7345">
            <v>0</v>
          </cell>
          <cell r="DN7345">
            <v>0</v>
          </cell>
        </row>
        <row r="7346">
          <cell r="E7346">
            <v>0</v>
          </cell>
          <cell r="F7346">
            <v>0</v>
          </cell>
          <cell r="DN7346">
            <v>0</v>
          </cell>
        </row>
        <row r="7347">
          <cell r="E7347">
            <v>0</v>
          </cell>
          <cell r="F7347">
            <v>0</v>
          </cell>
          <cell r="DN7347">
            <v>0</v>
          </cell>
        </row>
        <row r="7348">
          <cell r="E7348">
            <v>0</v>
          </cell>
          <cell r="F7348">
            <v>0</v>
          </cell>
          <cell r="DN7348">
            <v>0</v>
          </cell>
        </row>
        <row r="7349">
          <cell r="E7349">
            <v>0</v>
          </cell>
          <cell r="F7349">
            <v>0</v>
          </cell>
          <cell r="DN7349">
            <v>0</v>
          </cell>
        </row>
        <row r="7350">
          <cell r="E7350">
            <v>0</v>
          </cell>
          <cell r="F7350">
            <v>0</v>
          </cell>
          <cell r="DN7350">
            <v>0</v>
          </cell>
        </row>
        <row r="7351">
          <cell r="E7351">
            <v>0</v>
          </cell>
          <cell r="F7351">
            <v>0</v>
          </cell>
          <cell r="DN7351">
            <v>0</v>
          </cell>
        </row>
        <row r="7352">
          <cell r="E7352">
            <v>0</v>
          </cell>
          <cell r="F7352">
            <v>0</v>
          </cell>
          <cell r="DN7352">
            <v>0</v>
          </cell>
        </row>
        <row r="7353">
          <cell r="E7353">
            <v>0</v>
          </cell>
          <cell r="F7353">
            <v>0</v>
          </cell>
          <cell r="DN7353">
            <v>0</v>
          </cell>
        </row>
        <row r="7354">
          <cell r="E7354">
            <v>0</v>
          </cell>
          <cell r="F7354">
            <v>0</v>
          </cell>
          <cell r="DN7354">
            <v>0</v>
          </cell>
        </row>
        <row r="7355">
          <cell r="E7355">
            <v>0</v>
          </cell>
          <cell r="F7355">
            <v>0</v>
          </cell>
          <cell r="DN7355">
            <v>0</v>
          </cell>
        </row>
        <row r="7356">
          <cell r="E7356">
            <v>0</v>
          </cell>
          <cell r="F7356">
            <v>0</v>
          </cell>
          <cell r="DN7356">
            <v>0</v>
          </cell>
        </row>
        <row r="7357">
          <cell r="E7357">
            <v>0</v>
          </cell>
          <cell r="F7357">
            <v>0</v>
          </cell>
          <cell r="DN7357">
            <v>0</v>
          </cell>
        </row>
        <row r="7358">
          <cell r="E7358">
            <v>0</v>
          </cell>
          <cell r="F7358">
            <v>0</v>
          </cell>
          <cell r="DN7358">
            <v>0</v>
          </cell>
        </row>
        <row r="7359">
          <cell r="E7359">
            <v>0</v>
          </cell>
          <cell r="F7359">
            <v>0</v>
          </cell>
          <cell r="DN7359">
            <v>0</v>
          </cell>
        </row>
        <row r="7360">
          <cell r="E7360">
            <v>0</v>
          </cell>
          <cell r="F7360">
            <v>0</v>
          </cell>
          <cell r="DN7360">
            <v>0</v>
          </cell>
        </row>
        <row r="7361">
          <cell r="E7361">
            <v>0</v>
          </cell>
          <cell r="F7361">
            <v>0</v>
          </cell>
          <cell r="DN7361">
            <v>0</v>
          </cell>
        </row>
        <row r="7362">
          <cell r="E7362">
            <v>0</v>
          </cell>
          <cell r="F7362">
            <v>0</v>
          </cell>
          <cell r="DN7362">
            <v>0</v>
          </cell>
        </row>
        <row r="7363">
          <cell r="E7363">
            <v>0</v>
          </cell>
          <cell r="F7363">
            <v>0</v>
          </cell>
          <cell r="DN7363">
            <v>0</v>
          </cell>
        </row>
        <row r="7364">
          <cell r="E7364">
            <v>0</v>
          </cell>
          <cell r="F7364">
            <v>0</v>
          </cell>
          <cell r="DN7364">
            <v>0</v>
          </cell>
        </row>
        <row r="7365">
          <cell r="E7365">
            <v>0</v>
          </cell>
          <cell r="F7365">
            <v>0</v>
          </cell>
          <cell r="DN7365">
            <v>0</v>
          </cell>
        </row>
        <row r="7366">
          <cell r="E7366">
            <v>0</v>
          </cell>
          <cell r="F7366">
            <v>0</v>
          </cell>
          <cell r="DN7366">
            <v>0</v>
          </cell>
        </row>
        <row r="7367">
          <cell r="E7367">
            <v>0</v>
          </cell>
          <cell r="F7367">
            <v>0</v>
          </cell>
          <cell r="DN7367">
            <v>0</v>
          </cell>
        </row>
        <row r="7368">
          <cell r="E7368">
            <v>0</v>
          </cell>
          <cell r="F7368">
            <v>0</v>
          </cell>
          <cell r="DN7368">
            <v>0</v>
          </cell>
        </row>
        <row r="7369">
          <cell r="E7369">
            <v>0</v>
          </cell>
          <cell r="F7369">
            <v>0</v>
          </cell>
          <cell r="DN7369">
            <v>0</v>
          </cell>
        </row>
        <row r="7370">
          <cell r="E7370">
            <v>0</v>
          </cell>
          <cell r="F7370">
            <v>0</v>
          </cell>
          <cell r="DN7370">
            <v>0</v>
          </cell>
        </row>
        <row r="7371">
          <cell r="E7371">
            <v>0</v>
          </cell>
          <cell r="F7371">
            <v>0</v>
          </cell>
          <cell r="DN7371">
            <v>0</v>
          </cell>
        </row>
        <row r="7372">
          <cell r="E7372">
            <v>0</v>
          </cell>
          <cell r="F7372">
            <v>0</v>
          </cell>
          <cell r="DN7372">
            <v>0</v>
          </cell>
        </row>
        <row r="7373">
          <cell r="E7373">
            <v>0</v>
          </cell>
          <cell r="F7373">
            <v>0</v>
          </cell>
          <cell r="DN7373">
            <v>0</v>
          </cell>
        </row>
        <row r="7374">
          <cell r="E7374">
            <v>0</v>
          </cell>
          <cell r="F7374">
            <v>0</v>
          </cell>
          <cell r="DN7374">
            <v>0</v>
          </cell>
        </row>
        <row r="7375">
          <cell r="E7375">
            <v>0</v>
          </cell>
          <cell r="F7375">
            <v>0</v>
          </cell>
          <cell r="DN7375">
            <v>0</v>
          </cell>
        </row>
        <row r="7376">
          <cell r="E7376">
            <v>0</v>
          </cell>
          <cell r="F7376">
            <v>0</v>
          </cell>
          <cell r="DN7376">
            <v>0</v>
          </cell>
        </row>
        <row r="7377">
          <cell r="E7377">
            <v>0</v>
          </cell>
          <cell r="F7377">
            <v>0</v>
          </cell>
          <cell r="DN7377">
            <v>0</v>
          </cell>
        </row>
        <row r="7378">
          <cell r="E7378">
            <v>0</v>
          </cell>
          <cell r="F7378">
            <v>0</v>
          </cell>
          <cell r="DN7378">
            <v>0</v>
          </cell>
        </row>
        <row r="7379">
          <cell r="E7379">
            <v>0</v>
          </cell>
          <cell r="F7379">
            <v>0</v>
          </cell>
          <cell r="DN7379">
            <v>0</v>
          </cell>
        </row>
        <row r="7380">
          <cell r="E7380">
            <v>0</v>
          </cell>
          <cell r="F7380">
            <v>0</v>
          </cell>
          <cell r="DN7380">
            <v>0</v>
          </cell>
        </row>
        <row r="7381">
          <cell r="E7381">
            <v>0</v>
          </cell>
          <cell r="F7381">
            <v>0</v>
          </cell>
          <cell r="DN7381">
            <v>0</v>
          </cell>
        </row>
        <row r="7382">
          <cell r="E7382">
            <v>0</v>
          </cell>
          <cell r="F7382">
            <v>0</v>
          </cell>
          <cell r="DN7382">
            <v>0</v>
          </cell>
        </row>
        <row r="7383">
          <cell r="E7383">
            <v>0</v>
          </cell>
          <cell r="F7383">
            <v>0</v>
          </cell>
          <cell r="DN7383">
            <v>0</v>
          </cell>
        </row>
        <row r="7384">
          <cell r="E7384">
            <v>0</v>
          </cell>
          <cell r="F7384">
            <v>0</v>
          </cell>
          <cell r="DN7384">
            <v>0</v>
          </cell>
        </row>
        <row r="7385">
          <cell r="E7385">
            <v>0</v>
          </cell>
          <cell r="F7385">
            <v>0</v>
          </cell>
          <cell r="DN7385">
            <v>0</v>
          </cell>
        </row>
        <row r="7386">
          <cell r="E7386">
            <v>0</v>
          </cell>
          <cell r="F7386">
            <v>0</v>
          </cell>
          <cell r="DN7386">
            <v>0</v>
          </cell>
        </row>
        <row r="7387">
          <cell r="E7387">
            <v>0</v>
          </cell>
          <cell r="F7387">
            <v>0</v>
          </cell>
          <cell r="DN7387">
            <v>0</v>
          </cell>
        </row>
        <row r="7388">
          <cell r="E7388">
            <v>0</v>
          </cell>
          <cell r="F7388">
            <v>0</v>
          </cell>
          <cell r="DN7388">
            <v>0</v>
          </cell>
        </row>
        <row r="7389">
          <cell r="E7389">
            <v>0</v>
          </cell>
          <cell r="F7389">
            <v>0</v>
          </cell>
          <cell r="DN7389">
            <v>0</v>
          </cell>
        </row>
        <row r="7390">
          <cell r="E7390">
            <v>0</v>
          </cell>
          <cell r="F7390">
            <v>0</v>
          </cell>
          <cell r="DN7390">
            <v>0</v>
          </cell>
        </row>
        <row r="7391">
          <cell r="E7391">
            <v>0</v>
          </cell>
          <cell r="F7391">
            <v>0</v>
          </cell>
          <cell r="DN7391">
            <v>0</v>
          </cell>
        </row>
        <row r="7392">
          <cell r="E7392">
            <v>0</v>
          </cell>
          <cell r="F7392">
            <v>0</v>
          </cell>
          <cell r="DN7392">
            <v>0</v>
          </cell>
        </row>
        <row r="7393">
          <cell r="E7393">
            <v>0</v>
          </cell>
          <cell r="F7393">
            <v>0</v>
          </cell>
          <cell r="DN7393">
            <v>0</v>
          </cell>
        </row>
        <row r="7394">
          <cell r="E7394">
            <v>0</v>
          </cell>
          <cell r="F7394">
            <v>0</v>
          </cell>
          <cell r="DN7394">
            <v>0</v>
          </cell>
        </row>
        <row r="7395">
          <cell r="E7395">
            <v>0</v>
          </cell>
          <cell r="F7395">
            <v>0</v>
          </cell>
          <cell r="DN7395">
            <v>0</v>
          </cell>
        </row>
        <row r="7396">
          <cell r="E7396">
            <v>0</v>
          </cell>
          <cell r="F7396">
            <v>0</v>
          </cell>
          <cell r="DN7396">
            <v>0</v>
          </cell>
        </row>
        <row r="7397">
          <cell r="E7397">
            <v>0</v>
          </cell>
          <cell r="F7397">
            <v>0</v>
          </cell>
          <cell r="DN7397">
            <v>0</v>
          </cell>
        </row>
        <row r="7398">
          <cell r="E7398">
            <v>0</v>
          </cell>
          <cell r="F7398">
            <v>0</v>
          </cell>
          <cell r="DN7398">
            <v>0</v>
          </cell>
        </row>
        <row r="7399">
          <cell r="E7399">
            <v>0</v>
          </cell>
          <cell r="F7399">
            <v>0</v>
          </cell>
          <cell r="DN7399">
            <v>0</v>
          </cell>
        </row>
        <row r="7400">
          <cell r="E7400">
            <v>0</v>
          </cell>
          <cell r="F7400">
            <v>0</v>
          </cell>
          <cell r="DN7400">
            <v>0</v>
          </cell>
        </row>
        <row r="7401">
          <cell r="E7401">
            <v>0</v>
          </cell>
          <cell r="F7401">
            <v>0</v>
          </cell>
          <cell r="DN7401">
            <v>0</v>
          </cell>
        </row>
        <row r="7402">
          <cell r="E7402">
            <v>0</v>
          </cell>
          <cell r="F7402">
            <v>0</v>
          </cell>
          <cell r="DN7402">
            <v>0</v>
          </cell>
        </row>
        <row r="7403">
          <cell r="E7403">
            <v>0</v>
          </cell>
          <cell r="F7403">
            <v>0</v>
          </cell>
          <cell r="DN7403">
            <v>0</v>
          </cell>
        </row>
        <row r="7404">
          <cell r="E7404">
            <v>0</v>
          </cell>
          <cell r="F7404">
            <v>0</v>
          </cell>
          <cell r="DN7404">
            <v>0</v>
          </cell>
        </row>
        <row r="7405">
          <cell r="E7405">
            <v>0</v>
          </cell>
          <cell r="F7405">
            <v>0</v>
          </cell>
          <cell r="DN7405">
            <v>0</v>
          </cell>
        </row>
        <row r="7406">
          <cell r="E7406">
            <v>0</v>
          </cell>
          <cell r="F7406">
            <v>0</v>
          </cell>
          <cell r="DN7406">
            <v>0</v>
          </cell>
        </row>
        <row r="7407">
          <cell r="E7407">
            <v>0</v>
          </cell>
          <cell r="F7407">
            <v>0</v>
          </cell>
          <cell r="DN7407">
            <v>0</v>
          </cell>
        </row>
        <row r="7408">
          <cell r="E7408">
            <v>0</v>
          </cell>
          <cell r="F7408">
            <v>0</v>
          </cell>
          <cell r="DN7408">
            <v>0</v>
          </cell>
        </row>
        <row r="7409">
          <cell r="E7409">
            <v>0</v>
          </cell>
          <cell r="F7409">
            <v>0</v>
          </cell>
          <cell r="DN7409">
            <v>0</v>
          </cell>
        </row>
        <row r="7410">
          <cell r="E7410">
            <v>0</v>
          </cell>
          <cell r="F7410">
            <v>0</v>
          </cell>
          <cell r="DN7410">
            <v>0</v>
          </cell>
        </row>
        <row r="7411">
          <cell r="E7411">
            <v>0</v>
          </cell>
          <cell r="F7411">
            <v>0</v>
          </cell>
          <cell r="DN7411">
            <v>0</v>
          </cell>
        </row>
        <row r="7412">
          <cell r="E7412">
            <v>0</v>
          </cell>
          <cell r="F7412">
            <v>0</v>
          </cell>
          <cell r="DN7412">
            <v>0</v>
          </cell>
        </row>
        <row r="7413">
          <cell r="E7413">
            <v>0</v>
          </cell>
          <cell r="F7413">
            <v>0</v>
          </cell>
          <cell r="DN7413">
            <v>0</v>
          </cell>
        </row>
        <row r="7414">
          <cell r="E7414">
            <v>0</v>
          </cell>
          <cell r="F7414">
            <v>0</v>
          </cell>
          <cell r="DN7414">
            <v>0</v>
          </cell>
        </row>
        <row r="7415">
          <cell r="E7415">
            <v>0</v>
          </cell>
          <cell r="F7415">
            <v>0</v>
          </cell>
          <cell r="DN7415">
            <v>0</v>
          </cell>
        </row>
        <row r="7416">
          <cell r="E7416">
            <v>0</v>
          </cell>
          <cell r="F7416">
            <v>0</v>
          </cell>
          <cell r="DN7416">
            <v>0</v>
          </cell>
        </row>
        <row r="7417">
          <cell r="E7417">
            <v>0</v>
          </cell>
          <cell r="F7417">
            <v>0</v>
          </cell>
          <cell r="DN7417">
            <v>0</v>
          </cell>
        </row>
        <row r="7418">
          <cell r="E7418">
            <v>0</v>
          </cell>
          <cell r="F7418">
            <v>0</v>
          </cell>
          <cell r="DN7418">
            <v>0</v>
          </cell>
        </row>
        <row r="7419">
          <cell r="E7419">
            <v>0</v>
          </cell>
          <cell r="F7419">
            <v>0</v>
          </cell>
          <cell r="DN7419">
            <v>0</v>
          </cell>
        </row>
        <row r="7420">
          <cell r="E7420">
            <v>0</v>
          </cell>
          <cell r="F7420">
            <v>0</v>
          </cell>
          <cell r="DN7420">
            <v>0</v>
          </cell>
        </row>
        <row r="7421">
          <cell r="E7421">
            <v>0</v>
          </cell>
          <cell r="F7421">
            <v>0</v>
          </cell>
          <cell r="DN7421">
            <v>0</v>
          </cell>
        </row>
        <row r="7422">
          <cell r="E7422">
            <v>0</v>
          </cell>
          <cell r="F7422">
            <v>0</v>
          </cell>
          <cell r="DN7422">
            <v>0</v>
          </cell>
        </row>
        <row r="7423">
          <cell r="E7423">
            <v>0</v>
          </cell>
          <cell r="F7423">
            <v>0</v>
          </cell>
          <cell r="DN7423">
            <v>0</v>
          </cell>
        </row>
        <row r="7424">
          <cell r="E7424">
            <v>0</v>
          </cell>
          <cell r="F7424">
            <v>0</v>
          </cell>
          <cell r="DN7424">
            <v>0</v>
          </cell>
        </row>
        <row r="7425">
          <cell r="E7425">
            <v>0</v>
          </cell>
          <cell r="F7425">
            <v>0</v>
          </cell>
          <cell r="DN7425">
            <v>0</v>
          </cell>
        </row>
        <row r="7426">
          <cell r="E7426">
            <v>0</v>
          </cell>
          <cell r="F7426">
            <v>0</v>
          </cell>
          <cell r="DN7426">
            <v>0</v>
          </cell>
        </row>
        <row r="7427">
          <cell r="E7427">
            <v>0</v>
          </cell>
          <cell r="F7427">
            <v>0</v>
          </cell>
          <cell r="DN7427">
            <v>0</v>
          </cell>
        </row>
        <row r="7428">
          <cell r="E7428">
            <v>0</v>
          </cell>
          <cell r="F7428">
            <v>0</v>
          </cell>
          <cell r="DN7428">
            <v>0</v>
          </cell>
        </row>
        <row r="7429">
          <cell r="E7429">
            <v>0</v>
          </cell>
          <cell r="F7429">
            <v>0</v>
          </cell>
          <cell r="DN7429">
            <v>0</v>
          </cell>
        </row>
        <row r="7430">
          <cell r="E7430">
            <v>0</v>
          </cell>
          <cell r="F7430">
            <v>0</v>
          </cell>
          <cell r="DN7430">
            <v>0</v>
          </cell>
        </row>
        <row r="7431">
          <cell r="E7431">
            <v>0</v>
          </cell>
          <cell r="F7431">
            <v>0</v>
          </cell>
          <cell r="DN7431">
            <v>0</v>
          </cell>
        </row>
        <row r="7432">
          <cell r="E7432">
            <v>0</v>
          </cell>
          <cell r="F7432">
            <v>0</v>
          </cell>
          <cell r="DN7432">
            <v>0</v>
          </cell>
        </row>
        <row r="7433">
          <cell r="E7433">
            <v>0</v>
          </cell>
          <cell r="F7433">
            <v>0</v>
          </cell>
          <cell r="DN7433">
            <v>0</v>
          </cell>
        </row>
        <row r="7434">
          <cell r="E7434">
            <v>0</v>
          </cell>
          <cell r="F7434">
            <v>0</v>
          </cell>
          <cell r="DN7434">
            <v>0</v>
          </cell>
        </row>
        <row r="7435">
          <cell r="E7435">
            <v>0</v>
          </cell>
          <cell r="F7435">
            <v>0</v>
          </cell>
          <cell r="DN7435">
            <v>0</v>
          </cell>
        </row>
        <row r="7436">
          <cell r="E7436">
            <v>0</v>
          </cell>
          <cell r="F7436">
            <v>0</v>
          </cell>
          <cell r="DN7436">
            <v>0</v>
          </cell>
        </row>
        <row r="7437">
          <cell r="E7437">
            <v>0</v>
          </cell>
          <cell r="F7437">
            <v>0</v>
          </cell>
          <cell r="DN7437">
            <v>0</v>
          </cell>
        </row>
        <row r="7438">
          <cell r="E7438">
            <v>0</v>
          </cell>
          <cell r="F7438">
            <v>0</v>
          </cell>
          <cell r="DN7438">
            <v>0</v>
          </cell>
        </row>
        <row r="7439">
          <cell r="E7439">
            <v>0</v>
          </cell>
          <cell r="F7439">
            <v>0</v>
          </cell>
          <cell r="DN7439">
            <v>0</v>
          </cell>
        </row>
        <row r="7440">
          <cell r="E7440">
            <v>0</v>
          </cell>
          <cell r="F7440">
            <v>0</v>
          </cell>
          <cell r="DN7440">
            <v>0</v>
          </cell>
        </row>
        <row r="7441">
          <cell r="E7441">
            <v>0</v>
          </cell>
          <cell r="F7441">
            <v>0</v>
          </cell>
          <cell r="DN7441">
            <v>0</v>
          </cell>
        </row>
        <row r="7442">
          <cell r="E7442">
            <v>0</v>
          </cell>
          <cell r="F7442">
            <v>0</v>
          </cell>
          <cell r="DN7442">
            <v>0</v>
          </cell>
        </row>
        <row r="7443">
          <cell r="E7443">
            <v>0</v>
          </cell>
          <cell r="F7443">
            <v>0</v>
          </cell>
          <cell r="DN7443">
            <v>0</v>
          </cell>
        </row>
        <row r="7444">
          <cell r="E7444">
            <v>0</v>
          </cell>
          <cell r="F7444">
            <v>0</v>
          </cell>
          <cell r="DN7444">
            <v>0</v>
          </cell>
        </row>
        <row r="7445">
          <cell r="E7445">
            <v>0</v>
          </cell>
          <cell r="F7445">
            <v>0</v>
          </cell>
          <cell r="DN7445">
            <v>0</v>
          </cell>
        </row>
        <row r="7446">
          <cell r="E7446">
            <v>0</v>
          </cell>
          <cell r="F7446">
            <v>0</v>
          </cell>
          <cell r="DN7446">
            <v>0</v>
          </cell>
        </row>
        <row r="7447">
          <cell r="E7447">
            <v>0</v>
          </cell>
          <cell r="F7447">
            <v>0</v>
          </cell>
          <cell r="DN7447">
            <v>0</v>
          </cell>
        </row>
        <row r="7448">
          <cell r="E7448">
            <v>0</v>
          </cell>
          <cell r="F7448">
            <v>0</v>
          </cell>
          <cell r="DN7448">
            <v>0</v>
          </cell>
        </row>
        <row r="7449">
          <cell r="E7449">
            <v>0</v>
          </cell>
          <cell r="F7449">
            <v>0</v>
          </cell>
          <cell r="DN7449">
            <v>0</v>
          </cell>
        </row>
        <row r="7450">
          <cell r="E7450">
            <v>0</v>
          </cell>
          <cell r="F7450">
            <v>0</v>
          </cell>
          <cell r="DN7450">
            <v>0</v>
          </cell>
        </row>
        <row r="7451">
          <cell r="E7451">
            <v>0</v>
          </cell>
          <cell r="F7451">
            <v>0</v>
          </cell>
          <cell r="DN7451">
            <v>0</v>
          </cell>
        </row>
        <row r="7452">
          <cell r="E7452">
            <v>0</v>
          </cell>
          <cell r="F7452">
            <v>0</v>
          </cell>
          <cell r="DN7452">
            <v>0</v>
          </cell>
        </row>
        <row r="7453">
          <cell r="E7453">
            <v>0</v>
          </cell>
          <cell r="F7453">
            <v>0</v>
          </cell>
          <cell r="DN7453">
            <v>0</v>
          </cell>
        </row>
        <row r="7454">
          <cell r="E7454">
            <v>0</v>
          </cell>
          <cell r="F7454">
            <v>0</v>
          </cell>
          <cell r="DN7454">
            <v>0</v>
          </cell>
        </row>
        <row r="7455">
          <cell r="E7455">
            <v>0</v>
          </cell>
          <cell r="F7455">
            <v>0</v>
          </cell>
          <cell r="DN7455">
            <v>0</v>
          </cell>
        </row>
        <row r="7456">
          <cell r="E7456">
            <v>0</v>
          </cell>
          <cell r="F7456">
            <v>0</v>
          </cell>
          <cell r="DN7456">
            <v>0</v>
          </cell>
        </row>
        <row r="7457">
          <cell r="E7457">
            <v>0</v>
          </cell>
          <cell r="F7457">
            <v>0</v>
          </cell>
          <cell r="DN7457">
            <v>0</v>
          </cell>
        </row>
        <row r="7458">
          <cell r="E7458">
            <v>0</v>
          </cell>
          <cell r="F7458">
            <v>0</v>
          </cell>
          <cell r="DN7458">
            <v>0</v>
          </cell>
        </row>
        <row r="7459">
          <cell r="E7459">
            <v>0</v>
          </cell>
          <cell r="F7459">
            <v>0</v>
          </cell>
          <cell r="DN7459">
            <v>0</v>
          </cell>
        </row>
        <row r="7460">
          <cell r="E7460">
            <v>0</v>
          </cell>
          <cell r="F7460">
            <v>0</v>
          </cell>
          <cell r="DN7460">
            <v>0</v>
          </cell>
        </row>
        <row r="7461">
          <cell r="E7461">
            <v>0</v>
          </cell>
          <cell r="F7461">
            <v>0</v>
          </cell>
          <cell r="DN7461">
            <v>0</v>
          </cell>
        </row>
        <row r="7462">
          <cell r="E7462">
            <v>0</v>
          </cell>
          <cell r="F7462">
            <v>0</v>
          </cell>
          <cell r="DN7462">
            <v>0</v>
          </cell>
        </row>
        <row r="7463">
          <cell r="E7463">
            <v>0</v>
          </cell>
          <cell r="F7463">
            <v>0</v>
          </cell>
          <cell r="DN7463">
            <v>0</v>
          </cell>
        </row>
        <row r="7464">
          <cell r="E7464">
            <v>0</v>
          </cell>
          <cell r="F7464">
            <v>0</v>
          </cell>
          <cell r="DN7464">
            <v>0</v>
          </cell>
        </row>
        <row r="7465">
          <cell r="E7465">
            <v>0</v>
          </cell>
          <cell r="F7465">
            <v>0</v>
          </cell>
          <cell r="DN7465">
            <v>0</v>
          </cell>
        </row>
        <row r="7466">
          <cell r="E7466">
            <v>0</v>
          </cell>
          <cell r="F7466">
            <v>0</v>
          </cell>
          <cell r="DN7466">
            <v>0</v>
          </cell>
        </row>
        <row r="7467">
          <cell r="E7467">
            <v>0</v>
          </cell>
          <cell r="F7467">
            <v>0</v>
          </cell>
          <cell r="DN7467">
            <v>0</v>
          </cell>
        </row>
        <row r="7468">
          <cell r="E7468">
            <v>0</v>
          </cell>
          <cell r="F7468">
            <v>0</v>
          </cell>
          <cell r="DN7468">
            <v>0</v>
          </cell>
        </row>
        <row r="7469">
          <cell r="E7469">
            <v>0</v>
          </cell>
          <cell r="F7469">
            <v>0</v>
          </cell>
          <cell r="DN7469">
            <v>0</v>
          </cell>
        </row>
        <row r="7470">
          <cell r="E7470">
            <v>0</v>
          </cell>
          <cell r="F7470">
            <v>0</v>
          </cell>
          <cell r="DN7470">
            <v>0</v>
          </cell>
        </row>
        <row r="7471">
          <cell r="E7471">
            <v>0</v>
          </cell>
          <cell r="F7471">
            <v>0</v>
          </cell>
          <cell r="DN7471">
            <v>0</v>
          </cell>
        </row>
        <row r="7472">
          <cell r="E7472">
            <v>0</v>
          </cell>
          <cell r="F7472">
            <v>0</v>
          </cell>
          <cell r="DN7472">
            <v>0</v>
          </cell>
        </row>
        <row r="7473">
          <cell r="E7473">
            <v>0</v>
          </cell>
          <cell r="F7473">
            <v>0</v>
          </cell>
          <cell r="DN7473">
            <v>0</v>
          </cell>
        </row>
        <row r="7474">
          <cell r="E7474">
            <v>0</v>
          </cell>
          <cell r="F7474">
            <v>0</v>
          </cell>
          <cell r="DN7474">
            <v>0</v>
          </cell>
        </row>
        <row r="7475">
          <cell r="E7475">
            <v>0</v>
          </cell>
          <cell r="F7475">
            <v>0</v>
          </cell>
          <cell r="DN7475">
            <v>0</v>
          </cell>
        </row>
        <row r="7476">
          <cell r="E7476">
            <v>0</v>
          </cell>
          <cell r="F7476">
            <v>0</v>
          </cell>
          <cell r="DN7476">
            <v>0</v>
          </cell>
        </row>
        <row r="7477">
          <cell r="E7477">
            <v>0</v>
          </cell>
          <cell r="F7477">
            <v>0</v>
          </cell>
          <cell r="DN7477">
            <v>0</v>
          </cell>
        </row>
        <row r="7478">
          <cell r="E7478">
            <v>0</v>
          </cell>
          <cell r="F7478">
            <v>0</v>
          </cell>
          <cell r="DN7478">
            <v>0</v>
          </cell>
        </row>
        <row r="7479">
          <cell r="E7479">
            <v>0</v>
          </cell>
          <cell r="F7479">
            <v>0</v>
          </cell>
          <cell r="DN7479">
            <v>0</v>
          </cell>
        </row>
        <row r="7480">
          <cell r="E7480">
            <v>0</v>
          </cell>
          <cell r="F7480">
            <v>0</v>
          </cell>
          <cell r="DN7480">
            <v>0</v>
          </cell>
        </row>
        <row r="7481">
          <cell r="E7481">
            <v>0</v>
          </cell>
          <cell r="F7481">
            <v>0</v>
          </cell>
          <cell r="DN7481">
            <v>0</v>
          </cell>
        </row>
        <row r="7482">
          <cell r="E7482">
            <v>0</v>
          </cell>
          <cell r="F7482">
            <v>0</v>
          </cell>
          <cell r="DN7482">
            <v>0</v>
          </cell>
        </row>
        <row r="7483">
          <cell r="E7483">
            <v>0</v>
          </cell>
          <cell r="F7483">
            <v>0</v>
          </cell>
          <cell r="DN7483">
            <v>0</v>
          </cell>
        </row>
        <row r="7484">
          <cell r="E7484">
            <v>0</v>
          </cell>
          <cell r="F7484">
            <v>0</v>
          </cell>
          <cell r="DN7484">
            <v>0</v>
          </cell>
        </row>
        <row r="7485">
          <cell r="E7485">
            <v>0</v>
          </cell>
          <cell r="F7485">
            <v>0</v>
          </cell>
          <cell r="DN7485">
            <v>0</v>
          </cell>
        </row>
        <row r="7486">
          <cell r="E7486">
            <v>0</v>
          </cell>
          <cell r="F7486">
            <v>0</v>
          </cell>
          <cell r="DN7486">
            <v>0</v>
          </cell>
        </row>
        <row r="7487">
          <cell r="E7487">
            <v>0</v>
          </cell>
          <cell r="F7487">
            <v>0</v>
          </cell>
          <cell r="DN7487">
            <v>0</v>
          </cell>
        </row>
        <row r="7488">
          <cell r="E7488">
            <v>0</v>
          </cell>
          <cell r="F7488">
            <v>0</v>
          </cell>
          <cell r="DN7488">
            <v>0</v>
          </cell>
        </row>
        <row r="7489">
          <cell r="E7489">
            <v>0</v>
          </cell>
          <cell r="F7489">
            <v>0</v>
          </cell>
          <cell r="DN7489">
            <v>0</v>
          </cell>
        </row>
        <row r="7490">
          <cell r="E7490">
            <v>0</v>
          </cell>
          <cell r="F7490">
            <v>0</v>
          </cell>
          <cell r="DN7490">
            <v>0</v>
          </cell>
        </row>
        <row r="7491">
          <cell r="E7491">
            <v>0</v>
          </cell>
          <cell r="F7491">
            <v>0</v>
          </cell>
          <cell r="DN7491">
            <v>0</v>
          </cell>
        </row>
        <row r="7492">
          <cell r="E7492">
            <v>0</v>
          </cell>
          <cell r="F7492">
            <v>0</v>
          </cell>
          <cell r="DN7492">
            <v>0</v>
          </cell>
        </row>
        <row r="7493">
          <cell r="E7493">
            <v>0</v>
          </cell>
          <cell r="F7493">
            <v>0</v>
          </cell>
          <cell r="DN7493">
            <v>0</v>
          </cell>
        </row>
        <row r="7494">
          <cell r="E7494">
            <v>0</v>
          </cell>
          <cell r="F7494">
            <v>0</v>
          </cell>
          <cell r="DN7494">
            <v>0</v>
          </cell>
        </row>
        <row r="7495">
          <cell r="E7495">
            <v>0</v>
          </cell>
          <cell r="F7495">
            <v>0</v>
          </cell>
          <cell r="DN7495">
            <v>0</v>
          </cell>
        </row>
        <row r="7496">
          <cell r="E7496">
            <v>0</v>
          </cell>
          <cell r="F7496">
            <v>0</v>
          </cell>
          <cell r="DN7496">
            <v>0</v>
          </cell>
        </row>
        <row r="7497">
          <cell r="E7497">
            <v>0</v>
          </cell>
          <cell r="F7497">
            <v>0</v>
          </cell>
          <cell r="DN7497">
            <v>0</v>
          </cell>
        </row>
        <row r="7498">
          <cell r="E7498">
            <v>0</v>
          </cell>
          <cell r="F7498">
            <v>0</v>
          </cell>
          <cell r="DN7498">
            <v>0</v>
          </cell>
        </row>
        <row r="7499">
          <cell r="E7499">
            <v>0</v>
          </cell>
          <cell r="F7499">
            <v>0</v>
          </cell>
          <cell r="DN7499">
            <v>0</v>
          </cell>
        </row>
        <row r="7500">
          <cell r="E7500">
            <v>0</v>
          </cell>
          <cell r="F7500">
            <v>0</v>
          </cell>
          <cell r="DN7500">
            <v>0</v>
          </cell>
        </row>
        <row r="7501">
          <cell r="E7501">
            <v>0</v>
          </cell>
          <cell r="F7501">
            <v>0</v>
          </cell>
          <cell r="DN7501">
            <v>0</v>
          </cell>
        </row>
        <row r="7502">
          <cell r="E7502">
            <v>0</v>
          </cell>
          <cell r="F7502">
            <v>0</v>
          </cell>
          <cell r="DN7502">
            <v>0</v>
          </cell>
        </row>
        <row r="7503">
          <cell r="E7503">
            <v>0</v>
          </cell>
          <cell r="F7503">
            <v>0</v>
          </cell>
          <cell r="DN7503">
            <v>0</v>
          </cell>
        </row>
        <row r="7504">
          <cell r="E7504">
            <v>0</v>
          </cell>
          <cell r="F7504">
            <v>0</v>
          </cell>
          <cell r="DN7504">
            <v>0</v>
          </cell>
        </row>
        <row r="7505">
          <cell r="E7505">
            <v>0</v>
          </cell>
          <cell r="F7505">
            <v>0</v>
          </cell>
          <cell r="DN7505">
            <v>0</v>
          </cell>
        </row>
        <row r="7506">
          <cell r="E7506">
            <v>0</v>
          </cell>
          <cell r="F7506">
            <v>0</v>
          </cell>
          <cell r="DN7506">
            <v>0</v>
          </cell>
        </row>
        <row r="7507">
          <cell r="E7507">
            <v>0</v>
          </cell>
          <cell r="F7507">
            <v>0</v>
          </cell>
          <cell r="DN7507">
            <v>0</v>
          </cell>
        </row>
        <row r="7508">
          <cell r="E7508">
            <v>0</v>
          </cell>
          <cell r="F7508">
            <v>0</v>
          </cell>
          <cell r="DN7508">
            <v>0</v>
          </cell>
        </row>
        <row r="7509">
          <cell r="E7509">
            <v>0</v>
          </cell>
          <cell r="F7509">
            <v>0</v>
          </cell>
          <cell r="DN7509">
            <v>0</v>
          </cell>
        </row>
        <row r="7510">
          <cell r="E7510">
            <v>0</v>
          </cell>
          <cell r="F7510">
            <v>0</v>
          </cell>
          <cell r="DN7510">
            <v>0</v>
          </cell>
        </row>
        <row r="7511">
          <cell r="E7511">
            <v>0</v>
          </cell>
          <cell r="F7511">
            <v>0</v>
          </cell>
          <cell r="DN7511">
            <v>0</v>
          </cell>
        </row>
        <row r="7512">
          <cell r="E7512">
            <v>0</v>
          </cell>
          <cell r="F7512">
            <v>0</v>
          </cell>
          <cell r="DN7512">
            <v>0</v>
          </cell>
        </row>
        <row r="7513">
          <cell r="E7513">
            <v>0</v>
          </cell>
          <cell r="F7513">
            <v>0</v>
          </cell>
          <cell r="DN7513">
            <v>0</v>
          </cell>
        </row>
        <row r="7514">
          <cell r="E7514">
            <v>0</v>
          </cell>
          <cell r="F7514">
            <v>0</v>
          </cell>
          <cell r="DN7514">
            <v>0</v>
          </cell>
        </row>
        <row r="7515">
          <cell r="E7515">
            <v>0</v>
          </cell>
          <cell r="F7515">
            <v>0</v>
          </cell>
          <cell r="DN7515">
            <v>0</v>
          </cell>
        </row>
        <row r="7516">
          <cell r="E7516">
            <v>0</v>
          </cell>
          <cell r="F7516">
            <v>0</v>
          </cell>
          <cell r="DN7516">
            <v>0</v>
          </cell>
        </row>
        <row r="7517">
          <cell r="E7517">
            <v>0</v>
          </cell>
          <cell r="F7517">
            <v>0</v>
          </cell>
          <cell r="DN7517">
            <v>0</v>
          </cell>
        </row>
        <row r="7518">
          <cell r="E7518">
            <v>0</v>
          </cell>
          <cell r="F7518">
            <v>0</v>
          </cell>
          <cell r="DN7518">
            <v>0</v>
          </cell>
        </row>
        <row r="7519">
          <cell r="E7519">
            <v>0</v>
          </cell>
          <cell r="F7519">
            <v>0</v>
          </cell>
          <cell r="DN7519">
            <v>0</v>
          </cell>
        </row>
        <row r="7520">
          <cell r="E7520">
            <v>0</v>
          </cell>
          <cell r="F7520">
            <v>0</v>
          </cell>
          <cell r="DN7520">
            <v>0</v>
          </cell>
        </row>
        <row r="7521">
          <cell r="E7521">
            <v>0</v>
          </cell>
          <cell r="F7521">
            <v>0</v>
          </cell>
          <cell r="DN7521">
            <v>0</v>
          </cell>
        </row>
        <row r="7522">
          <cell r="E7522">
            <v>0</v>
          </cell>
          <cell r="F7522">
            <v>0</v>
          </cell>
          <cell r="DN7522">
            <v>0</v>
          </cell>
        </row>
        <row r="7523">
          <cell r="E7523">
            <v>0</v>
          </cell>
          <cell r="F7523">
            <v>0</v>
          </cell>
          <cell r="DN7523">
            <v>0</v>
          </cell>
        </row>
        <row r="7524">
          <cell r="E7524">
            <v>0</v>
          </cell>
          <cell r="F7524">
            <v>0</v>
          </cell>
          <cell r="DN7524">
            <v>0</v>
          </cell>
        </row>
        <row r="7525">
          <cell r="E7525">
            <v>0</v>
          </cell>
          <cell r="F7525">
            <v>0</v>
          </cell>
          <cell r="DN7525">
            <v>0</v>
          </cell>
        </row>
        <row r="7526">
          <cell r="E7526">
            <v>0</v>
          </cell>
          <cell r="F7526">
            <v>0</v>
          </cell>
          <cell r="DN7526">
            <v>0</v>
          </cell>
        </row>
        <row r="7527">
          <cell r="E7527">
            <v>0</v>
          </cell>
          <cell r="F7527">
            <v>0</v>
          </cell>
          <cell r="DN7527">
            <v>0</v>
          </cell>
        </row>
        <row r="7528">
          <cell r="E7528">
            <v>0</v>
          </cell>
          <cell r="F7528">
            <v>0</v>
          </cell>
          <cell r="DN7528">
            <v>0</v>
          </cell>
        </row>
        <row r="7529">
          <cell r="E7529">
            <v>0</v>
          </cell>
          <cell r="F7529">
            <v>0</v>
          </cell>
          <cell r="DN7529">
            <v>0</v>
          </cell>
        </row>
        <row r="7530">
          <cell r="E7530">
            <v>0</v>
          </cell>
          <cell r="F7530">
            <v>0</v>
          </cell>
          <cell r="DN7530">
            <v>0</v>
          </cell>
        </row>
        <row r="7531">
          <cell r="E7531">
            <v>0</v>
          </cell>
          <cell r="F7531">
            <v>0</v>
          </cell>
          <cell r="DN7531">
            <v>0</v>
          </cell>
        </row>
        <row r="7532">
          <cell r="E7532">
            <v>0</v>
          </cell>
          <cell r="F7532">
            <v>0</v>
          </cell>
          <cell r="DN7532">
            <v>0</v>
          </cell>
        </row>
        <row r="7533">
          <cell r="E7533">
            <v>0</v>
          </cell>
          <cell r="F7533">
            <v>0</v>
          </cell>
          <cell r="DN7533">
            <v>0</v>
          </cell>
        </row>
        <row r="7534">
          <cell r="E7534">
            <v>0</v>
          </cell>
          <cell r="F7534">
            <v>0</v>
          </cell>
          <cell r="DN7534">
            <v>0</v>
          </cell>
        </row>
        <row r="7535">
          <cell r="E7535">
            <v>0</v>
          </cell>
          <cell r="F7535">
            <v>0</v>
          </cell>
          <cell r="DN7535">
            <v>0</v>
          </cell>
        </row>
        <row r="7536">
          <cell r="E7536">
            <v>0</v>
          </cell>
          <cell r="F7536">
            <v>0</v>
          </cell>
          <cell r="DN7536">
            <v>0</v>
          </cell>
        </row>
        <row r="7537">
          <cell r="E7537">
            <v>0</v>
          </cell>
          <cell r="F7537">
            <v>0</v>
          </cell>
          <cell r="DN7537">
            <v>0</v>
          </cell>
        </row>
        <row r="7538">
          <cell r="E7538">
            <v>0</v>
          </cell>
          <cell r="F7538">
            <v>0</v>
          </cell>
          <cell r="DN7538">
            <v>0</v>
          </cell>
        </row>
        <row r="7539">
          <cell r="E7539">
            <v>0</v>
          </cell>
          <cell r="F7539">
            <v>0</v>
          </cell>
          <cell r="DN7539">
            <v>0</v>
          </cell>
        </row>
        <row r="7540">
          <cell r="E7540">
            <v>0</v>
          </cell>
          <cell r="F7540">
            <v>0</v>
          </cell>
          <cell r="DN7540">
            <v>0</v>
          </cell>
        </row>
        <row r="7541">
          <cell r="E7541">
            <v>0</v>
          </cell>
          <cell r="F7541">
            <v>0</v>
          </cell>
          <cell r="DN7541">
            <v>0</v>
          </cell>
        </row>
        <row r="7542">
          <cell r="E7542">
            <v>0</v>
          </cell>
          <cell r="F7542">
            <v>0</v>
          </cell>
          <cell r="DN7542">
            <v>0</v>
          </cell>
        </row>
        <row r="7543">
          <cell r="E7543">
            <v>0</v>
          </cell>
          <cell r="F7543">
            <v>0</v>
          </cell>
          <cell r="DN7543">
            <v>0</v>
          </cell>
        </row>
        <row r="7544">
          <cell r="E7544">
            <v>0</v>
          </cell>
          <cell r="F7544">
            <v>0</v>
          </cell>
          <cell r="DN7544">
            <v>0</v>
          </cell>
        </row>
        <row r="7545">
          <cell r="E7545">
            <v>0</v>
          </cell>
          <cell r="F7545">
            <v>0</v>
          </cell>
          <cell r="DN7545">
            <v>0</v>
          </cell>
        </row>
        <row r="7546">
          <cell r="E7546">
            <v>0</v>
          </cell>
          <cell r="F7546">
            <v>0</v>
          </cell>
          <cell r="DN7546">
            <v>0</v>
          </cell>
        </row>
        <row r="7547">
          <cell r="E7547">
            <v>0</v>
          </cell>
          <cell r="F7547">
            <v>0</v>
          </cell>
          <cell r="DN7547">
            <v>0</v>
          </cell>
        </row>
        <row r="7548">
          <cell r="E7548">
            <v>0</v>
          </cell>
          <cell r="F7548">
            <v>0</v>
          </cell>
          <cell r="DN7548">
            <v>0</v>
          </cell>
        </row>
        <row r="7549">
          <cell r="E7549">
            <v>0</v>
          </cell>
          <cell r="F7549">
            <v>0</v>
          </cell>
          <cell r="DN7549">
            <v>0</v>
          </cell>
        </row>
        <row r="7550">
          <cell r="E7550">
            <v>0</v>
          </cell>
          <cell r="F7550">
            <v>0</v>
          </cell>
          <cell r="DN7550">
            <v>0</v>
          </cell>
        </row>
        <row r="7551">
          <cell r="E7551">
            <v>0</v>
          </cell>
          <cell r="F7551">
            <v>0</v>
          </cell>
          <cell r="DN7551">
            <v>0</v>
          </cell>
        </row>
        <row r="7552">
          <cell r="E7552">
            <v>0</v>
          </cell>
          <cell r="F7552">
            <v>0</v>
          </cell>
          <cell r="DN7552">
            <v>0</v>
          </cell>
        </row>
        <row r="7553">
          <cell r="E7553">
            <v>0</v>
          </cell>
          <cell r="F7553">
            <v>0</v>
          </cell>
          <cell r="DN7553">
            <v>0</v>
          </cell>
        </row>
        <row r="7554">
          <cell r="E7554">
            <v>0</v>
          </cell>
          <cell r="F7554">
            <v>0</v>
          </cell>
          <cell r="DN7554">
            <v>0</v>
          </cell>
        </row>
        <row r="7555">
          <cell r="E7555">
            <v>0</v>
          </cell>
          <cell r="F7555">
            <v>0</v>
          </cell>
          <cell r="DN7555">
            <v>0</v>
          </cell>
        </row>
        <row r="7556">
          <cell r="E7556">
            <v>0</v>
          </cell>
          <cell r="F7556">
            <v>0</v>
          </cell>
          <cell r="DN7556">
            <v>0</v>
          </cell>
        </row>
        <row r="7557">
          <cell r="E7557">
            <v>0</v>
          </cell>
          <cell r="F7557">
            <v>0</v>
          </cell>
          <cell r="DN7557">
            <v>0</v>
          </cell>
        </row>
        <row r="7558">
          <cell r="E7558">
            <v>0</v>
          </cell>
          <cell r="F7558">
            <v>0</v>
          </cell>
          <cell r="DN7558">
            <v>0</v>
          </cell>
        </row>
        <row r="7559">
          <cell r="E7559">
            <v>0</v>
          </cell>
          <cell r="F7559">
            <v>0</v>
          </cell>
          <cell r="DN7559">
            <v>0</v>
          </cell>
        </row>
        <row r="7560">
          <cell r="E7560">
            <v>0</v>
          </cell>
          <cell r="F7560">
            <v>0</v>
          </cell>
          <cell r="DN7560">
            <v>0</v>
          </cell>
        </row>
        <row r="7561">
          <cell r="E7561">
            <v>0</v>
          </cell>
          <cell r="F7561">
            <v>0</v>
          </cell>
          <cell r="DN7561">
            <v>0</v>
          </cell>
        </row>
        <row r="7562">
          <cell r="E7562">
            <v>0</v>
          </cell>
          <cell r="F7562">
            <v>0</v>
          </cell>
          <cell r="DN7562">
            <v>0</v>
          </cell>
        </row>
        <row r="7563">
          <cell r="E7563">
            <v>0</v>
          </cell>
          <cell r="F7563">
            <v>0</v>
          </cell>
          <cell r="DN7563">
            <v>0</v>
          </cell>
        </row>
        <row r="7564">
          <cell r="E7564">
            <v>0</v>
          </cell>
          <cell r="F7564">
            <v>0</v>
          </cell>
          <cell r="DN7564">
            <v>0</v>
          </cell>
        </row>
        <row r="7565">
          <cell r="E7565">
            <v>0</v>
          </cell>
          <cell r="F7565">
            <v>0</v>
          </cell>
          <cell r="DN7565">
            <v>0</v>
          </cell>
        </row>
        <row r="7566">
          <cell r="E7566">
            <v>0</v>
          </cell>
          <cell r="F7566">
            <v>0</v>
          </cell>
          <cell r="DN7566">
            <v>0</v>
          </cell>
        </row>
        <row r="7567">
          <cell r="E7567">
            <v>0</v>
          </cell>
          <cell r="F7567">
            <v>0</v>
          </cell>
          <cell r="DN7567">
            <v>0</v>
          </cell>
        </row>
        <row r="7568">
          <cell r="E7568">
            <v>0</v>
          </cell>
          <cell r="F7568">
            <v>0</v>
          </cell>
          <cell r="DN7568">
            <v>0</v>
          </cell>
        </row>
        <row r="7569">
          <cell r="E7569">
            <v>0</v>
          </cell>
          <cell r="F7569">
            <v>0</v>
          </cell>
          <cell r="DN7569">
            <v>0</v>
          </cell>
        </row>
        <row r="7570">
          <cell r="E7570">
            <v>0</v>
          </cell>
          <cell r="F7570">
            <v>0</v>
          </cell>
          <cell r="DN7570">
            <v>0</v>
          </cell>
        </row>
        <row r="7571">
          <cell r="E7571">
            <v>0</v>
          </cell>
          <cell r="F7571">
            <v>0</v>
          </cell>
          <cell r="DN7571">
            <v>0</v>
          </cell>
        </row>
        <row r="7572">
          <cell r="E7572">
            <v>0</v>
          </cell>
          <cell r="F7572">
            <v>0</v>
          </cell>
          <cell r="DN7572">
            <v>0</v>
          </cell>
        </row>
        <row r="7573">
          <cell r="E7573">
            <v>0</v>
          </cell>
          <cell r="F7573">
            <v>0</v>
          </cell>
          <cell r="DN7573">
            <v>0</v>
          </cell>
        </row>
        <row r="7574">
          <cell r="E7574">
            <v>0</v>
          </cell>
          <cell r="F7574">
            <v>0</v>
          </cell>
          <cell r="DN7574">
            <v>0</v>
          </cell>
        </row>
        <row r="7575">
          <cell r="E7575">
            <v>0</v>
          </cell>
          <cell r="F7575">
            <v>0</v>
          </cell>
          <cell r="DN7575">
            <v>0</v>
          </cell>
        </row>
        <row r="7576">
          <cell r="E7576">
            <v>0</v>
          </cell>
          <cell r="F7576">
            <v>0</v>
          </cell>
          <cell r="DN7576">
            <v>0</v>
          </cell>
        </row>
        <row r="7577">
          <cell r="E7577">
            <v>0</v>
          </cell>
          <cell r="F7577">
            <v>0</v>
          </cell>
          <cell r="DN7577">
            <v>0</v>
          </cell>
        </row>
        <row r="7578">
          <cell r="E7578">
            <v>0</v>
          </cell>
          <cell r="F7578">
            <v>0</v>
          </cell>
          <cell r="DN7578">
            <v>0</v>
          </cell>
        </row>
        <row r="7579">
          <cell r="E7579">
            <v>0</v>
          </cell>
          <cell r="F7579">
            <v>0</v>
          </cell>
          <cell r="DN7579">
            <v>0</v>
          </cell>
        </row>
        <row r="7580">
          <cell r="E7580">
            <v>0</v>
          </cell>
          <cell r="F7580">
            <v>0</v>
          </cell>
          <cell r="DN7580">
            <v>0</v>
          </cell>
        </row>
        <row r="7581">
          <cell r="E7581">
            <v>0</v>
          </cell>
          <cell r="F7581">
            <v>0</v>
          </cell>
          <cell r="DN7581">
            <v>0</v>
          </cell>
        </row>
        <row r="7582">
          <cell r="E7582">
            <v>0</v>
          </cell>
          <cell r="F7582">
            <v>0</v>
          </cell>
          <cell r="DN7582">
            <v>0</v>
          </cell>
        </row>
        <row r="7583">
          <cell r="E7583">
            <v>0</v>
          </cell>
          <cell r="F7583">
            <v>0</v>
          </cell>
          <cell r="DN7583">
            <v>0</v>
          </cell>
        </row>
        <row r="7584">
          <cell r="E7584">
            <v>0</v>
          </cell>
          <cell r="F7584">
            <v>0</v>
          </cell>
          <cell r="DN7584">
            <v>0</v>
          </cell>
        </row>
        <row r="7585">
          <cell r="E7585">
            <v>0</v>
          </cell>
          <cell r="F7585">
            <v>0</v>
          </cell>
          <cell r="DN7585">
            <v>0</v>
          </cell>
        </row>
        <row r="7586">
          <cell r="E7586">
            <v>0</v>
          </cell>
          <cell r="F7586">
            <v>0</v>
          </cell>
          <cell r="DN7586">
            <v>0</v>
          </cell>
        </row>
        <row r="7587">
          <cell r="E7587">
            <v>0</v>
          </cell>
          <cell r="F7587">
            <v>0</v>
          </cell>
          <cell r="DN7587">
            <v>0</v>
          </cell>
        </row>
        <row r="7588">
          <cell r="E7588">
            <v>0</v>
          </cell>
          <cell r="F7588">
            <v>0</v>
          </cell>
          <cell r="DN7588">
            <v>0</v>
          </cell>
        </row>
        <row r="7589">
          <cell r="E7589">
            <v>0</v>
          </cell>
          <cell r="F7589">
            <v>0</v>
          </cell>
          <cell r="DN7589">
            <v>0</v>
          </cell>
        </row>
        <row r="7590">
          <cell r="E7590">
            <v>0</v>
          </cell>
          <cell r="F7590">
            <v>0</v>
          </cell>
          <cell r="DN7590">
            <v>0</v>
          </cell>
        </row>
        <row r="7591">
          <cell r="E7591">
            <v>0</v>
          </cell>
          <cell r="F7591">
            <v>0</v>
          </cell>
          <cell r="DN7591">
            <v>0</v>
          </cell>
        </row>
        <row r="7592">
          <cell r="E7592">
            <v>0</v>
          </cell>
          <cell r="F7592">
            <v>0</v>
          </cell>
          <cell r="DN7592">
            <v>0</v>
          </cell>
        </row>
        <row r="7593">
          <cell r="E7593">
            <v>0</v>
          </cell>
          <cell r="F7593">
            <v>0</v>
          </cell>
          <cell r="DN7593">
            <v>0</v>
          </cell>
        </row>
        <row r="7594">
          <cell r="E7594">
            <v>0</v>
          </cell>
          <cell r="F7594">
            <v>0</v>
          </cell>
          <cell r="DN7594">
            <v>0</v>
          </cell>
        </row>
        <row r="7595">
          <cell r="E7595">
            <v>0</v>
          </cell>
          <cell r="F7595">
            <v>0</v>
          </cell>
          <cell r="DN7595">
            <v>0</v>
          </cell>
        </row>
        <row r="7596">
          <cell r="E7596">
            <v>0</v>
          </cell>
          <cell r="F7596">
            <v>0</v>
          </cell>
          <cell r="DN7596">
            <v>0</v>
          </cell>
        </row>
        <row r="7597">
          <cell r="E7597">
            <v>0</v>
          </cell>
          <cell r="F7597">
            <v>0</v>
          </cell>
          <cell r="DN7597">
            <v>0</v>
          </cell>
        </row>
        <row r="7598">
          <cell r="E7598">
            <v>0</v>
          </cell>
          <cell r="F7598">
            <v>0</v>
          </cell>
          <cell r="DN7598">
            <v>0</v>
          </cell>
        </row>
        <row r="7599">
          <cell r="E7599">
            <v>0</v>
          </cell>
          <cell r="F7599">
            <v>0</v>
          </cell>
          <cell r="DN7599">
            <v>0</v>
          </cell>
        </row>
        <row r="7600">
          <cell r="E7600">
            <v>0</v>
          </cell>
          <cell r="F7600">
            <v>0</v>
          </cell>
          <cell r="DN7600">
            <v>0</v>
          </cell>
        </row>
        <row r="7601">
          <cell r="E7601">
            <v>0</v>
          </cell>
          <cell r="F7601">
            <v>0</v>
          </cell>
          <cell r="DN7601">
            <v>0</v>
          </cell>
        </row>
        <row r="7602">
          <cell r="E7602">
            <v>0</v>
          </cell>
          <cell r="F7602">
            <v>0</v>
          </cell>
          <cell r="DN7602">
            <v>0</v>
          </cell>
        </row>
        <row r="7603">
          <cell r="E7603">
            <v>0</v>
          </cell>
          <cell r="F7603">
            <v>0</v>
          </cell>
          <cell r="DN7603">
            <v>0</v>
          </cell>
        </row>
        <row r="7604">
          <cell r="E7604">
            <v>0</v>
          </cell>
          <cell r="F7604">
            <v>0</v>
          </cell>
          <cell r="DN7604">
            <v>0</v>
          </cell>
        </row>
        <row r="7605">
          <cell r="E7605">
            <v>0</v>
          </cell>
          <cell r="F7605">
            <v>0</v>
          </cell>
          <cell r="DN7605">
            <v>0</v>
          </cell>
        </row>
        <row r="7606">
          <cell r="E7606">
            <v>0</v>
          </cell>
          <cell r="F7606">
            <v>0</v>
          </cell>
          <cell r="DN7606">
            <v>0</v>
          </cell>
        </row>
        <row r="7607">
          <cell r="E7607">
            <v>0</v>
          </cell>
          <cell r="F7607">
            <v>0</v>
          </cell>
          <cell r="DN7607">
            <v>0</v>
          </cell>
        </row>
        <row r="7608">
          <cell r="E7608">
            <v>0</v>
          </cell>
          <cell r="F7608">
            <v>0</v>
          </cell>
          <cell r="DN7608">
            <v>0</v>
          </cell>
        </row>
        <row r="7609">
          <cell r="E7609">
            <v>0</v>
          </cell>
          <cell r="F7609">
            <v>0</v>
          </cell>
          <cell r="DN7609">
            <v>0</v>
          </cell>
        </row>
        <row r="7610">
          <cell r="E7610">
            <v>0</v>
          </cell>
          <cell r="F7610">
            <v>0</v>
          </cell>
          <cell r="DN7610">
            <v>0</v>
          </cell>
        </row>
        <row r="7611">
          <cell r="E7611">
            <v>0</v>
          </cell>
          <cell r="F7611">
            <v>0</v>
          </cell>
          <cell r="DN7611">
            <v>0</v>
          </cell>
        </row>
        <row r="7612">
          <cell r="E7612">
            <v>0</v>
          </cell>
          <cell r="F7612">
            <v>0</v>
          </cell>
          <cell r="DN7612">
            <v>0</v>
          </cell>
        </row>
        <row r="7613">
          <cell r="E7613">
            <v>0</v>
          </cell>
          <cell r="F7613">
            <v>0</v>
          </cell>
          <cell r="DN7613">
            <v>0</v>
          </cell>
        </row>
        <row r="7614">
          <cell r="E7614">
            <v>0</v>
          </cell>
          <cell r="F7614">
            <v>0</v>
          </cell>
          <cell r="DN7614">
            <v>0</v>
          </cell>
        </row>
        <row r="7615">
          <cell r="E7615">
            <v>0</v>
          </cell>
          <cell r="F7615">
            <v>0</v>
          </cell>
          <cell r="DN7615">
            <v>0</v>
          </cell>
        </row>
        <row r="7616">
          <cell r="E7616">
            <v>0</v>
          </cell>
          <cell r="F7616">
            <v>0</v>
          </cell>
          <cell r="DN7616">
            <v>0</v>
          </cell>
        </row>
        <row r="7617">
          <cell r="E7617">
            <v>0</v>
          </cell>
          <cell r="F7617">
            <v>0</v>
          </cell>
          <cell r="DN7617">
            <v>0</v>
          </cell>
        </row>
        <row r="7618">
          <cell r="E7618">
            <v>0</v>
          </cell>
          <cell r="F7618">
            <v>0</v>
          </cell>
          <cell r="DN7618">
            <v>0</v>
          </cell>
        </row>
        <row r="7619">
          <cell r="E7619">
            <v>0</v>
          </cell>
          <cell r="F7619">
            <v>0</v>
          </cell>
          <cell r="DN7619">
            <v>0</v>
          </cell>
        </row>
        <row r="7620">
          <cell r="E7620">
            <v>0</v>
          </cell>
          <cell r="F7620">
            <v>0</v>
          </cell>
          <cell r="DN7620">
            <v>0</v>
          </cell>
        </row>
        <row r="7621">
          <cell r="E7621">
            <v>0</v>
          </cell>
          <cell r="F7621">
            <v>0</v>
          </cell>
          <cell r="DN7621">
            <v>0</v>
          </cell>
        </row>
        <row r="7622">
          <cell r="E7622">
            <v>0</v>
          </cell>
          <cell r="F7622">
            <v>0</v>
          </cell>
          <cell r="DN7622">
            <v>0</v>
          </cell>
        </row>
        <row r="7623">
          <cell r="E7623">
            <v>0</v>
          </cell>
          <cell r="F7623">
            <v>0</v>
          </cell>
          <cell r="DN7623">
            <v>0</v>
          </cell>
        </row>
        <row r="7624">
          <cell r="E7624">
            <v>0</v>
          </cell>
          <cell r="F7624">
            <v>0</v>
          </cell>
          <cell r="DN7624">
            <v>0</v>
          </cell>
        </row>
        <row r="7625">
          <cell r="E7625">
            <v>0</v>
          </cell>
          <cell r="F7625">
            <v>0</v>
          </cell>
          <cell r="DN7625">
            <v>0</v>
          </cell>
        </row>
        <row r="7626">
          <cell r="E7626">
            <v>0</v>
          </cell>
          <cell r="F7626">
            <v>0</v>
          </cell>
          <cell r="DN7626">
            <v>0</v>
          </cell>
        </row>
        <row r="7627">
          <cell r="E7627">
            <v>0</v>
          </cell>
          <cell r="F7627">
            <v>0</v>
          </cell>
          <cell r="DN7627">
            <v>0</v>
          </cell>
        </row>
        <row r="7628">
          <cell r="E7628">
            <v>0</v>
          </cell>
          <cell r="F7628">
            <v>0</v>
          </cell>
          <cell r="DN7628">
            <v>0</v>
          </cell>
        </row>
        <row r="7629">
          <cell r="E7629">
            <v>0</v>
          </cell>
          <cell r="F7629">
            <v>0</v>
          </cell>
          <cell r="DN7629">
            <v>0</v>
          </cell>
        </row>
        <row r="7630">
          <cell r="E7630">
            <v>0</v>
          </cell>
          <cell r="F7630">
            <v>0</v>
          </cell>
          <cell r="DN7630">
            <v>0</v>
          </cell>
        </row>
        <row r="7631">
          <cell r="E7631">
            <v>0</v>
          </cell>
          <cell r="F7631">
            <v>0</v>
          </cell>
          <cell r="DN7631">
            <v>0</v>
          </cell>
        </row>
        <row r="7632">
          <cell r="E7632">
            <v>0</v>
          </cell>
          <cell r="F7632">
            <v>0</v>
          </cell>
          <cell r="DN7632">
            <v>0</v>
          </cell>
        </row>
        <row r="7633">
          <cell r="E7633">
            <v>0</v>
          </cell>
          <cell r="F7633">
            <v>0</v>
          </cell>
          <cell r="DN7633">
            <v>0</v>
          </cell>
        </row>
        <row r="7634">
          <cell r="E7634">
            <v>0</v>
          </cell>
          <cell r="F7634">
            <v>0</v>
          </cell>
          <cell r="DN7634">
            <v>0</v>
          </cell>
        </row>
        <row r="7635">
          <cell r="E7635">
            <v>0</v>
          </cell>
          <cell r="F7635">
            <v>0</v>
          </cell>
          <cell r="DN7635">
            <v>0</v>
          </cell>
        </row>
        <row r="7636">
          <cell r="E7636">
            <v>0</v>
          </cell>
          <cell r="F7636">
            <v>0</v>
          </cell>
          <cell r="DN7636">
            <v>0</v>
          </cell>
        </row>
        <row r="7637">
          <cell r="E7637">
            <v>0</v>
          </cell>
          <cell r="F7637">
            <v>0</v>
          </cell>
          <cell r="DN7637">
            <v>0</v>
          </cell>
        </row>
        <row r="7638">
          <cell r="E7638">
            <v>0</v>
          </cell>
          <cell r="F7638">
            <v>0</v>
          </cell>
          <cell r="DN7638">
            <v>0</v>
          </cell>
        </row>
        <row r="7639">
          <cell r="E7639">
            <v>0</v>
          </cell>
          <cell r="F7639">
            <v>0</v>
          </cell>
          <cell r="DN7639">
            <v>0</v>
          </cell>
        </row>
        <row r="7640">
          <cell r="E7640">
            <v>0</v>
          </cell>
          <cell r="F7640">
            <v>0</v>
          </cell>
          <cell r="DN7640">
            <v>0</v>
          </cell>
        </row>
        <row r="7641">
          <cell r="E7641">
            <v>0</v>
          </cell>
          <cell r="F7641">
            <v>0</v>
          </cell>
          <cell r="DN7641">
            <v>0</v>
          </cell>
        </row>
        <row r="7642">
          <cell r="E7642">
            <v>0</v>
          </cell>
          <cell r="F7642">
            <v>0</v>
          </cell>
          <cell r="DN7642">
            <v>0</v>
          </cell>
        </row>
        <row r="7643">
          <cell r="E7643">
            <v>0</v>
          </cell>
          <cell r="F7643">
            <v>0</v>
          </cell>
          <cell r="DN7643">
            <v>0</v>
          </cell>
        </row>
        <row r="7644">
          <cell r="E7644">
            <v>0</v>
          </cell>
          <cell r="F7644">
            <v>0</v>
          </cell>
          <cell r="DN7644">
            <v>0</v>
          </cell>
        </row>
        <row r="7645">
          <cell r="E7645">
            <v>0</v>
          </cell>
          <cell r="F7645">
            <v>0</v>
          </cell>
          <cell r="DN7645">
            <v>0</v>
          </cell>
        </row>
        <row r="7646">
          <cell r="E7646">
            <v>0</v>
          </cell>
          <cell r="F7646">
            <v>0</v>
          </cell>
          <cell r="DN7646">
            <v>0</v>
          </cell>
        </row>
        <row r="7647">
          <cell r="E7647">
            <v>0</v>
          </cell>
          <cell r="F7647">
            <v>0</v>
          </cell>
          <cell r="DN7647">
            <v>0</v>
          </cell>
        </row>
        <row r="7648">
          <cell r="E7648">
            <v>0</v>
          </cell>
          <cell r="F7648">
            <v>0</v>
          </cell>
          <cell r="DN7648">
            <v>0</v>
          </cell>
        </row>
        <row r="7649">
          <cell r="E7649">
            <v>0</v>
          </cell>
          <cell r="F7649">
            <v>0</v>
          </cell>
          <cell r="DN7649">
            <v>0</v>
          </cell>
        </row>
        <row r="7650">
          <cell r="E7650">
            <v>0</v>
          </cell>
          <cell r="F7650">
            <v>0</v>
          </cell>
          <cell r="DN7650">
            <v>0</v>
          </cell>
        </row>
        <row r="7651">
          <cell r="E7651">
            <v>0</v>
          </cell>
          <cell r="F7651">
            <v>0</v>
          </cell>
          <cell r="DN7651">
            <v>0</v>
          </cell>
        </row>
        <row r="7652">
          <cell r="E7652">
            <v>0</v>
          </cell>
          <cell r="F7652">
            <v>0</v>
          </cell>
          <cell r="DN7652">
            <v>0</v>
          </cell>
        </row>
        <row r="7653">
          <cell r="E7653">
            <v>0</v>
          </cell>
          <cell r="F7653">
            <v>0</v>
          </cell>
          <cell r="DN7653">
            <v>0</v>
          </cell>
        </row>
        <row r="7654">
          <cell r="E7654">
            <v>0</v>
          </cell>
          <cell r="F7654">
            <v>0</v>
          </cell>
          <cell r="DN7654">
            <v>0</v>
          </cell>
        </row>
        <row r="7655">
          <cell r="E7655">
            <v>0</v>
          </cell>
          <cell r="F7655">
            <v>0</v>
          </cell>
          <cell r="DN7655">
            <v>0</v>
          </cell>
        </row>
        <row r="7656">
          <cell r="E7656">
            <v>0</v>
          </cell>
          <cell r="F7656">
            <v>0</v>
          </cell>
          <cell r="DN7656">
            <v>0</v>
          </cell>
        </row>
        <row r="7657">
          <cell r="E7657">
            <v>0</v>
          </cell>
          <cell r="F7657">
            <v>0</v>
          </cell>
          <cell r="DN7657">
            <v>0</v>
          </cell>
        </row>
        <row r="7658">
          <cell r="E7658">
            <v>0</v>
          </cell>
          <cell r="F7658">
            <v>0</v>
          </cell>
          <cell r="DN7658">
            <v>0</v>
          </cell>
        </row>
        <row r="7659">
          <cell r="E7659">
            <v>0</v>
          </cell>
          <cell r="F7659">
            <v>0</v>
          </cell>
          <cell r="DN7659">
            <v>0</v>
          </cell>
        </row>
        <row r="7660">
          <cell r="E7660">
            <v>0</v>
          </cell>
          <cell r="F7660">
            <v>0</v>
          </cell>
          <cell r="DN7660">
            <v>0</v>
          </cell>
        </row>
        <row r="7661">
          <cell r="E7661">
            <v>0</v>
          </cell>
          <cell r="F7661">
            <v>0</v>
          </cell>
          <cell r="DN7661">
            <v>0</v>
          </cell>
        </row>
        <row r="7662">
          <cell r="E7662">
            <v>0</v>
          </cell>
          <cell r="F7662">
            <v>0</v>
          </cell>
          <cell r="DN7662">
            <v>0</v>
          </cell>
        </row>
        <row r="7663">
          <cell r="E7663">
            <v>0</v>
          </cell>
          <cell r="F7663">
            <v>0</v>
          </cell>
          <cell r="DN7663">
            <v>0</v>
          </cell>
        </row>
        <row r="7664">
          <cell r="E7664">
            <v>0</v>
          </cell>
          <cell r="F7664">
            <v>0</v>
          </cell>
          <cell r="DN7664">
            <v>0</v>
          </cell>
        </row>
        <row r="7665">
          <cell r="E7665">
            <v>0</v>
          </cell>
          <cell r="F7665">
            <v>0</v>
          </cell>
          <cell r="DN7665">
            <v>0</v>
          </cell>
        </row>
        <row r="7666">
          <cell r="E7666">
            <v>0</v>
          </cell>
          <cell r="F7666">
            <v>0</v>
          </cell>
          <cell r="DN7666">
            <v>0</v>
          </cell>
        </row>
        <row r="7667">
          <cell r="E7667">
            <v>0</v>
          </cell>
          <cell r="F7667">
            <v>0</v>
          </cell>
          <cell r="DN7667">
            <v>0</v>
          </cell>
        </row>
        <row r="7668">
          <cell r="E7668">
            <v>0</v>
          </cell>
          <cell r="F7668">
            <v>0</v>
          </cell>
          <cell r="DN7668">
            <v>0</v>
          </cell>
        </row>
        <row r="7669">
          <cell r="E7669">
            <v>0</v>
          </cell>
          <cell r="F7669">
            <v>0</v>
          </cell>
          <cell r="DN7669">
            <v>0</v>
          </cell>
        </row>
        <row r="7670">
          <cell r="E7670">
            <v>0</v>
          </cell>
          <cell r="F7670">
            <v>0</v>
          </cell>
          <cell r="DN7670">
            <v>0</v>
          </cell>
        </row>
        <row r="7671">
          <cell r="E7671">
            <v>0</v>
          </cell>
          <cell r="F7671">
            <v>0</v>
          </cell>
          <cell r="DN7671">
            <v>0</v>
          </cell>
        </row>
        <row r="7672">
          <cell r="E7672">
            <v>0</v>
          </cell>
          <cell r="F7672">
            <v>0</v>
          </cell>
          <cell r="DN7672">
            <v>0</v>
          </cell>
        </row>
        <row r="7673">
          <cell r="E7673">
            <v>0</v>
          </cell>
          <cell r="F7673">
            <v>0</v>
          </cell>
          <cell r="DN7673">
            <v>0</v>
          </cell>
        </row>
        <row r="7674">
          <cell r="E7674">
            <v>0</v>
          </cell>
          <cell r="F7674">
            <v>0</v>
          </cell>
          <cell r="DN7674">
            <v>0</v>
          </cell>
        </row>
        <row r="7675">
          <cell r="E7675">
            <v>0</v>
          </cell>
          <cell r="F7675">
            <v>0</v>
          </cell>
          <cell r="DN7675">
            <v>0</v>
          </cell>
        </row>
        <row r="7676">
          <cell r="E7676">
            <v>0</v>
          </cell>
          <cell r="F7676">
            <v>0</v>
          </cell>
          <cell r="DN7676">
            <v>0</v>
          </cell>
        </row>
        <row r="7677">
          <cell r="E7677">
            <v>0</v>
          </cell>
          <cell r="F7677">
            <v>0</v>
          </cell>
          <cell r="DN7677">
            <v>0</v>
          </cell>
        </row>
        <row r="7678">
          <cell r="E7678">
            <v>0</v>
          </cell>
          <cell r="F7678">
            <v>0</v>
          </cell>
          <cell r="DN7678">
            <v>0</v>
          </cell>
        </row>
        <row r="7679">
          <cell r="E7679">
            <v>0</v>
          </cell>
          <cell r="F7679">
            <v>0</v>
          </cell>
          <cell r="DN7679">
            <v>0</v>
          </cell>
        </row>
        <row r="7680">
          <cell r="E7680">
            <v>0</v>
          </cell>
          <cell r="F7680">
            <v>0</v>
          </cell>
          <cell r="DN7680">
            <v>0</v>
          </cell>
        </row>
        <row r="7681">
          <cell r="E7681">
            <v>0</v>
          </cell>
          <cell r="F7681">
            <v>0</v>
          </cell>
          <cell r="DN7681">
            <v>0</v>
          </cell>
        </row>
        <row r="7682">
          <cell r="E7682">
            <v>0</v>
          </cell>
          <cell r="F7682">
            <v>0</v>
          </cell>
          <cell r="DN7682">
            <v>0</v>
          </cell>
        </row>
        <row r="7683">
          <cell r="E7683">
            <v>0</v>
          </cell>
          <cell r="F7683">
            <v>0</v>
          </cell>
          <cell r="DN7683">
            <v>0</v>
          </cell>
        </row>
        <row r="7684">
          <cell r="E7684">
            <v>0</v>
          </cell>
          <cell r="F7684">
            <v>0</v>
          </cell>
          <cell r="DN7684">
            <v>0</v>
          </cell>
        </row>
        <row r="7685">
          <cell r="E7685">
            <v>0</v>
          </cell>
          <cell r="F7685">
            <v>0</v>
          </cell>
          <cell r="DN7685">
            <v>0</v>
          </cell>
        </row>
        <row r="7686">
          <cell r="E7686">
            <v>0</v>
          </cell>
          <cell r="F7686">
            <v>0</v>
          </cell>
          <cell r="DN7686">
            <v>0</v>
          </cell>
        </row>
        <row r="7687">
          <cell r="E7687">
            <v>0</v>
          </cell>
          <cell r="F7687">
            <v>0</v>
          </cell>
          <cell r="DN7687">
            <v>0</v>
          </cell>
        </row>
        <row r="7688">
          <cell r="E7688">
            <v>0</v>
          </cell>
          <cell r="F7688">
            <v>0</v>
          </cell>
          <cell r="DN7688">
            <v>0</v>
          </cell>
        </row>
        <row r="7689">
          <cell r="E7689">
            <v>0</v>
          </cell>
          <cell r="F7689">
            <v>0</v>
          </cell>
          <cell r="DN7689">
            <v>0</v>
          </cell>
        </row>
        <row r="7690">
          <cell r="E7690">
            <v>0</v>
          </cell>
          <cell r="F7690">
            <v>0</v>
          </cell>
          <cell r="DN7690">
            <v>0</v>
          </cell>
        </row>
        <row r="7691">
          <cell r="E7691">
            <v>0</v>
          </cell>
          <cell r="F7691">
            <v>0</v>
          </cell>
          <cell r="DN7691">
            <v>0</v>
          </cell>
        </row>
        <row r="7692">
          <cell r="E7692">
            <v>0</v>
          </cell>
          <cell r="F7692">
            <v>0</v>
          </cell>
          <cell r="DN7692">
            <v>0</v>
          </cell>
        </row>
        <row r="7693">
          <cell r="E7693">
            <v>0</v>
          </cell>
          <cell r="F7693">
            <v>0</v>
          </cell>
          <cell r="DN7693">
            <v>0</v>
          </cell>
        </row>
        <row r="7694">
          <cell r="E7694">
            <v>0</v>
          </cell>
          <cell r="F7694">
            <v>0</v>
          </cell>
          <cell r="DN7694">
            <v>0</v>
          </cell>
        </row>
        <row r="7695">
          <cell r="E7695">
            <v>0</v>
          </cell>
          <cell r="F7695">
            <v>0</v>
          </cell>
          <cell r="DN7695">
            <v>0</v>
          </cell>
        </row>
        <row r="7696">
          <cell r="E7696">
            <v>0</v>
          </cell>
          <cell r="F7696">
            <v>0</v>
          </cell>
          <cell r="DN7696">
            <v>0</v>
          </cell>
        </row>
        <row r="7697">
          <cell r="E7697">
            <v>0</v>
          </cell>
          <cell r="F7697">
            <v>0</v>
          </cell>
          <cell r="DN7697">
            <v>0</v>
          </cell>
        </row>
        <row r="7698">
          <cell r="E7698">
            <v>0</v>
          </cell>
          <cell r="F7698">
            <v>0</v>
          </cell>
          <cell r="DN7698">
            <v>0</v>
          </cell>
        </row>
        <row r="7699">
          <cell r="E7699">
            <v>0</v>
          </cell>
          <cell r="F7699">
            <v>0</v>
          </cell>
          <cell r="DN7699">
            <v>0</v>
          </cell>
        </row>
        <row r="7700">
          <cell r="E7700">
            <v>0</v>
          </cell>
          <cell r="F7700">
            <v>0</v>
          </cell>
          <cell r="DN7700">
            <v>0</v>
          </cell>
        </row>
        <row r="7701">
          <cell r="E7701">
            <v>0</v>
          </cell>
          <cell r="F7701">
            <v>0</v>
          </cell>
          <cell r="DN7701">
            <v>0</v>
          </cell>
        </row>
        <row r="7702">
          <cell r="E7702">
            <v>0</v>
          </cell>
          <cell r="F7702">
            <v>0</v>
          </cell>
          <cell r="DN7702">
            <v>0</v>
          </cell>
        </row>
        <row r="7703">
          <cell r="E7703">
            <v>0</v>
          </cell>
          <cell r="F7703">
            <v>0</v>
          </cell>
          <cell r="DN7703">
            <v>0</v>
          </cell>
        </row>
        <row r="7704">
          <cell r="E7704">
            <v>0</v>
          </cell>
          <cell r="F7704">
            <v>0</v>
          </cell>
          <cell r="DN7704">
            <v>0</v>
          </cell>
        </row>
        <row r="7705">
          <cell r="E7705">
            <v>0</v>
          </cell>
          <cell r="F7705">
            <v>0</v>
          </cell>
          <cell r="DN7705">
            <v>0</v>
          </cell>
        </row>
        <row r="7706">
          <cell r="E7706">
            <v>0</v>
          </cell>
          <cell r="F7706">
            <v>0</v>
          </cell>
          <cell r="DN7706">
            <v>0</v>
          </cell>
        </row>
        <row r="7707">
          <cell r="E7707">
            <v>0</v>
          </cell>
          <cell r="F7707">
            <v>0</v>
          </cell>
          <cell r="DN7707">
            <v>0</v>
          </cell>
        </row>
        <row r="7708">
          <cell r="E7708">
            <v>0</v>
          </cell>
          <cell r="F7708">
            <v>0</v>
          </cell>
          <cell r="DN7708">
            <v>0</v>
          </cell>
        </row>
        <row r="7709">
          <cell r="E7709">
            <v>0</v>
          </cell>
          <cell r="F7709">
            <v>0</v>
          </cell>
          <cell r="DN7709">
            <v>0</v>
          </cell>
        </row>
        <row r="7710">
          <cell r="E7710">
            <v>0</v>
          </cell>
          <cell r="F7710">
            <v>0</v>
          </cell>
          <cell r="DN7710">
            <v>0</v>
          </cell>
        </row>
        <row r="7711">
          <cell r="E7711">
            <v>0</v>
          </cell>
          <cell r="F7711">
            <v>0</v>
          </cell>
          <cell r="DN7711">
            <v>0</v>
          </cell>
        </row>
        <row r="7712">
          <cell r="E7712">
            <v>0</v>
          </cell>
          <cell r="F7712">
            <v>0</v>
          </cell>
          <cell r="DN7712">
            <v>0</v>
          </cell>
        </row>
        <row r="7713">
          <cell r="E7713">
            <v>0</v>
          </cell>
          <cell r="F7713">
            <v>0</v>
          </cell>
          <cell r="DN7713">
            <v>0</v>
          </cell>
        </row>
        <row r="7714">
          <cell r="E7714">
            <v>0</v>
          </cell>
          <cell r="F7714">
            <v>0</v>
          </cell>
          <cell r="DN7714">
            <v>0</v>
          </cell>
        </row>
        <row r="7715">
          <cell r="E7715">
            <v>0</v>
          </cell>
          <cell r="F7715">
            <v>0</v>
          </cell>
          <cell r="DN7715">
            <v>0</v>
          </cell>
        </row>
        <row r="7716">
          <cell r="E7716">
            <v>0</v>
          </cell>
          <cell r="F7716">
            <v>0</v>
          </cell>
          <cell r="DN7716">
            <v>0</v>
          </cell>
        </row>
        <row r="7717">
          <cell r="E7717">
            <v>0</v>
          </cell>
          <cell r="F7717">
            <v>0</v>
          </cell>
          <cell r="DN7717">
            <v>0</v>
          </cell>
        </row>
        <row r="7718">
          <cell r="E7718">
            <v>0</v>
          </cell>
          <cell r="F7718">
            <v>0</v>
          </cell>
          <cell r="DN7718">
            <v>0</v>
          </cell>
        </row>
        <row r="7719">
          <cell r="E7719">
            <v>0</v>
          </cell>
          <cell r="F7719">
            <v>0</v>
          </cell>
          <cell r="DN7719">
            <v>0</v>
          </cell>
        </row>
        <row r="7720">
          <cell r="E7720">
            <v>0</v>
          </cell>
          <cell r="F7720">
            <v>0</v>
          </cell>
          <cell r="DN7720">
            <v>0</v>
          </cell>
        </row>
        <row r="7721">
          <cell r="E7721">
            <v>0</v>
          </cell>
          <cell r="F7721">
            <v>0</v>
          </cell>
          <cell r="DN7721">
            <v>0</v>
          </cell>
        </row>
        <row r="7722">
          <cell r="E7722">
            <v>0</v>
          </cell>
          <cell r="F7722">
            <v>0</v>
          </cell>
          <cell r="DN7722">
            <v>0</v>
          </cell>
        </row>
        <row r="7723">
          <cell r="E7723">
            <v>0</v>
          </cell>
          <cell r="F7723">
            <v>0</v>
          </cell>
          <cell r="DN7723">
            <v>0</v>
          </cell>
        </row>
        <row r="7724">
          <cell r="E7724">
            <v>0</v>
          </cell>
          <cell r="F7724">
            <v>0</v>
          </cell>
          <cell r="DN7724">
            <v>0</v>
          </cell>
        </row>
        <row r="7725">
          <cell r="E7725">
            <v>0</v>
          </cell>
          <cell r="F7725">
            <v>0</v>
          </cell>
          <cell r="DN7725">
            <v>0</v>
          </cell>
        </row>
        <row r="7726">
          <cell r="E7726">
            <v>0</v>
          </cell>
          <cell r="F7726">
            <v>0</v>
          </cell>
          <cell r="DN7726">
            <v>0</v>
          </cell>
        </row>
        <row r="7727">
          <cell r="E7727">
            <v>0</v>
          </cell>
          <cell r="F7727">
            <v>0</v>
          </cell>
          <cell r="DN7727">
            <v>0</v>
          </cell>
        </row>
        <row r="7728">
          <cell r="E7728">
            <v>0</v>
          </cell>
          <cell r="F7728">
            <v>0</v>
          </cell>
          <cell r="DN7728">
            <v>0</v>
          </cell>
        </row>
        <row r="7729">
          <cell r="E7729">
            <v>0</v>
          </cell>
          <cell r="F7729">
            <v>0</v>
          </cell>
          <cell r="DN7729">
            <v>0</v>
          </cell>
        </row>
        <row r="7730">
          <cell r="E7730">
            <v>0</v>
          </cell>
          <cell r="F7730">
            <v>0</v>
          </cell>
          <cell r="DN7730">
            <v>0</v>
          </cell>
        </row>
        <row r="7731">
          <cell r="E7731">
            <v>0</v>
          </cell>
          <cell r="F7731">
            <v>0</v>
          </cell>
          <cell r="DN7731">
            <v>0</v>
          </cell>
        </row>
        <row r="7732">
          <cell r="E7732">
            <v>0</v>
          </cell>
          <cell r="F7732">
            <v>0</v>
          </cell>
          <cell r="DN7732">
            <v>0</v>
          </cell>
        </row>
        <row r="7733">
          <cell r="E7733">
            <v>0</v>
          </cell>
          <cell r="F7733">
            <v>0</v>
          </cell>
          <cell r="DN7733">
            <v>0</v>
          </cell>
        </row>
        <row r="7734">
          <cell r="E7734">
            <v>0</v>
          </cell>
          <cell r="F7734">
            <v>0</v>
          </cell>
          <cell r="DN7734">
            <v>0</v>
          </cell>
        </row>
        <row r="7735">
          <cell r="E7735">
            <v>0</v>
          </cell>
          <cell r="F7735">
            <v>0</v>
          </cell>
          <cell r="DN7735">
            <v>0</v>
          </cell>
        </row>
        <row r="7736">
          <cell r="E7736">
            <v>0</v>
          </cell>
          <cell r="F7736">
            <v>0</v>
          </cell>
          <cell r="DN7736">
            <v>0</v>
          </cell>
        </row>
        <row r="7737">
          <cell r="E7737">
            <v>0</v>
          </cell>
          <cell r="F7737">
            <v>0</v>
          </cell>
          <cell r="DN7737">
            <v>0</v>
          </cell>
        </row>
        <row r="7738">
          <cell r="E7738">
            <v>0</v>
          </cell>
          <cell r="F7738">
            <v>0</v>
          </cell>
          <cell r="DN7738">
            <v>0</v>
          </cell>
        </row>
        <row r="7739">
          <cell r="E7739">
            <v>0</v>
          </cell>
          <cell r="F7739">
            <v>0</v>
          </cell>
          <cell r="DN7739">
            <v>0</v>
          </cell>
        </row>
        <row r="7740">
          <cell r="E7740">
            <v>0</v>
          </cell>
          <cell r="F7740">
            <v>0</v>
          </cell>
          <cell r="DN7740">
            <v>0</v>
          </cell>
        </row>
        <row r="7741">
          <cell r="E7741">
            <v>0</v>
          </cell>
          <cell r="F7741">
            <v>0</v>
          </cell>
          <cell r="DN7741">
            <v>0</v>
          </cell>
        </row>
        <row r="7742">
          <cell r="E7742">
            <v>0</v>
          </cell>
          <cell r="F7742">
            <v>0</v>
          </cell>
          <cell r="DN7742">
            <v>0</v>
          </cell>
        </row>
        <row r="7743">
          <cell r="E7743">
            <v>0</v>
          </cell>
          <cell r="F7743">
            <v>0</v>
          </cell>
          <cell r="DN7743">
            <v>0</v>
          </cell>
        </row>
        <row r="7744">
          <cell r="E7744">
            <v>0</v>
          </cell>
          <cell r="F7744">
            <v>0</v>
          </cell>
          <cell r="DN7744">
            <v>0</v>
          </cell>
        </row>
        <row r="7745">
          <cell r="E7745">
            <v>0</v>
          </cell>
          <cell r="F7745">
            <v>0</v>
          </cell>
          <cell r="DN7745">
            <v>0</v>
          </cell>
        </row>
        <row r="7746">
          <cell r="E7746">
            <v>0</v>
          </cell>
          <cell r="F7746">
            <v>0</v>
          </cell>
          <cell r="DN7746">
            <v>0</v>
          </cell>
        </row>
        <row r="7747">
          <cell r="E7747">
            <v>0</v>
          </cell>
          <cell r="F7747">
            <v>0</v>
          </cell>
          <cell r="DN7747">
            <v>0</v>
          </cell>
        </row>
        <row r="7748">
          <cell r="E7748">
            <v>0</v>
          </cell>
          <cell r="F7748">
            <v>0</v>
          </cell>
          <cell r="DN7748">
            <v>0</v>
          </cell>
        </row>
        <row r="7749">
          <cell r="E7749">
            <v>0</v>
          </cell>
          <cell r="F7749">
            <v>0</v>
          </cell>
          <cell r="DN7749">
            <v>0</v>
          </cell>
        </row>
        <row r="7750">
          <cell r="E7750">
            <v>0</v>
          </cell>
          <cell r="F7750">
            <v>0</v>
          </cell>
          <cell r="DN7750">
            <v>0</v>
          </cell>
        </row>
        <row r="7751">
          <cell r="E7751">
            <v>0</v>
          </cell>
          <cell r="F7751">
            <v>0</v>
          </cell>
          <cell r="DN7751">
            <v>0</v>
          </cell>
        </row>
        <row r="7752">
          <cell r="E7752">
            <v>0</v>
          </cell>
          <cell r="F7752">
            <v>0</v>
          </cell>
          <cell r="DN7752">
            <v>0</v>
          </cell>
        </row>
        <row r="7753">
          <cell r="E7753">
            <v>0</v>
          </cell>
          <cell r="F7753">
            <v>0</v>
          </cell>
          <cell r="DN7753">
            <v>0</v>
          </cell>
        </row>
        <row r="7754">
          <cell r="E7754">
            <v>0</v>
          </cell>
          <cell r="F7754">
            <v>0</v>
          </cell>
          <cell r="DN7754">
            <v>0</v>
          </cell>
        </row>
        <row r="7755">
          <cell r="E7755">
            <v>0</v>
          </cell>
          <cell r="F7755">
            <v>0</v>
          </cell>
          <cell r="DN7755">
            <v>0</v>
          </cell>
        </row>
        <row r="7756">
          <cell r="E7756">
            <v>0</v>
          </cell>
          <cell r="F7756">
            <v>0</v>
          </cell>
          <cell r="DN7756">
            <v>0</v>
          </cell>
        </row>
        <row r="7757">
          <cell r="E7757">
            <v>0</v>
          </cell>
          <cell r="F7757">
            <v>0</v>
          </cell>
          <cell r="DN7757">
            <v>0</v>
          </cell>
        </row>
        <row r="7758">
          <cell r="E7758">
            <v>0</v>
          </cell>
          <cell r="F7758">
            <v>0</v>
          </cell>
          <cell r="DN7758">
            <v>0</v>
          </cell>
        </row>
        <row r="7759">
          <cell r="E7759">
            <v>0</v>
          </cell>
          <cell r="F7759">
            <v>0</v>
          </cell>
          <cell r="DN7759">
            <v>0</v>
          </cell>
        </row>
        <row r="7760">
          <cell r="E7760">
            <v>0</v>
          </cell>
          <cell r="F7760">
            <v>0</v>
          </cell>
          <cell r="DN7760">
            <v>0</v>
          </cell>
        </row>
        <row r="7761">
          <cell r="E7761">
            <v>0</v>
          </cell>
          <cell r="F7761">
            <v>0</v>
          </cell>
          <cell r="DN7761">
            <v>0</v>
          </cell>
        </row>
        <row r="7762">
          <cell r="E7762">
            <v>0</v>
          </cell>
          <cell r="F7762">
            <v>0</v>
          </cell>
          <cell r="DN7762">
            <v>0</v>
          </cell>
        </row>
        <row r="7763">
          <cell r="E7763">
            <v>0</v>
          </cell>
          <cell r="F7763">
            <v>0</v>
          </cell>
          <cell r="DN7763">
            <v>0</v>
          </cell>
        </row>
        <row r="7764">
          <cell r="E7764">
            <v>0</v>
          </cell>
          <cell r="F7764">
            <v>0</v>
          </cell>
          <cell r="DN7764">
            <v>0</v>
          </cell>
        </row>
        <row r="7765">
          <cell r="E7765">
            <v>0</v>
          </cell>
          <cell r="F7765">
            <v>0</v>
          </cell>
          <cell r="DN7765">
            <v>0</v>
          </cell>
        </row>
        <row r="7766">
          <cell r="E7766">
            <v>0</v>
          </cell>
          <cell r="F7766">
            <v>0</v>
          </cell>
          <cell r="DN7766">
            <v>0</v>
          </cell>
        </row>
        <row r="7767">
          <cell r="E7767">
            <v>0</v>
          </cell>
          <cell r="F7767">
            <v>0</v>
          </cell>
          <cell r="DN7767">
            <v>0</v>
          </cell>
        </row>
        <row r="7768">
          <cell r="E7768">
            <v>0</v>
          </cell>
          <cell r="F7768">
            <v>0</v>
          </cell>
          <cell r="DN7768">
            <v>0</v>
          </cell>
        </row>
        <row r="7769">
          <cell r="E7769">
            <v>0</v>
          </cell>
          <cell r="F7769">
            <v>0</v>
          </cell>
          <cell r="DN7769">
            <v>0</v>
          </cell>
        </row>
        <row r="7770">
          <cell r="E7770">
            <v>0</v>
          </cell>
          <cell r="F7770">
            <v>0</v>
          </cell>
          <cell r="DN7770">
            <v>0</v>
          </cell>
        </row>
        <row r="7771">
          <cell r="E7771">
            <v>0</v>
          </cell>
          <cell r="F7771">
            <v>0</v>
          </cell>
          <cell r="DN7771">
            <v>0</v>
          </cell>
        </row>
        <row r="7772">
          <cell r="E7772">
            <v>0</v>
          </cell>
          <cell r="F7772">
            <v>0</v>
          </cell>
          <cell r="DN7772">
            <v>0</v>
          </cell>
        </row>
        <row r="7773">
          <cell r="E7773">
            <v>0</v>
          </cell>
          <cell r="F7773">
            <v>0</v>
          </cell>
          <cell r="DN7773">
            <v>0</v>
          </cell>
        </row>
        <row r="7774">
          <cell r="E7774">
            <v>0</v>
          </cell>
          <cell r="F7774">
            <v>0</v>
          </cell>
          <cell r="DN7774">
            <v>0</v>
          </cell>
        </row>
        <row r="7775">
          <cell r="E7775">
            <v>0</v>
          </cell>
          <cell r="F7775">
            <v>0</v>
          </cell>
          <cell r="DN7775">
            <v>0</v>
          </cell>
        </row>
        <row r="7776">
          <cell r="E7776">
            <v>0</v>
          </cell>
          <cell r="F7776">
            <v>0</v>
          </cell>
          <cell r="DN7776">
            <v>0</v>
          </cell>
        </row>
        <row r="7777">
          <cell r="E7777">
            <v>0</v>
          </cell>
          <cell r="F7777">
            <v>0</v>
          </cell>
          <cell r="DN7777">
            <v>0</v>
          </cell>
        </row>
        <row r="7778">
          <cell r="E7778">
            <v>0</v>
          </cell>
          <cell r="F7778">
            <v>0</v>
          </cell>
          <cell r="DN7778">
            <v>0</v>
          </cell>
        </row>
        <row r="7779">
          <cell r="E7779">
            <v>0</v>
          </cell>
          <cell r="F7779">
            <v>0</v>
          </cell>
          <cell r="DN7779">
            <v>0</v>
          </cell>
        </row>
        <row r="7780">
          <cell r="E7780">
            <v>0</v>
          </cell>
          <cell r="F7780">
            <v>0</v>
          </cell>
          <cell r="DN7780">
            <v>0</v>
          </cell>
        </row>
        <row r="7781">
          <cell r="E7781">
            <v>0</v>
          </cell>
          <cell r="F7781">
            <v>0</v>
          </cell>
          <cell r="DN7781">
            <v>0</v>
          </cell>
        </row>
        <row r="7782">
          <cell r="E7782">
            <v>0</v>
          </cell>
          <cell r="F7782">
            <v>0</v>
          </cell>
          <cell r="DN7782">
            <v>0</v>
          </cell>
        </row>
        <row r="7783">
          <cell r="E7783">
            <v>0</v>
          </cell>
          <cell r="F7783">
            <v>0</v>
          </cell>
          <cell r="DN7783">
            <v>0</v>
          </cell>
        </row>
        <row r="7784">
          <cell r="E7784">
            <v>0</v>
          </cell>
          <cell r="F7784">
            <v>0</v>
          </cell>
          <cell r="DN7784">
            <v>0</v>
          </cell>
        </row>
        <row r="7785">
          <cell r="E7785">
            <v>0</v>
          </cell>
          <cell r="F7785">
            <v>0</v>
          </cell>
          <cell r="DN7785">
            <v>0</v>
          </cell>
        </row>
        <row r="7786">
          <cell r="E7786">
            <v>0</v>
          </cell>
          <cell r="F7786">
            <v>0</v>
          </cell>
          <cell r="DN7786">
            <v>0</v>
          </cell>
        </row>
        <row r="7787">
          <cell r="E7787">
            <v>0</v>
          </cell>
          <cell r="F7787">
            <v>0</v>
          </cell>
          <cell r="DN7787">
            <v>0</v>
          </cell>
        </row>
        <row r="7788">
          <cell r="E7788">
            <v>0</v>
          </cell>
          <cell r="F7788">
            <v>0</v>
          </cell>
          <cell r="DN7788">
            <v>0</v>
          </cell>
        </row>
        <row r="7789">
          <cell r="E7789">
            <v>0</v>
          </cell>
          <cell r="F7789">
            <v>0</v>
          </cell>
          <cell r="DN7789">
            <v>0</v>
          </cell>
        </row>
        <row r="7790">
          <cell r="E7790">
            <v>0</v>
          </cell>
          <cell r="F7790">
            <v>0</v>
          </cell>
          <cell r="DN7790">
            <v>0</v>
          </cell>
        </row>
        <row r="7791">
          <cell r="E7791">
            <v>0</v>
          </cell>
          <cell r="F7791">
            <v>0</v>
          </cell>
          <cell r="DN7791">
            <v>0</v>
          </cell>
        </row>
        <row r="7792">
          <cell r="E7792">
            <v>0</v>
          </cell>
          <cell r="F7792">
            <v>0</v>
          </cell>
          <cell r="DN7792">
            <v>0</v>
          </cell>
        </row>
        <row r="7793">
          <cell r="E7793">
            <v>0</v>
          </cell>
          <cell r="F7793">
            <v>0</v>
          </cell>
          <cell r="DN7793">
            <v>0</v>
          </cell>
        </row>
        <row r="7794">
          <cell r="E7794">
            <v>0</v>
          </cell>
          <cell r="F7794">
            <v>0</v>
          </cell>
          <cell r="DN7794">
            <v>0</v>
          </cell>
        </row>
        <row r="7795">
          <cell r="E7795">
            <v>0</v>
          </cell>
          <cell r="F7795">
            <v>0</v>
          </cell>
          <cell r="DN7795">
            <v>0</v>
          </cell>
        </row>
        <row r="7796">
          <cell r="E7796">
            <v>0</v>
          </cell>
          <cell r="F7796">
            <v>0</v>
          </cell>
          <cell r="DN7796">
            <v>0</v>
          </cell>
        </row>
        <row r="7797">
          <cell r="E7797">
            <v>0</v>
          </cell>
          <cell r="F7797">
            <v>0</v>
          </cell>
          <cell r="DN7797">
            <v>0</v>
          </cell>
        </row>
        <row r="7798">
          <cell r="E7798">
            <v>0</v>
          </cell>
          <cell r="F7798">
            <v>0</v>
          </cell>
          <cell r="DN7798">
            <v>0</v>
          </cell>
        </row>
        <row r="7799">
          <cell r="E7799">
            <v>0</v>
          </cell>
          <cell r="F7799">
            <v>0</v>
          </cell>
          <cell r="DN7799">
            <v>0</v>
          </cell>
        </row>
        <row r="7800">
          <cell r="E7800">
            <v>0</v>
          </cell>
          <cell r="F7800">
            <v>0</v>
          </cell>
          <cell r="DN7800">
            <v>0</v>
          </cell>
        </row>
        <row r="7801">
          <cell r="E7801">
            <v>0</v>
          </cell>
          <cell r="F7801">
            <v>0</v>
          </cell>
          <cell r="DN7801">
            <v>0</v>
          </cell>
        </row>
        <row r="7802">
          <cell r="E7802">
            <v>0</v>
          </cell>
          <cell r="F7802">
            <v>0</v>
          </cell>
          <cell r="DN7802">
            <v>0</v>
          </cell>
        </row>
        <row r="7803">
          <cell r="E7803">
            <v>0</v>
          </cell>
          <cell r="F7803">
            <v>0</v>
          </cell>
          <cell r="DN7803">
            <v>0</v>
          </cell>
        </row>
        <row r="7804">
          <cell r="E7804">
            <v>0</v>
          </cell>
          <cell r="F7804">
            <v>0</v>
          </cell>
          <cell r="DN7804">
            <v>0</v>
          </cell>
        </row>
        <row r="7805">
          <cell r="E7805">
            <v>0</v>
          </cell>
          <cell r="F7805">
            <v>0</v>
          </cell>
          <cell r="DN7805">
            <v>0</v>
          </cell>
        </row>
        <row r="7806">
          <cell r="E7806">
            <v>0</v>
          </cell>
          <cell r="F7806">
            <v>0</v>
          </cell>
          <cell r="DN7806">
            <v>0</v>
          </cell>
        </row>
        <row r="7807">
          <cell r="E7807">
            <v>0</v>
          </cell>
          <cell r="F7807">
            <v>0</v>
          </cell>
          <cell r="DN7807">
            <v>0</v>
          </cell>
        </row>
        <row r="7808">
          <cell r="E7808">
            <v>0</v>
          </cell>
          <cell r="F7808">
            <v>0</v>
          </cell>
          <cell r="DN7808">
            <v>0</v>
          </cell>
        </row>
        <row r="7809">
          <cell r="E7809">
            <v>0</v>
          </cell>
          <cell r="F7809">
            <v>0</v>
          </cell>
          <cell r="DN7809">
            <v>0</v>
          </cell>
        </row>
        <row r="7810">
          <cell r="E7810">
            <v>0</v>
          </cell>
          <cell r="F7810">
            <v>0</v>
          </cell>
          <cell r="DN7810">
            <v>0</v>
          </cell>
        </row>
        <row r="7811">
          <cell r="E7811">
            <v>0</v>
          </cell>
          <cell r="F7811">
            <v>0</v>
          </cell>
          <cell r="DN7811">
            <v>0</v>
          </cell>
        </row>
        <row r="7812">
          <cell r="E7812">
            <v>0</v>
          </cell>
          <cell r="F7812">
            <v>0</v>
          </cell>
          <cell r="DN7812">
            <v>0</v>
          </cell>
        </row>
        <row r="7813">
          <cell r="E7813">
            <v>0</v>
          </cell>
          <cell r="F7813">
            <v>0</v>
          </cell>
          <cell r="DN7813">
            <v>0</v>
          </cell>
        </row>
        <row r="7814">
          <cell r="E7814">
            <v>0</v>
          </cell>
          <cell r="F7814">
            <v>0</v>
          </cell>
          <cell r="DN7814">
            <v>0</v>
          </cell>
        </row>
        <row r="7815">
          <cell r="E7815">
            <v>0</v>
          </cell>
          <cell r="F7815">
            <v>0</v>
          </cell>
          <cell r="DN7815">
            <v>0</v>
          </cell>
        </row>
        <row r="7816">
          <cell r="E7816">
            <v>0</v>
          </cell>
          <cell r="F7816">
            <v>0</v>
          </cell>
          <cell r="DN7816">
            <v>0</v>
          </cell>
        </row>
        <row r="7817">
          <cell r="E7817">
            <v>0</v>
          </cell>
          <cell r="F7817">
            <v>0</v>
          </cell>
          <cell r="DN7817">
            <v>0</v>
          </cell>
        </row>
        <row r="7818">
          <cell r="E7818">
            <v>0</v>
          </cell>
          <cell r="F7818">
            <v>0</v>
          </cell>
          <cell r="DN7818">
            <v>0</v>
          </cell>
        </row>
        <row r="7819">
          <cell r="E7819">
            <v>0</v>
          </cell>
          <cell r="F7819">
            <v>0</v>
          </cell>
          <cell r="DN7819">
            <v>0</v>
          </cell>
        </row>
        <row r="7820">
          <cell r="E7820">
            <v>0</v>
          </cell>
          <cell r="F7820">
            <v>0</v>
          </cell>
          <cell r="DN7820">
            <v>0</v>
          </cell>
        </row>
        <row r="7821">
          <cell r="E7821">
            <v>0</v>
          </cell>
          <cell r="F7821">
            <v>0</v>
          </cell>
          <cell r="DN7821">
            <v>0</v>
          </cell>
        </row>
        <row r="7822">
          <cell r="E7822">
            <v>0</v>
          </cell>
          <cell r="F7822">
            <v>0</v>
          </cell>
          <cell r="DN7822">
            <v>0</v>
          </cell>
        </row>
        <row r="7823">
          <cell r="E7823">
            <v>0</v>
          </cell>
          <cell r="F7823">
            <v>0</v>
          </cell>
          <cell r="DN7823">
            <v>0</v>
          </cell>
        </row>
        <row r="7824">
          <cell r="E7824">
            <v>0</v>
          </cell>
          <cell r="F7824">
            <v>0</v>
          </cell>
          <cell r="DN7824">
            <v>0</v>
          </cell>
        </row>
        <row r="7825">
          <cell r="E7825">
            <v>0</v>
          </cell>
          <cell r="F7825">
            <v>0</v>
          </cell>
          <cell r="DN7825">
            <v>0</v>
          </cell>
        </row>
        <row r="7826">
          <cell r="E7826">
            <v>0</v>
          </cell>
          <cell r="F7826">
            <v>0</v>
          </cell>
          <cell r="DN7826">
            <v>0</v>
          </cell>
        </row>
        <row r="7827">
          <cell r="E7827">
            <v>0</v>
          </cell>
          <cell r="F7827">
            <v>0</v>
          </cell>
          <cell r="DN7827">
            <v>0</v>
          </cell>
        </row>
        <row r="7828">
          <cell r="E7828">
            <v>0</v>
          </cell>
          <cell r="F7828">
            <v>0</v>
          </cell>
          <cell r="DN7828">
            <v>0</v>
          </cell>
        </row>
        <row r="7829">
          <cell r="E7829">
            <v>0</v>
          </cell>
          <cell r="F7829">
            <v>0</v>
          </cell>
          <cell r="DN7829">
            <v>0</v>
          </cell>
        </row>
        <row r="7830">
          <cell r="E7830">
            <v>0</v>
          </cell>
          <cell r="F7830">
            <v>0</v>
          </cell>
          <cell r="DN7830">
            <v>0</v>
          </cell>
        </row>
        <row r="7831">
          <cell r="E7831">
            <v>0</v>
          </cell>
          <cell r="F7831">
            <v>0</v>
          </cell>
          <cell r="DN7831">
            <v>0</v>
          </cell>
        </row>
        <row r="7832">
          <cell r="E7832">
            <v>0</v>
          </cell>
          <cell r="F7832">
            <v>0</v>
          </cell>
          <cell r="DN7832">
            <v>0</v>
          </cell>
        </row>
        <row r="7833">
          <cell r="E7833">
            <v>0</v>
          </cell>
          <cell r="F7833">
            <v>0</v>
          </cell>
          <cell r="DN7833">
            <v>0</v>
          </cell>
        </row>
        <row r="7834">
          <cell r="E7834">
            <v>0</v>
          </cell>
          <cell r="F7834">
            <v>0</v>
          </cell>
          <cell r="DN7834">
            <v>0</v>
          </cell>
        </row>
        <row r="7835">
          <cell r="E7835">
            <v>0</v>
          </cell>
          <cell r="F7835">
            <v>0</v>
          </cell>
          <cell r="DN7835">
            <v>0</v>
          </cell>
        </row>
        <row r="7836">
          <cell r="E7836">
            <v>0</v>
          </cell>
          <cell r="F7836">
            <v>0</v>
          </cell>
          <cell r="DN7836">
            <v>0</v>
          </cell>
        </row>
        <row r="7837">
          <cell r="E7837">
            <v>0</v>
          </cell>
          <cell r="F7837">
            <v>0</v>
          </cell>
          <cell r="DN7837">
            <v>0</v>
          </cell>
        </row>
        <row r="7838">
          <cell r="E7838">
            <v>0</v>
          </cell>
          <cell r="F7838">
            <v>0</v>
          </cell>
          <cell r="DN7838">
            <v>0</v>
          </cell>
        </row>
        <row r="7839">
          <cell r="E7839">
            <v>0</v>
          </cell>
          <cell r="F7839">
            <v>0</v>
          </cell>
          <cell r="DN7839">
            <v>0</v>
          </cell>
        </row>
        <row r="7840">
          <cell r="E7840">
            <v>0</v>
          </cell>
          <cell r="F7840">
            <v>0</v>
          </cell>
          <cell r="DN7840">
            <v>0</v>
          </cell>
        </row>
        <row r="7841">
          <cell r="E7841">
            <v>0</v>
          </cell>
          <cell r="F7841">
            <v>0</v>
          </cell>
          <cell r="DN7841">
            <v>0</v>
          </cell>
        </row>
        <row r="7842">
          <cell r="E7842">
            <v>0</v>
          </cell>
          <cell r="F7842">
            <v>0</v>
          </cell>
          <cell r="DN7842">
            <v>0</v>
          </cell>
        </row>
        <row r="7843">
          <cell r="E7843">
            <v>0</v>
          </cell>
          <cell r="F7843">
            <v>0</v>
          </cell>
          <cell r="DN7843">
            <v>0</v>
          </cell>
        </row>
        <row r="7844">
          <cell r="E7844">
            <v>0</v>
          </cell>
          <cell r="F7844">
            <v>0</v>
          </cell>
          <cell r="DN7844">
            <v>0</v>
          </cell>
        </row>
        <row r="7845">
          <cell r="E7845">
            <v>0</v>
          </cell>
          <cell r="F7845">
            <v>0</v>
          </cell>
          <cell r="DN7845">
            <v>0</v>
          </cell>
        </row>
        <row r="7846">
          <cell r="E7846">
            <v>0</v>
          </cell>
          <cell r="F7846">
            <v>0</v>
          </cell>
          <cell r="DN7846">
            <v>0</v>
          </cell>
        </row>
        <row r="7847">
          <cell r="E7847">
            <v>0</v>
          </cell>
          <cell r="F7847">
            <v>0</v>
          </cell>
          <cell r="DN7847">
            <v>0</v>
          </cell>
        </row>
        <row r="7848">
          <cell r="E7848">
            <v>0</v>
          </cell>
          <cell r="F7848">
            <v>0</v>
          </cell>
          <cell r="DN7848">
            <v>0</v>
          </cell>
        </row>
        <row r="7849">
          <cell r="E7849">
            <v>0</v>
          </cell>
          <cell r="F7849">
            <v>0</v>
          </cell>
          <cell r="DN7849">
            <v>0</v>
          </cell>
        </row>
        <row r="7850">
          <cell r="E7850">
            <v>0</v>
          </cell>
          <cell r="F7850">
            <v>0</v>
          </cell>
          <cell r="DN7850">
            <v>0</v>
          </cell>
        </row>
        <row r="7851">
          <cell r="E7851">
            <v>0</v>
          </cell>
          <cell r="F7851">
            <v>0</v>
          </cell>
          <cell r="DN7851">
            <v>0</v>
          </cell>
        </row>
        <row r="7852">
          <cell r="E7852">
            <v>0</v>
          </cell>
          <cell r="F7852">
            <v>0</v>
          </cell>
          <cell r="DN7852">
            <v>0</v>
          </cell>
        </row>
        <row r="7853">
          <cell r="E7853">
            <v>0</v>
          </cell>
          <cell r="F7853">
            <v>0</v>
          </cell>
          <cell r="DN7853">
            <v>0</v>
          </cell>
        </row>
        <row r="7854">
          <cell r="E7854">
            <v>0</v>
          </cell>
          <cell r="F7854">
            <v>0</v>
          </cell>
          <cell r="DN7854">
            <v>0</v>
          </cell>
        </row>
        <row r="7855">
          <cell r="E7855">
            <v>0</v>
          </cell>
          <cell r="F7855">
            <v>0</v>
          </cell>
          <cell r="DN7855">
            <v>0</v>
          </cell>
        </row>
        <row r="7856">
          <cell r="E7856">
            <v>0</v>
          </cell>
          <cell r="F7856">
            <v>0</v>
          </cell>
          <cell r="DN7856">
            <v>0</v>
          </cell>
        </row>
        <row r="7857">
          <cell r="E7857">
            <v>0</v>
          </cell>
          <cell r="F7857">
            <v>0</v>
          </cell>
          <cell r="DN7857">
            <v>0</v>
          </cell>
        </row>
        <row r="7858">
          <cell r="E7858">
            <v>0</v>
          </cell>
          <cell r="F7858">
            <v>0</v>
          </cell>
          <cell r="DN7858">
            <v>0</v>
          </cell>
        </row>
        <row r="7859">
          <cell r="E7859">
            <v>0</v>
          </cell>
          <cell r="F7859">
            <v>0</v>
          </cell>
          <cell r="DN7859">
            <v>0</v>
          </cell>
        </row>
        <row r="7860">
          <cell r="E7860">
            <v>0</v>
          </cell>
          <cell r="F7860">
            <v>0</v>
          </cell>
          <cell r="DN7860">
            <v>0</v>
          </cell>
        </row>
        <row r="7861">
          <cell r="E7861">
            <v>0</v>
          </cell>
          <cell r="F7861">
            <v>0</v>
          </cell>
          <cell r="DN7861">
            <v>0</v>
          </cell>
        </row>
        <row r="7862">
          <cell r="E7862">
            <v>0</v>
          </cell>
          <cell r="F7862">
            <v>0</v>
          </cell>
          <cell r="DN7862">
            <v>0</v>
          </cell>
        </row>
        <row r="7863">
          <cell r="E7863">
            <v>0</v>
          </cell>
          <cell r="F7863">
            <v>0</v>
          </cell>
          <cell r="DN7863">
            <v>0</v>
          </cell>
        </row>
        <row r="7864">
          <cell r="E7864">
            <v>0</v>
          </cell>
          <cell r="F7864">
            <v>0</v>
          </cell>
          <cell r="DN7864">
            <v>0</v>
          </cell>
        </row>
        <row r="7865">
          <cell r="E7865">
            <v>0</v>
          </cell>
          <cell r="F7865">
            <v>0</v>
          </cell>
          <cell r="DN7865">
            <v>0</v>
          </cell>
        </row>
        <row r="7866">
          <cell r="E7866">
            <v>0</v>
          </cell>
          <cell r="F7866">
            <v>0</v>
          </cell>
          <cell r="DN7866">
            <v>0</v>
          </cell>
        </row>
        <row r="7867">
          <cell r="E7867">
            <v>0</v>
          </cell>
          <cell r="F7867">
            <v>0</v>
          </cell>
          <cell r="DN7867">
            <v>0</v>
          </cell>
        </row>
        <row r="7868">
          <cell r="E7868">
            <v>0</v>
          </cell>
          <cell r="F7868">
            <v>0</v>
          </cell>
          <cell r="DN7868">
            <v>0</v>
          </cell>
        </row>
        <row r="7869">
          <cell r="E7869">
            <v>0</v>
          </cell>
          <cell r="F7869">
            <v>0</v>
          </cell>
          <cell r="DN7869">
            <v>0</v>
          </cell>
        </row>
        <row r="7870">
          <cell r="E7870">
            <v>0</v>
          </cell>
          <cell r="F7870">
            <v>0</v>
          </cell>
          <cell r="DN7870">
            <v>0</v>
          </cell>
        </row>
        <row r="7871">
          <cell r="E7871">
            <v>0</v>
          </cell>
          <cell r="F7871">
            <v>0</v>
          </cell>
          <cell r="DN7871">
            <v>0</v>
          </cell>
        </row>
        <row r="7872">
          <cell r="E7872">
            <v>0</v>
          </cell>
          <cell r="F7872">
            <v>0</v>
          </cell>
          <cell r="DN7872">
            <v>0</v>
          </cell>
        </row>
        <row r="7873">
          <cell r="E7873">
            <v>0</v>
          </cell>
          <cell r="F7873">
            <v>0</v>
          </cell>
          <cell r="DN7873">
            <v>0</v>
          </cell>
        </row>
        <row r="7874">
          <cell r="E7874">
            <v>0</v>
          </cell>
          <cell r="F7874">
            <v>0</v>
          </cell>
          <cell r="DN7874">
            <v>0</v>
          </cell>
        </row>
        <row r="7875">
          <cell r="E7875">
            <v>0</v>
          </cell>
          <cell r="F7875">
            <v>0</v>
          </cell>
          <cell r="DN7875">
            <v>0</v>
          </cell>
        </row>
        <row r="7876">
          <cell r="E7876">
            <v>0</v>
          </cell>
          <cell r="F7876">
            <v>0</v>
          </cell>
          <cell r="DN7876">
            <v>0</v>
          </cell>
        </row>
        <row r="7877">
          <cell r="E7877">
            <v>0</v>
          </cell>
          <cell r="F7877">
            <v>0</v>
          </cell>
          <cell r="DN7877">
            <v>0</v>
          </cell>
        </row>
        <row r="7878">
          <cell r="E7878">
            <v>0</v>
          </cell>
          <cell r="F7878">
            <v>0</v>
          </cell>
          <cell r="DN7878">
            <v>0</v>
          </cell>
        </row>
        <row r="7879">
          <cell r="E7879">
            <v>0</v>
          </cell>
          <cell r="F7879">
            <v>0</v>
          </cell>
          <cell r="DN7879">
            <v>0</v>
          </cell>
        </row>
        <row r="7880">
          <cell r="E7880">
            <v>0</v>
          </cell>
          <cell r="F7880">
            <v>0</v>
          </cell>
          <cell r="DN7880">
            <v>0</v>
          </cell>
        </row>
        <row r="7881">
          <cell r="E7881">
            <v>0</v>
          </cell>
          <cell r="F7881">
            <v>0</v>
          </cell>
          <cell r="DN7881">
            <v>0</v>
          </cell>
        </row>
        <row r="7882">
          <cell r="E7882">
            <v>0</v>
          </cell>
          <cell r="F7882">
            <v>0</v>
          </cell>
          <cell r="DN7882">
            <v>0</v>
          </cell>
        </row>
        <row r="7883">
          <cell r="E7883">
            <v>0</v>
          </cell>
          <cell r="F7883">
            <v>0</v>
          </cell>
          <cell r="DN7883">
            <v>0</v>
          </cell>
        </row>
        <row r="7884">
          <cell r="E7884">
            <v>0</v>
          </cell>
          <cell r="F7884">
            <v>0</v>
          </cell>
          <cell r="DN7884">
            <v>0</v>
          </cell>
        </row>
        <row r="7885">
          <cell r="E7885">
            <v>0</v>
          </cell>
          <cell r="F7885">
            <v>0</v>
          </cell>
          <cell r="DN7885">
            <v>0</v>
          </cell>
        </row>
        <row r="7886">
          <cell r="E7886">
            <v>0</v>
          </cell>
          <cell r="F7886">
            <v>0</v>
          </cell>
          <cell r="DN7886">
            <v>0</v>
          </cell>
        </row>
        <row r="7887">
          <cell r="E7887">
            <v>0</v>
          </cell>
          <cell r="F7887">
            <v>0</v>
          </cell>
          <cell r="DN7887">
            <v>0</v>
          </cell>
        </row>
        <row r="7888">
          <cell r="E7888">
            <v>0</v>
          </cell>
          <cell r="F7888">
            <v>0</v>
          </cell>
          <cell r="DN7888">
            <v>0</v>
          </cell>
        </row>
        <row r="7889">
          <cell r="E7889">
            <v>0</v>
          </cell>
          <cell r="F7889">
            <v>0</v>
          </cell>
          <cell r="DN7889">
            <v>0</v>
          </cell>
        </row>
        <row r="7890">
          <cell r="E7890">
            <v>0</v>
          </cell>
          <cell r="F7890">
            <v>0</v>
          </cell>
          <cell r="DN7890">
            <v>0</v>
          </cell>
        </row>
        <row r="7891">
          <cell r="E7891">
            <v>0</v>
          </cell>
          <cell r="F7891">
            <v>0</v>
          </cell>
          <cell r="DN7891">
            <v>0</v>
          </cell>
        </row>
        <row r="7892">
          <cell r="E7892">
            <v>0</v>
          </cell>
          <cell r="F7892">
            <v>0</v>
          </cell>
          <cell r="DN7892">
            <v>0</v>
          </cell>
        </row>
        <row r="7893">
          <cell r="E7893">
            <v>0</v>
          </cell>
          <cell r="F7893">
            <v>0</v>
          </cell>
          <cell r="DN7893">
            <v>0</v>
          </cell>
        </row>
        <row r="7894">
          <cell r="E7894">
            <v>0</v>
          </cell>
          <cell r="F7894">
            <v>0</v>
          </cell>
          <cell r="DN7894">
            <v>0</v>
          </cell>
        </row>
        <row r="7895">
          <cell r="E7895">
            <v>0</v>
          </cell>
          <cell r="F7895">
            <v>0</v>
          </cell>
          <cell r="DN7895">
            <v>0</v>
          </cell>
        </row>
        <row r="7896">
          <cell r="E7896">
            <v>0</v>
          </cell>
          <cell r="F7896">
            <v>0</v>
          </cell>
          <cell r="DN7896">
            <v>0</v>
          </cell>
        </row>
        <row r="7897">
          <cell r="E7897">
            <v>0</v>
          </cell>
          <cell r="F7897">
            <v>0</v>
          </cell>
          <cell r="DN7897">
            <v>0</v>
          </cell>
        </row>
        <row r="7898">
          <cell r="E7898">
            <v>0</v>
          </cell>
          <cell r="F7898">
            <v>0</v>
          </cell>
          <cell r="DN7898">
            <v>0</v>
          </cell>
        </row>
        <row r="7899">
          <cell r="E7899">
            <v>0</v>
          </cell>
          <cell r="F7899">
            <v>0</v>
          </cell>
          <cell r="DN7899">
            <v>0</v>
          </cell>
        </row>
        <row r="7900">
          <cell r="E7900">
            <v>0</v>
          </cell>
          <cell r="F7900">
            <v>0</v>
          </cell>
          <cell r="DN7900">
            <v>0</v>
          </cell>
        </row>
        <row r="7901">
          <cell r="E7901">
            <v>0</v>
          </cell>
          <cell r="F7901">
            <v>0</v>
          </cell>
          <cell r="DN7901">
            <v>0</v>
          </cell>
        </row>
        <row r="7902">
          <cell r="E7902">
            <v>0</v>
          </cell>
          <cell r="F7902">
            <v>0</v>
          </cell>
          <cell r="DN7902">
            <v>0</v>
          </cell>
        </row>
        <row r="7903">
          <cell r="E7903">
            <v>0</v>
          </cell>
          <cell r="F7903">
            <v>0</v>
          </cell>
          <cell r="DN7903">
            <v>0</v>
          </cell>
        </row>
        <row r="7904">
          <cell r="E7904">
            <v>0</v>
          </cell>
          <cell r="F7904">
            <v>0</v>
          </cell>
          <cell r="DN7904">
            <v>0</v>
          </cell>
        </row>
        <row r="7905">
          <cell r="E7905">
            <v>0</v>
          </cell>
          <cell r="F7905">
            <v>0</v>
          </cell>
          <cell r="DN7905">
            <v>0</v>
          </cell>
        </row>
        <row r="7906">
          <cell r="E7906">
            <v>0</v>
          </cell>
          <cell r="F7906">
            <v>0</v>
          </cell>
          <cell r="DN7906">
            <v>0</v>
          </cell>
        </row>
        <row r="7907">
          <cell r="E7907">
            <v>0</v>
          </cell>
          <cell r="F7907">
            <v>0</v>
          </cell>
          <cell r="DN7907">
            <v>0</v>
          </cell>
        </row>
        <row r="7908">
          <cell r="E7908">
            <v>0</v>
          </cell>
          <cell r="F7908">
            <v>0</v>
          </cell>
          <cell r="DN7908">
            <v>0</v>
          </cell>
        </row>
        <row r="7909">
          <cell r="E7909">
            <v>0</v>
          </cell>
          <cell r="F7909">
            <v>0</v>
          </cell>
          <cell r="DN7909">
            <v>0</v>
          </cell>
        </row>
        <row r="7910">
          <cell r="E7910">
            <v>0</v>
          </cell>
          <cell r="F7910">
            <v>0</v>
          </cell>
          <cell r="DN7910">
            <v>0</v>
          </cell>
        </row>
        <row r="7911">
          <cell r="E7911">
            <v>0</v>
          </cell>
          <cell r="F7911">
            <v>0</v>
          </cell>
          <cell r="DN7911">
            <v>0</v>
          </cell>
        </row>
        <row r="7912">
          <cell r="E7912">
            <v>0</v>
          </cell>
          <cell r="F7912">
            <v>0</v>
          </cell>
          <cell r="DN7912">
            <v>0</v>
          </cell>
        </row>
        <row r="7913">
          <cell r="E7913">
            <v>0</v>
          </cell>
          <cell r="F7913">
            <v>0</v>
          </cell>
          <cell r="DN7913">
            <v>0</v>
          </cell>
        </row>
        <row r="7914">
          <cell r="E7914">
            <v>0</v>
          </cell>
          <cell r="F7914">
            <v>0</v>
          </cell>
          <cell r="DN7914">
            <v>0</v>
          </cell>
        </row>
        <row r="7915">
          <cell r="E7915">
            <v>0</v>
          </cell>
          <cell r="F7915">
            <v>0</v>
          </cell>
          <cell r="DN7915">
            <v>0</v>
          </cell>
        </row>
        <row r="7916">
          <cell r="E7916">
            <v>0</v>
          </cell>
          <cell r="F7916">
            <v>0</v>
          </cell>
          <cell r="DN7916">
            <v>0</v>
          </cell>
        </row>
        <row r="7917">
          <cell r="E7917">
            <v>0</v>
          </cell>
          <cell r="F7917">
            <v>0</v>
          </cell>
          <cell r="DN7917">
            <v>0</v>
          </cell>
        </row>
        <row r="7918">
          <cell r="E7918">
            <v>0</v>
          </cell>
          <cell r="F7918">
            <v>0</v>
          </cell>
          <cell r="DN7918">
            <v>0</v>
          </cell>
        </row>
        <row r="7919">
          <cell r="E7919">
            <v>0</v>
          </cell>
          <cell r="F7919">
            <v>0</v>
          </cell>
          <cell r="DN7919">
            <v>0</v>
          </cell>
        </row>
        <row r="7920">
          <cell r="E7920">
            <v>0</v>
          </cell>
          <cell r="F7920">
            <v>0</v>
          </cell>
          <cell r="DN7920">
            <v>0</v>
          </cell>
        </row>
        <row r="7921">
          <cell r="E7921">
            <v>0</v>
          </cell>
          <cell r="F7921">
            <v>0</v>
          </cell>
          <cell r="DN7921">
            <v>0</v>
          </cell>
        </row>
        <row r="7922">
          <cell r="E7922">
            <v>0</v>
          </cell>
          <cell r="F7922">
            <v>0</v>
          </cell>
          <cell r="DN7922">
            <v>0</v>
          </cell>
        </row>
        <row r="7923">
          <cell r="E7923">
            <v>0</v>
          </cell>
          <cell r="F7923">
            <v>0</v>
          </cell>
          <cell r="DN7923">
            <v>0</v>
          </cell>
        </row>
        <row r="7924">
          <cell r="E7924">
            <v>0</v>
          </cell>
          <cell r="F7924">
            <v>0</v>
          </cell>
          <cell r="DN7924">
            <v>0</v>
          </cell>
        </row>
        <row r="7925">
          <cell r="E7925">
            <v>0</v>
          </cell>
          <cell r="F7925">
            <v>0</v>
          </cell>
          <cell r="DN7925">
            <v>0</v>
          </cell>
        </row>
        <row r="7926">
          <cell r="E7926">
            <v>0</v>
          </cell>
          <cell r="F7926">
            <v>0</v>
          </cell>
          <cell r="DN7926">
            <v>0</v>
          </cell>
        </row>
        <row r="7927">
          <cell r="E7927">
            <v>0</v>
          </cell>
          <cell r="F7927">
            <v>0</v>
          </cell>
          <cell r="DN7927">
            <v>0</v>
          </cell>
        </row>
        <row r="7928">
          <cell r="E7928">
            <v>0</v>
          </cell>
          <cell r="F7928">
            <v>0</v>
          </cell>
          <cell r="DN7928">
            <v>0</v>
          </cell>
        </row>
        <row r="7929">
          <cell r="E7929">
            <v>0</v>
          </cell>
          <cell r="F7929">
            <v>0</v>
          </cell>
          <cell r="DN7929">
            <v>0</v>
          </cell>
        </row>
        <row r="7930">
          <cell r="E7930">
            <v>0</v>
          </cell>
          <cell r="F7930">
            <v>0</v>
          </cell>
          <cell r="DN7930">
            <v>0</v>
          </cell>
        </row>
        <row r="7931">
          <cell r="E7931">
            <v>0</v>
          </cell>
          <cell r="F7931">
            <v>0</v>
          </cell>
          <cell r="DN7931">
            <v>0</v>
          </cell>
        </row>
        <row r="7932">
          <cell r="E7932">
            <v>0</v>
          </cell>
          <cell r="F7932">
            <v>0</v>
          </cell>
          <cell r="DN7932">
            <v>0</v>
          </cell>
        </row>
        <row r="7933">
          <cell r="E7933">
            <v>0</v>
          </cell>
          <cell r="F7933">
            <v>0</v>
          </cell>
          <cell r="DN7933">
            <v>0</v>
          </cell>
        </row>
        <row r="7934">
          <cell r="E7934">
            <v>0</v>
          </cell>
          <cell r="F7934">
            <v>0</v>
          </cell>
          <cell r="DN7934">
            <v>0</v>
          </cell>
        </row>
        <row r="7935">
          <cell r="E7935">
            <v>0</v>
          </cell>
          <cell r="F7935">
            <v>0</v>
          </cell>
          <cell r="DN7935">
            <v>0</v>
          </cell>
        </row>
        <row r="7936">
          <cell r="E7936">
            <v>0</v>
          </cell>
          <cell r="F7936">
            <v>0</v>
          </cell>
          <cell r="DN7936">
            <v>0</v>
          </cell>
        </row>
        <row r="7937">
          <cell r="E7937">
            <v>0</v>
          </cell>
          <cell r="F7937">
            <v>0</v>
          </cell>
          <cell r="DN7937">
            <v>0</v>
          </cell>
        </row>
        <row r="7938">
          <cell r="E7938">
            <v>0</v>
          </cell>
          <cell r="F7938">
            <v>0</v>
          </cell>
          <cell r="DN7938">
            <v>0</v>
          </cell>
        </row>
        <row r="7939">
          <cell r="E7939">
            <v>0</v>
          </cell>
          <cell r="F7939">
            <v>0</v>
          </cell>
          <cell r="DN7939">
            <v>0</v>
          </cell>
        </row>
        <row r="7940">
          <cell r="E7940">
            <v>0</v>
          </cell>
          <cell r="F7940">
            <v>0</v>
          </cell>
          <cell r="DN7940">
            <v>0</v>
          </cell>
        </row>
        <row r="7941">
          <cell r="E7941">
            <v>0</v>
          </cell>
          <cell r="F7941">
            <v>0</v>
          </cell>
          <cell r="DN7941">
            <v>0</v>
          </cell>
        </row>
        <row r="7942">
          <cell r="E7942">
            <v>0</v>
          </cell>
          <cell r="F7942">
            <v>0</v>
          </cell>
          <cell r="DN7942">
            <v>0</v>
          </cell>
        </row>
        <row r="7943">
          <cell r="E7943">
            <v>0</v>
          </cell>
          <cell r="F7943">
            <v>0</v>
          </cell>
          <cell r="DN7943">
            <v>0</v>
          </cell>
        </row>
        <row r="7944">
          <cell r="E7944">
            <v>0</v>
          </cell>
          <cell r="F7944">
            <v>0</v>
          </cell>
          <cell r="DN7944">
            <v>0</v>
          </cell>
        </row>
        <row r="7945">
          <cell r="E7945">
            <v>0</v>
          </cell>
          <cell r="F7945">
            <v>0</v>
          </cell>
          <cell r="DN7945">
            <v>0</v>
          </cell>
        </row>
        <row r="7946">
          <cell r="E7946">
            <v>0</v>
          </cell>
          <cell r="F7946">
            <v>0</v>
          </cell>
          <cell r="DN7946">
            <v>0</v>
          </cell>
        </row>
        <row r="7947">
          <cell r="E7947">
            <v>0</v>
          </cell>
          <cell r="F7947">
            <v>0</v>
          </cell>
          <cell r="DN7947">
            <v>0</v>
          </cell>
        </row>
        <row r="7948">
          <cell r="E7948">
            <v>0</v>
          </cell>
          <cell r="F7948">
            <v>0</v>
          </cell>
          <cell r="DN7948">
            <v>0</v>
          </cell>
        </row>
        <row r="7949">
          <cell r="E7949">
            <v>0</v>
          </cell>
          <cell r="F7949">
            <v>0</v>
          </cell>
          <cell r="DN7949">
            <v>0</v>
          </cell>
        </row>
        <row r="7950">
          <cell r="E7950">
            <v>0</v>
          </cell>
          <cell r="F7950">
            <v>0</v>
          </cell>
          <cell r="DN7950">
            <v>0</v>
          </cell>
        </row>
        <row r="7951">
          <cell r="E7951">
            <v>0</v>
          </cell>
          <cell r="F7951">
            <v>0</v>
          </cell>
          <cell r="DN7951">
            <v>0</v>
          </cell>
        </row>
        <row r="7952">
          <cell r="E7952">
            <v>0</v>
          </cell>
          <cell r="F7952">
            <v>0</v>
          </cell>
          <cell r="DN7952">
            <v>0</v>
          </cell>
        </row>
        <row r="7953">
          <cell r="E7953">
            <v>0</v>
          </cell>
          <cell r="F7953">
            <v>0</v>
          </cell>
          <cell r="DN7953">
            <v>0</v>
          </cell>
        </row>
        <row r="7954">
          <cell r="E7954">
            <v>0</v>
          </cell>
          <cell r="F7954">
            <v>0</v>
          </cell>
          <cell r="DN7954">
            <v>0</v>
          </cell>
        </row>
        <row r="7955">
          <cell r="E7955">
            <v>0</v>
          </cell>
          <cell r="F7955">
            <v>0</v>
          </cell>
          <cell r="DN7955">
            <v>0</v>
          </cell>
        </row>
        <row r="7956">
          <cell r="E7956">
            <v>0</v>
          </cell>
          <cell r="F7956">
            <v>0</v>
          </cell>
          <cell r="DN7956">
            <v>0</v>
          </cell>
        </row>
        <row r="7957">
          <cell r="E7957">
            <v>0</v>
          </cell>
          <cell r="F7957">
            <v>0</v>
          </cell>
          <cell r="DN7957">
            <v>0</v>
          </cell>
        </row>
        <row r="7958">
          <cell r="E7958">
            <v>0</v>
          </cell>
          <cell r="F7958">
            <v>0</v>
          </cell>
          <cell r="DN7958">
            <v>0</v>
          </cell>
        </row>
        <row r="7959">
          <cell r="E7959">
            <v>0</v>
          </cell>
          <cell r="F7959">
            <v>0</v>
          </cell>
          <cell r="DN7959">
            <v>0</v>
          </cell>
        </row>
        <row r="7960">
          <cell r="E7960">
            <v>0</v>
          </cell>
          <cell r="F7960">
            <v>0</v>
          </cell>
          <cell r="DN7960">
            <v>0</v>
          </cell>
        </row>
        <row r="7961">
          <cell r="E7961">
            <v>0</v>
          </cell>
          <cell r="F7961">
            <v>0</v>
          </cell>
          <cell r="DN7961">
            <v>0</v>
          </cell>
        </row>
        <row r="7962">
          <cell r="E7962">
            <v>0</v>
          </cell>
          <cell r="F7962">
            <v>0</v>
          </cell>
          <cell r="DN7962">
            <v>0</v>
          </cell>
        </row>
        <row r="7963">
          <cell r="E7963">
            <v>0</v>
          </cell>
          <cell r="F7963">
            <v>0</v>
          </cell>
          <cell r="DN7963">
            <v>0</v>
          </cell>
        </row>
        <row r="7964">
          <cell r="E7964">
            <v>0</v>
          </cell>
          <cell r="F7964">
            <v>0</v>
          </cell>
          <cell r="DN7964">
            <v>0</v>
          </cell>
        </row>
        <row r="7965">
          <cell r="E7965">
            <v>0</v>
          </cell>
          <cell r="F7965">
            <v>0</v>
          </cell>
          <cell r="DN7965">
            <v>0</v>
          </cell>
        </row>
        <row r="7966">
          <cell r="E7966">
            <v>0</v>
          </cell>
          <cell r="F7966">
            <v>0</v>
          </cell>
          <cell r="DN7966">
            <v>0</v>
          </cell>
        </row>
        <row r="7967">
          <cell r="E7967">
            <v>0</v>
          </cell>
          <cell r="F7967">
            <v>0</v>
          </cell>
          <cell r="DN7967">
            <v>0</v>
          </cell>
        </row>
        <row r="7968">
          <cell r="E7968">
            <v>0</v>
          </cell>
          <cell r="F7968">
            <v>0</v>
          </cell>
          <cell r="DN7968">
            <v>0</v>
          </cell>
        </row>
        <row r="7969">
          <cell r="E7969">
            <v>0</v>
          </cell>
          <cell r="F7969">
            <v>0</v>
          </cell>
          <cell r="DN7969">
            <v>0</v>
          </cell>
        </row>
        <row r="7970">
          <cell r="E7970">
            <v>0</v>
          </cell>
          <cell r="F7970">
            <v>0</v>
          </cell>
          <cell r="DN7970">
            <v>0</v>
          </cell>
        </row>
        <row r="7971">
          <cell r="E7971">
            <v>0</v>
          </cell>
          <cell r="F7971">
            <v>0</v>
          </cell>
          <cell r="DN7971">
            <v>0</v>
          </cell>
        </row>
        <row r="7972">
          <cell r="E7972">
            <v>0</v>
          </cell>
          <cell r="F7972">
            <v>0</v>
          </cell>
          <cell r="DN7972">
            <v>0</v>
          </cell>
        </row>
        <row r="7973">
          <cell r="E7973">
            <v>0</v>
          </cell>
          <cell r="F7973">
            <v>0</v>
          </cell>
          <cell r="DN7973">
            <v>0</v>
          </cell>
        </row>
        <row r="7974">
          <cell r="E7974">
            <v>0</v>
          </cell>
          <cell r="F7974">
            <v>0</v>
          </cell>
          <cell r="DN7974">
            <v>0</v>
          </cell>
        </row>
        <row r="7975">
          <cell r="E7975">
            <v>0</v>
          </cell>
          <cell r="F7975">
            <v>0</v>
          </cell>
          <cell r="DN7975">
            <v>0</v>
          </cell>
        </row>
        <row r="7976">
          <cell r="E7976">
            <v>0</v>
          </cell>
          <cell r="F7976">
            <v>0</v>
          </cell>
          <cell r="DN7976">
            <v>0</v>
          </cell>
        </row>
        <row r="7977">
          <cell r="E7977">
            <v>0</v>
          </cell>
          <cell r="F7977">
            <v>0</v>
          </cell>
          <cell r="DN7977">
            <v>0</v>
          </cell>
        </row>
        <row r="7978">
          <cell r="E7978">
            <v>0</v>
          </cell>
          <cell r="F7978">
            <v>0</v>
          </cell>
          <cell r="DN7978">
            <v>0</v>
          </cell>
        </row>
        <row r="7979">
          <cell r="E7979">
            <v>0</v>
          </cell>
          <cell r="F7979">
            <v>0</v>
          </cell>
          <cell r="DN7979">
            <v>0</v>
          </cell>
        </row>
        <row r="7980">
          <cell r="E7980">
            <v>0</v>
          </cell>
          <cell r="F7980">
            <v>0</v>
          </cell>
          <cell r="DN7980">
            <v>0</v>
          </cell>
        </row>
        <row r="7981">
          <cell r="E7981">
            <v>0</v>
          </cell>
          <cell r="F7981">
            <v>0</v>
          </cell>
          <cell r="DN7981">
            <v>0</v>
          </cell>
        </row>
        <row r="7982">
          <cell r="E7982">
            <v>0</v>
          </cell>
          <cell r="F7982">
            <v>0</v>
          </cell>
          <cell r="DN7982">
            <v>0</v>
          </cell>
        </row>
        <row r="7983">
          <cell r="E7983">
            <v>0</v>
          </cell>
          <cell r="F7983">
            <v>0</v>
          </cell>
          <cell r="DN7983">
            <v>0</v>
          </cell>
        </row>
        <row r="7984">
          <cell r="E7984">
            <v>0</v>
          </cell>
          <cell r="F7984">
            <v>0</v>
          </cell>
          <cell r="DN7984">
            <v>0</v>
          </cell>
        </row>
        <row r="7985">
          <cell r="E7985">
            <v>0</v>
          </cell>
          <cell r="F7985">
            <v>0</v>
          </cell>
          <cell r="DN7985">
            <v>0</v>
          </cell>
        </row>
        <row r="7986">
          <cell r="E7986">
            <v>0</v>
          </cell>
          <cell r="F7986">
            <v>0</v>
          </cell>
          <cell r="DN7986">
            <v>0</v>
          </cell>
        </row>
        <row r="7987">
          <cell r="E7987">
            <v>0</v>
          </cell>
          <cell r="F7987">
            <v>0</v>
          </cell>
          <cell r="DN7987">
            <v>0</v>
          </cell>
        </row>
        <row r="7988">
          <cell r="E7988">
            <v>0</v>
          </cell>
          <cell r="F7988">
            <v>0</v>
          </cell>
          <cell r="DN7988">
            <v>0</v>
          </cell>
        </row>
        <row r="7989">
          <cell r="E7989">
            <v>0</v>
          </cell>
          <cell r="F7989">
            <v>0</v>
          </cell>
          <cell r="DN7989">
            <v>0</v>
          </cell>
        </row>
        <row r="7990">
          <cell r="E7990">
            <v>0</v>
          </cell>
          <cell r="F7990">
            <v>0</v>
          </cell>
          <cell r="DN7990">
            <v>0</v>
          </cell>
        </row>
        <row r="7991">
          <cell r="E7991">
            <v>0</v>
          </cell>
          <cell r="F7991">
            <v>0</v>
          </cell>
          <cell r="DN7991">
            <v>0</v>
          </cell>
        </row>
        <row r="7992">
          <cell r="E7992">
            <v>0</v>
          </cell>
          <cell r="F7992">
            <v>0</v>
          </cell>
          <cell r="DN7992">
            <v>0</v>
          </cell>
        </row>
        <row r="7993">
          <cell r="E7993">
            <v>0</v>
          </cell>
          <cell r="F7993">
            <v>0</v>
          </cell>
          <cell r="DN7993">
            <v>0</v>
          </cell>
        </row>
        <row r="7994">
          <cell r="E7994">
            <v>0</v>
          </cell>
          <cell r="F7994">
            <v>0</v>
          </cell>
          <cell r="DN7994">
            <v>0</v>
          </cell>
        </row>
        <row r="7995">
          <cell r="E7995">
            <v>0</v>
          </cell>
          <cell r="F7995">
            <v>0</v>
          </cell>
          <cell r="DN7995">
            <v>0</v>
          </cell>
        </row>
        <row r="7996">
          <cell r="E7996">
            <v>0</v>
          </cell>
          <cell r="F7996">
            <v>0</v>
          </cell>
          <cell r="DN7996">
            <v>0</v>
          </cell>
        </row>
        <row r="7997">
          <cell r="E7997">
            <v>0</v>
          </cell>
          <cell r="F7997">
            <v>0</v>
          </cell>
          <cell r="DN7997">
            <v>0</v>
          </cell>
        </row>
        <row r="7998">
          <cell r="E7998">
            <v>0</v>
          </cell>
          <cell r="F7998">
            <v>0</v>
          </cell>
          <cell r="DN7998">
            <v>0</v>
          </cell>
        </row>
        <row r="7999">
          <cell r="E7999">
            <v>0</v>
          </cell>
          <cell r="F7999">
            <v>0</v>
          </cell>
          <cell r="DN7999">
            <v>0</v>
          </cell>
        </row>
        <row r="8000">
          <cell r="E8000">
            <v>0</v>
          </cell>
          <cell r="F8000">
            <v>0</v>
          </cell>
          <cell r="DN8000">
            <v>0</v>
          </cell>
        </row>
        <row r="8001">
          <cell r="E8001">
            <v>0</v>
          </cell>
          <cell r="F8001">
            <v>0</v>
          </cell>
          <cell r="DN8001">
            <v>0</v>
          </cell>
        </row>
        <row r="8002">
          <cell r="E8002">
            <v>0</v>
          </cell>
          <cell r="F8002">
            <v>0</v>
          </cell>
          <cell r="DN8002">
            <v>0</v>
          </cell>
        </row>
        <row r="8003">
          <cell r="E8003">
            <v>0</v>
          </cell>
          <cell r="F8003">
            <v>0</v>
          </cell>
          <cell r="DN8003">
            <v>0</v>
          </cell>
        </row>
        <row r="8004">
          <cell r="E8004">
            <v>0</v>
          </cell>
          <cell r="F8004">
            <v>0</v>
          </cell>
          <cell r="DN8004">
            <v>0</v>
          </cell>
        </row>
        <row r="8005">
          <cell r="E8005">
            <v>0</v>
          </cell>
          <cell r="F8005">
            <v>0</v>
          </cell>
          <cell r="DN8005">
            <v>0</v>
          </cell>
        </row>
        <row r="8006">
          <cell r="E8006">
            <v>0</v>
          </cell>
          <cell r="F8006">
            <v>0</v>
          </cell>
          <cell r="DN8006">
            <v>0</v>
          </cell>
        </row>
        <row r="8007">
          <cell r="E8007">
            <v>0</v>
          </cell>
          <cell r="F8007">
            <v>0</v>
          </cell>
          <cell r="DN8007">
            <v>0</v>
          </cell>
        </row>
        <row r="8008">
          <cell r="E8008">
            <v>0</v>
          </cell>
          <cell r="F8008">
            <v>0</v>
          </cell>
          <cell r="DN8008">
            <v>0</v>
          </cell>
        </row>
        <row r="8009">
          <cell r="E8009">
            <v>0</v>
          </cell>
          <cell r="F8009">
            <v>0</v>
          </cell>
          <cell r="DN8009">
            <v>0</v>
          </cell>
        </row>
        <row r="8010">
          <cell r="E8010">
            <v>0</v>
          </cell>
          <cell r="F8010">
            <v>0</v>
          </cell>
          <cell r="DN8010">
            <v>0</v>
          </cell>
        </row>
        <row r="8011">
          <cell r="E8011">
            <v>0</v>
          </cell>
          <cell r="F8011">
            <v>0</v>
          </cell>
          <cell r="DN8011">
            <v>0</v>
          </cell>
        </row>
        <row r="8012">
          <cell r="E8012">
            <v>0</v>
          </cell>
          <cell r="F8012">
            <v>0</v>
          </cell>
          <cell r="DN8012">
            <v>0</v>
          </cell>
        </row>
        <row r="8013">
          <cell r="E8013">
            <v>0</v>
          </cell>
          <cell r="F8013">
            <v>0</v>
          </cell>
          <cell r="DN8013">
            <v>0</v>
          </cell>
        </row>
        <row r="8014">
          <cell r="E8014">
            <v>0</v>
          </cell>
          <cell r="F8014">
            <v>0</v>
          </cell>
          <cell r="DN8014">
            <v>0</v>
          </cell>
        </row>
        <row r="8015">
          <cell r="E8015">
            <v>0</v>
          </cell>
          <cell r="F8015">
            <v>0</v>
          </cell>
          <cell r="DN8015">
            <v>0</v>
          </cell>
        </row>
        <row r="8016">
          <cell r="E8016">
            <v>0</v>
          </cell>
          <cell r="F8016">
            <v>0</v>
          </cell>
          <cell r="DN8016">
            <v>0</v>
          </cell>
        </row>
        <row r="8017">
          <cell r="E8017">
            <v>0</v>
          </cell>
          <cell r="F8017">
            <v>0</v>
          </cell>
          <cell r="DN8017">
            <v>0</v>
          </cell>
        </row>
        <row r="8018">
          <cell r="E8018">
            <v>0</v>
          </cell>
          <cell r="F8018">
            <v>0</v>
          </cell>
          <cell r="DN8018">
            <v>0</v>
          </cell>
        </row>
        <row r="8019">
          <cell r="E8019">
            <v>0</v>
          </cell>
          <cell r="F8019">
            <v>0</v>
          </cell>
          <cell r="DN8019">
            <v>0</v>
          </cell>
        </row>
        <row r="8020">
          <cell r="E8020">
            <v>0</v>
          </cell>
          <cell r="F8020">
            <v>0</v>
          </cell>
          <cell r="DN8020">
            <v>0</v>
          </cell>
        </row>
        <row r="8021">
          <cell r="E8021">
            <v>0</v>
          </cell>
          <cell r="F8021">
            <v>0</v>
          </cell>
          <cell r="DN8021">
            <v>0</v>
          </cell>
        </row>
        <row r="8022">
          <cell r="E8022">
            <v>0</v>
          </cell>
          <cell r="F8022">
            <v>0</v>
          </cell>
          <cell r="DN8022">
            <v>0</v>
          </cell>
        </row>
        <row r="8023">
          <cell r="E8023">
            <v>0</v>
          </cell>
          <cell r="F8023">
            <v>0</v>
          </cell>
          <cell r="DN8023">
            <v>0</v>
          </cell>
        </row>
        <row r="8024">
          <cell r="E8024">
            <v>0</v>
          </cell>
          <cell r="F8024">
            <v>0</v>
          </cell>
          <cell r="DN8024">
            <v>0</v>
          </cell>
        </row>
        <row r="8025">
          <cell r="E8025">
            <v>0</v>
          </cell>
          <cell r="F8025">
            <v>0</v>
          </cell>
          <cell r="DN8025">
            <v>0</v>
          </cell>
        </row>
        <row r="8026">
          <cell r="E8026">
            <v>0</v>
          </cell>
          <cell r="F8026">
            <v>0</v>
          </cell>
          <cell r="DN8026">
            <v>0</v>
          </cell>
        </row>
        <row r="8027">
          <cell r="E8027">
            <v>0</v>
          </cell>
          <cell r="F8027">
            <v>0</v>
          </cell>
          <cell r="DN8027">
            <v>0</v>
          </cell>
        </row>
        <row r="8028">
          <cell r="E8028">
            <v>0</v>
          </cell>
          <cell r="F8028">
            <v>0</v>
          </cell>
          <cell r="DN8028">
            <v>0</v>
          </cell>
        </row>
        <row r="8029">
          <cell r="E8029">
            <v>0</v>
          </cell>
          <cell r="F8029">
            <v>0</v>
          </cell>
          <cell r="DN8029">
            <v>0</v>
          </cell>
        </row>
        <row r="8030">
          <cell r="E8030">
            <v>0</v>
          </cell>
          <cell r="F8030">
            <v>0</v>
          </cell>
          <cell r="DN8030">
            <v>0</v>
          </cell>
        </row>
        <row r="8031">
          <cell r="E8031">
            <v>0</v>
          </cell>
          <cell r="F8031">
            <v>0</v>
          </cell>
          <cell r="DN8031">
            <v>0</v>
          </cell>
        </row>
        <row r="8032">
          <cell r="E8032">
            <v>0</v>
          </cell>
          <cell r="F8032">
            <v>0</v>
          </cell>
          <cell r="DN8032">
            <v>0</v>
          </cell>
        </row>
        <row r="8033">
          <cell r="E8033">
            <v>0</v>
          </cell>
          <cell r="F8033">
            <v>0</v>
          </cell>
          <cell r="DN8033">
            <v>0</v>
          </cell>
        </row>
        <row r="8034">
          <cell r="E8034">
            <v>0</v>
          </cell>
          <cell r="F8034">
            <v>0</v>
          </cell>
          <cell r="DN8034">
            <v>0</v>
          </cell>
        </row>
        <row r="8035">
          <cell r="E8035">
            <v>0</v>
          </cell>
          <cell r="F8035">
            <v>0</v>
          </cell>
          <cell r="DN8035">
            <v>0</v>
          </cell>
        </row>
        <row r="8036">
          <cell r="E8036">
            <v>0</v>
          </cell>
          <cell r="F8036">
            <v>0</v>
          </cell>
          <cell r="DN8036">
            <v>0</v>
          </cell>
        </row>
        <row r="8037">
          <cell r="E8037">
            <v>0</v>
          </cell>
          <cell r="F8037">
            <v>0</v>
          </cell>
          <cell r="DN8037">
            <v>0</v>
          </cell>
        </row>
        <row r="8038">
          <cell r="E8038">
            <v>0</v>
          </cell>
          <cell r="F8038">
            <v>0</v>
          </cell>
          <cell r="DN8038">
            <v>0</v>
          </cell>
        </row>
        <row r="8039">
          <cell r="E8039">
            <v>0</v>
          </cell>
          <cell r="F8039">
            <v>0</v>
          </cell>
          <cell r="DN8039">
            <v>0</v>
          </cell>
        </row>
        <row r="8040">
          <cell r="E8040">
            <v>0</v>
          </cell>
          <cell r="F8040">
            <v>0</v>
          </cell>
          <cell r="DN8040">
            <v>0</v>
          </cell>
        </row>
        <row r="8041">
          <cell r="E8041">
            <v>0</v>
          </cell>
          <cell r="F8041">
            <v>0</v>
          </cell>
          <cell r="DN8041">
            <v>0</v>
          </cell>
        </row>
        <row r="8042">
          <cell r="E8042">
            <v>0</v>
          </cell>
          <cell r="F8042">
            <v>0</v>
          </cell>
          <cell r="DN8042">
            <v>0</v>
          </cell>
        </row>
        <row r="8043">
          <cell r="E8043">
            <v>0</v>
          </cell>
          <cell r="F8043">
            <v>0</v>
          </cell>
          <cell r="DN8043">
            <v>0</v>
          </cell>
        </row>
        <row r="8044">
          <cell r="E8044">
            <v>0</v>
          </cell>
          <cell r="F8044">
            <v>0</v>
          </cell>
          <cell r="DN8044">
            <v>0</v>
          </cell>
        </row>
        <row r="8045">
          <cell r="E8045">
            <v>0</v>
          </cell>
          <cell r="F8045">
            <v>0</v>
          </cell>
          <cell r="DN8045">
            <v>0</v>
          </cell>
        </row>
        <row r="8046">
          <cell r="E8046">
            <v>0</v>
          </cell>
          <cell r="F8046">
            <v>0</v>
          </cell>
          <cell r="DN8046">
            <v>0</v>
          </cell>
        </row>
        <row r="8047">
          <cell r="E8047">
            <v>0</v>
          </cell>
          <cell r="F8047">
            <v>0</v>
          </cell>
          <cell r="DN8047">
            <v>0</v>
          </cell>
        </row>
        <row r="8048">
          <cell r="E8048">
            <v>0</v>
          </cell>
          <cell r="F8048">
            <v>0</v>
          </cell>
          <cell r="DN8048">
            <v>0</v>
          </cell>
        </row>
        <row r="8049">
          <cell r="E8049">
            <v>0</v>
          </cell>
          <cell r="F8049">
            <v>0</v>
          </cell>
          <cell r="DN8049">
            <v>0</v>
          </cell>
        </row>
        <row r="8050">
          <cell r="E8050">
            <v>0</v>
          </cell>
          <cell r="F8050">
            <v>0</v>
          </cell>
          <cell r="DN8050">
            <v>0</v>
          </cell>
        </row>
        <row r="8051">
          <cell r="E8051">
            <v>0</v>
          </cell>
          <cell r="F8051">
            <v>0</v>
          </cell>
          <cell r="DN8051">
            <v>0</v>
          </cell>
        </row>
        <row r="8052">
          <cell r="E8052">
            <v>0</v>
          </cell>
          <cell r="F8052">
            <v>0</v>
          </cell>
          <cell r="DN8052">
            <v>0</v>
          </cell>
        </row>
        <row r="8053">
          <cell r="E8053">
            <v>0</v>
          </cell>
          <cell r="F8053">
            <v>0</v>
          </cell>
          <cell r="DN8053">
            <v>0</v>
          </cell>
        </row>
        <row r="8054">
          <cell r="E8054">
            <v>0</v>
          </cell>
          <cell r="F8054">
            <v>0</v>
          </cell>
          <cell r="DN8054">
            <v>0</v>
          </cell>
        </row>
        <row r="8055">
          <cell r="E8055">
            <v>0</v>
          </cell>
          <cell r="F8055">
            <v>0</v>
          </cell>
          <cell r="DN8055">
            <v>0</v>
          </cell>
        </row>
        <row r="8056">
          <cell r="E8056">
            <v>0</v>
          </cell>
          <cell r="F8056">
            <v>0</v>
          </cell>
          <cell r="DN8056">
            <v>0</v>
          </cell>
        </row>
        <row r="8057">
          <cell r="E8057">
            <v>0</v>
          </cell>
          <cell r="F8057">
            <v>0</v>
          </cell>
          <cell r="DN8057">
            <v>0</v>
          </cell>
        </row>
        <row r="8058">
          <cell r="E8058">
            <v>0</v>
          </cell>
          <cell r="F8058">
            <v>0</v>
          </cell>
          <cell r="DN8058">
            <v>0</v>
          </cell>
        </row>
        <row r="8059">
          <cell r="E8059">
            <v>0</v>
          </cell>
          <cell r="F8059">
            <v>0</v>
          </cell>
          <cell r="DN8059">
            <v>0</v>
          </cell>
        </row>
        <row r="8060">
          <cell r="E8060">
            <v>0</v>
          </cell>
          <cell r="F8060">
            <v>0</v>
          </cell>
          <cell r="DN8060">
            <v>0</v>
          </cell>
        </row>
        <row r="8061">
          <cell r="E8061">
            <v>0</v>
          </cell>
          <cell r="F8061">
            <v>0</v>
          </cell>
          <cell r="DN8061">
            <v>0</v>
          </cell>
        </row>
        <row r="8062">
          <cell r="E8062">
            <v>0</v>
          </cell>
          <cell r="F8062">
            <v>0</v>
          </cell>
          <cell r="DN8062">
            <v>0</v>
          </cell>
        </row>
        <row r="8063">
          <cell r="E8063">
            <v>0</v>
          </cell>
          <cell r="F8063">
            <v>0</v>
          </cell>
          <cell r="DN8063">
            <v>0</v>
          </cell>
        </row>
        <row r="8064">
          <cell r="E8064">
            <v>0</v>
          </cell>
          <cell r="F8064">
            <v>0</v>
          </cell>
          <cell r="DN8064">
            <v>0</v>
          </cell>
        </row>
        <row r="8065">
          <cell r="E8065">
            <v>0</v>
          </cell>
          <cell r="F8065">
            <v>0</v>
          </cell>
          <cell r="DN8065">
            <v>0</v>
          </cell>
        </row>
        <row r="8066">
          <cell r="E8066">
            <v>0</v>
          </cell>
          <cell r="F8066">
            <v>0</v>
          </cell>
          <cell r="DN8066">
            <v>0</v>
          </cell>
        </row>
        <row r="8067">
          <cell r="E8067">
            <v>0</v>
          </cell>
          <cell r="F8067">
            <v>0</v>
          </cell>
          <cell r="DN8067">
            <v>0</v>
          </cell>
        </row>
        <row r="8068">
          <cell r="E8068">
            <v>0</v>
          </cell>
          <cell r="F8068">
            <v>0</v>
          </cell>
          <cell r="DN8068">
            <v>0</v>
          </cell>
        </row>
        <row r="8069">
          <cell r="E8069">
            <v>0</v>
          </cell>
          <cell r="F8069">
            <v>0</v>
          </cell>
          <cell r="DN8069">
            <v>0</v>
          </cell>
        </row>
        <row r="8070">
          <cell r="E8070">
            <v>0</v>
          </cell>
          <cell r="F8070">
            <v>0</v>
          </cell>
          <cell r="DN8070">
            <v>0</v>
          </cell>
        </row>
        <row r="8071">
          <cell r="E8071">
            <v>0</v>
          </cell>
          <cell r="F8071">
            <v>0</v>
          </cell>
          <cell r="DN8071">
            <v>0</v>
          </cell>
        </row>
        <row r="8072">
          <cell r="E8072">
            <v>0</v>
          </cell>
          <cell r="F8072">
            <v>0</v>
          </cell>
          <cell r="DN8072">
            <v>0</v>
          </cell>
        </row>
        <row r="8073">
          <cell r="E8073">
            <v>0</v>
          </cell>
          <cell r="F8073">
            <v>0</v>
          </cell>
          <cell r="DN8073">
            <v>0</v>
          </cell>
        </row>
        <row r="8074">
          <cell r="E8074">
            <v>0</v>
          </cell>
          <cell r="F8074">
            <v>0</v>
          </cell>
          <cell r="DN8074">
            <v>0</v>
          </cell>
        </row>
        <row r="8075">
          <cell r="E8075">
            <v>0</v>
          </cell>
          <cell r="F8075">
            <v>0</v>
          </cell>
          <cell r="DN8075">
            <v>0</v>
          </cell>
        </row>
        <row r="8076">
          <cell r="E8076">
            <v>0</v>
          </cell>
          <cell r="F8076">
            <v>0</v>
          </cell>
          <cell r="DN8076">
            <v>0</v>
          </cell>
        </row>
        <row r="8077">
          <cell r="E8077">
            <v>0</v>
          </cell>
          <cell r="F8077">
            <v>0</v>
          </cell>
          <cell r="DN8077">
            <v>0</v>
          </cell>
        </row>
        <row r="8078">
          <cell r="E8078">
            <v>0</v>
          </cell>
          <cell r="F8078">
            <v>0</v>
          </cell>
          <cell r="DN8078">
            <v>0</v>
          </cell>
        </row>
        <row r="8079">
          <cell r="E8079">
            <v>0</v>
          </cell>
          <cell r="F8079">
            <v>0</v>
          </cell>
          <cell r="DN8079">
            <v>0</v>
          </cell>
        </row>
        <row r="8080">
          <cell r="E8080">
            <v>0</v>
          </cell>
          <cell r="F8080">
            <v>0</v>
          </cell>
          <cell r="DN8080">
            <v>0</v>
          </cell>
        </row>
        <row r="8081">
          <cell r="E8081">
            <v>0</v>
          </cell>
          <cell r="F8081">
            <v>0</v>
          </cell>
          <cell r="DN8081">
            <v>0</v>
          </cell>
        </row>
        <row r="8082">
          <cell r="E8082">
            <v>0</v>
          </cell>
          <cell r="F8082">
            <v>0</v>
          </cell>
          <cell r="DN8082">
            <v>0</v>
          </cell>
        </row>
        <row r="8083">
          <cell r="E8083">
            <v>0</v>
          </cell>
          <cell r="F8083">
            <v>0</v>
          </cell>
          <cell r="DN8083">
            <v>0</v>
          </cell>
        </row>
        <row r="8084">
          <cell r="E8084">
            <v>0</v>
          </cell>
          <cell r="F8084">
            <v>0</v>
          </cell>
          <cell r="DN8084">
            <v>0</v>
          </cell>
        </row>
        <row r="8085">
          <cell r="E8085">
            <v>0</v>
          </cell>
          <cell r="F8085">
            <v>0</v>
          </cell>
          <cell r="DN8085">
            <v>0</v>
          </cell>
        </row>
        <row r="8086">
          <cell r="E8086">
            <v>0</v>
          </cell>
          <cell r="F8086">
            <v>0</v>
          </cell>
          <cell r="DN8086">
            <v>0</v>
          </cell>
        </row>
        <row r="8087">
          <cell r="E8087">
            <v>0</v>
          </cell>
          <cell r="F8087">
            <v>0</v>
          </cell>
          <cell r="DN8087">
            <v>0</v>
          </cell>
        </row>
        <row r="8088">
          <cell r="E8088">
            <v>0</v>
          </cell>
          <cell r="F8088">
            <v>0</v>
          </cell>
          <cell r="DN8088">
            <v>0</v>
          </cell>
        </row>
        <row r="8089">
          <cell r="E8089">
            <v>0</v>
          </cell>
          <cell r="F8089">
            <v>0</v>
          </cell>
          <cell r="DN8089">
            <v>0</v>
          </cell>
        </row>
        <row r="8090">
          <cell r="E8090">
            <v>0</v>
          </cell>
          <cell r="F8090">
            <v>0</v>
          </cell>
          <cell r="DN8090">
            <v>0</v>
          </cell>
        </row>
        <row r="8091">
          <cell r="E8091">
            <v>0</v>
          </cell>
          <cell r="F8091">
            <v>0</v>
          </cell>
          <cell r="DN8091">
            <v>0</v>
          </cell>
        </row>
        <row r="8092">
          <cell r="E8092">
            <v>0</v>
          </cell>
          <cell r="F8092">
            <v>0</v>
          </cell>
          <cell r="DN8092">
            <v>0</v>
          </cell>
        </row>
        <row r="8093">
          <cell r="E8093">
            <v>0</v>
          </cell>
          <cell r="F8093">
            <v>0</v>
          </cell>
          <cell r="DN8093">
            <v>0</v>
          </cell>
        </row>
        <row r="8094">
          <cell r="E8094">
            <v>0</v>
          </cell>
          <cell r="F8094">
            <v>0</v>
          </cell>
          <cell r="DN8094">
            <v>0</v>
          </cell>
        </row>
        <row r="8095">
          <cell r="E8095">
            <v>0</v>
          </cell>
          <cell r="F8095">
            <v>0</v>
          </cell>
          <cell r="DN8095">
            <v>0</v>
          </cell>
        </row>
        <row r="8096">
          <cell r="E8096">
            <v>0</v>
          </cell>
          <cell r="F8096">
            <v>0</v>
          </cell>
          <cell r="DN8096">
            <v>0</v>
          </cell>
        </row>
        <row r="8097">
          <cell r="E8097">
            <v>0</v>
          </cell>
          <cell r="F8097">
            <v>0</v>
          </cell>
          <cell r="DN8097">
            <v>0</v>
          </cell>
        </row>
        <row r="8098">
          <cell r="E8098">
            <v>0</v>
          </cell>
          <cell r="F8098">
            <v>0</v>
          </cell>
          <cell r="DN8098">
            <v>0</v>
          </cell>
        </row>
        <row r="8099">
          <cell r="E8099">
            <v>0</v>
          </cell>
          <cell r="F8099">
            <v>0</v>
          </cell>
          <cell r="DN8099">
            <v>0</v>
          </cell>
        </row>
        <row r="8100">
          <cell r="E8100">
            <v>0</v>
          </cell>
          <cell r="F8100">
            <v>0</v>
          </cell>
          <cell r="DN8100">
            <v>0</v>
          </cell>
        </row>
        <row r="8101">
          <cell r="E8101">
            <v>0</v>
          </cell>
          <cell r="F8101">
            <v>0</v>
          </cell>
          <cell r="DN8101">
            <v>0</v>
          </cell>
        </row>
        <row r="8102">
          <cell r="E8102">
            <v>0</v>
          </cell>
          <cell r="F8102">
            <v>0</v>
          </cell>
          <cell r="DN8102">
            <v>0</v>
          </cell>
        </row>
        <row r="8103">
          <cell r="E8103">
            <v>0</v>
          </cell>
          <cell r="F8103">
            <v>0</v>
          </cell>
          <cell r="DN8103">
            <v>0</v>
          </cell>
        </row>
        <row r="8104">
          <cell r="E8104">
            <v>0</v>
          </cell>
          <cell r="F8104">
            <v>0</v>
          </cell>
          <cell r="DN8104">
            <v>0</v>
          </cell>
        </row>
        <row r="8105">
          <cell r="E8105">
            <v>0</v>
          </cell>
          <cell r="F8105">
            <v>0</v>
          </cell>
          <cell r="DN8105">
            <v>0</v>
          </cell>
        </row>
        <row r="8106">
          <cell r="E8106">
            <v>0</v>
          </cell>
          <cell r="F8106">
            <v>0</v>
          </cell>
          <cell r="DN8106">
            <v>0</v>
          </cell>
        </row>
        <row r="8107">
          <cell r="E8107">
            <v>0</v>
          </cell>
          <cell r="F8107">
            <v>0</v>
          </cell>
          <cell r="DN8107">
            <v>0</v>
          </cell>
        </row>
        <row r="8108">
          <cell r="E8108">
            <v>0</v>
          </cell>
          <cell r="F8108">
            <v>0</v>
          </cell>
          <cell r="DN8108">
            <v>0</v>
          </cell>
        </row>
        <row r="8109">
          <cell r="E8109">
            <v>0</v>
          </cell>
          <cell r="F8109">
            <v>0</v>
          </cell>
          <cell r="DN8109">
            <v>0</v>
          </cell>
        </row>
        <row r="8110">
          <cell r="E8110">
            <v>0</v>
          </cell>
          <cell r="F8110">
            <v>0</v>
          </cell>
          <cell r="DN8110">
            <v>0</v>
          </cell>
        </row>
        <row r="8111">
          <cell r="E8111">
            <v>0</v>
          </cell>
          <cell r="F8111">
            <v>0</v>
          </cell>
          <cell r="DN8111">
            <v>0</v>
          </cell>
        </row>
        <row r="8112">
          <cell r="E8112">
            <v>0</v>
          </cell>
          <cell r="F8112">
            <v>0</v>
          </cell>
          <cell r="DN8112">
            <v>0</v>
          </cell>
        </row>
        <row r="8113">
          <cell r="E8113">
            <v>0</v>
          </cell>
          <cell r="F8113">
            <v>0</v>
          </cell>
          <cell r="DN8113">
            <v>0</v>
          </cell>
        </row>
        <row r="8114">
          <cell r="E8114">
            <v>0</v>
          </cell>
          <cell r="F8114">
            <v>0</v>
          </cell>
          <cell r="DN8114">
            <v>0</v>
          </cell>
        </row>
        <row r="8115">
          <cell r="E8115">
            <v>0</v>
          </cell>
          <cell r="F8115">
            <v>0</v>
          </cell>
          <cell r="DN8115">
            <v>0</v>
          </cell>
        </row>
        <row r="8116">
          <cell r="E8116">
            <v>0</v>
          </cell>
          <cell r="F8116">
            <v>0</v>
          </cell>
          <cell r="DN8116">
            <v>0</v>
          </cell>
        </row>
        <row r="8117">
          <cell r="E8117">
            <v>0</v>
          </cell>
          <cell r="F8117">
            <v>0</v>
          </cell>
          <cell r="DN8117">
            <v>0</v>
          </cell>
        </row>
        <row r="8118">
          <cell r="E8118">
            <v>0</v>
          </cell>
          <cell r="F8118">
            <v>0</v>
          </cell>
          <cell r="DN8118">
            <v>0</v>
          </cell>
        </row>
        <row r="8119">
          <cell r="E8119">
            <v>0</v>
          </cell>
          <cell r="F8119">
            <v>0</v>
          </cell>
          <cell r="DN8119">
            <v>0</v>
          </cell>
        </row>
        <row r="8120">
          <cell r="E8120">
            <v>0</v>
          </cell>
          <cell r="F8120">
            <v>0</v>
          </cell>
          <cell r="DN8120">
            <v>0</v>
          </cell>
        </row>
        <row r="8121">
          <cell r="E8121">
            <v>0</v>
          </cell>
          <cell r="F8121">
            <v>0</v>
          </cell>
          <cell r="DN8121">
            <v>0</v>
          </cell>
        </row>
        <row r="8122">
          <cell r="E8122">
            <v>0</v>
          </cell>
          <cell r="F8122">
            <v>0</v>
          </cell>
          <cell r="DN8122">
            <v>0</v>
          </cell>
        </row>
        <row r="8123">
          <cell r="E8123">
            <v>0</v>
          </cell>
          <cell r="F8123">
            <v>0</v>
          </cell>
          <cell r="DN8123">
            <v>0</v>
          </cell>
        </row>
        <row r="8124">
          <cell r="E8124">
            <v>0</v>
          </cell>
          <cell r="F8124">
            <v>0</v>
          </cell>
          <cell r="DN8124">
            <v>0</v>
          </cell>
        </row>
        <row r="8125">
          <cell r="E8125">
            <v>0</v>
          </cell>
          <cell r="F8125">
            <v>0</v>
          </cell>
          <cell r="DN8125">
            <v>0</v>
          </cell>
        </row>
        <row r="8126">
          <cell r="E8126">
            <v>0</v>
          </cell>
          <cell r="F8126">
            <v>0</v>
          </cell>
          <cell r="DN8126">
            <v>0</v>
          </cell>
        </row>
        <row r="8127">
          <cell r="E8127">
            <v>0</v>
          </cell>
          <cell r="F8127">
            <v>0</v>
          </cell>
          <cell r="DN8127">
            <v>0</v>
          </cell>
        </row>
        <row r="8128">
          <cell r="E8128">
            <v>0</v>
          </cell>
          <cell r="F8128">
            <v>0</v>
          </cell>
          <cell r="DN8128">
            <v>0</v>
          </cell>
        </row>
        <row r="8129">
          <cell r="E8129">
            <v>0</v>
          </cell>
          <cell r="F8129">
            <v>0</v>
          </cell>
          <cell r="DN8129">
            <v>0</v>
          </cell>
        </row>
        <row r="8130">
          <cell r="E8130">
            <v>0</v>
          </cell>
          <cell r="F8130">
            <v>0</v>
          </cell>
          <cell r="DN8130">
            <v>0</v>
          </cell>
        </row>
        <row r="8131">
          <cell r="E8131">
            <v>0</v>
          </cell>
          <cell r="F8131">
            <v>0</v>
          </cell>
          <cell r="DN8131">
            <v>0</v>
          </cell>
        </row>
        <row r="8132">
          <cell r="E8132">
            <v>0</v>
          </cell>
          <cell r="F8132">
            <v>0</v>
          </cell>
          <cell r="DN8132">
            <v>0</v>
          </cell>
        </row>
        <row r="8133">
          <cell r="E8133">
            <v>0</v>
          </cell>
          <cell r="F8133">
            <v>0</v>
          </cell>
          <cell r="DN8133">
            <v>0</v>
          </cell>
        </row>
        <row r="8134">
          <cell r="E8134">
            <v>0</v>
          </cell>
          <cell r="F8134">
            <v>0</v>
          </cell>
          <cell r="DN8134">
            <v>0</v>
          </cell>
        </row>
        <row r="8135">
          <cell r="E8135">
            <v>0</v>
          </cell>
          <cell r="F8135">
            <v>0</v>
          </cell>
          <cell r="DN8135">
            <v>0</v>
          </cell>
        </row>
        <row r="8136">
          <cell r="E8136">
            <v>0</v>
          </cell>
          <cell r="F8136">
            <v>0</v>
          </cell>
          <cell r="DN8136">
            <v>0</v>
          </cell>
        </row>
        <row r="8137">
          <cell r="E8137">
            <v>0</v>
          </cell>
          <cell r="F8137">
            <v>0</v>
          </cell>
          <cell r="DN8137">
            <v>0</v>
          </cell>
        </row>
        <row r="8138">
          <cell r="E8138">
            <v>0</v>
          </cell>
          <cell r="F8138">
            <v>0</v>
          </cell>
          <cell r="DN8138">
            <v>0</v>
          </cell>
        </row>
        <row r="8139">
          <cell r="E8139">
            <v>0</v>
          </cell>
          <cell r="F8139">
            <v>0</v>
          </cell>
          <cell r="DN8139">
            <v>0</v>
          </cell>
        </row>
        <row r="8140">
          <cell r="E8140">
            <v>0</v>
          </cell>
          <cell r="F8140">
            <v>0</v>
          </cell>
          <cell r="DN8140">
            <v>0</v>
          </cell>
        </row>
        <row r="8141">
          <cell r="E8141">
            <v>0</v>
          </cell>
          <cell r="F8141">
            <v>0</v>
          </cell>
          <cell r="DN8141">
            <v>0</v>
          </cell>
        </row>
        <row r="8142">
          <cell r="E8142">
            <v>0</v>
          </cell>
          <cell r="F8142">
            <v>0</v>
          </cell>
          <cell r="DN8142">
            <v>0</v>
          </cell>
        </row>
        <row r="8143">
          <cell r="E8143">
            <v>0</v>
          </cell>
          <cell r="F8143">
            <v>0</v>
          </cell>
          <cell r="DN8143">
            <v>0</v>
          </cell>
        </row>
        <row r="8144">
          <cell r="E8144">
            <v>0</v>
          </cell>
          <cell r="F8144">
            <v>0</v>
          </cell>
          <cell r="DN8144">
            <v>0</v>
          </cell>
        </row>
        <row r="8145">
          <cell r="E8145">
            <v>0</v>
          </cell>
          <cell r="F8145">
            <v>0</v>
          </cell>
          <cell r="DN8145">
            <v>0</v>
          </cell>
        </row>
        <row r="8146">
          <cell r="E8146">
            <v>0</v>
          </cell>
          <cell r="F8146">
            <v>0</v>
          </cell>
          <cell r="DN8146">
            <v>0</v>
          </cell>
        </row>
        <row r="8147">
          <cell r="E8147">
            <v>0</v>
          </cell>
          <cell r="F8147">
            <v>0</v>
          </cell>
          <cell r="DN8147">
            <v>0</v>
          </cell>
        </row>
        <row r="8148">
          <cell r="E8148">
            <v>0</v>
          </cell>
          <cell r="F8148">
            <v>0</v>
          </cell>
          <cell r="DN8148">
            <v>0</v>
          </cell>
        </row>
        <row r="8149">
          <cell r="E8149">
            <v>0</v>
          </cell>
          <cell r="F8149">
            <v>0</v>
          </cell>
          <cell r="DN8149">
            <v>0</v>
          </cell>
        </row>
        <row r="8150">
          <cell r="E8150">
            <v>0</v>
          </cell>
          <cell r="F8150">
            <v>0</v>
          </cell>
          <cell r="DN8150">
            <v>0</v>
          </cell>
        </row>
        <row r="8151">
          <cell r="E8151">
            <v>0</v>
          </cell>
          <cell r="F8151">
            <v>0</v>
          </cell>
          <cell r="DN8151">
            <v>0</v>
          </cell>
        </row>
        <row r="8152">
          <cell r="E8152">
            <v>0</v>
          </cell>
          <cell r="F8152">
            <v>0</v>
          </cell>
          <cell r="DN8152">
            <v>0</v>
          </cell>
        </row>
        <row r="8153">
          <cell r="E8153">
            <v>0</v>
          </cell>
          <cell r="F8153">
            <v>0</v>
          </cell>
          <cell r="DN8153">
            <v>0</v>
          </cell>
        </row>
        <row r="8154">
          <cell r="E8154">
            <v>0</v>
          </cell>
          <cell r="F8154">
            <v>0</v>
          </cell>
          <cell r="DN8154">
            <v>0</v>
          </cell>
        </row>
        <row r="8155">
          <cell r="E8155">
            <v>0</v>
          </cell>
          <cell r="F8155">
            <v>0</v>
          </cell>
          <cell r="DN8155">
            <v>0</v>
          </cell>
        </row>
        <row r="8156">
          <cell r="E8156">
            <v>0</v>
          </cell>
          <cell r="F8156">
            <v>0</v>
          </cell>
          <cell r="DN8156">
            <v>0</v>
          </cell>
        </row>
        <row r="8157">
          <cell r="E8157">
            <v>0</v>
          </cell>
          <cell r="F8157">
            <v>0</v>
          </cell>
          <cell r="DN8157">
            <v>0</v>
          </cell>
        </row>
        <row r="8158">
          <cell r="E8158">
            <v>0</v>
          </cell>
          <cell r="F8158">
            <v>0</v>
          </cell>
          <cell r="DN8158">
            <v>0</v>
          </cell>
        </row>
        <row r="8159">
          <cell r="E8159">
            <v>0</v>
          </cell>
          <cell r="F8159">
            <v>0</v>
          </cell>
          <cell r="DN8159">
            <v>0</v>
          </cell>
        </row>
        <row r="8160">
          <cell r="E8160">
            <v>0</v>
          </cell>
          <cell r="F8160">
            <v>0</v>
          </cell>
          <cell r="DN8160">
            <v>0</v>
          </cell>
        </row>
        <row r="8161">
          <cell r="E8161">
            <v>0</v>
          </cell>
          <cell r="F8161">
            <v>0</v>
          </cell>
          <cell r="DN8161">
            <v>0</v>
          </cell>
        </row>
        <row r="8162">
          <cell r="E8162">
            <v>0</v>
          </cell>
          <cell r="F8162">
            <v>0</v>
          </cell>
          <cell r="DN8162">
            <v>0</v>
          </cell>
        </row>
        <row r="8163">
          <cell r="E8163">
            <v>0</v>
          </cell>
          <cell r="F8163">
            <v>0</v>
          </cell>
          <cell r="DN8163">
            <v>0</v>
          </cell>
        </row>
        <row r="8164">
          <cell r="E8164">
            <v>0</v>
          </cell>
          <cell r="F8164">
            <v>0</v>
          </cell>
          <cell r="DN8164">
            <v>0</v>
          </cell>
        </row>
        <row r="8165">
          <cell r="E8165">
            <v>0</v>
          </cell>
          <cell r="F8165">
            <v>0</v>
          </cell>
          <cell r="DN8165">
            <v>0</v>
          </cell>
        </row>
        <row r="8166">
          <cell r="E8166">
            <v>0</v>
          </cell>
          <cell r="F8166">
            <v>0</v>
          </cell>
          <cell r="DN8166">
            <v>0</v>
          </cell>
        </row>
        <row r="8167">
          <cell r="E8167">
            <v>0</v>
          </cell>
          <cell r="F8167">
            <v>0</v>
          </cell>
          <cell r="DN8167">
            <v>0</v>
          </cell>
        </row>
        <row r="8168">
          <cell r="E8168">
            <v>0</v>
          </cell>
          <cell r="F8168">
            <v>0</v>
          </cell>
          <cell r="DN8168">
            <v>0</v>
          </cell>
        </row>
        <row r="8169">
          <cell r="E8169">
            <v>0</v>
          </cell>
          <cell r="F8169">
            <v>0</v>
          </cell>
          <cell r="DN8169">
            <v>0</v>
          </cell>
        </row>
        <row r="8170">
          <cell r="E8170">
            <v>0</v>
          </cell>
          <cell r="F8170">
            <v>0</v>
          </cell>
          <cell r="DN8170">
            <v>0</v>
          </cell>
        </row>
        <row r="8171">
          <cell r="E8171">
            <v>0</v>
          </cell>
          <cell r="F8171">
            <v>0</v>
          </cell>
          <cell r="DN8171">
            <v>0</v>
          </cell>
        </row>
        <row r="8172">
          <cell r="E8172">
            <v>0</v>
          </cell>
          <cell r="F8172">
            <v>0</v>
          </cell>
          <cell r="DN8172">
            <v>0</v>
          </cell>
        </row>
        <row r="8173">
          <cell r="E8173">
            <v>0</v>
          </cell>
          <cell r="F8173">
            <v>0</v>
          </cell>
          <cell r="DN8173">
            <v>0</v>
          </cell>
        </row>
        <row r="8174">
          <cell r="E8174">
            <v>0</v>
          </cell>
          <cell r="F8174">
            <v>0</v>
          </cell>
          <cell r="DN8174">
            <v>0</v>
          </cell>
        </row>
        <row r="8175">
          <cell r="E8175">
            <v>0</v>
          </cell>
          <cell r="F8175">
            <v>0</v>
          </cell>
          <cell r="DN8175">
            <v>0</v>
          </cell>
        </row>
        <row r="8176">
          <cell r="E8176">
            <v>0</v>
          </cell>
          <cell r="F8176">
            <v>0</v>
          </cell>
          <cell r="DN8176">
            <v>0</v>
          </cell>
        </row>
        <row r="8177">
          <cell r="E8177">
            <v>0</v>
          </cell>
          <cell r="F8177">
            <v>0</v>
          </cell>
          <cell r="DN8177">
            <v>0</v>
          </cell>
        </row>
        <row r="8178">
          <cell r="E8178">
            <v>0</v>
          </cell>
          <cell r="F8178">
            <v>0</v>
          </cell>
          <cell r="DN8178">
            <v>0</v>
          </cell>
        </row>
        <row r="8179">
          <cell r="E8179">
            <v>0</v>
          </cell>
          <cell r="F8179">
            <v>0</v>
          </cell>
          <cell r="DN8179">
            <v>0</v>
          </cell>
        </row>
        <row r="8180">
          <cell r="E8180">
            <v>0</v>
          </cell>
          <cell r="F8180">
            <v>0</v>
          </cell>
          <cell r="DN8180">
            <v>0</v>
          </cell>
        </row>
        <row r="8181">
          <cell r="E8181">
            <v>0</v>
          </cell>
          <cell r="F8181">
            <v>0</v>
          </cell>
          <cell r="DN8181">
            <v>0</v>
          </cell>
        </row>
        <row r="8182">
          <cell r="E8182">
            <v>0</v>
          </cell>
          <cell r="F8182">
            <v>0</v>
          </cell>
          <cell r="DN8182">
            <v>0</v>
          </cell>
        </row>
        <row r="8183">
          <cell r="E8183">
            <v>0</v>
          </cell>
          <cell r="F8183">
            <v>0</v>
          </cell>
          <cell r="DN8183">
            <v>0</v>
          </cell>
        </row>
        <row r="8184">
          <cell r="E8184">
            <v>0</v>
          </cell>
          <cell r="F8184">
            <v>0</v>
          </cell>
          <cell r="DN8184">
            <v>0</v>
          </cell>
        </row>
        <row r="8185">
          <cell r="E8185">
            <v>0</v>
          </cell>
          <cell r="F8185">
            <v>0</v>
          </cell>
          <cell r="DN8185">
            <v>0</v>
          </cell>
        </row>
        <row r="8186">
          <cell r="E8186">
            <v>0</v>
          </cell>
          <cell r="F8186">
            <v>0</v>
          </cell>
          <cell r="DN8186">
            <v>0</v>
          </cell>
        </row>
        <row r="8187">
          <cell r="E8187">
            <v>0</v>
          </cell>
          <cell r="F8187">
            <v>0</v>
          </cell>
          <cell r="DN8187">
            <v>0</v>
          </cell>
        </row>
        <row r="8188">
          <cell r="E8188">
            <v>0</v>
          </cell>
          <cell r="F8188">
            <v>0</v>
          </cell>
          <cell r="DN8188">
            <v>0</v>
          </cell>
        </row>
        <row r="8189">
          <cell r="E8189">
            <v>0</v>
          </cell>
          <cell r="F8189">
            <v>0</v>
          </cell>
          <cell r="DN8189">
            <v>0</v>
          </cell>
        </row>
        <row r="8190">
          <cell r="E8190">
            <v>0</v>
          </cell>
          <cell r="F8190">
            <v>0</v>
          </cell>
          <cell r="DN8190">
            <v>0</v>
          </cell>
        </row>
        <row r="8191">
          <cell r="E8191">
            <v>0</v>
          </cell>
          <cell r="F8191">
            <v>0</v>
          </cell>
          <cell r="DN8191">
            <v>0</v>
          </cell>
        </row>
        <row r="8192">
          <cell r="E8192">
            <v>0</v>
          </cell>
          <cell r="F8192">
            <v>0</v>
          </cell>
          <cell r="DN8192">
            <v>0</v>
          </cell>
        </row>
        <row r="8193">
          <cell r="E8193">
            <v>0</v>
          </cell>
          <cell r="F8193">
            <v>0</v>
          </cell>
          <cell r="DN8193">
            <v>0</v>
          </cell>
        </row>
        <row r="8194">
          <cell r="E8194">
            <v>0</v>
          </cell>
          <cell r="F8194">
            <v>0</v>
          </cell>
          <cell r="DN8194">
            <v>0</v>
          </cell>
        </row>
        <row r="8195">
          <cell r="E8195">
            <v>0</v>
          </cell>
          <cell r="F8195">
            <v>0</v>
          </cell>
          <cell r="DN8195">
            <v>0</v>
          </cell>
        </row>
        <row r="8196">
          <cell r="E8196">
            <v>0</v>
          </cell>
          <cell r="F8196">
            <v>0</v>
          </cell>
          <cell r="DN8196">
            <v>0</v>
          </cell>
        </row>
        <row r="8197">
          <cell r="E8197">
            <v>0</v>
          </cell>
          <cell r="F8197">
            <v>0</v>
          </cell>
          <cell r="DN8197">
            <v>0</v>
          </cell>
        </row>
        <row r="8198">
          <cell r="E8198">
            <v>0</v>
          </cell>
          <cell r="F8198">
            <v>0</v>
          </cell>
          <cell r="DN8198">
            <v>0</v>
          </cell>
        </row>
        <row r="8199">
          <cell r="E8199">
            <v>0</v>
          </cell>
          <cell r="F8199">
            <v>0</v>
          </cell>
          <cell r="DN8199">
            <v>0</v>
          </cell>
        </row>
        <row r="8200">
          <cell r="E8200">
            <v>0</v>
          </cell>
          <cell r="F8200">
            <v>0</v>
          </cell>
          <cell r="DN8200">
            <v>0</v>
          </cell>
        </row>
        <row r="8201">
          <cell r="E8201">
            <v>0</v>
          </cell>
          <cell r="F8201">
            <v>0</v>
          </cell>
          <cell r="DN8201">
            <v>0</v>
          </cell>
        </row>
        <row r="8202">
          <cell r="E8202">
            <v>0</v>
          </cell>
          <cell r="F8202">
            <v>0</v>
          </cell>
          <cell r="DN8202">
            <v>0</v>
          </cell>
        </row>
        <row r="8203">
          <cell r="E8203">
            <v>0</v>
          </cell>
          <cell r="F8203">
            <v>0</v>
          </cell>
          <cell r="DN8203">
            <v>0</v>
          </cell>
        </row>
        <row r="8204">
          <cell r="E8204">
            <v>0</v>
          </cell>
          <cell r="F8204">
            <v>0</v>
          </cell>
          <cell r="DN8204">
            <v>0</v>
          </cell>
        </row>
        <row r="8205">
          <cell r="E8205">
            <v>0</v>
          </cell>
          <cell r="F8205">
            <v>0</v>
          </cell>
          <cell r="DN8205">
            <v>0</v>
          </cell>
        </row>
        <row r="8206">
          <cell r="E8206">
            <v>0</v>
          </cell>
          <cell r="F8206">
            <v>0</v>
          </cell>
          <cell r="DN8206">
            <v>0</v>
          </cell>
        </row>
        <row r="8207">
          <cell r="E8207">
            <v>0</v>
          </cell>
          <cell r="F8207">
            <v>0</v>
          </cell>
          <cell r="DN8207">
            <v>0</v>
          </cell>
        </row>
        <row r="8208">
          <cell r="E8208">
            <v>0</v>
          </cell>
          <cell r="F8208">
            <v>0</v>
          </cell>
          <cell r="DN8208">
            <v>0</v>
          </cell>
        </row>
        <row r="8209">
          <cell r="E8209">
            <v>0</v>
          </cell>
          <cell r="F8209">
            <v>0</v>
          </cell>
          <cell r="DN8209">
            <v>0</v>
          </cell>
        </row>
        <row r="8210">
          <cell r="E8210">
            <v>0</v>
          </cell>
          <cell r="F8210">
            <v>0</v>
          </cell>
          <cell r="DN8210">
            <v>0</v>
          </cell>
        </row>
        <row r="8211">
          <cell r="E8211">
            <v>0</v>
          </cell>
          <cell r="F8211">
            <v>0</v>
          </cell>
          <cell r="DN8211">
            <v>0</v>
          </cell>
        </row>
        <row r="8212">
          <cell r="E8212">
            <v>0</v>
          </cell>
          <cell r="F8212">
            <v>0</v>
          </cell>
          <cell r="DN8212">
            <v>0</v>
          </cell>
        </row>
        <row r="8213">
          <cell r="E8213">
            <v>0</v>
          </cell>
          <cell r="F8213">
            <v>0</v>
          </cell>
          <cell r="DN8213">
            <v>0</v>
          </cell>
        </row>
        <row r="8214">
          <cell r="E8214">
            <v>0</v>
          </cell>
          <cell r="F8214">
            <v>0</v>
          </cell>
          <cell r="DN8214">
            <v>0</v>
          </cell>
        </row>
        <row r="8215">
          <cell r="E8215">
            <v>0</v>
          </cell>
          <cell r="F8215">
            <v>0</v>
          </cell>
          <cell r="DN8215">
            <v>0</v>
          </cell>
        </row>
        <row r="8216">
          <cell r="E8216">
            <v>0</v>
          </cell>
          <cell r="F8216">
            <v>0</v>
          </cell>
          <cell r="DN8216">
            <v>0</v>
          </cell>
        </row>
        <row r="8217">
          <cell r="E8217">
            <v>0</v>
          </cell>
          <cell r="F8217">
            <v>0</v>
          </cell>
          <cell r="DN8217">
            <v>0</v>
          </cell>
        </row>
        <row r="8218">
          <cell r="E8218">
            <v>0</v>
          </cell>
          <cell r="F8218">
            <v>0</v>
          </cell>
          <cell r="DN8218">
            <v>0</v>
          </cell>
        </row>
        <row r="8219">
          <cell r="E8219">
            <v>0</v>
          </cell>
          <cell r="F8219">
            <v>0</v>
          </cell>
          <cell r="DN8219">
            <v>0</v>
          </cell>
        </row>
        <row r="8220">
          <cell r="E8220">
            <v>0</v>
          </cell>
          <cell r="F8220">
            <v>0</v>
          </cell>
          <cell r="DN8220">
            <v>0</v>
          </cell>
        </row>
        <row r="8221">
          <cell r="E8221">
            <v>0</v>
          </cell>
          <cell r="F8221">
            <v>0</v>
          </cell>
          <cell r="DN8221">
            <v>0</v>
          </cell>
        </row>
        <row r="8222">
          <cell r="E8222">
            <v>0</v>
          </cell>
          <cell r="F8222">
            <v>0</v>
          </cell>
          <cell r="DN8222">
            <v>0</v>
          </cell>
        </row>
        <row r="8223">
          <cell r="E8223">
            <v>0</v>
          </cell>
          <cell r="F8223">
            <v>0</v>
          </cell>
          <cell r="DN8223">
            <v>0</v>
          </cell>
        </row>
        <row r="8224">
          <cell r="E8224">
            <v>0</v>
          </cell>
          <cell r="F8224">
            <v>0</v>
          </cell>
          <cell r="DN8224">
            <v>0</v>
          </cell>
        </row>
        <row r="8225">
          <cell r="E8225">
            <v>0</v>
          </cell>
          <cell r="F8225">
            <v>0</v>
          </cell>
          <cell r="DN8225">
            <v>0</v>
          </cell>
        </row>
        <row r="8226">
          <cell r="E8226">
            <v>0</v>
          </cell>
          <cell r="F8226">
            <v>0</v>
          </cell>
          <cell r="DN8226">
            <v>0</v>
          </cell>
        </row>
        <row r="8227">
          <cell r="E8227">
            <v>0</v>
          </cell>
          <cell r="F8227">
            <v>0</v>
          </cell>
          <cell r="DN8227">
            <v>0</v>
          </cell>
        </row>
        <row r="8228">
          <cell r="E8228">
            <v>0</v>
          </cell>
          <cell r="F8228">
            <v>0</v>
          </cell>
          <cell r="DN8228">
            <v>0</v>
          </cell>
        </row>
        <row r="8229">
          <cell r="E8229">
            <v>0</v>
          </cell>
          <cell r="F8229">
            <v>0</v>
          </cell>
          <cell r="DN8229">
            <v>0</v>
          </cell>
        </row>
        <row r="8230">
          <cell r="E8230">
            <v>0</v>
          </cell>
          <cell r="F8230">
            <v>0</v>
          </cell>
          <cell r="DN8230">
            <v>0</v>
          </cell>
        </row>
        <row r="8231">
          <cell r="E8231">
            <v>0</v>
          </cell>
          <cell r="F8231">
            <v>0</v>
          </cell>
          <cell r="DN8231">
            <v>0</v>
          </cell>
        </row>
        <row r="8232">
          <cell r="E8232">
            <v>0</v>
          </cell>
          <cell r="F8232">
            <v>0</v>
          </cell>
          <cell r="DN8232">
            <v>0</v>
          </cell>
        </row>
        <row r="8233">
          <cell r="E8233">
            <v>0</v>
          </cell>
          <cell r="F8233">
            <v>0</v>
          </cell>
          <cell r="DN8233">
            <v>0</v>
          </cell>
        </row>
        <row r="8234">
          <cell r="E8234">
            <v>0</v>
          </cell>
          <cell r="F8234">
            <v>0</v>
          </cell>
          <cell r="DN8234">
            <v>0</v>
          </cell>
        </row>
        <row r="8235">
          <cell r="E8235">
            <v>0</v>
          </cell>
          <cell r="F8235">
            <v>0</v>
          </cell>
          <cell r="DN8235">
            <v>0</v>
          </cell>
        </row>
        <row r="8236">
          <cell r="E8236">
            <v>0</v>
          </cell>
          <cell r="F8236">
            <v>0</v>
          </cell>
          <cell r="DN8236">
            <v>0</v>
          </cell>
        </row>
        <row r="8237">
          <cell r="E8237">
            <v>0</v>
          </cell>
          <cell r="F8237">
            <v>0</v>
          </cell>
          <cell r="DN8237">
            <v>0</v>
          </cell>
        </row>
        <row r="8238">
          <cell r="E8238">
            <v>0</v>
          </cell>
          <cell r="F8238">
            <v>0</v>
          </cell>
          <cell r="DN8238">
            <v>0</v>
          </cell>
        </row>
        <row r="8239">
          <cell r="E8239">
            <v>0</v>
          </cell>
          <cell r="F8239">
            <v>0</v>
          </cell>
          <cell r="DN8239">
            <v>0</v>
          </cell>
        </row>
        <row r="8240">
          <cell r="E8240">
            <v>0</v>
          </cell>
          <cell r="F8240">
            <v>0</v>
          </cell>
          <cell r="DN8240">
            <v>0</v>
          </cell>
        </row>
        <row r="8241">
          <cell r="E8241">
            <v>0</v>
          </cell>
          <cell r="F8241">
            <v>0</v>
          </cell>
          <cell r="DN8241">
            <v>0</v>
          </cell>
        </row>
        <row r="8242">
          <cell r="E8242">
            <v>0</v>
          </cell>
          <cell r="F8242">
            <v>0</v>
          </cell>
          <cell r="DN8242">
            <v>0</v>
          </cell>
        </row>
        <row r="8243">
          <cell r="E8243">
            <v>0</v>
          </cell>
          <cell r="F8243">
            <v>0</v>
          </cell>
          <cell r="DN8243">
            <v>0</v>
          </cell>
        </row>
        <row r="8244">
          <cell r="E8244">
            <v>0</v>
          </cell>
          <cell r="F8244">
            <v>0</v>
          </cell>
          <cell r="DN8244">
            <v>0</v>
          </cell>
        </row>
        <row r="8245">
          <cell r="E8245">
            <v>0</v>
          </cell>
          <cell r="F8245">
            <v>0</v>
          </cell>
          <cell r="DN8245">
            <v>0</v>
          </cell>
        </row>
        <row r="8246">
          <cell r="E8246">
            <v>0</v>
          </cell>
          <cell r="F8246">
            <v>0</v>
          </cell>
          <cell r="DN8246">
            <v>0</v>
          </cell>
        </row>
        <row r="8247">
          <cell r="E8247">
            <v>0</v>
          </cell>
          <cell r="F8247">
            <v>0</v>
          </cell>
          <cell r="DN8247">
            <v>0</v>
          </cell>
        </row>
        <row r="8248">
          <cell r="E8248">
            <v>0</v>
          </cell>
          <cell r="F8248">
            <v>0</v>
          </cell>
          <cell r="DN8248">
            <v>0</v>
          </cell>
        </row>
        <row r="8249">
          <cell r="E8249">
            <v>0</v>
          </cell>
          <cell r="F8249">
            <v>0</v>
          </cell>
          <cell r="DN8249">
            <v>0</v>
          </cell>
        </row>
        <row r="8250">
          <cell r="E8250">
            <v>0</v>
          </cell>
          <cell r="F8250">
            <v>0</v>
          </cell>
          <cell r="DN8250">
            <v>0</v>
          </cell>
        </row>
        <row r="8251">
          <cell r="E8251">
            <v>0</v>
          </cell>
          <cell r="F8251">
            <v>0</v>
          </cell>
          <cell r="DN8251">
            <v>0</v>
          </cell>
        </row>
        <row r="8252">
          <cell r="E8252">
            <v>0</v>
          </cell>
          <cell r="F8252">
            <v>0</v>
          </cell>
          <cell r="DN8252">
            <v>0</v>
          </cell>
        </row>
        <row r="8253">
          <cell r="E8253">
            <v>0</v>
          </cell>
          <cell r="F8253">
            <v>0</v>
          </cell>
          <cell r="DN8253">
            <v>0</v>
          </cell>
        </row>
        <row r="8254">
          <cell r="E8254">
            <v>0</v>
          </cell>
          <cell r="F8254">
            <v>0</v>
          </cell>
          <cell r="DN8254">
            <v>0</v>
          </cell>
        </row>
        <row r="8255">
          <cell r="E8255">
            <v>0</v>
          </cell>
          <cell r="F8255">
            <v>0</v>
          </cell>
          <cell r="DN8255">
            <v>0</v>
          </cell>
        </row>
        <row r="8256">
          <cell r="E8256">
            <v>0</v>
          </cell>
          <cell r="F8256">
            <v>0</v>
          </cell>
          <cell r="DN8256">
            <v>0</v>
          </cell>
        </row>
        <row r="8257">
          <cell r="E8257">
            <v>0</v>
          </cell>
          <cell r="F8257">
            <v>0</v>
          </cell>
          <cell r="DN8257">
            <v>0</v>
          </cell>
        </row>
        <row r="8258">
          <cell r="E8258">
            <v>0</v>
          </cell>
          <cell r="F8258">
            <v>0</v>
          </cell>
          <cell r="DN8258">
            <v>0</v>
          </cell>
        </row>
        <row r="8259">
          <cell r="E8259">
            <v>0</v>
          </cell>
          <cell r="F8259">
            <v>0</v>
          </cell>
          <cell r="DN8259">
            <v>0</v>
          </cell>
        </row>
        <row r="8260">
          <cell r="E8260">
            <v>0</v>
          </cell>
          <cell r="F8260">
            <v>0</v>
          </cell>
          <cell r="DN8260">
            <v>0</v>
          </cell>
        </row>
        <row r="8261">
          <cell r="E8261">
            <v>0</v>
          </cell>
          <cell r="F8261">
            <v>0</v>
          </cell>
          <cell r="DN8261">
            <v>0</v>
          </cell>
        </row>
        <row r="8262">
          <cell r="E8262">
            <v>0</v>
          </cell>
          <cell r="F8262">
            <v>0</v>
          </cell>
          <cell r="DN8262">
            <v>0</v>
          </cell>
        </row>
        <row r="8263">
          <cell r="E8263">
            <v>0</v>
          </cell>
          <cell r="F8263">
            <v>0</v>
          </cell>
          <cell r="DN8263">
            <v>0</v>
          </cell>
        </row>
        <row r="8264">
          <cell r="E8264">
            <v>0</v>
          </cell>
          <cell r="F8264">
            <v>0</v>
          </cell>
          <cell r="DN8264">
            <v>0</v>
          </cell>
        </row>
        <row r="8265">
          <cell r="E8265">
            <v>0</v>
          </cell>
          <cell r="F8265">
            <v>0</v>
          </cell>
          <cell r="DN8265">
            <v>0</v>
          </cell>
        </row>
        <row r="8266">
          <cell r="E8266">
            <v>0</v>
          </cell>
          <cell r="F8266">
            <v>0</v>
          </cell>
          <cell r="DN8266">
            <v>0</v>
          </cell>
        </row>
        <row r="8267">
          <cell r="E8267">
            <v>0</v>
          </cell>
          <cell r="F8267">
            <v>0</v>
          </cell>
          <cell r="DN8267">
            <v>0</v>
          </cell>
        </row>
        <row r="8268">
          <cell r="E8268">
            <v>0</v>
          </cell>
          <cell r="F8268">
            <v>0</v>
          </cell>
          <cell r="DN8268">
            <v>0</v>
          </cell>
        </row>
        <row r="8269">
          <cell r="E8269">
            <v>0</v>
          </cell>
          <cell r="F8269">
            <v>0</v>
          </cell>
          <cell r="DN8269">
            <v>0</v>
          </cell>
        </row>
        <row r="8270">
          <cell r="E8270">
            <v>0</v>
          </cell>
          <cell r="F8270">
            <v>0</v>
          </cell>
          <cell r="DN8270">
            <v>0</v>
          </cell>
        </row>
        <row r="8271">
          <cell r="E8271">
            <v>0</v>
          </cell>
          <cell r="F8271">
            <v>0</v>
          </cell>
          <cell r="DN8271">
            <v>0</v>
          </cell>
        </row>
        <row r="8272">
          <cell r="E8272">
            <v>0</v>
          </cell>
          <cell r="F8272">
            <v>0</v>
          </cell>
          <cell r="DN8272">
            <v>0</v>
          </cell>
        </row>
        <row r="8273">
          <cell r="E8273">
            <v>0</v>
          </cell>
          <cell r="F8273">
            <v>0</v>
          </cell>
          <cell r="DN8273">
            <v>0</v>
          </cell>
        </row>
        <row r="8274">
          <cell r="E8274">
            <v>0</v>
          </cell>
          <cell r="F8274">
            <v>0</v>
          </cell>
          <cell r="DN8274">
            <v>0</v>
          </cell>
        </row>
        <row r="8275">
          <cell r="E8275">
            <v>0</v>
          </cell>
          <cell r="F8275">
            <v>0</v>
          </cell>
          <cell r="DN8275">
            <v>0</v>
          </cell>
        </row>
        <row r="8276">
          <cell r="E8276">
            <v>0</v>
          </cell>
          <cell r="F8276">
            <v>0</v>
          </cell>
          <cell r="DN8276">
            <v>0</v>
          </cell>
        </row>
        <row r="8277">
          <cell r="E8277">
            <v>0</v>
          </cell>
          <cell r="F8277">
            <v>0</v>
          </cell>
          <cell r="DN8277">
            <v>0</v>
          </cell>
        </row>
        <row r="8278">
          <cell r="E8278">
            <v>0</v>
          </cell>
          <cell r="F8278">
            <v>0</v>
          </cell>
          <cell r="DN8278">
            <v>0</v>
          </cell>
        </row>
        <row r="8279">
          <cell r="E8279">
            <v>0</v>
          </cell>
          <cell r="F8279">
            <v>0</v>
          </cell>
          <cell r="DN8279">
            <v>0</v>
          </cell>
        </row>
        <row r="8280">
          <cell r="E8280">
            <v>0</v>
          </cell>
          <cell r="F8280">
            <v>0</v>
          </cell>
          <cell r="DN8280">
            <v>0</v>
          </cell>
        </row>
        <row r="8281">
          <cell r="E8281">
            <v>0</v>
          </cell>
          <cell r="F8281">
            <v>0</v>
          </cell>
          <cell r="DN8281">
            <v>0</v>
          </cell>
        </row>
        <row r="8282">
          <cell r="E8282">
            <v>0</v>
          </cell>
          <cell r="F8282">
            <v>0</v>
          </cell>
          <cell r="DN8282">
            <v>0</v>
          </cell>
        </row>
        <row r="8283">
          <cell r="E8283">
            <v>0</v>
          </cell>
          <cell r="F8283">
            <v>0</v>
          </cell>
          <cell r="DN8283">
            <v>0</v>
          </cell>
        </row>
        <row r="8284">
          <cell r="E8284">
            <v>0</v>
          </cell>
          <cell r="F8284">
            <v>0</v>
          </cell>
          <cell r="DN8284">
            <v>0</v>
          </cell>
        </row>
        <row r="8285">
          <cell r="E8285">
            <v>0</v>
          </cell>
          <cell r="F8285">
            <v>0</v>
          </cell>
          <cell r="DN8285">
            <v>0</v>
          </cell>
        </row>
        <row r="8286">
          <cell r="E8286">
            <v>0</v>
          </cell>
          <cell r="F8286">
            <v>0</v>
          </cell>
          <cell r="DN8286">
            <v>0</v>
          </cell>
        </row>
        <row r="8287">
          <cell r="E8287">
            <v>0</v>
          </cell>
          <cell r="F8287">
            <v>0</v>
          </cell>
          <cell r="DN8287">
            <v>0</v>
          </cell>
        </row>
        <row r="8288">
          <cell r="E8288">
            <v>0</v>
          </cell>
          <cell r="F8288">
            <v>0</v>
          </cell>
          <cell r="DN8288">
            <v>0</v>
          </cell>
        </row>
        <row r="8289">
          <cell r="E8289">
            <v>0</v>
          </cell>
          <cell r="F8289">
            <v>0</v>
          </cell>
          <cell r="DN8289">
            <v>0</v>
          </cell>
        </row>
        <row r="8290">
          <cell r="E8290">
            <v>0</v>
          </cell>
          <cell r="F8290">
            <v>0</v>
          </cell>
          <cell r="DN8290">
            <v>0</v>
          </cell>
        </row>
        <row r="8291">
          <cell r="E8291">
            <v>0</v>
          </cell>
          <cell r="F8291">
            <v>0</v>
          </cell>
          <cell r="DN8291">
            <v>0</v>
          </cell>
        </row>
        <row r="8292">
          <cell r="E8292">
            <v>0</v>
          </cell>
          <cell r="F8292">
            <v>0</v>
          </cell>
          <cell r="DN8292">
            <v>0</v>
          </cell>
        </row>
        <row r="8293">
          <cell r="E8293">
            <v>0</v>
          </cell>
          <cell r="F8293">
            <v>0</v>
          </cell>
          <cell r="DN8293">
            <v>0</v>
          </cell>
        </row>
        <row r="8294">
          <cell r="E8294">
            <v>0</v>
          </cell>
          <cell r="F8294">
            <v>0</v>
          </cell>
          <cell r="DN8294">
            <v>0</v>
          </cell>
        </row>
        <row r="8295">
          <cell r="E8295">
            <v>0</v>
          </cell>
          <cell r="F8295">
            <v>0</v>
          </cell>
          <cell r="DN8295">
            <v>0</v>
          </cell>
        </row>
        <row r="8296">
          <cell r="E8296">
            <v>0</v>
          </cell>
          <cell r="F8296">
            <v>0</v>
          </cell>
          <cell r="DN8296">
            <v>0</v>
          </cell>
        </row>
        <row r="8297">
          <cell r="E8297">
            <v>0</v>
          </cell>
          <cell r="F8297">
            <v>0</v>
          </cell>
          <cell r="DN8297">
            <v>0</v>
          </cell>
        </row>
        <row r="8298">
          <cell r="E8298">
            <v>0</v>
          </cell>
          <cell r="F8298">
            <v>0</v>
          </cell>
          <cell r="DN8298">
            <v>0</v>
          </cell>
        </row>
        <row r="8299">
          <cell r="E8299">
            <v>0</v>
          </cell>
          <cell r="F8299">
            <v>0</v>
          </cell>
          <cell r="DN8299">
            <v>0</v>
          </cell>
        </row>
        <row r="8300">
          <cell r="E8300">
            <v>0</v>
          </cell>
          <cell r="F8300">
            <v>0</v>
          </cell>
          <cell r="DN8300">
            <v>0</v>
          </cell>
        </row>
        <row r="8301">
          <cell r="E8301">
            <v>0</v>
          </cell>
          <cell r="F8301">
            <v>0</v>
          </cell>
          <cell r="DN8301">
            <v>0</v>
          </cell>
        </row>
        <row r="8302">
          <cell r="E8302">
            <v>0</v>
          </cell>
          <cell r="F8302">
            <v>0</v>
          </cell>
          <cell r="DN8302">
            <v>0</v>
          </cell>
        </row>
        <row r="8303">
          <cell r="E8303">
            <v>0</v>
          </cell>
          <cell r="F8303">
            <v>0</v>
          </cell>
          <cell r="DN8303">
            <v>0</v>
          </cell>
        </row>
        <row r="8304">
          <cell r="E8304">
            <v>0</v>
          </cell>
          <cell r="F8304">
            <v>0</v>
          </cell>
          <cell r="DN8304">
            <v>0</v>
          </cell>
        </row>
        <row r="8305">
          <cell r="E8305">
            <v>0</v>
          </cell>
          <cell r="F8305">
            <v>0</v>
          </cell>
          <cell r="DN8305">
            <v>0</v>
          </cell>
        </row>
        <row r="8306">
          <cell r="E8306">
            <v>0</v>
          </cell>
          <cell r="F8306">
            <v>0</v>
          </cell>
          <cell r="DN8306">
            <v>0</v>
          </cell>
        </row>
        <row r="8307">
          <cell r="E8307">
            <v>0</v>
          </cell>
          <cell r="F8307">
            <v>0</v>
          </cell>
          <cell r="DN8307">
            <v>0</v>
          </cell>
        </row>
        <row r="8308">
          <cell r="E8308">
            <v>0</v>
          </cell>
          <cell r="F8308">
            <v>0</v>
          </cell>
          <cell r="DN8308">
            <v>0</v>
          </cell>
        </row>
        <row r="8309">
          <cell r="E8309">
            <v>0</v>
          </cell>
          <cell r="F8309">
            <v>0</v>
          </cell>
          <cell r="DN8309">
            <v>0</v>
          </cell>
        </row>
        <row r="8310">
          <cell r="E8310">
            <v>0</v>
          </cell>
          <cell r="F8310">
            <v>0</v>
          </cell>
          <cell r="DN8310">
            <v>0</v>
          </cell>
        </row>
        <row r="8311">
          <cell r="E8311">
            <v>0</v>
          </cell>
          <cell r="F8311">
            <v>0</v>
          </cell>
          <cell r="DN8311">
            <v>0</v>
          </cell>
        </row>
        <row r="8312">
          <cell r="E8312">
            <v>0</v>
          </cell>
          <cell r="F8312">
            <v>0</v>
          </cell>
          <cell r="DN8312">
            <v>0</v>
          </cell>
        </row>
        <row r="8313">
          <cell r="E8313">
            <v>0</v>
          </cell>
          <cell r="F8313">
            <v>0</v>
          </cell>
          <cell r="DN8313">
            <v>0</v>
          </cell>
        </row>
        <row r="8314">
          <cell r="E8314">
            <v>0</v>
          </cell>
          <cell r="F8314">
            <v>0</v>
          </cell>
          <cell r="DN8314">
            <v>0</v>
          </cell>
        </row>
        <row r="8315">
          <cell r="E8315">
            <v>0</v>
          </cell>
          <cell r="F8315">
            <v>0</v>
          </cell>
          <cell r="DN8315">
            <v>0</v>
          </cell>
        </row>
        <row r="8316">
          <cell r="E8316">
            <v>0</v>
          </cell>
          <cell r="F8316">
            <v>0</v>
          </cell>
          <cell r="DN8316">
            <v>0</v>
          </cell>
        </row>
        <row r="8317">
          <cell r="E8317">
            <v>0</v>
          </cell>
          <cell r="F8317">
            <v>0</v>
          </cell>
          <cell r="DN8317">
            <v>0</v>
          </cell>
        </row>
        <row r="8318">
          <cell r="E8318">
            <v>0</v>
          </cell>
          <cell r="F8318">
            <v>0</v>
          </cell>
          <cell r="DN8318">
            <v>0</v>
          </cell>
        </row>
        <row r="8319">
          <cell r="E8319">
            <v>0</v>
          </cell>
          <cell r="F8319">
            <v>0</v>
          </cell>
          <cell r="DN8319">
            <v>0</v>
          </cell>
        </row>
        <row r="8320">
          <cell r="E8320">
            <v>0</v>
          </cell>
          <cell r="F8320">
            <v>0</v>
          </cell>
          <cell r="DN8320">
            <v>0</v>
          </cell>
        </row>
        <row r="8321">
          <cell r="E8321">
            <v>0</v>
          </cell>
          <cell r="F8321">
            <v>0</v>
          </cell>
          <cell r="DN8321">
            <v>0</v>
          </cell>
        </row>
        <row r="8322">
          <cell r="E8322">
            <v>0</v>
          </cell>
          <cell r="F8322">
            <v>0</v>
          </cell>
          <cell r="DN8322">
            <v>0</v>
          </cell>
        </row>
        <row r="8323">
          <cell r="E8323">
            <v>0</v>
          </cell>
          <cell r="F8323">
            <v>0</v>
          </cell>
          <cell r="DN8323">
            <v>0</v>
          </cell>
        </row>
        <row r="8324">
          <cell r="E8324">
            <v>0</v>
          </cell>
          <cell r="F8324">
            <v>0</v>
          </cell>
          <cell r="DN8324">
            <v>0</v>
          </cell>
        </row>
        <row r="8325">
          <cell r="E8325">
            <v>0</v>
          </cell>
          <cell r="F8325">
            <v>0</v>
          </cell>
          <cell r="DN8325">
            <v>0</v>
          </cell>
        </row>
        <row r="8326">
          <cell r="E8326">
            <v>0</v>
          </cell>
          <cell r="F8326">
            <v>0</v>
          </cell>
          <cell r="DN8326">
            <v>0</v>
          </cell>
        </row>
        <row r="8327">
          <cell r="E8327">
            <v>0</v>
          </cell>
          <cell r="F8327">
            <v>0</v>
          </cell>
          <cell r="DN8327">
            <v>0</v>
          </cell>
        </row>
        <row r="8328">
          <cell r="E8328">
            <v>0</v>
          </cell>
          <cell r="F8328">
            <v>0</v>
          </cell>
          <cell r="DN8328">
            <v>0</v>
          </cell>
        </row>
        <row r="8329">
          <cell r="E8329">
            <v>0</v>
          </cell>
          <cell r="F8329">
            <v>0</v>
          </cell>
          <cell r="DN8329">
            <v>0</v>
          </cell>
        </row>
        <row r="8330">
          <cell r="E8330">
            <v>0</v>
          </cell>
          <cell r="F8330">
            <v>0</v>
          </cell>
          <cell r="DN8330">
            <v>0</v>
          </cell>
        </row>
        <row r="8331">
          <cell r="E8331">
            <v>0</v>
          </cell>
          <cell r="F8331">
            <v>0</v>
          </cell>
          <cell r="DN8331">
            <v>0</v>
          </cell>
        </row>
        <row r="8332">
          <cell r="E8332">
            <v>0</v>
          </cell>
          <cell r="F8332">
            <v>0</v>
          </cell>
          <cell r="DN8332">
            <v>0</v>
          </cell>
        </row>
        <row r="8333">
          <cell r="E8333">
            <v>0</v>
          </cell>
          <cell r="F8333">
            <v>0</v>
          </cell>
          <cell r="DN8333">
            <v>0</v>
          </cell>
        </row>
        <row r="8334">
          <cell r="E8334">
            <v>0</v>
          </cell>
          <cell r="F8334">
            <v>0</v>
          </cell>
          <cell r="DN8334">
            <v>0</v>
          </cell>
        </row>
        <row r="8335">
          <cell r="E8335">
            <v>0</v>
          </cell>
          <cell r="F8335">
            <v>0</v>
          </cell>
          <cell r="DN8335">
            <v>0</v>
          </cell>
        </row>
        <row r="8336">
          <cell r="E8336">
            <v>0</v>
          </cell>
          <cell r="F8336">
            <v>0</v>
          </cell>
          <cell r="DN8336">
            <v>0</v>
          </cell>
        </row>
        <row r="8337">
          <cell r="E8337">
            <v>0</v>
          </cell>
          <cell r="F8337">
            <v>0</v>
          </cell>
          <cell r="DN8337">
            <v>0</v>
          </cell>
        </row>
        <row r="8338">
          <cell r="E8338">
            <v>0</v>
          </cell>
          <cell r="F8338">
            <v>0</v>
          </cell>
          <cell r="DN8338">
            <v>0</v>
          </cell>
        </row>
        <row r="8339">
          <cell r="E8339">
            <v>0</v>
          </cell>
          <cell r="F8339">
            <v>0</v>
          </cell>
          <cell r="DN8339">
            <v>0</v>
          </cell>
        </row>
        <row r="8340">
          <cell r="E8340">
            <v>0</v>
          </cell>
          <cell r="F8340">
            <v>0</v>
          </cell>
          <cell r="DN8340">
            <v>0</v>
          </cell>
        </row>
        <row r="8341">
          <cell r="E8341">
            <v>0</v>
          </cell>
          <cell r="F8341">
            <v>0</v>
          </cell>
          <cell r="DN8341">
            <v>0</v>
          </cell>
        </row>
        <row r="8342">
          <cell r="E8342">
            <v>0</v>
          </cell>
          <cell r="F8342">
            <v>0</v>
          </cell>
          <cell r="DN8342">
            <v>0</v>
          </cell>
        </row>
        <row r="8343">
          <cell r="E8343">
            <v>0</v>
          </cell>
          <cell r="F8343">
            <v>0</v>
          </cell>
          <cell r="DN8343">
            <v>0</v>
          </cell>
        </row>
        <row r="8344">
          <cell r="E8344">
            <v>0</v>
          </cell>
          <cell r="F8344">
            <v>0</v>
          </cell>
          <cell r="DN8344">
            <v>0</v>
          </cell>
        </row>
        <row r="8345">
          <cell r="E8345">
            <v>0</v>
          </cell>
          <cell r="F8345">
            <v>0</v>
          </cell>
          <cell r="DN8345">
            <v>0</v>
          </cell>
        </row>
        <row r="8346">
          <cell r="E8346">
            <v>0</v>
          </cell>
          <cell r="F8346">
            <v>0</v>
          </cell>
          <cell r="DN8346">
            <v>0</v>
          </cell>
        </row>
        <row r="8347">
          <cell r="E8347">
            <v>0</v>
          </cell>
          <cell r="F8347">
            <v>0</v>
          </cell>
          <cell r="DN8347">
            <v>0</v>
          </cell>
        </row>
        <row r="8348">
          <cell r="E8348">
            <v>0</v>
          </cell>
          <cell r="F8348">
            <v>0</v>
          </cell>
          <cell r="DN8348">
            <v>0</v>
          </cell>
        </row>
        <row r="8349">
          <cell r="E8349">
            <v>0</v>
          </cell>
          <cell r="F8349">
            <v>0</v>
          </cell>
          <cell r="DN8349">
            <v>0</v>
          </cell>
        </row>
        <row r="8350">
          <cell r="E8350">
            <v>0</v>
          </cell>
          <cell r="F8350">
            <v>0</v>
          </cell>
          <cell r="DN8350">
            <v>0</v>
          </cell>
        </row>
        <row r="8351">
          <cell r="E8351">
            <v>0</v>
          </cell>
          <cell r="F8351">
            <v>0</v>
          </cell>
          <cell r="DN8351">
            <v>0</v>
          </cell>
        </row>
        <row r="8352">
          <cell r="E8352">
            <v>0</v>
          </cell>
          <cell r="F8352">
            <v>0</v>
          </cell>
          <cell r="DN8352">
            <v>0</v>
          </cell>
        </row>
        <row r="8353">
          <cell r="E8353">
            <v>0</v>
          </cell>
          <cell r="F8353">
            <v>0</v>
          </cell>
          <cell r="DN8353">
            <v>0</v>
          </cell>
        </row>
        <row r="8354">
          <cell r="E8354">
            <v>0</v>
          </cell>
          <cell r="F8354">
            <v>0</v>
          </cell>
          <cell r="DN8354">
            <v>0</v>
          </cell>
        </row>
        <row r="8355">
          <cell r="E8355">
            <v>0</v>
          </cell>
          <cell r="F8355">
            <v>0</v>
          </cell>
          <cell r="DN8355">
            <v>0</v>
          </cell>
        </row>
        <row r="8356">
          <cell r="E8356">
            <v>0</v>
          </cell>
          <cell r="F8356">
            <v>0</v>
          </cell>
          <cell r="DN8356">
            <v>0</v>
          </cell>
        </row>
        <row r="8357">
          <cell r="E8357">
            <v>0</v>
          </cell>
          <cell r="F8357">
            <v>0</v>
          </cell>
          <cell r="DN8357">
            <v>0</v>
          </cell>
        </row>
        <row r="8358">
          <cell r="E8358">
            <v>0</v>
          </cell>
          <cell r="F8358">
            <v>0</v>
          </cell>
          <cell r="DN8358">
            <v>0</v>
          </cell>
        </row>
        <row r="8359">
          <cell r="E8359">
            <v>0</v>
          </cell>
          <cell r="F8359">
            <v>0</v>
          </cell>
          <cell r="DN8359">
            <v>0</v>
          </cell>
        </row>
        <row r="8360">
          <cell r="E8360">
            <v>0</v>
          </cell>
          <cell r="F8360">
            <v>0</v>
          </cell>
          <cell r="DN8360">
            <v>0</v>
          </cell>
        </row>
        <row r="8361">
          <cell r="E8361">
            <v>0</v>
          </cell>
          <cell r="F8361">
            <v>0</v>
          </cell>
          <cell r="DN8361">
            <v>0</v>
          </cell>
        </row>
        <row r="8362">
          <cell r="E8362">
            <v>0</v>
          </cell>
          <cell r="F8362">
            <v>0</v>
          </cell>
          <cell r="DN8362">
            <v>0</v>
          </cell>
        </row>
        <row r="8363">
          <cell r="E8363">
            <v>0</v>
          </cell>
          <cell r="F8363">
            <v>0</v>
          </cell>
          <cell r="DN8363">
            <v>0</v>
          </cell>
        </row>
        <row r="8364">
          <cell r="E8364">
            <v>0</v>
          </cell>
          <cell r="F8364">
            <v>0</v>
          </cell>
          <cell r="DN8364">
            <v>0</v>
          </cell>
        </row>
        <row r="8365">
          <cell r="E8365">
            <v>0</v>
          </cell>
          <cell r="F8365">
            <v>0</v>
          </cell>
          <cell r="DN8365">
            <v>0</v>
          </cell>
        </row>
        <row r="8366">
          <cell r="E8366">
            <v>0</v>
          </cell>
          <cell r="F8366">
            <v>0</v>
          </cell>
          <cell r="DN8366">
            <v>0</v>
          </cell>
        </row>
        <row r="8367">
          <cell r="E8367">
            <v>0</v>
          </cell>
          <cell r="F8367">
            <v>0</v>
          </cell>
          <cell r="DN8367">
            <v>0</v>
          </cell>
        </row>
        <row r="8368">
          <cell r="E8368">
            <v>0</v>
          </cell>
          <cell r="F8368">
            <v>0</v>
          </cell>
          <cell r="DN8368">
            <v>0</v>
          </cell>
        </row>
        <row r="8369">
          <cell r="E8369">
            <v>0</v>
          </cell>
          <cell r="F8369">
            <v>0</v>
          </cell>
          <cell r="DN8369">
            <v>0</v>
          </cell>
        </row>
        <row r="8370">
          <cell r="E8370">
            <v>0</v>
          </cell>
          <cell r="F8370">
            <v>0</v>
          </cell>
          <cell r="DN8370">
            <v>0</v>
          </cell>
        </row>
        <row r="8371">
          <cell r="E8371">
            <v>0</v>
          </cell>
          <cell r="F8371">
            <v>0</v>
          </cell>
          <cell r="DN8371">
            <v>0</v>
          </cell>
        </row>
        <row r="8372">
          <cell r="E8372">
            <v>0</v>
          </cell>
          <cell r="F8372">
            <v>0</v>
          </cell>
          <cell r="DN8372">
            <v>0</v>
          </cell>
        </row>
        <row r="8373">
          <cell r="E8373">
            <v>0</v>
          </cell>
          <cell r="F8373">
            <v>0</v>
          </cell>
          <cell r="DN8373">
            <v>0</v>
          </cell>
        </row>
        <row r="8374">
          <cell r="E8374">
            <v>0</v>
          </cell>
          <cell r="F8374">
            <v>0</v>
          </cell>
          <cell r="DN8374">
            <v>0</v>
          </cell>
        </row>
        <row r="8375">
          <cell r="E8375">
            <v>0</v>
          </cell>
          <cell r="F8375">
            <v>0</v>
          </cell>
          <cell r="DN8375">
            <v>0</v>
          </cell>
        </row>
        <row r="8376">
          <cell r="E8376">
            <v>0</v>
          </cell>
          <cell r="F8376">
            <v>0</v>
          </cell>
          <cell r="DN8376">
            <v>0</v>
          </cell>
        </row>
        <row r="8377">
          <cell r="E8377">
            <v>0</v>
          </cell>
          <cell r="F8377">
            <v>0</v>
          </cell>
          <cell r="DN8377">
            <v>0</v>
          </cell>
        </row>
        <row r="8378">
          <cell r="E8378">
            <v>0</v>
          </cell>
          <cell r="F8378">
            <v>0</v>
          </cell>
          <cell r="DN8378">
            <v>0</v>
          </cell>
        </row>
        <row r="8379">
          <cell r="E8379">
            <v>0</v>
          </cell>
          <cell r="F8379">
            <v>0</v>
          </cell>
          <cell r="DN8379">
            <v>0</v>
          </cell>
        </row>
        <row r="8380">
          <cell r="E8380">
            <v>0</v>
          </cell>
          <cell r="F8380">
            <v>0</v>
          </cell>
          <cell r="DN8380">
            <v>0</v>
          </cell>
        </row>
        <row r="8381">
          <cell r="E8381">
            <v>0</v>
          </cell>
          <cell r="F8381">
            <v>0</v>
          </cell>
          <cell r="DN8381">
            <v>0</v>
          </cell>
        </row>
        <row r="8382">
          <cell r="E8382">
            <v>0</v>
          </cell>
          <cell r="F8382">
            <v>0</v>
          </cell>
          <cell r="DN8382">
            <v>0</v>
          </cell>
        </row>
        <row r="8383">
          <cell r="E8383">
            <v>0</v>
          </cell>
          <cell r="F8383">
            <v>0</v>
          </cell>
          <cell r="DN8383">
            <v>0</v>
          </cell>
        </row>
        <row r="8384">
          <cell r="E8384">
            <v>0</v>
          </cell>
          <cell r="F8384">
            <v>0</v>
          </cell>
          <cell r="DN8384">
            <v>0</v>
          </cell>
        </row>
        <row r="8385">
          <cell r="E8385">
            <v>0</v>
          </cell>
          <cell r="F8385">
            <v>0</v>
          </cell>
          <cell r="DN8385">
            <v>0</v>
          </cell>
        </row>
        <row r="8386">
          <cell r="E8386">
            <v>0</v>
          </cell>
          <cell r="F8386">
            <v>0</v>
          </cell>
          <cell r="DN8386">
            <v>0</v>
          </cell>
        </row>
        <row r="8387">
          <cell r="E8387">
            <v>0</v>
          </cell>
          <cell r="F8387">
            <v>0</v>
          </cell>
          <cell r="DN8387">
            <v>0</v>
          </cell>
        </row>
        <row r="8388">
          <cell r="E8388">
            <v>0</v>
          </cell>
          <cell r="F8388">
            <v>0</v>
          </cell>
          <cell r="DN8388">
            <v>0</v>
          </cell>
        </row>
        <row r="8389">
          <cell r="E8389">
            <v>0</v>
          </cell>
          <cell r="F8389">
            <v>0</v>
          </cell>
          <cell r="DN8389">
            <v>0</v>
          </cell>
        </row>
        <row r="8390">
          <cell r="E8390">
            <v>0</v>
          </cell>
          <cell r="F8390">
            <v>0</v>
          </cell>
          <cell r="DN8390">
            <v>0</v>
          </cell>
        </row>
        <row r="8391">
          <cell r="E8391">
            <v>0</v>
          </cell>
          <cell r="F8391">
            <v>0</v>
          </cell>
          <cell r="DN8391">
            <v>0</v>
          </cell>
        </row>
        <row r="8392">
          <cell r="E8392">
            <v>0</v>
          </cell>
          <cell r="F8392">
            <v>0</v>
          </cell>
          <cell r="DN8392">
            <v>0</v>
          </cell>
        </row>
        <row r="8393">
          <cell r="E8393">
            <v>0</v>
          </cell>
          <cell r="F8393">
            <v>0</v>
          </cell>
          <cell r="DN8393">
            <v>0</v>
          </cell>
        </row>
        <row r="8394">
          <cell r="E8394">
            <v>0</v>
          </cell>
          <cell r="F8394">
            <v>0</v>
          </cell>
          <cell r="DN8394">
            <v>0</v>
          </cell>
        </row>
        <row r="8395">
          <cell r="E8395">
            <v>0</v>
          </cell>
          <cell r="F8395">
            <v>0</v>
          </cell>
          <cell r="DN8395">
            <v>0</v>
          </cell>
        </row>
        <row r="8396">
          <cell r="E8396">
            <v>0</v>
          </cell>
          <cell r="F8396">
            <v>0</v>
          </cell>
          <cell r="DN8396">
            <v>0</v>
          </cell>
        </row>
        <row r="8397">
          <cell r="E8397">
            <v>0</v>
          </cell>
          <cell r="F8397">
            <v>0</v>
          </cell>
          <cell r="DN8397">
            <v>0</v>
          </cell>
        </row>
        <row r="8398">
          <cell r="E8398">
            <v>0</v>
          </cell>
          <cell r="F8398">
            <v>0</v>
          </cell>
          <cell r="DN8398">
            <v>0</v>
          </cell>
        </row>
        <row r="8399">
          <cell r="E8399">
            <v>0</v>
          </cell>
          <cell r="F8399">
            <v>0</v>
          </cell>
          <cell r="DN8399">
            <v>0</v>
          </cell>
        </row>
        <row r="8400">
          <cell r="E8400">
            <v>0</v>
          </cell>
          <cell r="F8400">
            <v>0</v>
          </cell>
          <cell r="DN8400">
            <v>0</v>
          </cell>
        </row>
        <row r="8401">
          <cell r="E8401">
            <v>0</v>
          </cell>
          <cell r="F8401">
            <v>0</v>
          </cell>
          <cell r="DN8401">
            <v>0</v>
          </cell>
        </row>
        <row r="8402">
          <cell r="E8402">
            <v>0</v>
          </cell>
          <cell r="F8402">
            <v>0</v>
          </cell>
          <cell r="DN8402">
            <v>0</v>
          </cell>
        </row>
        <row r="8403">
          <cell r="E8403">
            <v>0</v>
          </cell>
          <cell r="F8403">
            <v>0</v>
          </cell>
          <cell r="DN8403">
            <v>0</v>
          </cell>
        </row>
        <row r="8404">
          <cell r="E8404">
            <v>0</v>
          </cell>
          <cell r="F8404">
            <v>0</v>
          </cell>
          <cell r="DN8404">
            <v>0</v>
          </cell>
        </row>
        <row r="8405">
          <cell r="E8405">
            <v>0</v>
          </cell>
          <cell r="F8405">
            <v>0</v>
          </cell>
          <cell r="DN8405">
            <v>0</v>
          </cell>
        </row>
        <row r="8406">
          <cell r="E8406">
            <v>0</v>
          </cell>
          <cell r="F8406">
            <v>0</v>
          </cell>
          <cell r="DN8406">
            <v>0</v>
          </cell>
        </row>
        <row r="8407">
          <cell r="E8407">
            <v>0</v>
          </cell>
          <cell r="F8407">
            <v>0</v>
          </cell>
          <cell r="DN8407">
            <v>0</v>
          </cell>
        </row>
        <row r="8408">
          <cell r="E8408">
            <v>0</v>
          </cell>
          <cell r="F8408">
            <v>0</v>
          </cell>
          <cell r="DN8408">
            <v>0</v>
          </cell>
        </row>
        <row r="8409">
          <cell r="E8409">
            <v>0</v>
          </cell>
          <cell r="F8409">
            <v>0</v>
          </cell>
          <cell r="DN8409">
            <v>0</v>
          </cell>
        </row>
        <row r="8410">
          <cell r="E8410">
            <v>0</v>
          </cell>
          <cell r="F8410">
            <v>0</v>
          </cell>
          <cell r="DN8410">
            <v>0</v>
          </cell>
        </row>
        <row r="8411">
          <cell r="E8411">
            <v>0</v>
          </cell>
          <cell r="F8411">
            <v>0</v>
          </cell>
          <cell r="DN8411">
            <v>0</v>
          </cell>
        </row>
        <row r="8412">
          <cell r="E8412">
            <v>0</v>
          </cell>
          <cell r="F8412">
            <v>0</v>
          </cell>
          <cell r="DN8412">
            <v>0</v>
          </cell>
        </row>
        <row r="8413">
          <cell r="E8413">
            <v>0</v>
          </cell>
          <cell r="F8413">
            <v>0</v>
          </cell>
          <cell r="DN8413">
            <v>0</v>
          </cell>
        </row>
        <row r="8414">
          <cell r="E8414">
            <v>0</v>
          </cell>
          <cell r="F8414">
            <v>0</v>
          </cell>
          <cell r="DN8414">
            <v>0</v>
          </cell>
        </row>
        <row r="8415">
          <cell r="E8415">
            <v>0</v>
          </cell>
          <cell r="F8415">
            <v>0</v>
          </cell>
          <cell r="DN8415">
            <v>0</v>
          </cell>
        </row>
        <row r="8416">
          <cell r="E8416">
            <v>0</v>
          </cell>
          <cell r="F8416">
            <v>0</v>
          </cell>
          <cell r="DN8416">
            <v>0</v>
          </cell>
        </row>
        <row r="8417">
          <cell r="E8417">
            <v>0</v>
          </cell>
          <cell r="F8417">
            <v>0</v>
          </cell>
          <cell r="DN8417">
            <v>0</v>
          </cell>
        </row>
        <row r="8418">
          <cell r="E8418">
            <v>0</v>
          </cell>
          <cell r="F8418">
            <v>0</v>
          </cell>
          <cell r="DN8418">
            <v>0</v>
          </cell>
        </row>
        <row r="8419">
          <cell r="E8419">
            <v>0</v>
          </cell>
          <cell r="F8419">
            <v>0</v>
          </cell>
          <cell r="DN8419">
            <v>0</v>
          </cell>
        </row>
        <row r="8420">
          <cell r="E8420">
            <v>0</v>
          </cell>
          <cell r="F8420">
            <v>0</v>
          </cell>
          <cell r="DN8420">
            <v>0</v>
          </cell>
        </row>
        <row r="8421">
          <cell r="E8421">
            <v>0</v>
          </cell>
          <cell r="F8421">
            <v>0</v>
          </cell>
          <cell r="DN8421">
            <v>0</v>
          </cell>
        </row>
        <row r="8422">
          <cell r="E8422">
            <v>0</v>
          </cell>
          <cell r="F8422">
            <v>0</v>
          </cell>
          <cell r="DN8422">
            <v>0</v>
          </cell>
        </row>
        <row r="8423">
          <cell r="E8423">
            <v>0</v>
          </cell>
          <cell r="F8423">
            <v>0</v>
          </cell>
          <cell r="DN8423">
            <v>0</v>
          </cell>
        </row>
        <row r="8424">
          <cell r="E8424">
            <v>0</v>
          </cell>
          <cell r="F8424">
            <v>0</v>
          </cell>
          <cell r="DN8424">
            <v>0</v>
          </cell>
        </row>
        <row r="8425">
          <cell r="E8425">
            <v>0</v>
          </cell>
          <cell r="F8425">
            <v>0</v>
          </cell>
          <cell r="DN8425">
            <v>0</v>
          </cell>
        </row>
        <row r="8426">
          <cell r="E8426">
            <v>0</v>
          </cell>
          <cell r="F8426">
            <v>0</v>
          </cell>
          <cell r="DN8426">
            <v>0</v>
          </cell>
        </row>
        <row r="8427">
          <cell r="E8427">
            <v>0</v>
          </cell>
          <cell r="F8427">
            <v>0</v>
          </cell>
          <cell r="DN8427">
            <v>0</v>
          </cell>
        </row>
        <row r="8428">
          <cell r="E8428">
            <v>0</v>
          </cell>
          <cell r="F8428">
            <v>0</v>
          </cell>
          <cell r="DN8428">
            <v>0</v>
          </cell>
        </row>
        <row r="8429">
          <cell r="E8429">
            <v>0</v>
          </cell>
          <cell r="F8429">
            <v>0</v>
          </cell>
          <cell r="DN8429">
            <v>0</v>
          </cell>
        </row>
        <row r="8430">
          <cell r="E8430">
            <v>0</v>
          </cell>
          <cell r="F8430">
            <v>0</v>
          </cell>
          <cell r="DN8430">
            <v>0</v>
          </cell>
        </row>
        <row r="8431">
          <cell r="E8431">
            <v>0</v>
          </cell>
          <cell r="F8431">
            <v>0</v>
          </cell>
          <cell r="DN8431">
            <v>0</v>
          </cell>
        </row>
        <row r="8432">
          <cell r="E8432">
            <v>0</v>
          </cell>
          <cell r="F8432">
            <v>0</v>
          </cell>
          <cell r="DN8432">
            <v>0</v>
          </cell>
        </row>
        <row r="8433">
          <cell r="E8433">
            <v>0</v>
          </cell>
          <cell r="F8433">
            <v>0</v>
          </cell>
          <cell r="DN8433">
            <v>0</v>
          </cell>
        </row>
        <row r="8434">
          <cell r="E8434">
            <v>0</v>
          </cell>
          <cell r="F8434">
            <v>0</v>
          </cell>
          <cell r="DN8434">
            <v>0</v>
          </cell>
        </row>
        <row r="8435">
          <cell r="E8435">
            <v>0</v>
          </cell>
          <cell r="F8435">
            <v>0</v>
          </cell>
          <cell r="DN8435">
            <v>0</v>
          </cell>
        </row>
        <row r="8436">
          <cell r="E8436">
            <v>0</v>
          </cell>
          <cell r="F8436">
            <v>0</v>
          </cell>
          <cell r="DN8436">
            <v>0</v>
          </cell>
        </row>
        <row r="8437">
          <cell r="E8437">
            <v>0</v>
          </cell>
          <cell r="F8437">
            <v>0</v>
          </cell>
          <cell r="DN8437">
            <v>0</v>
          </cell>
        </row>
        <row r="8438">
          <cell r="E8438">
            <v>0</v>
          </cell>
          <cell r="F8438">
            <v>0</v>
          </cell>
          <cell r="DN8438">
            <v>0</v>
          </cell>
        </row>
        <row r="8439">
          <cell r="E8439">
            <v>0</v>
          </cell>
          <cell r="F8439">
            <v>0</v>
          </cell>
          <cell r="DN8439">
            <v>0</v>
          </cell>
        </row>
        <row r="8440">
          <cell r="E8440">
            <v>0</v>
          </cell>
          <cell r="F8440">
            <v>0</v>
          </cell>
          <cell r="DN8440">
            <v>0</v>
          </cell>
        </row>
        <row r="8441">
          <cell r="E8441">
            <v>0</v>
          </cell>
          <cell r="F8441">
            <v>0</v>
          </cell>
          <cell r="DN8441">
            <v>0</v>
          </cell>
        </row>
        <row r="8442">
          <cell r="E8442">
            <v>0</v>
          </cell>
          <cell r="F8442">
            <v>0</v>
          </cell>
          <cell r="DN8442">
            <v>0</v>
          </cell>
        </row>
        <row r="8443">
          <cell r="E8443">
            <v>0</v>
          </cell>
          <cell r="F8443">
            <v>0</v>
          </cell>
          <cell r="DN8443">
            <v>0</v>
          </cell>
        </row>
        <row r="8444">
          <cell r="E8444">
            <v>0</v>
          </cell>
          <cell r="F8444">
            <v>0</v>
          </cell>
          <cell r="DN8444">
            <v>0</v>
          </cell>
        </row>
        <row r="8445">
          <cell r="E8445">
            <v>0</v>
          </cell>
          <cell r="F8445">
            <v>0</v>
          </cell>
          <cell r="DN8445">
            <v>0</v>
          </cell>
        </row>
        <row r="8446">
          <cell r="E8446">
            <v>0</v>
          </cell>
          <cell r="F8446">
            <v>0</v>
          </cell>
          <cell r="DN8446">
            <v>0</v>
          </cell>
        </row>
        <row r="8447">
          <cell r="E8447">
            <v>0</v>
          </cell>
          <cell r="F8447">
            <v>0</v>
          </cell>
          <cell r="DN8447">
            <v>0</v>
          </cell>
        </row>
        <row r="8448">
          <cell r="E8448">
            <v>0</v>
          </cell>
          <cell r="F8448">
            <v>0</v>
          </cell>
          <cell r="DN8448">
            <v>0</v>
          </cell>
        </row>
        <row r="8449">
          <cell r="E8449">
            <v>0</v>
          </cell>
          <cell r="F8449">
            <v>0</v>
          </cell>
          <cell r="DN8449">
            <v>0</v>
          </cell>
        </row>
        <row r="8450">
          <cell r="E8450">
            <v>0</v>
          </cell>
          <cell r="F8450">
            <v>0</v>
          </cell>
          <cell r="DN8450">
            <v>0</v>
          </cell>
        </row>
        <row r="8451">
          <cell r="E8451">
            <v>0</v>
          </cell>
          <cell r="F8451">
            <v>0</v>
          </cell>
          <cell r="DN8451">
            <v>0</v>
          </cell>
        </row>
        <row r="8452">
          <cell r="E8452">
            <v>0</v>
          </cell>
          <cell r="F8452">
            <v>0</v>
          </cell>
          <cell r="DN8452">
            <v>0</v>
          </cell>
        </row>
        <row r="8453">
          <cell r="E8453">
            <v>0</v>
          </cell>
          <cell r="F8453">
            <v>0</v>
          </cell>
          <cell r="DN8453">
            <v>0</v>
          </cell>
        </row>
        <row r="8454">
          <cell r="E8454">
            <v>0</v>
          </cell>
          <cell r="F8454">
            <v>0</v>
          </cell>
          <cell r="DN8454">
            <v>0</v>
          </cell>
        </row>
        <row r="8455">
          <cell r="E8455">
            <v>0</v>
          </cell>
          <cell r="F8455">
            <v>0</v>
          </cell>
          <cell r="DN8455">
            <v>0</v>
          </cell>
        </row>
        <row r="8456">
          <cell r="E8456">
            <v>0</v>
          </cell>
          <cell r="F8456">
            <v>0</v>
          </cell>
          <cell r="DN8456">
            <v>0</v>
          </cell>
        </row>
        <row r="8457">
          <cell r="E8457">
            <v>0</v>
          </cell>
          <cell r="F8457">
            <v>0</v>
          </cell>
          <cell r="DN8457">
            <v>0</v>
          </cell>
        </row>
        <row r="8458">
          <cell r="E8458">
            <v>0</v>
          </cell>
          <cell r="F8458">
            <v>0</v>
          </cell>
          <cell r="DN8458">
            <v>0</v>
          </cell>
        </row>
        <row r="8459">
          <cell r="E8459">
            <v>0</v>
          </cell>
          <cell r="F8459">
            <v>0</v>
          </cell>
          <cell r="DN8459">
            <v>0</v>
          </cell>
        </row>
        <row r="8460">
          <cell r="E8460">
            <v>0</v>
          </cell>
          <cell r="F8460">
            <v>0</v>
          </cell>
          <cell r="DN8460">
            <v>0</v>
          </cell>
        </row>
        <row r="8461">
          <cell r="E8461">
            <v>0</v>
          </cell>
          <cell r="F8461">
            <v>0</v>
          </cell>
          <cell r="DN8461">
            <v>0</v>
          </cell>
        </row>
        <row r="8462">
          <cell r="E8462">
            <v>0</v>
          </cell>
          <cell r="F8462">
            <v>0</v>
          </cell>
          <cell r="DN8462">
            <v>0</v>
          </cell>
        </row>
        <row r="8463">
          <cell r="E8463">
            <v>0</v>
          </cell>
          <cell r="F8463">
            <v>0</v>
          </cell>
          <cell r="DN8463">
            <v>0</v>
          </cell>
        </row>
        <row r="8464">
          <cell r="E8464">
            <v>0</v>
          </cell>
          <cell r="F8464">
            <v>0</v>
          </cell>
          <cell r="DN8464">
            <v>0</v>
          </cell>
        </row>
        <row r="8465">
          <cell r="E8465">
            <v>0</v>
          </cell>
          <cell r="F8465">
            <v>0</v>
          </cell>
          <cell r="DN8465">
            <v>0</v>
          </cell>
        </row>
        <row r="8466">
          <cell r="E8466">
            <v>0</v>
          </cell>
          <cell r="F8466">
            <v>0</v>
          </cell>
          <cell r="DN8466">
            <v>0</v>
          </cell>
        </row>
        <row r="8467">
          <cell r="E8467">
            <v>0</v>
          </cell>
          <cell r="F8467">
            <v>0</v>
          </cell>
          <cell r="DN8467">
            <v>0</v>
          </cell>
        </row>
        <row r="8468">
          <cell r="E8468">
            <v>0</v>
          </cell>
          <cell r="F8468">
            <v>0</v>
          </cell>
          <cell r="DN8468">
            <v>0</v>
          </cell>
        </row>
        <row r="8469">
          <cell r="E8469">
            <v>0</v>
          </cell>
          <cell r="F8469">
            <v>0</v>
          </cell>
          <cell r="DN8469">
            <v>0</v>
          </cell>
        </row>
        <row r="8470">
          <cell r="E8470">
            <v>0</v>
          </cell>
          <cell r="F8470">
            <v>0</v>
          </cell>
          <cell r="DN8470">
            <v>0</v>
          </cell>
        </row>
        <row r="8471">
          <cell r="E8471">
            <v>0</v>
          </cell>
          <cell r="F8471">
            <v>0</v>
          </cell>
          <cell r="DN8471">
            <v>0</v>
          </cell>
        </row>
        <row r="8472">
          <cell r="E8472">
            <v>0</v>
          </cell>
          <cell r="F8472">
            <v>0</v>
          </cell>
          <cell r="DN8472">
            <v>0</v>
          </cell>
        </row>
        <row r="8473">
          <cell r="E8473">
            <v>0</v>
          </cell>
          <cell r="F8473">
            <v>0</v>
          </cell>
          <cell r="DN8473">
            <v>0</v>
          </cell>
        </row>
        <row r="8474">
          <cell r="E8474">
            <v>0</v>
          </cell>
          <cell r="F8474">
            <v>0</v>
          </cell>
          <cell r="DN8474">
            <v>0</v>
          </cell>
        </row>
        <row r="8475">
          <cell r="E8475">
            <v>0</v>
          </cell>
          <cell r="F8475">
            <v>0</v>
          </cell>
          <cell r="DN8475">
            <v>0</v>
          </cell>
        </row>
        <row r="8476">
          <cell r="E8476">
            <v>0</v>
          </cell>
          <cell r="F8476">
            <v>0</v>
          </cell>
          <cell r="DN8476">
            <v>0</v>
          </cell>
        </row>
        <row r="8477">
          <cell r="E8477">
            <v>0</v>
          </cell>
          <cell r="F8477">
            <v>0</v>
          </cell>
          <cell r="DN8477">
            <v>0</v>
          </cell>
        </row>
        <row r="8478">
          <cell r="E8478">
            <v>0</v>
          </cell>
          <cell r="F8478">
            <v>0</v>
          </cell>
          <cell r="DN8478">
            <v>0</v>
          </cell>
        </row>
        <row r="8479">
          <cell r="E8479">
            <v>0</v>
          </cell>
          <cell r="F8479">
            <v>0</v>
          </cell>
          <cell r="DN8479">
            <v>0</v>
          </cell>
        </row>
        <row r="8480">
          <cell r="E8480">
            <v>0</v>
          </cell>
          <cell r="F8480">
            <v>0</v>
          </cell>
          <cell r="DN8480">
            <v>0</v>
          </cell>
        </row>
        <row r="8481">
          <cell r="E8481">
            <v>0</v>
          </cell>
          <cell r="F8481">
            <v>0</v>
          </cell>
          <cell r="DN8481">
            <v>0</v>
          </cell>
        </row>
        <row r="8482">
          <cell r="E8482">
            <v>0</v>
          </cell>
          <cell r="F8482">
            <v>0</v>
          </cell>
          <cell r="DN8482">
            <v>0</v>
          </cell>
        </row>
        <row r="8483">
          <cell r="E8483">
            <v>0</v>
          </cell>
          <cell r="F8483">
            <v>0</v>
          </cell>
          <cell r="DN8483">
            <v>0</v>
          </cell>
        </row>
        <row r="8484">
          <cell r="E8484">
            <v>0</v>
          </cell>
          <cell r="F8484">
            <v>0</v>
          </cell>
          <cell r="DN8484">
            <v>0</v>
          </cell>
        </row>
        <row r="8485">
          <cell r="E8485">
            <v>0</v>
          </cell>
          <cell r="F8485">
            <v>0</v>
          </cell>
          <cell r="DN8485">
            <v>0</v>
          </cell>
        </row>
        <row r="8486">
          <cell r="E8486">
            <v>0</v>
          </cell>
          <cell r="F8486">
            <v>0</v>
          </cell>
          <cell r="DN8486">
            <v>0</v>
          </cell>
        </row>
        <row r="8487">
          <cell r="E8487">
            <v>0</v>
          </cell>
          <cell r="F8487">
            <v>0</v>
          </cell>
          <cell r="DN8487">
            <v>0</v>
          </cell>
        </row>
        <row r="8488">
          <cell r="E8488">
            <v>0</v>
          </cell>
          <cell r="F8488">
            <v>0</v>
          </cell>
          <cell r="DN8488">
            <v>0</v>
          </cell>
        </row>
        <row r="8489">
          <cell r="E8489">
            <v>0</v>
          </cell>
          <cell r="F8489">
            <v>0</v>
          </cell>
          <cell r="DN8489">
            <v>0</v>
          </cell>
        </row>
        <row r="8490">
          <cell r="E8490">
            <v>0</v>
          </cell>
          <cell r="F8490">
            <v>0</v>
          </cell>
          <cell r="DN8490">
            <v>0</v>
          </cell>
        </row>
        <row r="8491">
          <cell r="E8491">
            <v>0</v>
          </cell>
          <cell r="F8491">
            <v>0</v>
          </cell>
          <cell r="DN8491">
            <v>0</v>
          </cell>
        </row>
        <row r="8492">
          <cell r="E8492">
            <v>0</v>
          </cell>
          <cell r="F8492">
            <v>0</v>
          </cell>
          <cell r="DN8492">
            <v>0</v>
          </cell>
        </row>
        <row r="8493">
          <cell r="E8493">
            <v>0</v>
          </cell>
          <cell r="F8493">
            <v>0</v>
          </cell>
          <cell r="DN8493">
            <v>0</v>
          </cell>
        </row>
        <row r="8494">
          <cell r="E8494">
            <v>0</v>
          </cell>
          <cell r="F8494">
            <v>0</v>
          </cell>
          <cell r="DN8494">
            <v>0</v>
          </cell>
        </row>
        <row r="8495">
          <cell r="E8495">
            <v>0</v>
          </cell>
          <cell r="F8495">
            <v>0</v>
          </cell>
          <cell r="DN8495">
            <v>0</v>
          </cell>
        </row>
        <row r="8496">
          <cell r="E8496">
            <v>0</v>
          </cell>
          <cell r="F8496">
            <v>0</v>
          </cell>
          <cell r="DN8496">
            <v>0</v>
          </cell>
        </row>
        <row r="8497">
          <cell r="E8497">
            <v>0</v>
          </cell>
          <cell r="F8497">
            <v>0</v>
          </cell>
          <cell r="DN8497">
            <v>0</v>
          </cell>
        </row>
        <row r="8498">
          <cell r="E8498">
            <v>0</v>
          </cell>
          <cell r="F8498">
            <v>0</v>
          </cell>
          <cell r="DN8498">
            <v>0</v>
          </cell>
        </row>
        <row r="8499">
          <cell r="E8499">
            <v>0</v>
          </cell>
          <cell r="F8499">
            <v>0</v>
          </cell>
          <cell r="DN8499">
            <v>0</v>
          </cell>
        </row>
        <row r="8500">
          <cell r="E8500">
            <v>0</v>
          </cell>
          <cell r="F8500">
            <v>0</v>
          </cell>
          <cell r="DN8500">
            <v>0</v>
          </cell>
        </row>
        <row r="8501">
          <cell r="E8501">
            <v>0</v>
          </cell>
          <cell r="F8501">
            <v>0</v>
          </cell>
          <cell r="DN8501">
            <v>0</v>
          </cell>
        </row>
        <row r="8502">
          <cell r="E8502">
            <v>0</v>
          </cell>
          <cell r="F8502">
            <v>0</v>
          </cell>
          <cell r="DN8502">
            <v>0</v>
          </cell>
        </row>
        <row r="8503">
          <cell r="E8503">
            <v>0</v>
          </cell>
          <cell r="F8503">
            <v>0</v>
          </cell>
          <cell r="DN8503">
            <v>0</v>
          </cell>
        </row>
        <row r="8504">
          <cell r="E8504">
            <v>0</v>
          </cell>
          <cell r="F8504">
            <v>0</v>
          </cell>
          <cell r="DN8504">
            <v>0</v>
          </cell>
        </row>
        <row r="8505">
          <cell r="E8505">
            <v>0</v>
          </cell>
          <cell r="F8505">
            <v>0</v>
          </cell>
          <cell r="DN8505">
            <v>0</v>
          </cell>
        </row>
        <row r="8506">
          <cell r="E8506">
            <v>0</v>
          </cell>
          <cell r="F8506">
            <v>0</v>
          </cell>
          <cell r="DN8506">
            <v>0</v>
          </cell>
        </row>
        <row r="8507">
          <cell r="E8507">
            <v>0</v>
          </cell>
          <cell r="F8507">
            <v>0</v>
          </cell>
          <cell r="DN8507">
            <v>0</v>
          </cell>
        </row>
        <row r="8508">
          <cell r="E8508">
            <v>0</v>
          </cell>
          <cell r="F8508">
            <v>0</v>
          </cell>
          <cell r="DN8508">
            <v>0</v>
          </cell>
        </row>
        <row r="8509">
          <cell r="E8509">
            <v>0</v>
          </cell>
          <cell r="F8509">
            <v>0</v>
          </cell>
          <cell r="DN8509">
            <v>0</v>
          </cell>
        </row>
        <row r="8510">
          <cell r="E8510">
            <v>0</v>
          </cell>
          <cell r="F8510">
            <v>0</v>
          </cell>
          <cell r="DN8510">
            <v>0</v>
          </cell>
        </row>
        <row r="8511">
          <cell r="E8511">
            <v>0</v>
          </cell>
          <cell r="F8511">
            <v>0</v>
          </cell>
          <cell r="DN8511">
            <v>0</v>
          </cell>
        </row>
        <row r="8512">
          <cell r="E8512">
            <v>0</v>
          </cell>
          <cell r="F8512">
            <v>0</v>
          </cell>
          <cell r="DN8512">
            <v>0</v>
          </cell>
        </row>
        <row r="8513">
          <cell r="E8513">
            <v>0</v>
          </cell>
          <cell r="F8513">
            <v>0</v>
          </cell>
          <cell r="DN8513">
            <v>0</v>
          </cell>
        </row>
        <row r="8514">
          <cell r="E8514">
            <v>0</v>
          </cell>
          <cell r="F8514">
            <v>0</v>
          </cell>
          <cell r="DN8514">
            <v>0</v>
          </cell>
        </row>
        <row r="8515">
          <cell r="E8515">
            <v>0</v>
          </cell>
          <cell r="F8515">
            <v>0</v>
          </cell>
          <cell r="DN8515">
            <v>0</v>
          </cell>
        </row>
        <row r="8516">
          <cell r="E8516">
            <v>0</v>
          </cell>
          <cell r="F8516">
            <v>0</v>
          </cell>
          <cell r="DN8516">
            <v>0</v>
          </cell>
        </row>
        <row r="8517">
          <cell r="E8517">
            <v>0</v>
          </cell>
          <cell r="F8517">
            <v>0</v>
          </cell>
          <cell r="DN8517">
            <v>0</v>
          </cell>
        </row>
        <row r="8518">
          <cell r="E8518">
            <v>0</v>
          </cell>
          <cell r="F8518">
            <v>0</v>
          </cell>
          <cell r="DN8518">
            <v>0</v>
          </cell>
        </row>
        <row r="8519">
          <cell r="E8519">
            <v>0</v>
          </cell>
          <cell r="F8519">
            <v>0</v>
          </cell>
          <cell r="DN8519">
            <v>0</v>
          </cell>
        </row>
        <row r="8520">
          <cell r="E8520">
            <v>0</v>
          </cell>
          <cell r="F8520">
            <v>0</v>
          </cell>
          <cell r="DN8520">
            <v>0</v>
          </cell>
        </row>
        <row r="8521">
          <cell r="E8521">
            <v>0</v>
          </cell>
          <cell r="F8521">
            <v>0</v>
          </cell>
          <cell r="DN8521">
            <v>0</v>
          </cell>
        </row>
        <row r="8522">
          <cell r="E8522">
            <v>0</v>
          </cell>
          <cell r="F8522">
            <v>0</v>
          </cell>
          <cell r="DN8522">
            <v>0</v>
          </cell>
        </row>
        <row r="8523">
          <cell r="E8523">
            <v>0</v>
          </cell>
          <cell r="F8523">
            <v>0</v>
          </cell>
          <cell r="DN8523">
            <v>0</v>
          </cell>
        </row>
        <row r="8524">
          <cell r="E8524">
            <v>0</v>
          </cell>
          <cell r="F8524">
            <v>0</v>
          </cell>
          <cell r="DN8524">
            <v>0</v>
          </cell>
        </row>
        <row r="8525">
          <cell r="E8525">
            <v>0</v>
          </cell>
          <cell r="F8525">
            <v>0</v>
          </cell>
          <cell r="DN8525">
            <v>0</v>
          </cell>
        </row>
        <row r="8526">
          <cell r="E8526">
            <v>0</v>
          </cell>
          <cell r="F8526">
            <v>0</v>
          </cell>
          <cell r="DN8526">
            <v>0</v>
          </cell>
        </row>
        <row r="8527">
          <cell r="E8527">
            <v>0</v>
          </cell>
          <cell r="F8527">
            <v>0</v>
          </cell>
          <cell r="DN8527">
            <v>0</v>
          </cell>
        </row>
        <row r="8528">
          <cell r="E8528">
            <v>0</v>
          </cell>
          <cell r="F8528">
            <v>0</v>
          </cell>
          <cell r="DN8528">
            <v>0</v>
          </cell>
        </row>
        <row r="8529">
          <cell r="E8529">
            <v>0</v>
          </cell>
          <cell r="F8529">
            <v>0</v>
          </cell>
          <cell r="DN8529">
            <v>0</v>
          </cell>
        </row>
        <row r="8530">
          <cell r="E8530">
            <v>0</v>
          </cell>
          <cell r="F8530">
            <v>0</v>
          </cell>
          <cell r="DN8530">
            <v>0</v>
          </cell>
        </row>
        <row r="8531">
          <cell r="E8531">
            <v>0</v>
          </cell>
          <cell r="F8531">
            <v>0</v>
          </cell>
          <cell r="DN8531">
            <v>0</v>
          </cell>
        </row>
        <row r="8532">
          <cell r="E8532">
            <v>0</v>
          </cell>
          <cell r="F8532">
            <v>0</v>
          </cell>
          <cell r="DN8532">
            <v>0</v>
          </cell>
        </row>
        <row r="8533">
          <cell r="E8533">
            <v>0</v>
          </cell>
          <cell r="F8533">
            <v>0</v>
          </cell>
          <cell r="DN8533">
            <v>0</v>
          </cell>
        </row>
        <row r="8534">
          <cell r="E8534">
            <v>0</v>
          </cell>
          <cell r="F8534">
            <v>0</v>
          </cell>
          <cell r="DN8534">
            <v>0</v>
          </cell>
        </row>
        <row r="8535">
          <cell r="E8535">
            <v>0</v>
          </cell>
          <cell r="F8535">
            <v>0</v>
          </cell>
          <cell r="DN8535">
            <v>0</v>
          </cell>
        </row>
        <row r="8536">
          <cell r="E8536">
            <v>0</v>
          </cell>
          <cell r="F8536">
            <v>0</v>
          </cell>
          <cell r="DN8536">
            <v>0</v>
          </cell>
        </row>
        <row r="8537">
          <cell r="E8537">
            <v>0</v>
          </cell>
          <cell r="F8537">
            <v>0</v>
          </cell>
          <cell r="DN8537">
            <v>0</v>
          </cell>
        </row>
        <row r="8538">
          <cell r="E8538">
            <v>0</v>
          </cell>
          <cell r="F8538">
            <v>0</v>
          </cell>
          <cell r="DN8538">
            <v>0</v>
          </cell>
        </row>
        <row r="8539">
          <cell r="E8539">
            <v>0</v>
          </cell>
          <cell r="F8539">
            <v>0</v>
          </cell>
          <cell r="DN8539">
            <v>0</v>
          </cell>
        </row>
        <row r="8540">
          <cell r="E8540">
            <v>0</v>
          </cell>
          <cell r="F8540">
            <v>0</v>
          </cell>
          <cell r="DN8540">
            <v>0</v>
          </cell>
        </row>
        <row r="8541">
          <cell r="E8541">
            <v>0</v>
          </cell>
          <cell r="F8541">
            <v>0</v>
          </cell>
          <cell r="DN8541">
            <v>0</v>
          </cell>
        </row>
        <row r="8542">
          <cell r="E8542">
            <v>0</v>
          </cell>
          <cell r="F8542">
            <v>0</v>
          </cell>
          <cell r="DN8542">
            <v>0</v>
          </cell>
        </row>
        <row r="8543">
          <cell r="E8543">
            <v>0</v>
          </cell>
          <cell r="F8543">
            <v>0</v>
          </cell>
          <cell r="DN8543">
            <v>0</v>
          </cell>
        </row>
        <row r="8544">
          <cell r="E8544">
            <v>0</v>
          </cell>
          <cell r="F8544">
            <v>0</v>
          </cell>
          <cell r="DN8544">
            <v>0</v>
          </cell>
        </row>
        <row r="8545">
          <cell r="E8545">
            <v>0</v>
          </cell>
          <cell r="F8545">
            <v>0</v>
          </cell>
          <cell r="DN8545">
            <v>0</v>
          </cell>
        </row>
        <row r="8546">
          <cell r="E8546">
            <v>0</v>
          </cell>
          <cell r="F8546">
            <v>0</v>
          </cell>
          <cell r="DN8546">
            <v>0</v>
          </cell>
        </row>
        <row r="8547">
          <cell r="E8547">
            <v>0</v>
          </cell>
          <cell r="F8547">
            <v>0</v>
          </cell>
          <cell r="DN8547">
            <v>0</v>
          </cell>
        </row>
        <row r="8548">
          <cell r="E8548">
            <v>0</v>
          </cell>
          <cell r="F8548">
            <v>0</v>
          </cell>
          <cell r="DN8548">
            <v>0</v>
          </cell>
        </row>
        <row r="8549">
          <cell r="E8549">
            <v>0</v>
          </cell>
          <cell r="F8549">
            <v>0</v>
          </cell>
          <cell r="DN8549">
            <v>0</v>
          </cell>
        </row>
        <row r="8550">
          <cell r="E8550">
            <v>0</v>
          </cell>
          <cell r="F8550">
            <v>0</v>
          </cell>
          <cell r="DN8550">
            <v>0</v>
          </cell>
        </row>
        <row r="8551">
          <cell r="E8551">
            <v>0</v>
          </cell>
          <cell r="F8551">
            <v>0</v>
          </cell>
          <cell r="DN8551">
            <v>0</v>
          </cell>
        </row>
        <row r="8552">
          <cell r="E8552">
            <v>0</v>
          </cell>
          <cell r="F8552">
            <v>0</v>
          </cell>
          <cell r="DN8552">
            <v>0</v>
          </cell>
        </row>
        <row r="8553">
          <cell r="E8553">
            <v>0</v>
          </cell>
          <cell r="F8553">
            <v>0</v>
          </cell>
          <cell r="DN8553">
            <v>0</v>
          </cell>
        </row>
        <row r="8554">
          <cell r="E8554">
            <v>0</v>
          </cell>
          <cell r="F8554">
            <v>0</v>
          </cell>
          <cell r="DN8554">
            <v>0</v>
          </cell>
        </row>
        <row r="8555">
          <cell r="E8555">
            <v>0</v>
          </cell>
          <cell r="F8555">
            <v>0</v>
          </cell>
          <cell r="DN8555">
            <v>0</v>
          </cell>
        </row>
        <row r="8556">
          <cell r="E8556">
            <v>0</v>
          </cell>
          <cell r="F8556">
            <v>0</v>
          </cell>
          <cell r="DN8556">
            <v>0</v>
          </cell>
        </row>
        <row r="8557">
          <cell r="E8557">
            <v>0</v>
          </cell>
          <cell r="F8557">
            <v>0</v>
          </cell>
          <cell r="DN8557">
            <v>0</v>
          </cell>
        </row>
        <row r="8558">
          <cell r="E8558">
            <v>0</v>
          </cell>
          <cell r="F8558">
            <v>0</v>
          </cell>
          <cell r="DN8558">
            <v>0</v>
          </cell>
        </row>
        <row r="8559">
          <cell r="E8559">
            <v>0</v>
          </cell>
          <cell r="F8559">
            <v>0</v>
          </cell>
          <cell r="DN8559">
            <v>0</v>
          </cell>
        </row>
        <row r="8560">
          <cell r="E8560">
            <v>0</v>
          </cell>
          <cell r="F8560">
            <v>0</v>
          </cell>
          <cell r="DN8560">
            <v>0</v>
          </cell>
        </row>
        <row r="8561">
          <cell r="E8561">
            <v>0</v>
          </cell>
          <cell r="F8561">
            <v>0</v>
          </cell>
          <cell r="DN8561">
            <v>0</v>
          </cell>
        </row>
        <row r="8562">
          <cell r="E8562">
            <v>0</v>
          </cell>
          <cell r="F8562">
            <v>0</v>
          </cell>
          <cell r="DN8562">
            <v>0</v>
          </cell>
        </row>
        <row r="8563">
          <cell r="E8563">
            <v>0</v>
          </cell>
          <cell r="F8563">
            <v>0</v>
          </cell>
          <cell r="DN8563">
            <v>0</v>
          </cell>
        </row>
        <row r="8564">
          <cell r="E8564">
            <v>0</v>
          </cell>
          <cell r="F8564">
            <v>0</v>
          </cell>
          <cell r="DN8564">
            <v>0</v>
          </cell>
        </row>
        <row r="8565">
          <cell r="E8565">
            <v>0</v>
          </cell>
          <cell r="F8565">
            <v>0</v>
          </cell>
          <cell r="DN8565">
            <v>0</v>
          </cell>
        </row>
        <row r="8566">
          <cell r="E8566">
            <v>0</v>
          </cell>
          <cell r="F8566">
            <v>0</v>
          </cell>
          <cell r="DN8566">
            <v>0</v>
          </cell>
        </row>
        <row r="8567">
          <cell r="E8567">
            <v>0</v>
          </cell>
          <cell r="F8567">
            <v>0</v>
          </cell>
          <cell r="DN8567">
            <v>0</v>
          </cell>
        </row>
        <row r="8568">
          <cell r="E8568">
            <v>0</v>
          </cell>
          <cell r="F8568">
            <v>0</v>
          </cell>
          <cell r="DN8568">
            <v>0</v>
          </cell>
        </row>
        <row r="8569">
          <cell r="E8569">
            <v>0</v>
          </cell>
          <cell r="F8569">
            <v>0</v>
          </cell>
          <cell r="DN8569">
            <v>0</v>
          </cell>
        </row>
        <row r="8570">
          <cell r="E8570">
            <v>0</v>
          </cell>
          <cell r="F8570">
            <v>0</v>
          </cell>
          <cell r="DN8570">
            <v>0</v>
          </cell>
        </row>
        <row r="8571">
          <cell r="E8571">
            <v>0</v>
          </cell>
          <cell r="F8571">
            <v>0</v>
          </cell>
          <cell r="DN8571">
            <v>0</v>
          </cell>
        </row>
        <row r="8572">
          <cell r="E8572">
            <v>0</v>
          </cell>
          <cell r="F8572">
            <v>0</v>
          </cell>
          <cell r="DN8572">
            <v>0</v>
          </cell>
        </row>
        <row r="8573">
          <cell r="E8573">
            <v>0</v>
          </cell>
          <cell r="F8573">
            <v>0</v>
          </cell>
          <cell r="DN8573">
            <v>0</v>
          </cell>
        </row>
        <row r="8574">
          <cell r="E8574">
            <v>0</v>
          </cell>
          <cell r="F8574">
            <v>0</v>
          </cell>
          <cell r="DN8574">
            <v>0</v>
          </cell>
        </row>
        <row r="8575">
          <cell r="E8575">
            <v>0</v>
          </cell>
          <cell r="F8575">
            <v>0</v>
          </cell>
          <cell r="DN8575">
            <v>0</v>
          </cell>
        </row>
        <row r="8576">
          <cell r="E8576">
            <v>0</v>
          </cell>
          <cell r="F8576">
            <v>0</v>
          </cell>
          <cell r="DN8576">
            <v>0</v>
          </cell>
        </row>
        <row r="8577">
          <cell r="E8577">
            <v>0</v>
          </cell>
          <cell r="F8577">
            <v>0</v>
          </cell>
          <cell r="DN8577">
            <v>0</v>
          </cell>
        </row>
        <row r="8578">
          <cell r="E8578">
            <v>0</v>
          </cell>
          <cell r="F8578">
            <v>0</v>
          </cell>
          <cell r="DN8578">
            <v>0</v>
          </cell>
        </row>
        <row r="8579">
          <cell r="E8579">
            <v>0</v>
          </cell>
          <cell r="F8579">
            <v>0</v>
          </cell>
          <cell r="DN8579">
            <v>0</v>
          </cell>
        </row>
        <row r="8580">
          <cell r="E8580">
            <v>0</v>
          </cell>
          <cell r="F8580">
            <v>0</v>
          </cell>
          <cell r="DN8580">
            <v>0</v>
          </cell>
        </row>
        <row r="8581">
          <cell r="E8581">
            <v>0</v>
          </cell>
          <cell r="F8581">
            <v>0</v>
          </cell>
          <cell r="DN8581">
            <v>0</v>
          </cell>
        </row>
        <row r="8582">
          <cell r="E8582">
            <v>0</v>
          </cell>
          <cell r="F8582">
            <v>0</v>
          </cell>
          <cell r="DN8582">
            <v>0</v>
          </cell>
        </row>
        <row r="8583">
          <cell r="E8583">
            <v>0</v>
          </cell>
          <cell r="F8583">
            <v>0</v>
          </cell>
          <cell r="DN8583">
            <v>0</v>
          </cell>
        </row>
        <row r="8584">
          <cell r="E8584">
            <v>0</v>
          </cell>
          <cell r="F8584">
            <v>0</v>
          </cell>
          <cell r="DN8584">
            <v>0</v>
          </cell>
        </row>
        <row r="8585">
          <cell r="E8585">
            <v>0</v>
          </cell>
          <cell r="F8585">
            <v>0</v>
          </cell>
          <cell r="DN8585">
            <v>0</v>
          </cell>
        </row>
        <row r="8586">
          <cell r="E8586">
            <v>0</v>
          </cell>
          <cell r="F8586">
            <v>0</v>
          </cell>
          <cell r="DN8586">
            <v>0</v>
          </cell>
        </row>
        <row r="8587">
          <cell r="E8587">
            <v>0</v>
          </cell>
          <cell r="F8587">
            <v>0</v>
          </cell>
          <cell r="DN8587">
            <v>0</v>
          </cell>
        </row>
        <row r="8588">
          <cell r="E8588">
            <v>0</v>
          </cell>
          <cell r="F8588">
            <v>0</v>
          </cell>
          <cell r="DN8588">
            <v>0</v>
          </cell>
        </row>
        <row r="8589">
          <cell r="E8589">
            <v>0</v>
          </cell>
          <cell r="F8589">
            <v>0</v>
          </cell>
          <cell r="DN8589">
            <v>0</v>
          </cell>
        </row>
        <row r="8590">
          <cell r="E8590">
            <v>0</v>
          </cell>
          <cell r="F8590">
            <v>0</v>
          </cell>
          <cell r="DN8590">
            <v>0</v>
          </cell>
        </row>
        <row r="8591">
          <cell r="E8591">
            <v>0</v>
          </cell>
          <cell r="F8591">
            <v>0</v>
          </cell>
          <cell r="DN8591">
            <v>0</v>
          </cell>
        </row>
        <row r="8592">
          <cell r="E8592">
            <v>0</v>
          </cell>
          <cell r="F8592">
            <v>0</v>
          </cell>
          <cell r="DN8592">
            <v>0</v>
          </cell>
        </row>
        <row r="8593">
          <cell r="E8593">
            <v>0</v>
          </cell>
          <cell r="F8593">
            <v>0</v>
          </cell>
          <cell r="DN8593">
            <v>0</v>
          </cell>
        </row>
        <row r="8594">
          <cell r="E8594">
            <v>0</v>
          </cell>
          <cell r="F8594">
            <v>0</v>
          </cell>
          <cell r="DN8594">
            <v>0</v>
          </cell>
        </row>
        <row r="8595">
          <cell r="E8595">
            <v>0</v>
          </cell>
          <cell r="F8595">
            <v>0</v>
          </cell>
          <cell r="DN8595">
            <v>0</v>
          </cell>
        </row>
        <row r="8596">
          <cell r="E8596">
            <v>0</v>
          </cell>
          <cell r="F8596">
            <v>0</v>
          </cell>
          <cell r="DN8596">
            <v>0</v>
          </cell>
        </row>
        <row r="8597">
          <cell r="E8597">
            <v>0</v>
          </cell>
          <cell r="F8597">
            <v>0</v>
          </cell>
          <cell r="DN8597">
            <v>0</v>
          </cell>
        </row>
        <row r="8598">
          <cell r="E8598">
            <v>0</v>
          </cell>
          <cell r="F8598">
            <v>0</v>
          </cell>
          <cell r="DN8598">
            <v>0</v>
          </cell>
        </row>
        <row r="8599">
          <cell r="E8599">
            <v>0</v>
          </cell>
          <cell r="F8599">
            <v>0</v>
          </cell>
          <cell r="DN8599">
            <v>0</v>
          </cell>
        </row>
        <row r="8600">
          <cell r="E8600">
            <v>0</v>
          </cell>
          <cell r="F8600">
            <v>0</v>
          </cell>
          <cell r="DN8600">
            <v>0</v>
          </cell>
        </row>
        <row r="8601">
          <cell r="E8601">
            <v>0</v>
          </cell>
          <cell r="F8601">
            <v>0</v>
          </cell>
          <cell r="DN8601">
            <v>0</v>
          </cell>
        </row>
        <row r="8602">
          <cell r="E8602">
            <v>0</v>
          </cell>
          <cell r="F8602">
            <v>0</v>
          </cell>
          <cell r="DN8602">
            <v>0</v>
          </cell>
        </row>
        <row r="8603">
          <cell r="E8603">
            <v>0</v>
          </cell>
          <cell r="F8603">
            <v>0</v>
          </cell>
          <cell r="DN8603">
            <v>0</v>
          </cell>
        </row>
        <row r="8604">
          <cell r="E8604">
            <v>0</v>
          </cell>
          <cell r="F8604">
            <v>0</v>
          </cell>
          <cell r="DN8604">
            <v>0</v>
          </cell>
        </row>
        <row r="8605">
          <cell r="E8605">
            <v>0</v>
          </cell>
          <cell r="F8605">
            <v>0</v>
          </cell>
          <cell r="DN8605">
            <v>0</v>
          </cell>
        </row>
        <row r="8606">
          <cell r="E8606">
            <v>0</v>
          </cell>
          <cell r="F8606">
            <v>0</v>
          </cell>
          <cell r="DN8606">
            <v>0</v>
          </cell>
        </row>
        <row r="8607">
          <cell r="E8607">
            <v>0</v>
          </cell>
          <cell r="F8607">
            <v>0</v>
          </cell>
          <cell r="DN8607">
            <v>0</v>
          </cell>
        </row>
        <row r="8608">
          <cell r="E8608">
            <v>0</v>
          </cell>
          <cell r="F8608">
            <v>0</v>
          </cell>
          <cell r="DN8608">
            <v>0</v>
          </cell>
        </row>
        <row r="8609">
          <cell r="E8609">
            <v>0</v>
          </cell>
          <cell r="F8609">
            <v>0</v>
          </cell>
          <cell r="DN8609">
            <v>0</v>
          </cell>
        </row>
        <row r="8610">
          <cell r="E8610">
            <v>0</v>
          </cell>
          <cell r="F8610">
            <v>0</v>
          </cell>
          <cell r="DN8610">
            <v>0</v>
          </cell>
        </row>
        <row r="8611">
          <cell r="E8611">
            <v>0</v>
          </cell>
          <cell r="F8611">
            <v>0</v>
          </cell>
          <cell r="DN8611">
            <v>0</v>
          </cell>
        </row>
        <row r="8612">
          <cell r="E8612">
            <v>0</v>
          </cell>
          <cell r="F8612">
            <v>0</v>
          </cell>
          <cell r="DN8612">
            <v>0</v>
          </cell>
        </row>
        <row r="8613">
          <cell r="E8613">
            <v>0</v>
          </cell>
          <cell r="F8613">
            <v>0</v>
          </cell>
          <cell r="DN8613">
            <v>0</v>
          </cell>
        </row>
        <row r="8614">
          <cell r="E8614">
            <v>0</v>
          </cell>
          <cell r="F8614">
            <v>0</v>
          </cell>
          <cell r="DN8614">
            <v>0</v>
          </cell>
        </row>
        <row r="8615">
          <cell r="E8615">
            <v>0</v>
          </cell>
          <cell r="F8615">
            <v>0</v>
          </cell>
          <cell r="DN8615">
            <v>0</v>
          </cell>
        </row>
        <row r="8616">
          <cell r="E8616">
            <v>0</v>
          </cell>
          <cell r="F8616">
            <v>0</v>
          </cell>
          <cell r="DN8616">
            <v>0</v>
          </cell>
        </row>
        <row r="8617">
          <cell r="E8617">
            <v>0</v>
          </cell>
          <cell r="F8617">
            <v>0</v>
          </cell>
          <cell r="DN8617">
            <v>0</v>
          </cell>
        </row>
        <row r="8618">
          <cell r="E8618">
            <v>0</v>
          </cell>
          <cell r="F8618">
            <v>0</v>
          </cell>
          <cell r="DN8618">
            <v>0</v>
          </cell>
        </row>
        <row r="8619">
          <cell r="E8619">
            <v>0</v>
          </cell>
          <cell r="F8619">
            <v>0</v>
          </cell>
          <cell r="DN8619">
            <v>0</v>
          </cell>
        </row>
        <row r="8620">
          <cell r="E8620">
            <v>0</v>
          </cell>
          <cell r="F8620">
            <v>0</v>
          </cell>
          <cell r="DN8620">
            <v>0</v>
          </cell>
        </row>
        <row r="8621">
          <cell r="E8621">
            <v>0</v>
          </cell>
          <cell r="F8621">
            <v>0</v>
          </cell>
          <cell r="DN8621">
            <v>0</v>
          </cell>
        </row>
        <row r="8622">
          <cell r="E8622">
            <v>0</v>
          </cell>
          <cell r="F8622">
            <v>0</v>
          </cell>
          <cell r="DN8622">
            <v>0</v>
          </cell>
        </row>
        <row r="8623">
          <cell r="E8623">
            <v>0</v>
          </cell>
          <cell r="F8623">
            <v>0</v>
          </cell>
          <cell r="DN8623">
            <v>0</v>
          </cell>
        </row>
        <row r="8624">
          <cell r="E8624">
            <v>0</v>
          </cell>
          <cell r="F8624">
            <v>0</v>
          </cell>
          <cell r="DN8624">
            <v>0</v>
          </cell>
        </row>
        <row r="8625">
          <cell r="E8625">
            <v>0</v>
          </cell>
          <cell r="F8625">
            <v>0</v>
          </cell>
          <cell r="DN8625">
            <v>0</v>
          </cell>
        </row>
        <row r="8626">
          <cell r="E8626">
            <v>0</v>
          </cell>
          <cell r="F8626">
            <v>0</v>
          </cell>
          <cell r="DN8626">
            <v>0</v>
          </cell>
        </row>
        <row r="8627">
          <cell r="E8627">
            <v>0</v>
          </cell>
          <cell r="F8627">
            <v>0</v>
          </cell>
          <cell r="DN8627">
            <v>0</v>
          </cell>
        </row>
        <row r="8628">
          <cell r="E8628">
            <v>0</v>
          </cell>
          <cell r="F8628">
            <v>0</v>
          </cell>
          <cell r="DN8628">
            <v>0</v>
          </cell>
        </row>
        <row r="8629">
          <cell r="E8629">
            <v>0</v>
          </cell>
          <cell r="F8629">
            <v>0</v>
          </cell>
          <cell r="DN8629">
            <v>0</v>
          </cell>
        </row>
        <row r="8630">
          <cell r="E8630">
            <v>0</v>
          </cell>
          <cell r="F8630">
            <v>0</v>
          </cell>
          <cell r="DN8630">
            <v>0</v>
          </cell>
        </row>
        <row r="8631">
          <cell r="E8631">
            <v>0</v>
          </cell>
          <cell r="F8631">
            <v>0</v>
          </cell>
          <cell r="DN8631">
            <v>0</v>
          </cell>
        </row>
        <row r="8632">
          <cell r="E8632">
            <v>0</v>
          </cell>
          <cell r="F8632">
            <v>0</v>
          </cell>
          <cell r="DN8632">
            <v>0</v>
          </cell>
        </row>
        <row r="8633">
          <cell r="E8633">
            <v>0</v>
          </cell>
          <cell r="F8633">
            <v>0</v>
          </cell>
          <cell r="DN8633">
            <v>0</v>
          </cell>
        </row>
        <row r="8634">
          <cell r="E8634">
            <v>0</v>
          </cell>
          <cell r="F8634">
            <v>0</v>
          </cell>
          <cell r="DN8634">
            <v>0</v>
          </cell>
        </row>
        <row r="8635">
          <cell r="E8635">
            <v>0</v>
          </cell>
          <cell r="F8635">
            <v>0</v>
          </cell>
          <cell r="DN8635">
            <v>0</v>
          </cell>
        </row>
        <row r="8636">
          <cell r="E8636">
            <v>0</v>
          </cell>
          <cell r="F8636">
            <v>0</v>
          </cell>
          <cell r="DN8636">
            <v>0</v>
          </cell>
        </row>
        <row r="8637">
          <cell r="E8637">
            <v>0</v>
          </cell>
          <cell r="F8637">
            <v>0</v>
          </cell>
          <cell r="DN8637">
            <v>0</v>
          </cell>
        </row>
        <row r="8638">
          <cell r="E8638">
            <v>0</v>
          </cell>
          <cell r="F8638">
            <v>0</v>
          </cell>
          <cell r="DN8638">
            <v>0</v>
          </cell>
        </row>
        <row r="8639">
          <cell r="E8639">
            <v>0</v>
          </cell>
          <cell r="F8639">
            <v>0</v>
          </cell>
          <cell r="DN8639">
            <v>0</v>
          </cell>
        </row>
        <row r="8640">
          <cell r="E8640">
            <v>0</v>
          </cell>
          <cell r="F8640">
            <v>0</v>
          </cell>
          <cell r="DN8640">
            <v>0</v>
          </cell>
        </row>
        <row r="8641">
          <cell r="E8641">
            <v>0</v>
          </cell>
          <cell r="F8641">
            <v>0</v>
          </cell>
          <cell r="DN8641">
            <v>0</v>
          </cell>
        </row>
        <row r="8642">
          <cell r="E8642">
            <v>0</v>
          </cell>
          <cell r="F8642">
            <v>0</v>
          </cell>
          <cell r="DN8642">
            <v>0</v>
          </cell>
        </row>
        <row r="8643">
          <cell r="E8643">
            <v>0</v>
          </cell>
          <cell r="F8643">
            <v>0</v>
          </cell>
          <cell r="DN8643">
            <v>0</v>
          </cell>
        </row>
        <row r="8644">
          <cell r="E8644">
            <v>0</v>
          </cell>
          <cell r="F8644">
            <v>0</v>
          </cell>
          <cell r="DN8644">
            <v>0</v>
          </cell>
        </row>
        <row r="8645">
          <cell r="E8645">
            <v>0</v>
          </cell>
          <cell r="F8645">
            <v>0</v>
          </cell>
          <cell r="DN8645">
            <v>0</v>
          </cell>
        </row>
        <row r="8646">
          <cell r="E8646">
            <v>0</v>
          </cell>
          <cell r="F8646">
            <v>0</v>
          </cell>
          <cell r="DN8646">
            <v>0</v>
          </cell>
        </row>
        <row r="8647">
          <cell r="E8647">
            <v>0</v>
          </cell>
          <cell r="F8647">
            <v>0</v>
          </cell>
          <cell r="DN8647">
            <v>0</v>
          </cell>
        </row>
        <row r="8648">
          <cell r="E8648">
            <v>0</v>
          </cell>
          <cell r="F8648">
            <v>0</v>
          </cell>
          <cell r="DN8648">
            <v>0</v>
          </cell>
        </row>
        <row r="8649">
          <cell r="E8649">
            <v>0</v>
          </cell>
          <cell r="F8649">
            <v>0</v>
          </cell>
          <cell r="DN8649">
            <v>0</v>
          </cell>
        </row>
        <row r="8650">
          <cell r="E8650">
            <v>0</v>
          </cell>
          <cell r="F8650">
            <v>0</v>
          </cell>
          <cell r="DN8650">
            <v>0</v>
          </cell>
        </row>
        <row r="8651">
          <cell r="E8651">
            <v>0</v>
          </cell>
          <cell r="F8651">
            <v>0</v>
          </cell>
          <cell r="DN8651">
            <v>0</v>
          </cell>
        </row>
        <row r="8652">
          <cell r="E8652">
            <v>0</v>
          </cell>
          <cell r="F8652">
            <v>0</v>
          </cell>
          <cell r="DN8652">
            <v>0</v>
          </cell>
        </row>
        <row r="8653">
          <cell r="E8653">
            <v>0</v>
          </cell>
          <cell r="F8653">
            <v>0</v>
          </cell>
          <cell r="DN8653">
            <v>0</v>
          </cell>
        </row>
        <row r="8654">
          <cell r="E8654">
            <v>0</v>
          </cell>
          <cell r="F8654">
            <v>0</v>
          </cell>
          <cell r="DN8654">
            <v>0</v>
          </cell>
        </row>
        <row r="8655">
          <cell r="E8655">
            <v>0</v>
          </cell>
          <cell r="F8655">
            <v>0</v>
          </cell>
          <cell r="DN8655">
            <v>0</v>
          </cell>
        </row>
        <row r="8656">
          <cell r="E8656">
            <v>0</v>
          </cell>
          <cell r="F8656">
            <v>0</v>
          </cell>
          <cell r="DN8656">
            <v>0</v>
          </cell>
        </row>
        <row r="8657">
          <cell r="E8657">
            <v>0</v>
          </cell>
          <cell r="F8657">
            <v>0</v>
          </cell>
          <cell r="DN8657">
            <v>0</v>
          </cell>
        </row>
        <row r="8658">
          <cell r="E8658">
            <v>0</v>
          </cell>
          <cell r="F8658">
            <v>0</v>
          </cell>
          <cell r="DN8658">
            <v>0</v>
          </cell>
        </row>
        <row r="8659">
          <cell r="E8659">
            <v>0</v>
          </cell>
          <cell r="F8659">
            <v>0</v>
          </cell>
          <cell r="DN8659">
            <v>0</v>
          </cell>
        </row>
        <row r="8660">
          <cell r="E8660">
            <v>0</v>
          </cell>
          <cell r="F8660">
            <v>0</v>
          </cell>
          <cell r="DN8660">
            <v>0</v>
          </cell>
        </row>
        <row r="8661">
          <cell r="E8661">
            <v>0</v>
          </cell>
          <cell r="F8661">
            <v>0</v>
          </cell>
          <cell r="DN8661">
            <v>0</v>
          </cell>
        </row>
        <row r="8662">
          <cell r="E8662">
            <v>0</v>
          </cell>
          <cell r="F8662">
            <v>0</v>
          </cell>
          <cell r="DN8662">
            <v>0</v>
          </cell>
        </row>
        <row r="8663">
          <cell r="E8663">
            <v>0</v>
          </cell>
          <cell r="F8663">
            <v>0</v>
          </cell>
          <cell r="DN8663">
            <v>0</v>
          </cell>
        </row>
        <row r="8664">
          <cell r="E8664">
            <v>0</v>
          </cell>
          <cell r="F8664">
            <v>0</v>
          </cell>
          <cell r="DN8664">
            <v>0</v>
          </cell>
        </row>
        <row r="8665">
          <cell r="E8665">
            <v>0</v>
          </cell>
          <cell r="F8665">
            <v>0</v>
          </cell>
          <cell r="DN8665">
            <v>0</v>
          </cell>
        </row>
        <row r="8666">
          <cell r="E8666">
            <v>0</v>
          </cell>
          <cell r="F8666">
            <v>0</v>
          </cell>
          <cell r="DN8666">
            <v>0</v>
          </cell>
        </row>
        <row r="8667">
          <cell r="E8667">
            <v>0</v>
          </cell>
          <cell r="F8667">
            <v>0</v>
          </cell>
          <cell r="DN8667">
            <v>0</v>
          </cell>
        </row>
        <row r="8668">
          <cell r="E8668">
            <v>0</v>
          </cell>
          <cell r="F8668">
            <v>0</v>
          </cell>
          <cell r="DN8668">
            <v>0</v>
          </cell>
        </row>
        <row r="8669">
          <cell r="E8669">
            <v>0</v>
          </cell>
          <cell r="F8669">
            <v>0</v>
          </cell>
          <cell r="DN8669">
            <v>0</v>
          </cell>
        </row>
        <row r="8670">
          <cell r="E8670">
            <v>0</v>
          </cell>
          <cell r="F8670">
            <v>0</v>
          </cell>
          <cell r="DN8670">
            <v>0</v>
          </cell>
        </row>
        <row r="8671">
          <cell r="E8671">
            <v>0</v>
          </cell>
          <cell r="F8671">
            <v>0</v>
          </cell>
          <cell r="DN8671">
            <v>0</v>
          </cell>
        </row>
        <row r="8672">
          <cell r="E8672">
            <v>0</v>
          </cell>
          <cell r="F8672">
            <v>0</v>
          </cell>
          <cell r="DN8672">
            <v>0</v>
          </cell>
        </row>
        <row r="8673">
          <cell r="E8673">
            <v>0</v>
          </cell>
          <cell r="F8673">
            <v>0</v>
          </cell>
          <cell r="DN8673">
            <v>0</v>
          </cell>
        </row>
        <row r="8674">
          <cell r="E8674">
            <v>0</v>
          </cell>
          <cell r="F8674">
            <v>0</v>
          </cell>
          <cell r="DN8674">
            <v>0</v>
          </cell>
        </row>
        <row r="8675">
          <cell r="E8675">
            <v>0</v>
          </cell>
          <cell r="F8675">
            <v>0</v>
          </cell>
          <cell r="DN8675">
            <v>0</v>
          </cell>
        </row>
        <row r="8676">
          <cell r="E8676">
            <v>0</v>
          </cell>
          <cell r="F8676">
            <v>0</v>
          </cell>
          <cell r="DN8676">
            <v>0</v>
          </cell>
        </row>
        <row r="8677">
          <cell r="E8677">
            <v>0</v>
          </cell>
          <cell r="F8677">
            <v>0</v>
          </cell>
          <cell r="DN8677">
            <v>0</v>
          </cell>
        </row>
        <row r="8678">
          <cell r="E8678">
            <v>0</v>
          </cell>
          <cell r="F8678">
            <v>0</v>
          </cell>
          <cell r="DN8678">
            <v>0</v>
          </cell>
        </row>
        <row r="8679">
          <cell r="E8679">
            <v>0</v>
          </cell>
          <cell r="F8679">
            <v>0</v>
          </cell>
          <cell r="DN8679">
            <v>0</v>
          </cell>
        </row>
        <row r="8680">
          <cell r="E8680">
            <v>0</v>
          </cell>
          <cell r="F8680">
            <v>0</v>
          </cell>
          <cell r="DN8680">
            <v>0</v>
          </cell>
        </row>
        <row r="8681">
          <cell r="E8681">
            <v>0</v>
          </cell>
          <cell r="F8681">
            <v>0</v>
          </cell>
          <cell r="DN8681">
            <v>0</v>
          </cell>
        </row>
        <row r="8682">
          <cell r="E8682">
            <v>0</v>
          </cell>
          <cell r="F8682">
            <v>0</v>
          </cell>
          <cell r="DN8682">
            <v>0</v>
          </cell>
        </row>
        <row r="8683">
          <cell r="E8683">
            <v>0</v>
          </cell>
          <cell r="F8683">
            <v>0</v>
          </cell>
          <cell r="DN8683">
            <v>0</v>
          </cell>
        </row>
        <row r="8684">
          <cell r="E8684">
            <v>0</v>
          </cell>
          <cell r="F8684">
            <v>0</v>
          </cell>
          <cell r="DN8684">
            <v>0</v>
          </cell>
        </row>
        <row r="8685">
          <cell r="E8685">
            <v>0</v>
          </cell>
          <cell r="F8685">
            <v>0</v>
          </cell>
          <cell r="DN8685">
            <v>0</v>
          </cell>
        </row>
        <row r="8686">
          <cell r="E8686">
            <v>0</v>
          </cell>
          <cell r="F8686">
            <v>0</v>
          </cell>
          <cell r="DN8686">
            <v>0</v>
          </cell>
        </row>
        <row r="8687">
          <cell r="E8687">
            <v>0</v>
          </cell>
          <cell r="F8687">
            <v>0</v>
          </cell>
          <cell r="DN8687">
            <v>0</v>
          </cell>
        </row>
        <row r="8688">
          <cell r="E8688">
            <v>0</v>
          </cell>
          <cell r="F8688">
            <v>0</v>
          </cell>
          <cell r="DN8688">
            <v>0</v>
          </cell>
        </row>
        <row r="8689">
          <cell r="E8689">
            <v>0</v>
          </cell>
          <cell r="F8689">
            <v>0</v>
          </cell>
          <cell r="DN8689">
            <v>0</v>
          </cell>
        </row>
        <row r="8690">
          <cell r="E8690">
            <v>0</v>
          </cell>
          <cell r="F8690">
            <v>0</v>
          </cell>
          <cell r="DN8690">
            <v>0</v>
          </cell>
        </row>
        <row r="8691">
          <cell r="E8691">
            <v>0</v>
          </cell>
          <cell r="F8691">
            <v>0</v>
          </cell>
          <cell r="DN8691">
            <v>0</v>
          </cell>
        </row>
        <row r="8692">
          <cell r="E8692">
            <v>0</v>
          </cell>
          <cell r="F8692">
            <v>0</v>
          </cell>
          <cell r="DN8692">
            <v>0</v>
          </cell>
        </row>
        <row r="8693">
          <cell r="E8693">
            <v>0</v>
          </cell>
          <cell r="F8693">
            <v>0</v>
          </cell>
          <cell r="DN8693">
            <v>0</v>
          </cell>
        </row>
        <row r="8694">
          <cell r="E8694">
            <v>0</v>
          </cell>
          <cell r="F8694">
            <v>0</v>
          </cell>
          <cell r="DN8694">
            <v>0</v>
          </cell>
        </row>
        <row r="8695">
          <cell r="E8695">
            <v>0</v>
          </cell>
          <cell r="F8695">
            <v>0</v>
          </cell>
          <cell r="DN8695">
            <v>0</v>
          </cell>
        </row>
        <row r="8696">
          <cell r="E8696">
            <v>0</v>
          </cell>
          <cell r="F8696">
            <v>0</v>
          </cell>
          <cell r="DN8696">
            <v>0</v>
          </cell>
        </row>
        <row r="8697">
          <cell r="E8697">
            <v>0</v>
          </cell>
          <cell r="F8697">
            <v>0</v>
          </cell>
          <cell r="DN8697">
            <v>0</v>
          </cell>
        </row>
        <row r="8698">
          <cell r="E8698">
            <v>0</v>
          </cell>
          <cell r="F8698">
            <v>0</v>
          </cell>
          <cell r="DN8698">
            <v>0</v>
          </cell>
        </row>
        <row r="8699">
          <cell r="E8699">
            <v>0</v>
          </cell>
          <cell r="F8699">
            <v>0</v>
          </cell>
          <cell r="DN8699">
            <v>0</v>
          </cell>
        </row>
        <row r="8700">
          <cell r="E8700">
            <v>0</v>
          </cell>
          <cell r="F8700">
            <v>0</v>
          </cell>
          <cell r="DN8700">
            <v>0</v>
          </cell>
        </row>
        <row r="8701">
          <cell r="E8701">
            <v>0</v>
          </cell>
          <cell r="F8701">
            <v>0</v>
          </cell>
          <cell r="DN8701">
            <v>0</v>
          </cell>
        </row>
        <row r="8702">
          <cell r="E8702">
            <v>0</v>
          </cell>
          <cell r="F8702">
            <v>0</v>
          </cell>
          <cell r="DN8702">
            <v>0</v>
          </cell>
        </row>
        <row r="8703">
          <cell r="E8703">
            <v>0</v>
          </cell>
          <cell r="F8703">
            <v>0</v>
          </cell>
          <cell r="DN8703">
            <v>0</v>
          </cell>
        </row>
        <row r="8704">
          <cell r="E8704">
            <v>0</v>
          </cell>
          <cell r="F8704">
            <v>0</v>
          </cell>
          <cell r="DN8704">
            <v>0</v>
          </cell>
        </row>
        <row r="8705">
          <cell r="E8705">
            <v>0</v>
          </cell>
          <cell r="F8705">
            <v>0</v>
          </cell>
          <cell r="DN8705">
            <v>0</v>
          </cell>
        </row>
        <row r="8706">
          <cell r="E8706">
            <v>0</v>
          </cell>
          <cell r="F8706">
            <v>0</v>
          </cell>
          <cell r="DN8706">
            <v>0</v>
          </cell>
        </row>
        <row r="8707">
          <cell r="E8707">
            <v>0</v>
          </cell>
          <cell r="F8707">
            <v>0</v>
          </cell>
          <cell r="DN8707">
            <v>0</v>
          </cell>
        </row>
        <row r="8708">
          <cell r="E8708">
            <v>0</v>
          </cell>
          <cell r="F8708">
            <v>0</v>
          </cell>
          <cell r="DN8708">
            <v>0</v>
          </cell>
        </row>
        <row r="8709">
          <cell r="E8709">
            <v>0</v>
          </cell>
          <cell r="F8709">
            <v>0</v>
          </cell>
          <cell r="DN8709">
            <v>0</v>
          </cell>
        </row>
        <row r="8710">
          <cell r="E8710">
            <v>0</v>
          </cell>
          <cell r="F8710">
            <v>0</v>
          </cell>
          <cell r="DN8710">
            <v>0</v>
          </cell>
        </row>
        <row r="8711">
          <cell r="E8711">
            <v>0</v>
          </cell>
          <cell r="F8711">
            <v>0</v>
          </cell>
          <cell r="DN8711">
            <v>0</v>
          </cell>
        </row>
        <row r="8712">
          <cell r="E8712">
            <v>0</v>
          </cell>
          <cell r="F8712">
            <v>0</v>
          </cell>
          <cell r="DN8712">
            <v>0</v>
          </cell>
        </row>
        <row r="8713">
          <cell r="E8713">
            <v>0</v>
          </cell>
          <cell r="F8713">
            <v>0</v>
          </cell>
          <cell r="DN8713">
            <v>0</v>
          </cell>
        </row>
        <row r="8714">
          <cell r="E8714">
            <v>0</v>
          </cell>
          <cell r="F8714">
            <v>0</v>
          </cell>
          <cell r="DN8714">
            <v>0</v>
          </cell>
        </row>
        <row r="8715">
          <cell r="E8715">
            <v>0</v>
          </cell>
          <cell r="F8715">
            <v>0</v>
          </cell>
          <cell r="DN8715">
            <v>0</v>
          </cell>
        </row>
        <row r="8716">
          <cell r="E8716">
            <v>0</v>
          </cell>
          <cell r="F8716">
            <v>0</v>
          </cell>
          <cell r="DN8716">
            <v>0</v>
          </cell>
        </row>
        <row r="8717">
          <cell r="E8717">
            <v>0</v>
          </cell>
          <cell r="F8717">
            <v>0</v>
          </cell>
          <cell r="DN8717">
            <v>0</v>
          </cell>
        </row>
        <row r="8718">
          <cell r="E8718">
            <v>0</v>
          </cell>
          <cell r="F8718">
            <v>0</v>
          </cell>
          <cell r="DN8718">
            <v>0</v>
          </cell>
        </row>
        <row r="8719">
          <cell r="E8719">
            <v>0</v>
          </cell>
          <cell r="F8719">
            <v>0</v>
          </cell>
          <cell r="DN8719">
            <v>0</v>
          </cell>
        </row>
        <row r="8720">
          <cell r="E8720">
            <v>0</v>
          </cell>
          <cell r="F8720">
            <v>0</v>
          </cell>
          <cell r="DN8720">
            <v>0</v>
          </cell>
        </row>
        <row r="8721">
          <cell r="E8721">
            <v>0</v>
          </cell>
          <cell r="F8721">
            <v>0</v>
          </cell>
          <cell r="DN8721">
            <v>0</v>
          </cell>
        </row>
        <row r="8722">
          <cell r="E8722">
            <v>0</v>
          </cell>
          <cell r="F8722">
            <v>0</v>
          </cell>
          <cell r="DN8722">
            <v>0</v>
          </cell>
        </row>
        <row r="8723">
          <cell r="E8723">
            <v>0</v>
          </cell>
          <cell r="F8723">
            <v>0</v>
          </cell>
          <cell r="DN8723">
            <v>0</v>
          </cell>
        </row>
        <row r="8724">
          <cell r="E8724">
            <v>0</v>
          </cell>
          <cell r="F8724">
            <v>0</v>
          </cell>
          <cell r="DN8724">
            <v>0</v>
          </cell>
        </row>
        <row r="8725">
          <cell r="E8725">
            <v>0</v>
          </cell>
          <cell r="F8725">
            <v>0</v>
          </cell>
          <cell r="DN8725">
            <v>0</v>
          </cell>
        </row>
        <row r="8726">
          <cell r="E8726">
            <v>0</v>
          </cell>
          <cell r="F8726">
            <v>0</v>
          </cell>
          <cell r="DN8726">
            <v>0</v>
          </cell>
        </row>
        <row r="8727">
          <cell r="E8727">
            <v>0</v>
          </cell>
          <cell r="F8727">
            <v>0</v>
          </cell>
          <cell r="DN8727">
            <v>0</v>
          </cell>
        </row>
        <row r="8728">
          <cell r="E8728">
            <v>0</v>
          </cell>
          <cell r="F8728">
            <v>0</v>
          </cell>
          <cell r="DN8728">
            <v>0</v>
          </cell>
        </row>
        <row r="8729">
          <cell r="E8729">
            <v>0</v>
          </cell>
          <cell r="F8729">
            <v>0</v>
          </cell>
          <cell r="DN8729">
            <v>0</v>
          </cell>
        </row>
        <row r="8730">
          <cell r="E8730">
            <v>0</v>
          </cell>
          <cell r="F8730">
            <v>0</v>
          </cell>
          <cell r="DN8730">
            <v>0</v>
          </cell>
        </row>
        <row r="8731">
          <cell r="E8731">
            <v>0</v>
          </cell>
          <cell r="F8731">
            <v>0</v>
          </cell>
          <cell r="DN8731">
            <v>0</v>
          </cell>
        </row>
        <row r="8732">
          <cell r="E8732">
            <v>0</v>
          </cell>
          <cell r="F8732">
            <v>0</v>
          </cell>
          <cell r="DN8732">
            <v>0</v>
          </cell>
        </row>
        <row r="8733">
          <cell r="E8733">
            <v>0</v>
          </cell>
          <cell r="F8733">
            <v>0</v>
          </cell>
          <cell r="DN8733">
            <v>0</v>
          </cell>
        </row>
        <row r="8734">
          <cell r="E8734">
            <v>0</v>
          </cell>
          <cell r="F8734">
            <v>0</v>
          </cell>
          <cell r="DN8734">
            <v>0</v>
          </cell>
        </row>
        <row r="8735">
          <cell r="E8735">
            <v>0</v>
          </cell>
          <cell r="F8735">
            <v>0</v>
          </cell>
          <cell r="DN8735">
            <v>0</v>
          </cell>
        </row>
        <row r="8736">
          <cell r="E8736">
            <v>0</v>
          </cell>
          <cell r="F8736">
            <v>0</v>
          </cell>
          <cell r="DN8736">
            <v>0</v>
          </cell>
        </row>
        <row r="8737">
          <cell r="E8737">
            <v>0</v>
          </cell>
          <cell r="F8737">
            <v>0</v>
          </cell>
          <cell r="DN8737">
            <v>0</v>
          </cell>
        </row>
        <row r="8738">
          <cell r="E8738">
            <v>0</v>
          </cell>
          <cell r="F8738">
            <v>0</v>
          </cell>
          <cell r="DN8738">
            <v>0</v>
          </cell>
        </row>
        <row r="8739">
          <cell r="E8739">
            <v>0</v>
          </cell>
          <cell r="F8739">
            <v>0</v>
          </cell>
          <cell r="DN8739">
            <v>0</v>
          </cell>
        </row>
        <row r="8740">
          <cell r="E8740">
            <v>0</v>
          </cell>
          <cell r="F8740">
            <v>0</v>
          </cell>
          <cell r="DN8740">
            <v>0</v>
          </cell>
        </row>
        <row r="8741">
          <cell r="E8741">
            <v>0</v>
          </cell>
          <cell r="F8741">
            <v>0</v>
          </cell>
          <cell r="DN8741">
            <v>0</v>
          </cell>
        </row>
        <row r="8742">
          <cell r="E8742">
            <v>0</v>
          </cell>
          <cell r="F8742">
            <v>0</v>
          </cell>
          <cell r="DN8742">
            <v>0</v>
          </cell>
        </row>
        <row r="8743">
          <cell r="E8743">
            <v>0</v>
          </cell>
          <cell r="F8743">
            <v>0</v>
          </cell>
          <cell r="DN8743">
            <v>0</v>
          </cell>
        </row>
        <row r="8744">
          <cell r="E8744">
            <v>0</v>
          </cell>
          <cell r="F8744">
            <v>0</v>
          </cell>
          <cell r="DN8744">
            <v>0</v>
          </cell>
        </row>
        <row r="8745">
          <cell r="E8745">
            <v>0</v>
          </cell>
          <cell r="F8745">
            <v>0</v>
          </cell>
          <cell r="DN8745">
            <v>0</v>
          </cell>
        </row>
        <row r="8746">
          <cell r="E8746">
            <v>0</v>
          </cell>
          <cell r="F8746">
            <v>0</v>
          </cell>
          <cell r="DN8746">
            <v>0</v>
          </cell>
        </row>
        <row r="8747">
          <cell r="E8747">
            <v>0</v>
          </cell>
          <cell r="F8747">
            <v>0</v>
          </cell>
          <cell r="DN8747">
            <v>0</v>
          </cell>
        </row>
        <row r="8748">
          <cell r="E8748">
            <v>0</v>
          </cell>
          <cell r="F8748">
            <v>0</v>
          </cell>
          <cell r="DN8748">
            <v>0</v>
          </cell>
        </row>
        <row r="8749">
          <cell r="E8749">
            <v>0</v>
          </cell>
          <cell r="F8749">
            <v>0</v>
          </cell>
          <cell r="DN8749">
            <v>0</v>
          </cell>
        </row>
        <row r="8750">
          <cell r="E8750">
            <v>0</v>
          </cell>
          <cell r="F8750">
            <v>0</v>
          </cell>
          <cell r="DN8750">
            <v>0</v>
          </cell>
        </row>
        <row r="8751">
          <cell r="E8751">
            <v>0</v>
          </cell>
          <cell r="F8751">
            <v>0</v>
          </cell>
          <cell r="DN8751">
            <v>0</v>
          </cell>
        </row>
        <row r="8752">
          <cell r="E8752">
            <v>0</v>
          </cell>
          <cell r="F8752">
            <v>0</v>
          </cell>
          <cell r="DN8752">
            <v>0</v>
          </cell>
        </row>
        <row r="8753">
          <cell r="E8753">
            <v>0</v>
          </cell>
          <cell r="F8753">
            <v>0</v>
          </cell>
          <cell r="DN8753">
            <v>0</v>
          </cell>
        </row>
        <row r="8754">
          <cell r="E8754">
            <v>0</v>
          </cell>
          <cell r="F8754">
            <v>0</v>
          </cell>
          <cell r="DN8754">
            <v>0</v>
          </cell>
        </row>
        <row r="8755">
          <cell r="E8755">
            <v>0</v>
          </cell>
          <cell r="F8755">
            <v>0</v>
          </cell>
          <cell r="DN8755">
            <v>0</v>
          </cell>
        </row>
        <row r="8756">
          <cell r="E8756">
            <v>0</v>
          </cell>
          <cell r="F8756">
            <v>0</v>
          </cell>
          <cell r="DN8756">
            <v>0</v>
          </cell>
        </row>
        <row r="8757">
          <cell r="E8757">
            <v>0</v>
          </cell>
          <cell r="F8757">
            <v>0</v>
          </cell>
          <cell r="DN8757">
            <v>0</v>
          </cell>
        </row>
        <row r="8758">
          <cell r="E8758">
            <v>0</v>
          </cell>
          <cell r="F8758">
            <v>0</v>
          </cell>
          <cell r="DN8758">
            <v>0</v>
          </cell>
        </row>
        <row r="8759">
          <cell r="E8759">
            <v>0</v>
          </cell>
          <cell r="F8759">
            <v>0</v>
          </cell>
          <cell r="DN8759">
            <v>0</v>
          </cell>
        </row>
        <row r="8760">
          <cell r="E8760">
            <v>0</v>
          </cell>
          <cell r="F8760">
            <v>0</v>
          </cell>
          <cell r="DN8760">
            <v>0</v>
          </cell>
        </row>
        <row r="8761">
          <cell r="E8761">
            <v>0</v>
          </cell>
          <cell r="F8761">
            <v>0</v>
          </cell>
          <cell r="DN8761">
            <v>0</v>
          </cell>
        </row>
        <row r="8762">
          <cell r="E8762">
            <v>0</v>
          </cell>
          <cell r="F8762">
            <v>0</v>
          </cell>
          <cell r="DN8762">
            <v>0</v>
          </cell>
        </row>
        <row r="8763">
          <cell r="E8763">
            <v>0</v>
          </cell>
          <cell r="F8763">
            <v>0</v>
          </cell>
          <cell r="DN8763">
            <v>0</v>
          </cell>
        </row>
        <row r="8764">
          <cell r="E8764">
            <v>0</v>
          </cell>
          <cell r="F8764">
            <v>0</v>
          </cell>
          <cell r="DN8764">
            <v>0</v>
          </cell>
        </row>
        <row r="8765">
          <cell r="E8765">
            <v>0</v>
          </cell>
          <cell r="F8765">
            <v>0</v>
          </cell>
          <cell r="DN8765">
            <v>0</v>
          </cell>
        </row>
        <row r="8766">
          <cell r="E8766">
            <v>0</v>
          </cell>
          <cell r="F8766">
            <v>0</v>
          </cell>
          <cell r="DN8766">
            <v>0</v>
          </cell>
        </row>
        <row r="8767">
          <cell r="E8767">
            <v>0</v>
          </cell>
          <cell r="F8767">
            <v>0</v>
          </cell>
          <cell r="DN8767">
            <v>0</v>
          </cell>
        </row>
        <row r="8768">
          <cell r="E8768">
            <v>0</v>
          </cell>
          <cell r="F8768">
            <v>0</v>
          </cell>
          <cell r="DN8768">
            <v>0</v>
          </cell>
        </row>
        <row r="8769">
          <cell r="E8769">
            <v>0</v>
          </cell>
          <cell r="F8769">
            <v>0</v>
          </cell>
          <cell r="DN8769">
            <v>0</v>
          </cell>
        </row>
        <row r="8770">
          <cell r="E8770">
            <v>0</v>
          </cell>
          <cell r="F8770">
            <v>0</v>
          </cell>
          <cell r="DN8770">
            <v>0</v>
          </cell>
        </row>
        <row r="8771">
          <cell r="E8771">
            <v>0</v>
          </cell>
          <cell r="F8771">
            <v>0</v>
          </cell>
          <cell r="DN8771">
            <v>0</v>
          </cell>
        </row>
        <row r="8772">
          <cell r="E8772">
            <v>0</v>
          </cell>
          <cell r="F8772">
            <v>0</v>
          </cell>
          <cell r="DN8772">
            <v>0</v>
          </cell>
        </row>
        <row r="8773">
          <cell r="E8773">
            <v>0</v>
          </cell>
          <cell r="F8773">
            <v>0</v>
          </cell>
          <cell r="DN8773">
            <v>0</v>
          </cell>
        </row>
        <row r="8774">
          <cell r="E8774">
            <v>0</v>
          </cell>
          <cell r="F8774">
            <v>0</v>
          </cell>
          <cell r="DN8774">
            <v>0</v>
          </cell>
        </row>
        <row r="8775">
          <cell r="E8775">
            <v>0</v>
          </cell>
          <cell r="F8775">
            <v>0</v>
          </cell>
          <cell r="DN8775">
            <v>0</v>
          </cell>
        </row>
        <row r="8776">
          <cell r="E8776">
            <v>0</v>
          </cell>
          <cell r="F8776">
            <v>0</v>
          </cell>
          <cell r="DN8776">
            <v>0</v>
          </cell>
        </row>
        <row r="8777">
          <cell r="E8777">
            <v>0</v>
          </cell>
          <cell r="F8777">
            <v>0</v>
          </cell>
          <cell r="DN8777">
            <v>0</v>
          </cell>
        </row>
        <row r="8778">
          <cell r="E8778">
            <v>0</v>
          </cell>
          <cell r="F8778">
            <v>0</v>
          </cell>
          <cell r="DN8778">
            <v>0</v>
          </cell>
        </row>
        <row r="8779">
          <cell r="E8779">
            <v>0</v>
          </cell>
          <cell r="F8779">
            <v>0</v>
          </cell>
          <cell r="DN8779">
            <v>0</v>
          </cell>
        </row>
        <row r="8780">
          <cell r="E8780">
            <v>0</v>
          </cell>
          <cell r="F8780">
            <v>0</v>
          </cell>
          <cell r="DN8780">
            <v>0</v>
          </cell>
        </row>
        <row r="8781">
          <cell r="E8781">
            <v>0</v>
          </cell>
          <cell r="F8781">
            <v>0</v>
          </cell>
          <cell r="DN8781">
            <v>0</v>
          </cell>
        </row>
        <row r="8782">
          <cell r="E8782">
            <v>0</v>
          </cell>
          <cell r="F8782">
            <v>0</v>
          </cell>
          <cell r="DN8782">
            <v>0</v>
          </cell>
        </row>
        <row r="8783">
          <cell r="E8783">
            <v>0</v>
          </cell>
          <cell r="F8783">
            <v>0</v>
          </cell>
          <cell r="DN8783">
            <v>0</v>
          </cell>
        </row>
        <row r="8784">
          <cell r="E8784">
            <v>0</v>
          </cell>
          <cell r="F8784">
            <v>0</v>
          </cell>
          <cell r="DN8784">
            <v>0</v>
          </cell>
        </row>
        <row r="8785">
          <cell r="E8785">
            <v>0</v>
          </cell>
          <cell r="F8785">
            <v>0</v>
          </cell>
          <cell r="DN8785">
            <v>0</v>
          </cell>
        </row>
        <row r="8786">
          <cell r="E8786">
            <v>0</v>
          </cell>
          <cell r="F8786">
            <v>0</v>
          </cell>
          <cell r="DN8786">
            <v>0</v>
          </cell>
        </row>
        <row r="8787">
          <cell r="E8787">
            <v>0</v>
          </cell>
          <cell r="F8787">
            <v>0</v>
          </cell>
          <cell r="DN8787">
            <v>0</v>
          </cell>
        </row>
        <row r="8788">
          <cell r="E8788">
            <v>0</v>
          </cell>
          <cell r="F8788">
            <v>0</v>
          </cell>
          <cell r="DN8788">
            <v>0</v>
          </cell>
        </row>
        <row r="8789">
          <cell r="E8789">
            <v>0</v>
          </cell>
          <cell r="F8789">
            <v>0</v>
          </cell>
          <cell r="DN8789">
            <v>0</v>
          </cell>
        </row>
        <row r="8790">
          <cell r="E8790">
            <v>0</v>
          </cell>
          <cell r="F8790">
            <v>0</v>
          </cell>
          <cell r="DN8790">
            <v>0</v>
          </cell>
        </row>
        <row r="8791">
          <cell r="E8791">
            <v>0</v>
          </cell>
          <cell r="F8791">
            <v>0</v>
          </cell>
          <cell r="DN8791">
            <v>0</v>
          </cell>
        </row>
        <row r="8792">
          <cell r="E8792">
            <v>0</v>
          </cell>
          <cell r="F8792">
            <v>0</v>
          </cell>
          <cell r="DN8792">
            <v>0</v>
          </cell>
        </row>
        <row r="8793">
          <cell r="E8793">
            <v>0</v>
          </cell>
          <cell r="F8793">
            <v>0</v>
          </cell>
          <cell r="DN8793">
            <v>0</v>
          </cell>
        </row>
        <row r="8794">
          <cell r="E8794">
            <v>0</v>
          </cell>
          <cell r="F8794">
            <v>0</v>
          </cell>
          <cell r="DN8794">
            <v>0</v>
          </cell>
        </row>
        <row r="8795">
          <cell r="E8795">
            <v>0</v>
          </cell>
          <cell r="F8795">
            <v>0</v>
          </cell>
          <cell r="DN8795">
            <v>0</v>
          </cell>
        </row>
        <row r="8796">
          <cell r="E8796">
            <v>0</v>
          </cell>
          <cell r="F8796">
            <v>0</v>
          </cell>
          <cell r="DN8796">
            <v>0</v>
          </cell>
        </row>
        <row r="8797">
          <cell r="E8797">
            <v>0</v>
          </cell>
          <cell r="F8797">
            <v>0</v>
          </cell>
          <cell r="DN8797">
            <v>0</v>
          </cell>
        </row>
        <row r="8798">
          <cell r="E8798">
            <v>0</v>
          </cell>
          <cell r="F8798">
            <v>0</v>
          </cell>
          <cell r="DN8798">
            <v>0</v>
          </cell>
        </row>
        <row r="8799">
          <cell r="E8799">
            <v>0</v>
          </cell>
          <cell r="F8799">
            <v>0</v>
          </cell>
          <cell r="DN8799">
            <v>0</v>
          </cell>
        </row>
        <row r="8800">
          <cell r="E8800">
            <v>0</v>
          </cell>
          <cell r="F8800">
            <v>0</v>
          </cell>
          <cell r="DN8800">
            <v>0</v>
          </cell>
        </row>
        <row r="8801">
          <cell r="E8801">
            <v>0</v>
          </cell>
          <cell r="F8801">
            <v>0</v>
          </cell>
          <cell r="DN8801">
            <v>0</v>
          </cell>
        </row>
        <row r="8802">
          <cell r="E8802">
            <v>0</v>
          </cell>
          <cell r="F8802">
            <v>0</v>
          </cell>
          <cell r="DN8802">
            <v>0</v>
          </cell>
        </row>
        <row r="8803">
          <cell r="E8803">
            <v>0</v>
          </cell>
          <cell r="F8803">
            <v>0</v>
          </cell>
          <cell r="DN8803">
            <v>0</v>
          </cell>
        </row>
        <row r="8804">
          <cell r="E8804">
            <v>0</v>
          </cell>
          <cell r="F8804">
            <v>0</v>
          </cell>
          <cell r="DN8804">
            <v>0</v>
          </cell>
        </row>
        <row r="8805">
          <cell r="E8805">
            <v>0</v>
          </cell>
          <cell r="F8805">
            <v>0</v>
          </cell>
          <cell r="DN8805">
            <v>0</v>
          </cell>
        </row>
        <row r="8806">
          <cell r="E8806">
            <v>0</v>
          </cell>
          <cell r="F8806">
            <v>0</v>
          </cell>
          <cell r="DN8806">
            <v>0</v>
          </cell>
        </row>
        <row r="8807">
          <cell r="E8807">
            <v>0</v>
          </cell>
          <cell r="F8807">
            <v>0</v>
          </cell>
          <cell r="DN8807">
            <v>0</v>
          </cell>
        </row>
        <row r="8808">
          <cell r="E8808">
            <v>0</v>
          </cell>
          <cell r="F8808">
            <v>0</v>
          </cell>
          <cell r="DN8808">
            <v>0</v>
          </cell>
        </row>
        <row r="8809">
          <cell r="E8809">
            <v>0</v>
          </cell>
          <cell r="F8809">
            <v>0</v>
          </cell>
          <cell r="DN8809">
            <v>0</v>
          </cell>
        </row>
        <row r="8810">
          <cell r="E8810">
            <v>0</v>
          </cell>
          <cell r="F8810">
            <v>0</v>
          </cell>
          <cell r="DN8810">
            <v>0</v>
          </cell>
        </row>
        <row r="8811">
          <cell r="E8811">
            <v>0</v>
          </cell>
          <cell r="F8811">
            <v>0</v>
          </cell>
          <cell r="DN8811">
            <v>0</v>
          </cell>
        </row>
        <row r="8812">
          <cell r="E8812">
            <v>0</v>
          </cell>
          <cell r="F8812">
            <v>0</v>
          </cell>
          <cell r="DN8812">
            <v>0</v>
          </cell>
        </row>
        <row r="8813">
          <cell r="E8813">
            <v>0</v>
          </cell>
          <cell r="F8813">
            <v>0</v>
          </cell>
          <cell r="DN8813">
            <v>0</v>
          </cell>
        </row>
        <row r="8814">
          <cell r="E8814">
            <v>0</v>
          </cell>
          <cell r="F8814">
            <v>0</v>
          </cell>
          <cell r="DN8814">
            <v>0</v>
          </cell>
        </row>
        <row r="8815">
          <cell r="E8815">
            <v>0</v>
          </cell>
          <cell r="F8815">
            <v>0</v>
          </cell>
          <cell r="DN8815">
            <v>0</v>
          </cell>
        </row>
        <row r="8816">
          <cell r="E8816">
            <v>0</v>
          </cell>
          <cell r="F8816">
            <v>0</v>
          </cell>
          <cell r="DN8816">
            <v>0</v>
          </cell>
        </row>
        <row r="8817">
          <cell r="E8817">
            <v>0</v>
          </cell>
          <cell r="F8817">
            <v>0</v>
          </cell>
          <cell r="DN8817">
            <v>0</v>
          </cell>
        </row>
        <row r="8818">
          <cell r="E8818">
            <v>0</v>
          </cell>
          <cell r="F8818">
            <v>0</v>
          </cell>
          <cell r="DN8818">
            <v>0</v>
          </cell>
        </row>
        <row r="8819">
          <cell r="E8819">
            <v>0</v>
          </cell>
          <cell r="F8819">
            <v>0</v>
          </cell>
          <cell r="DN8819">
            <v>0</v>
          </cell>
        </row>
        <row r="8820">
          <cell r="E8820">
            <v>0</v>
          </cell>
          <cell r="F8820">
            <v>0</v>
          </cell>
          <cell r="DN8820">
            <v>0</v>
          </cell>
        </row>
        <row r="8821">
          <cell r="E8821">
            <v>0</v>
          </cell>
          <cell r="F8821">
            <v>0</v>
          </cell>
          <cell r="DN8821">
            <v>0</v>
          </cell>
        </row>
        <row r="8822">
          <cell r="E8822">
            <v>0</v>
          </cell>
          <cell r="F8822">
            <v>0</v>
          </cell>
          <cell r="DN8822">
            <v>0</v>
          </cell>
        </row>
        <row r="8823">
          <cell r="E8823">
            <v>0</v>
          </cell>
          <cell r="F8823">
            <v>0</v>
          </cell>
          <cell r="DN8823">
            <v>0</v>
          </cell>
        </row>
        <row r="8824">
          <cell r="E8824">
            <v>0</v>
          </cell>
          <cell r="F8824">
            <v>0</v>
          </cell>
          <cell r="DN8824">
            <v>0</v>
          </cell>
        </row>
        <row r="8825">
          <cell r="E8825">
            <v>0</v>
          </cell>
          <cell r="F8825">
            <v>0</v>
          </cell>
          <cell r="DN8825">
            <v>0</v>
          </cell>
        </row>
        <row r="8826">
          <cell r="E8826">
            <v>0</v>
          </cell>
          <cell r="F8826">
            <v>0</v>
          </cell>
          <cell r="DN8826">
            <v>0</v>
          </cell>
        </row>
        <row r="8827">
          <cell r="E8827">
            <v>0</v>
          </cell>
          <cell r="F8827">
            <v>0</v>
          </cell>
          <cell r="DN8827">
            <v>0</v>
          </cell>
        </row>
        <row r="8828">
          <cell r="E8828">
            <v>0</v>
          </cell>
          <cell r="F8828">
            <v>0</v>
          </cell>
          <cell r="DN8828">
            <v>0</v>
          </cell>
        </row>
        <row r="8829">
          <cell r="E8829">
            <v>0</v>
          </cell>
          <cell r="F8829">
            <v>0</v>
          </cell>
          <cell r="DN8829">
            <v>0</v>
          </cell>
        </row>
        <row r="8830">
          <cell r="E8830">
            <v>0</v>
          </cell>
          <cell r="F8830">
            <v>0</v>
          </cell>
          <cell r="DN8830">
            <v>0</v>
          </cell>
        </row>
        <row r="8831">
          <cell r="E8831">
            <v>0</v>
          </cell>
          <cell r="F8831">
            <v>0</v>
          </cell>
          <cell r="DN8831">
            <v>0</v>
          </cell>
        </row>
        <row r="8832">
          <cell r="E8832">
            <v>0</v>
          </cell>
          <cell r="F8832">
            <v>0</v>
          </cell>
          <cell r="DN8832">
            <v>0</v>
          </cell>
        </row>
        <row r="8833">
          <cell r="E8833">
            <v>0</v>
          </cell>
          <cell r="F8833">
            <v>0</v>
          </cell>
          <cell r="DN8833">
            <v>0</v>
          </cell>
        </row>
        <row r="8834">
          <cell r="E8834">
            <v>0</v>
          </cell>
          <cell r="F8834">
            <v>0</v>
          </cell>
          <cell r="DN8834">
            <v>0</v>
          </cell>
        </row>
        <row r="8835">
          <cell r="E8835">
            <v>0</v>
          </cell>
          <cell r="F8835">
            <v>0</v>
          </cell>
          <cell r="DN8835">
            <v>0</v>
          </cell>
        </row>
        <row r="8836">
          <cell r="E8836">
            <v>0</v>
          </cell>
          <cell r="F8836">
            <v>0</v>
          </cell>
          <cell r="DN8836">
            <v>0</v>
          </cell>
        </row>
        <row r="8837">
          <cell r="E8837">
            <v>0</v>
          </cell>
          <cell r="F8837">
            <v>0</v>
          </cell>
          <cell r="DN8837">
            <v>0</v>
          </cell>
        </row>
        <row r="8838">
          <cell r="E8838">
            <v>0</v>
          </cell>
          <cell r="F8838">
            <v>0</v>
          </cell>
          <cell r="DN8838">
            <v>0</v>
          </cell>
        </row>
        <row r="8839">
          <cell r="E8839">
            <v>0</v>
          </cell>
          <cell r="F8839">
            <v>0</v>
          </cell>
          <cell r="DN8839">
            <v>0</v>
          </cell>
        </row>
        <row r="8840">
          <cell r="E8840">
            <v>0</v>
          </cell>
          <cell r="F8840">
            <v>0</v>
          </cell>
          <cell r="DN8840">
            <v>0</v>
          </cell>
        </row>
        <row r="8841">
          <cell r="E8841">
            <v>0</v>
          </cell>
          <cell r="F8841">
            <v>0</v>
          </cell>
          <cell r="DN8841">
            <v>0</v>
          </cell>
        </row>
        <row r="8842">
          <cell r="E8842">
            <v>0</v>
          </cell>
          <cell r="F8842">
            <v>0</v>
          </cell>
          <cell r="DN8842">
            <v>0</v>
          </cell>
        </row>
        <row r="8843">
          <cell r="E8843">
            <v>0</v>
          </cell>
          <cell r="F8843">
            <v>0</v>
          </cell>
          <cell r="DN8843">
            <v>0</v>
          </cell>
        </row>
        <row r="8844">
          <cell r="E8844">
            <v>0</v>
          </cell>
          <cell r="F8844">
            <v>0</v>
          </cell>
          <cell r="DN8844">
            <v>0</v>
          </cell>
        </row>
        <row r="8845">
          <cell r="E8845">
            <v>0</v>
          </cell>
          <cell r="F8845">
            <v>0</v>
          </cell>
          <cell r="DN8845">
            <v>0</v>
          </cell>
        </row>
        <row r="8846">
          <cell r="E8846">
            <v>0</v>
          </cell>
          <cell r="F8846">
            <v>0</v>
          </cell>
          <cell r="DN8846">
            <v>0</v>
          </cell>
        </row>
        <row r="8847">
          <cell r="E8847">
            <v>0</v>
          </cell>
          <cell r="F8847">
            <v>0</v>
          </cell>
          <cell r="DN8847">
            <v>0</v>
          </cell>
        </row>
        <row r="8848">
          <cell r="E8848">
            <v>0</v>
          </cell>
          <cell r="F8848">
            <v>0</v>
          </cell>
          <cell r="DN8848">
            <v>0</v>
          </cell>
        </row>
        <row r="8849">
          <cell r="E8849">
            <v>0</v>
          </cell>
          <cell r="F8849">
            <v>0</v>
          </cell>
          <cell r="DN8849">
            <v>0</v>
          </cell>
        </row>
        <row r="8850">
          <cell r="E8850">
            <v>0</v>
          </cell>
          <cell r="F8850">
            <v>0</v>
          </cell>
          <cell r="DN8850">
            <v>0</v>
          </cell>
        </row>
        <row r="8851">
          <cell r="E8851">
            <v>0</v>
          </cell>
          <cell r="F8851">
            <v>0</v>
          </cell>
          <cell r="DN8851">
            <v>0</v>
          </cell>
        </row>
        <row r="8852">
          <cell r="E8852">
            <v>0</v>
          </cell>
          <cell r="F8852">
            <v>0</v>
          </cell>
          <cell r="DN8852">
            <v>0</v>
          </cell>
        </row>
        <row r="8853">
          <cell r="E8853">
            <v>0</v>
          </cell>
          <cell r="F8853">
            <v>0</v>
          </cell>
          <cell r="DN8853">
            <v>0</v>
          </cell>
        </row>
        <row r="8854">
          <cell r="E8854">
            <v>0</v>
          </cell>
          <cell r="F8854">
            <v>0</v>
          </cell>
          <cell r="DN8854">
            <v>0</v>
          </cell>
        </row>
        <row r="8855">
          <cell r="E8855">
            <v>0</v>
          </cell>
          <cell r="F8855">
            <v>0</v>
          </cell>
          <cell r="DN8855">
            <v>0</v>
          </cell>
        </row>
        <row r="8856">
          <cell r="E8856">
            <v>0</v>
          </cell>
          <cell r="F8856">
            <v>0</v>
          </cell>
          <cell r="DN8856">
            <v>0</v>
          </cell>
        </row>
        <row r="8857">
          <cell r="E8857">
            <v>0</v>
          </cell>
          <cell r="F8857">
            <v>0</v>
          </cell>
          <cell r="DN8857">
            <v>0</v>
          </cell>
        </row>
        <row r="8858">
          <cell r="E8858">
            <v>0</v>
          </cell>
          <cell r="F8858">
            <v>0</v>
          </cell>
          <cell r="DN8858">
            <v>0</v>
          </cell>
        </row>
        <row r="8859">
          <cell r="E8859">
            <v>0</v>
          </cell>
          <cell r="F8859">
            <v>0</v>
          </cell>
          <cell r="DN8859">
            <v>0</v>
          </cell>
        </row>
        <row r="8860">
          <cell r="E8860">
            <v>0</v>
          </cell>
          <cell r="F8860">
            <v>0</v>
          </cell>
          <cell r="DN8860">
            <v>0</v>
          </cell>
        </row>
        <row r="8861">
          <cell r="E8861">
            <v>0</v>
          </cell>
          <cell r="F8861">
            <v>0</v>
          </cell>
          <cell r="DN8861">
            <v>0</v>
          </cell>
        </row>
        <row r="8862">
          <cell r="E8862">
            <v>0</v>
          </cell>
          <cell r="F8862">
            <v>0</v>
          </cell>
          <cell r="DN8862">
            <v>0</v>
          </cell>
        </row>
        <row r="8863">
          <cell r="E8863">
            <v>0</v>
          </cell>
          <cell r="F8863">
            <v>0</v>
          </cell>
          <cell r="DN8863">
            <v>0</v>
          </cell>
        </row>
        <row r="8864">
          <cell r="E8864">
            <v>0</v>
          </cell>
          <cell r="F8864">
            <v>0</v>
          </cell>
          <cell r="DN8864">
            <v>0</v>
          </cell>
        </row>
        <row r="8865">
          <cell r="E8865">
            <v>0</v>
          </cell>
          <cell r="F8865">
            <v>0</v>
          </cell>
          <cell r="DN8865">
            <v>0</v>
          </cell>
        </row>
        <row r="8866">
          <cell r="E8866">
            <v>0</v>
          </cell>
          <cell r="F8866">
            <v>0</v>
          </cell>
          <cell r="DN8866">
            <v>0</v>
          </cell>
        </row>
        <row r="8867">
          <cell r="E8867">
            <v>0</v>
          </cell>
          <cell r="F8867">
            <v>0</v>
          </cell>
          <cell r="DN8867">
            <v>0</v>
          </cell>
        </row>
        <row r="8868">
          <cell r="E8868">
            <v>0</v>
          </cell>
          <cell r="F8868">
            <v>0</v>
          </cell>
          <cell r="DN8868">
            <v>0</v>
          </cell>
        </row>
        <row r="8869">
          <cell r="E8869">
            <v>0</v>
          </cell>
          <cell r="F8869">
            <v>0</v>
          </cell>
          <cell r="DN8869">
            <v>0</v>
          </cell>
        </row>
        <row r="8870">
          <cell r="E8870">
            <v>0</v>
          </cell>
          <cell r="F8870">
            <v>0</v>
          </cell>
          <cell r="DN8870">
            <v>0</v>
          </cell>
        </row>
        <row r="8871">
          <cell r="E8871">
            <v>0</v>
          </cell>
          <cell r="F8871">
            <v>0</v>
          </cell>
          <cell r="DN8871">
            <v>0</v>
          </cell>
        </row>
        <row r="8872">
          <cell r="E8872">
            <v>0</v>
          </cell>
          <cell r="F8872">
            <v>0</v>
          </cell>
          <cell r="DN8872">
            <v>0</v>
          </cell>
        </row>
        <row r="8873">
          <cell r="E8873">
            <v>0</v>
          </cell>
          <cell r="F8873">
            <v>0</v>
          </cell>
          <cell r="DN8873">
            <v>0</v>
          </cell>
        </row>
        <row r="8874">
          <cell r="E8874">
            <v>0</v>
          </cell>
          <cell r="F8874">
            <v>0</v>
          </cell>
          <cell r="DN8874">
            <v>0</v>
          </cell>
        </row>
        <row r="8875">
          <cell r="E8875">
            <v>0</v>
          </cell>
          <cell r="F8875">
            <v>0</v>
          </cell>
          <cell r="DN8875">
            <v>0</v>
          </cell>
        </row>
        <row r="8876">
          <cell r="E8876">
            <v>0</v>
          </cell>
          <cell r="F8876">
            <v>0</v>
          </cell>
          <cell r="DN8876">
            <v>0</v>
          </cell>
        </row>
        <row r="8877">
          <cell r="E8877">
            <v>0</v>
          </cell>
          <cell r="F8877">
            <v>0</v>
          </cell>
          <cell r="DN8877">
            <v>0</v>
          </cell>
        </row>
        <row r="8878">
          <cell r="E8878">
            <v>0</v>
          </cell>
          <cell r="F8878">
            <v>0</v>
          </cell>
          <cell r="DN8878">
            <v>0</v>
          </cell>
        </row>
        <row r="8879">
          <cell r="E8879">
            <v>0</v>
          </cell>
          <cell r="F8879">
            <v>0</v>
          </cell>
          <cell r="DN8879">
            <v>0</v>
          </cell>
        </row>
        <row r="8880">
          <cell r="E8880">
            <v>0</v>
          </cell>
          <cell r="F8880">
            <v>0</v>
          </cell>
          <cell r="DN8880">
            <v>0</v>
          </cell>
        </row>
        <row r="8881">
          <cell r="E8881">
            <v>0</v>
          </cell>
          <cell r="F8881">
            <v>0</v>
          </cell>
          <cell r="DN8881">
            <v>0</v>
          </cell>
        </row>
        <row r="8882">
          <cell r="E8882">
            <v>0</v>
          </cell>
          <cell r="F8882">
            <v>0</v>
          </cell>
          <cell r="DN8882">
            <v>0</v>
          </cell>
        </row>
        <row r="8883">
          <cell r="E8883">
            <v>0</v>
          </cell>
          <cell r="F8883">
            <v>0</v>
          </cell>
          <cell r="DN8883">
            <v>0</v>
          </cell>
        </row>
        <row r="8884">
          <cell r="E8884">
            <v>0</v>
          </cell>
          <cell r="F8884">
            <v>0</v>
          </cell>
          <cell r="DN8884">
            <v>0</v>
          </cell>
        </row>
        <row r="8885">
          <cell r="E8885">
            <v>0</v>
          </cell>
          <cell r="F8885">
            <v>0</v>
          </cell>
          <cell r="DN8885">
            <v>0</v>
          </cell>
        </row>
        <row r="8886">
          <cell r="E8886">
            <v>0</v>
          </cell>
          <cell r="F8886">
            <v>0</v>
          </cell>
          <cell r="DN8886">
            <v>0</v>
          </cell>
        </row>
        <row r="8887">
          <cell r="E8887">
            <v>0</v>
          </cell>
          <cell r="F8887">
            <v>0</v>
          </cell>
          <cell r="DN8887">
            <v>0</v>
          </cell>
        </row>
        <row r="8888">
          <cell r="E8888">
            <v>0</v>
          </cell>
          <cell r="F8888">
            <v>0</v>
          </cell>
          <cell r="DN8888">
            <v>0</v>
          </cell>
        </row>
        <row r="8889">
          <cell r="E8889">
            <v>0</v>
          </cell>
          <cell r="F8889">
            <v>0</v>
          </cell>
          <cell r="DN8889">
            <v>0</v>
          </cell>
        </row>
        <row r="8890">
          <cell r="E8890">
            <v>0</v>
          </cell>
          <cell r="F8890">
            <v>0</v>
          </cell>
          <cell r="DN8890">
            <v>0</v>
          </cell>
        </row>
        <row r="8891">
          <cell r="E8891">
            <v>0</v>
          </cell>
          <cell r="F8891">
            <v>0</v>
          </cell>
          <cell r="DN8891">
            <v>0</v>
          </cell>
        </row>
        <row r="8892">
          <cell r="E8892">
            <v>0</v>
          </cell>
          <cell r="F8892">
            <v>0</v>
          </cell>
          <cell r="DN8892">
            <v>0</v>
          </cell>
        </row>
        <row r="8893">
          <cell r="E8893">
            <v>0</v>
          </cell>
          <cell r="F8893">
            <v>0</v>
          </cell>
          <cell r="DN8893">
            <v>0</v>
          </cell>
        </row>
        <row r="8894">
          <cell r="E8894">
            <v>0</v>
          </cell>
          <cell r="F8894">
            <v>0</v>
          </cell>
          <cell r="DN8894">
            <v>0</v>
          </cell>
        </row>
        <row r="8895">
          <cell r="E8895">
            <v>0</v>
          </cell>
          <cell r="F8895">
            <v>0</v>
          </cell>
          <cell r="DN8895">
            <v>0</v>
          </cell>
        </row>
        <row r="8896">
          <cell r="E8896">
            <v>0</v>
          </cell>
          <cell r="F8896">
            <v>0</v>
          </cell>
          <cell r="DN8896">
            <v>0</v>
          </cell>
        </row>
        <row r="8897">
          <cell r="E8897">
            <v>0</v>
          </cell>
          <cell r="F8897">
            <v>0</v>
          </cell>
          <cell r="DN8897">
            <v>0</v>
          </cell>
        </row>
        <row r="8898">
          <cell r="E8898">
            <v>0</v>
          </cell>
          <cell r="F8898">
            <v>0</v>
          </cell>
          <cell r="DN8898">
            <v>0</v>
          </cell>
        </row>
        <row r="8899">
          <cell r="E8899">
            <v>0</v>
          </cell>
          <cell r="F8899">
            <v>0</v>
          </cell>
          <cell r="DN8899">
            <v>0</v>
          </cell>
        </row>
        <row r="8900">
          <cell r="E8900">
            <v>0</v>
          </cell>
          <cell r="F8900">
            <v>0</v>
          </cell>
          <cell r="DN8900">
            <v>0</v>
          </cell>
        </row>
        <row r="8901">
          <cell r="E8901">
            <v>0</v>
          </cell>
          <cell r="F8901">
            <v>0</v>
          </cell>
          <cell r="DN8901">
            <v>0</v>
          </cell>
        </row>
        <row r="8902">
          <cell r="E8902">
            <v>0</v>
          </cell>
          <cell r="F8902">
            <v>0</v>
          </cell>
          <cell r="DN8902">
            <v>0</v>
          </cell>
        </row>
        <row r="8903">
          <cell r="E8903">
            <v>0</v>
          </cell>
          <cell r="F8903">
            <v>0</v>
          </cell>
          <cell r="DN8903">
            <v>0</v>
          </cell>
        </row>
        <row r="8904">
          <cell r="E8904">
            <v>0</v>
          </cell>
          <cell r="F8904">
            <v>0</v>
          </cell>
          <cell r="DN8904">
            <v>0</v>
          </cell>
        </row>
        <row r="8905">
          <cell r="E8905">
            <v>0</v>
          </cell>
          <cell r="F8905">
            <v>0</v>
          </cell>
          <cell r="DN8905">
            <v>0</v>
          </cell>
        </row>
        <row r="8906">
          <cell r="E8906">
            <v>0</v>
          </cell>
          <cell r="F8906">
            <v>0</v>
          </cell>
          <cell r="DN8906">
            <v>0</v>
          </cell>
        </row>
        <row r="8907">
          <cell r="E8907">
            <v>0</v>
          </cell>
          <cell r="F8907">
            <v>0</v>
          </cell>
          <cell r="DN8907">
            <v>0</v>
          </cell>
        </row>
        <row r="8908">
          <cell r="E8908">
            <v>0</v>
          </cell>
          <cell r="F8908">
            <v>0</v>
          </cell>
          <cell r="DN8908">
            <v>0</v>
          </cell>
        </row>
        <row r="8909">
          <cell r="E8909">
            <v>0</v>
          </cell>
          <cell r="F8909">
            <v>0</v>
          </cell>
          <cell r="DN8909">
            <v>0</v>
          </cell>
        </row>
        <row r="8910">
          <cell r="E8910">
            <v>0</v>
          </cell>
          <cell r="F8910">
            <v>0</v>
          </cell>
          <cell r="DN8910">
            <v>0</v>
          </cell>
        </row>
        <row r="8911">
          <cell r="E8911">
            <v>0</v>
          </cell>
          <cell r="F8911">
            <v>0</v>
          </cell>
          <cell r="DN8911">
            <v>0</v>
          </cell>
        </row>
        <row r="8912">
          <cell r="E8912">
            <v>0</v>
          </cell>
          <cell r="F8912">
            <v>0</v>
          </cell>
          <cell r="DN8912">
            <v>0</v>
          </cell>
        </row>
        <row r="8913">
          <cell r="E8913">
            <v>0</v>
          </cell>
          <cell r="F8913">
            <v>0</v>
          </cell>
          <cell r="DN8913">
            <v>0</v>
          </cell>
        </row>
        <row r="8914">
          <cell r="E8914">
            <v>0</v>
          </cell>
          <cell r="F8914">
            <v>0</v>
          </cell>
          <cell r="DN8914">
            <v>0</v>
          </cell>
        </row>
        <row r="8915">
          <cell r="E8915">
            <v>0</v>
          </cell>
          <cell r="F8915">
            <v>0</v>
          </cell>
          <cell r="DN8915">
            <v>0</v>
          </cell>
        </row>
        <row r="8916">
          <cell r="E8916">
            <v>0</v>
          </cell>
          <cell r="F8916">
            <v>0</v>
          </cell>
          <cell r="DN8916">
            <v>0</v>
          </cell>
        </row>
        <row r="8917">
          <cell r="E8917">
            <v>0</v>
          </cell>
          <cell r="F8917">
            <v>0</v>
          </cell>
          <cell r="DN8917">
            <v>0</v>
          </cell>
        </row>
        <row r="8918">
          <cell r="E8918">
            <v>0</v>
          </cell>
          <cell r="F8918">
            <v>0</v>
          </cell>
          <cell r="DN8918">
            <v>0</v>
          </cell>
        </row>
        <row r="8919">
          <cell r="E8919">
            <v>0</v>
          </cell>
          <cell r="F8919">
            <v>0</v>
          </cell>
          <cell r="DN8919">
            <v>0</v>
          </cell>
        </row>
        <row r="8920">
          <cell r="E8920">
            <v>0</v>
          </cell>
          <cell r="F8920">
            <v>0</v>
          </cell>
          <cell r="DN8920">
            <v>0</v>
          </cell>
        </row>
        <row r="8921">
          <cell r="E8921">
            <v>0</v>
          </cell>
          <cell r="F8921">
            <v>0</v>
          </cell>
          <cell r="DN8921">
            <v>0</v>
          </cell>
        </row>
        <row r="8922">
          <cell r="E8922">
            <v>0</v>
          </cell>
          <cell r="F8922">
            <v>0</v>
          </cell>
          <cell r="DN8922">
            <v>0</v>
          </cell>
        </row>
        <row r="8923">
          <cell r="E8923">
            <v>0</v>
          </cell>
          <cell r="F8923">
            <v>0</v>
          </cell>
          <cell r="DN8923">
            <v>0</v>
          </cell>
        </row>
        <row r="8924">
          <cell r="E8924">
            <v>0</v>
          </cell>
          <cell r="F8924">
            <v>0</v>
          </cell>
          <cell r="DN8924">
            <v>0</v>
          </cell>
        </row>
        <row r="8925">
          <cell r="E8925">
            <v>0</v>
          </cell>
          <cell r="F8925">
            <v>0</v>
          </cell>
          <cell r="DN8925">
            <v>0</v>
          </cell>
        </row>
        <row r="8926">
          <cell r="E8926">
            <v>0</v>
          </cell>
          <cell r="F8926">
            <v>0</v>
          </cell>
          <cell r="DN8926">
            <v>0</v>
          </cell>
        </row>
        <row r="8927">
          <cell r="E8927">
            <v>0</v>
          </cell>
          <cell r="F8927">
            <v>0</v>
          </cell>
          <cell r="DN8927">
            <v>0</v>
          </cell>
        </row>
        <row r="8928">
          <cell r="E8928">
            <v>0</v>
          </cell>
          <cell r="F8928">
            <v>0</v>
          </cell>
          <cell r="DN8928">
            <v>0</v>
          </cell>
        </row>
        <row r="8929">
          <cell r="E8929">
            <v>0</v>
          </cell>
          <cell r="F8929">
            <v>0</v>
          </cell>
          <cell r="DN8929">
            <v>0</v>
          </cell>
        </row>
        <row r="8930">
          <cell r="E8930">
            <v>0</v>
          </cell>
          <cell r="F8930">
            <v>0</v>
          </cell>
          <cell r="DN8930">
            <v>0</v>
          </cell>
        </row>
        <row r="8931">
          <cell r="E8931">
            <v>0</v>
          </cell>
          <cell r="F8931">
            <v>0</v>
          </cell>
          <cell r="DN8931">
            <v>0</v>
          </cell>
        </row>
        <row r="8932">
          <cell r="E8932">
            <v>0</v>
          </cell>
          <cell r="F8932">
            <v>0</v>
          </cell>
          <cell r="DN8932">
            <v>0</v>
          </cell>
        </row>
        <row r="8933">
          <cell r="E8933">
            <v>0</v>
          </cell>
          <cell r="F8933">
            <v>0</v>
          </cell>
          <cell r="DN8933">
            <v>0</v>
          </cell>
        </row>
        <row r="8934">
          <cell r="E8934">
            <v>0</v>
          </cell>
          <cell r="F8934">
            <v>0</v>
          </cell>
          <cell r="DN8934">
            <v>0</v>
          </cell>
        </row>
        <row r="8935">
          <cell r="E8935">
            <v>0</v>
          </cell>
          <cell r="F8935">
            <v>0</v>
          </cell>
          <cell r="DN8935">
            <v>0</v>
          </cell>
        </row>
        <row r="8936">
          <cell r="E8936">
            <v>0</v>
          </cell>
          <cell r="F8936">
            <v>0</v>
          </cell>
          <cell r="DN8936">
            <v>0</v>
          </cell>
        </row>
        <row r="8937">
          <cell r="E8937">
            <v>0</v>
          </cell>
          <cell r="F8937">
            <v>0</v>
          </cell>
          <cell r="DN8937">
            <v>0</v>
          </cell>
        </row>
        <row r="8938">
          <cell r="E8938">
            <v>0</v>
          </cell>
          <cell r="F8938">
            <v>0</v>
          </cell>
          <cell r="DN8938">
            <v>0</v>
          </cell>
        </row>
        <row r="8939">
          <cell r="E8939">
            <v>0</v>
          </cell>
          <cell r="F8939">
            <v>0</v>
          </cell>
          <cell r="DN8939">
            <v>0</v>
          </cell>
        </row>
        <row r="8940">
          <cell r="E8940">
            <v>0</v>
          </cell>
          <cell r="F8940">
            <v>0</v>
          </cell>
          <cell r="DN8940">
            <v>0</v>
          </cell>
        </row>
        <row r="8941">
          <cell r="E8941">
            <v>0</v>
          </cell>
          <cell r="F8941">
            <v>0</v>
          </cell>
          <cell r="DN8941">
            <v>0</v>
          </cell>
        </row>
        <row r="8942">
          <cell r="E8942">
            <v>0</v>
          </cell>
          <cell r="F8942">
            <v>0</v>
          </cell>
          <cell r="DN8942">
            <v>0</v>
          </cell>
        </row>
        <row r="8943">
          <cell r="E8943">
            <v>0</v>
          </cell>
          <cell r="F8943">
            <v>0</v>
          </cell>
          <cell r="DN8943">
            <v>0</v>
          </cell>
        </row>
        <row r="8944">
          <cell r="E8944">
            <v>0</v>
          </cell>
          <cell r="F8944">
            <v>0</v>
          </cell>
          <cell r="DN8944">
            <v>0</v>
          </cell>
        </row>
        <row r="8945">
          <cell r="E8945">
            <v>0</v>
          </cell>
          <cell r="F8945">
            <v>0</v>
          </cell>
          <cell r="DN8945">
            <v>0</v>
          </cell>
        </row>
        <row r="8946">
          <cell r="E8946">
            <v>0</v>
          </cell>
          <cell r="F8946">
            <v>0</v>
          </cell>
          <cell r="DN8946">
            <v>0</v>
          </cell>
        </row>
        <row r="8947">
          <cell r="E8947">
            <v>0</v>
          </cell>
          <cell r="F8947">
            <v>0</v>
          </cell>
          <cell r="DN8947">
            <v>0</v>
          </cell>
        </row>
        <row r="8948">
          <cell r="E8948">
            <v>0</v>
          </cell>
          <cell r="F8948">
            <v>0</v>
          </cell>
          <cell r="DN8948">
            <v>0</v>
          </cell>
        </row>
        <row r="8949">
          <cell r="E8949">
            <v>0</v>
          </cell>
          <cell r="F8949">
            <v>0</v>
          </cell>
          <cell r="DN8949">
            <v>0</v>
          </cell>
        </row>
        <row r="8950">
          <cell r="E8950">
            <v>0</v>
          </cell>
          <cell r="F8950">
            <v>0</v>
          </cell>
          <cell r="DN8950">
            <v>0</v>
          </cell>
        </row>
        <row r="8951">
          <cell r="E8951">
            <v>0</v>
          </cell>
          <cell r="F8951">
            <v>0</v>
          </cell>
          <cell r="DN8951">
            <v>0</v>
          </cell>
        </row>
        <row r="8952">
          <cell r="E8952">
            <v>0</v>
          </cell>
          <cell r="F8952">
            <v>0</v>
          </cell>
          <cell r="DN8952">
            <v>0</v>
          </cell>
        </row>
        <row r="8953">
          <cell r="E8953">
            <v>0</v>
          </cell>
          <cell r="F8953">
            <v>0</v>
          </cell>
          <cell r="DN8953">
            <v>0</v>
          </cell>
        </row>
        <row r="8954">
          <cell r="E8954">
            <v>0</v>
          </cell>
          <cell r="F8954">
            <v>0</v>
          </cell>
          <cell r="DN8954">
            <v>0</v>
          </cell>
        </row>
        <row r="8955">
          <cell r="E8955">
            <v>0</v>
          </cell>
          <cell r="F8955">
            <v>0</v>
          </cell>
          <cell r="DN8955">
            <v>0</v>
          </cell>
        </row>
        <row r="8956">
          <cell r="E8956">
            <v>0</v>
          </cell>
          <cell r="F8956">
            <v>0</v>
          </cell>
          <cell r="DN8956">
            <v>0</v>
          </cell>
        </row>
        <row r="8957">
          <cell r="E8957">
            <v>0</v>
          </cell>
          <cell r="F8957">
            <v>0</v>
          </cell>
          <cell r="DN8957">
            <v>0</v>
          </cell>
        </row>
        <row r="8958">
          <cell r="E8958">
            <v>0</v>
          </cell>
          <cell r="F8958">
            <v>0</v>
          </cell>
          <cell r="DN8958">
            <v>0</v>
          </cell>
        </row>
        <row r="8959">
          <cell r="E8959">
            <v>0</v>
          </cell>
          <cell r="F8959">
            <v>0</v>
          </cell>
          <cell r="DN8959">
            <v>0</v>
          </cell>
        </row>
        <row r="8960">
          <cell r="E8960">
            <v>0</v>
          </cell>
          <cell r="F8960">
            <v>0</v>
          </cell>
          <cell r="DN8960">
            <v>0</v>
          </cell>
        </row>
        <row r="8961">
          <cell r="E8961">
            <v>0</v>
          </cell>
          <cell r="F8961">
            <v>0</v>
          </cell>
          <cell r="DN8961">
            <v>0</v>
          </cell>
        </row>
        <row r="8962">
          <cell r="E8962">
            <v>0</v>
          </cell>
          <cell r="F8962">
            <v>0</v>
          </cell>
          <cell r="DN8962">
            <v>0</v>
          </cell>
        </row>
        <row r="8963">
          <cell r="E8963">
            <v>0</v>
          </cell>
          <cell r="F8963">
            <v>0</v>
          </cell>
          <cell r="DN8963">
            <v>0</v>
          </cell>
        </row>
        <row r="8964">
          <cell r="E8964">
            <v>0</v>
          </cell>
          <cell r="F8964">
            <v>0</v>
          </cell>
          <cell r="DN8964">
            <v>0</v>
          </cell>
        </row>
        <row r="8965">
          <cell r="E8965">
            <v>0</v>
          </cell>
          <cell r="F8965">
            <v>0</v>
          </cell>
          <cell r="DN8965">
            <v>0</v>
          </cell>
        </row>
        <row r="8966">
          <cell r="E8966">
            <v>0</v>
          </cell>
          <cell r="F8966">
            <v>0</v>
          </cell>
          <cell r="DN8966">
            <v>0</v>
          </cell>
        </row>
        <row r="8967">
          <cell r="E8967">
            <v>0</v>
          </cell>
          <cell r="F8967">
            <v>0</v>
          </cell>
          <cell r="DN8967">
            <v>0</v>
          </cell>
        </row>
        <row r="8968">
          <cell r="E8968">
            <v>0</v>
          </cell>
          <cell r="F8968">
            <v>0</v>
          </cell>
          <cell r="DN8968">
            <v>0</v>
          </cell>
        </row>
        <row r="8969">
          <cell r="E8969">
            <v>0</v>
          </cell>
          <cell r="F8969">
            <v>0</v>
          </cell>
          <cell r="DN8969">
            <v>0</v>
          </cell>
        </row>
        <row r="8970">
          <cell r="E8970">
            <v>0</v>
          </cell>
          <cell r="F8970">
            <v>0</v>
          </cell>
          <cell r="DN8970">
            <v>0</v>
          </cell>
        </row>
        <row r="8971">
          <cell r="E8971">
            <v>0</v>
          </cell>
          <cell r="F8971">
            <v>0</v>
          </cell>
          <cell r="DN8971">
            <v>0</v>
          </cell>
        </row>
        <row r="8972">
          <cell r="E8972">
            <v>0</v>
          </cell>
          <cell r="F8972">
            <v>0</v>
          </cell>
          <cell r="DN8972">
            <v>0</v>
          </cell>
        </row>
        <row r="8973">
          <cell r="E8973">
            <v>0</v>
          </cell>
          <cell r="F8973">
            <v>0</v>
          </cell>
          <cell r="DN8973">
            <v>0</v>
          </cell>
        </row>
        <row r="8974">
          <cell r="E8974">
            <v>0</v>
          </cell>
          <cell r="F8974">
            <v>0</v>
          </cell>
          <cell r="DN8974">
            <v>0</v>
          </cell>
        </row>
        <row r="8975">
          <cell r="E8975">
            <v>0</v>
          </cell>
          <cell r="F8975">
            <v>0</v>
          </cell>
          <cell r="DN8975">
            <v>0</v>
          </cell>
        </row>
        <row r="8976">
          <cell r="E8976">
            <v>0</v>
          </cell>
          <cell r="F8976">
            <v>0</v>
          </cell>
          <cell r="DN8976">
            <v>0</v>
          </cell>
        </row>
        <row r="8977">
          <cell r="E8977">
            <v>0</v>
          </cell>
          <cell r="F8977">
            <v>0</v>
          </cell>
          <cell r="DN8977">
            <v>0</v>
          </cell>
        </row>
        <row r="8978">
          <cell r="E8978">
            <v>0</v>
          </cell>
          <cell r="F8978">
            <v>0</v>
          </cell>
          <cell r="DN8978">
            <v>0</v>
          </cell>
        </row>
        <row r="8979">
          <cell r="E8979">
            <v>0</v>
          </cell>
          <cell r="F8979">
            <v>0</v>
          </cell>
          <cell r="DN8979">
            <v>0</v>
          </cell>
        </row>
        <row r="8980">
          <cell r="E8980">
            <v>0</v>
          </cell>
          <cell r="F8980">
            <v>0</v>
          </cell>
          <cell r="DN8980">
            <v>0</v>
          </cell>
        </row>
        <row r="8981">
          <cell r="E8981">
            <v>0</v>
          </cell>
          <cell r="F8981">
            <v>0</v>
          </cell>
          <cell r="DN8981">
            <v>0</v>
          </cell>
        </row>
        <row r="8982">
          <cell r="E8982">
            <v>0</v>
          </cell>
          <cell r="F8982">
            <v>0</v>
          </cell>
          <cell r="DN8982">
            <v>0</v>
          </cell>
        </row>
        <row r="8983">
          <cell r="E8983">
            <v>0</v>
          </cell>
          <cell r="F8983">
            <v>0</v>
          </cell>
          <cell r="DN8983">
            <v>0</v>
          </cell>
        </row>
        <row r="8984">
          <cell r="E8984">
            <v>0</v>
          </cell>
          <cell r="F8984">
            <v>0</v>
          </cell>
          <cell r="DN8984">
            <v>0</v>
          </cell>
        </row>
        <row r="8985">
          <cell r="E8985">
            <v>0</v>
          </cell>
          <cell r="F8985">
            <v>0</v>
          </cell>
          <cell r="DN8985">
            <v>0</v>
          </cell>
        </row>
        <row r="8986">
          <cell r="E8986">
            <v>0</v>
          </cell>
          <cell r="F8986">
            <v>0</v>
          </cell>
          <cell r="DN8986">
            <v>0</v>
          </cell>
        </row>
        <row r="8987">
          <cell r="E8987">
            <v>0</v>
          </cell>
          <cell r="F8987">
            <v>0</v>
          </cell>
          <cell r="DN8987">
            <v>0</v>
          </cell>
        </row>
        <row r="8988">
          <cell r="E8988">
            <v>0</v>
          </cell>
          <cell r="F8988">
            <v>0</v>
          </cell>
          <cell r="DN8988">
            <v>0</v>
          </cell>
        </row>
        <row r="8989">
          <cell r="E8989">
            <v>0</v>
          </cell>
          <cell r="F8989">
            <v>0</v>
          </cell>
          <cell r="DN8989">
            <v>0</v>
          </cell>
        </row>
        <row r="8990">
          <cell r="E8990">
            <v>0</v>
          </cell>
          <cell r="F8990">
            <v>0</v>
          </cell>
          <cell r="DN8990">
            <v>0</v>
          </cell>
        </row>
        <row r="8991">
          <cell r="E8991">
            <v>0</v>
          </cell>
          <cell r="F8991">
            <v>0</v>
          </cell>
          <cell r="DN8991">
            <v>0</v>
          </cell>
        </row>
        <row r="8992">
          <cell r="E8992">
            <v>0</v>
          </cell>
          <cell r="F8992">
            <v>0</v>
          </cell>
          <cell r="DN8992">
            <v>0</v>
          </cell>
        </row>
        <row r="8993">
          <cell r="E8993">
            <v>0</v>
          </cell>
          <cell r="F8993">
            <v>0</v>
          </cell>
          <cell r="DN8993">
            <v>0</v>
          </cell>
        </row>
        <row r="8994">
          <cell r="E8994">
            <v>0</v>
          </cell>
          <cell r="F8994">
            <v>0</v>
          </cell>
          <cell r="DN8994">
            <v>0</v>
          </cell>
        </row>
        <row r="8995">
          <cell r="E8995">
            <v>0</v>
          </cell>
          <cell r="F8995">
            <v>0</v>
          </cell>
          <cell r="DN8995">
            <v>0</v>
          </cell>
        </row>
        <row r="8996">
          <cell r="E8996">
            <v>0</v>
          </cell>
          <cell r="F8996">
            <v>0</v>
          </cell>
          <cell r="DN8996">
            <v>0</v>
          </cell>
        </row>
        <row r="8997">
          <cell r="E8997">
            <v>0</v>
          </cell>
          <cell r="F8997">
            <v>0</v>
          </cell>
          <cell r="DN8997">
            <v>0</v>
          </cell>
        </row>
        <row r="8998">
          <cell r="E8998">
            <v>0</v>
          </cell>
          <cell r="F8998">
            <v>0</v>
          </cell>
          <cell r="DN8998">
            <v>0</v>
          </cell>
        </row>
        <row r="8999">
          <cell r="E8999">
            <v>0</v>
          </cell>
          <cell r="F8999">
            <v>0</v>
          </cell>
          <cell r="DN8999">
            <v>0</v>
          </cell>
        </row>
        <row r="9000">
          <cell r="E9000">
            <v>0</v>
          </cell>
          <cell r="F9000">
            <v>0</v>
          </cell>
          <cell r="DN9000">
            <v>0</v>
          </cell>
        </row>
        <row r="9001">
          <cell r="E9001">
            <v>0</v>
          </cell>
          <cell r="F9001">
            <v>0</v>
          </cell>
          <cell r="DN9001">
            <v>0</v>
          </cell>
        </row>
        <row r="9002">
          <cell r="E9002">
            <v>0</v>
          </cell>
          <cell r="F9002">
            <v>0</v>
          </cell>
          <cell r="DN9002">
            <v>0</v>
          </cell>
        </row>
        <row r="9003">
          <cell r="E9003">
            <v>0</v>
          </cell>
          <cell r="F9003">
            <v>0</v>
          </cell>
          <cell r="DN9003">
            <v>0</v>
          </cell>
        </row>
        <row r="9004">
          <cell r="E9004">
            <v>0</v>
          </cell>
          <cell r="F9004">
            <v>0</v>
          </cell>
          <cell r="DN9004">
            <v>0</v>
          </cell>
        </row>
        <row r="9005">
          <cell r="E9005">
            <v>0</v>
          </cell>
          <cell r="F9005">
            <v>0</v>
          </cell>
          <cell r="DN9005">
            <v>0</v>
          </cell>
        </row>
        <row r="9006">
          <cell r="E9006">
            <v>0</v>
          </cell>
          <cell r="F9006">
            <v>0</v>
          </cell>
          <cell r="DN9006">
            <v>0</v>
          </cell>
        </row>
        <row r="9007">
          <cell r="E9007">
            <v>0</v>
          </cell>
          <cell r="F9007">
            <v>0</v>
          </cell>
          <cell r="DN9007">
            <v>0</v>
          </cell>
        </row>
        <row r="9008">
          <cell r="E9008">
            <v>0</v>
          </cell>
          <cell r="F9008">
            <v>0</v>
          </cell>
          <cell r="DN9008">
            <v>0</v>
          </cell>
        </row>
        <row r="9009">
          <cell r="E9009">
            <v>0</v>
          </cell>
          <cell r="F9009">
            <v>0</v>
          </cell>
          <cell r="DN9009">
            <v>0</v>
          </cell>
        </row>
        <row r="9010">
          <cell r="E9010">
            <v>0</v>
          </cell>
          <cell r="F9010">
            <v>0</v>
          </cell>
          <cell r="DN9010">
            <v>0</v>
          </cell>
        </row>
        <row r="9011">
          <cell r="E9011">
            <v>0</v>
          </cell>
          <cell r="F9011">
            <v>0</v>
          </cell>
          <cell r="DN9011">
            <v>0</v>
          </cell>
        </row>
        <row r="9012">
          <cell r="E9012">
            <v>0</v>
          </cell>
          <cell r="F9012">
            <v>0</v>
          </cell>
          <cell r="DN9012">
            <v>0</v>
          </cell>
        </row>
        <row r="9013">
          <cell r="E9013">
            <v>0</v>
          </cell>
          <cell r="F9013">
            <v>0</v>
          </cell>
          <cell r="DN9013">
            <v>0</v>
          </cell>
        </row>
        <row r="9014">
          <cell r="E9014">
            <v>0</v>
          </cell>
          <cell r="F9014">
            <v>0</v>
          </cell>
          <cell r="DN9014">
            <v>0</v>
          </cell>
        </row>
        <row r="9015">
          <cell r="E9015">
            <v>0</v>
          </cell>
          <cell r="F9015">
            <v>0</v>
          </cell>
          <cell r="DN9015">
            <v>0</v>
          </cell>
        </row>
        <row r="9016">
          <cell r="E9016">
            <v>0</v>
          </cell>
          <cell r="F9016">
            <v>0</v>
          </cell>
          <cell r="DN9016">
            <v>0</v>
          </cell>
        </row>
        <row r="9017">
          <cell r="E9017">
            <v>0</v>
          </cell>
          <cell r="F9017">
            <v>0</v>
          </cell>
          <cell r="DN9017">
            <v>0</v>
          </cell>
        </row>
        <row r="9018">
          <cell r="E9018">
            <v>0</v>
          </cell>
          <cell r="F9018">
            <v>0</v>
          </cell>
          <cell r="DN9018">
            <v>0</v>
          </cell>
        </row>
        <row r="9019">
          <cell r="E9019">
            <v>0</v>
          </cell>
          <cell r="F9019">
            <v>0</v>
          </cell>
          <cell r="DN9019">
            <v>0</v>
          </cell>
        </row>
        <row r="9020">
          <cell r="E9020">
            <v>0</v>
          </cell>
          <cell r="F9020">
            <v>0</v>
          </cell>
          <cell r="DN9020">
            <v>0</v>
          </cell>
        </row>
        <row r="9021">
          <cell r="E9021">
            <v>0</v>
          </cell>
          <cell r="F9021">
            <v>0</v>
          </cell>
          <cell r="DN9021">
            <v>0</v>
          </cell>
        </row>
        <row r="9022">
          <cell r="E9022">
            <v>0</v>
          </cell>
          <cell r="F9022">
            <v>0</v>
          </cell>
          <cell r="DN9022">
            <v>0</v>
          </cell>
        </row>
        <row r="9023">
          <cell r="E9023">
            <v>0</v>
          </cell>
          <cell r="F9023">
            <v>0</v>
          </cell>
          <cell r="DN9023">
            <v>0</v>
          </cell>
        </row>
        <row r="9024">
          <cell r="E9024">
            <v>0</v>
          </cell>
          <cell r="F9024">
            <v>0</v>
          </cell>
          <cell r="DN9024">
            <v>0</v>
          </cell>
        </row>
        <row r="9025">
          <cell r="E9025">
            <v>0</v>
          </cell>
          <cell r="F9025">
            <v>0</v>
          </cell>
          <cell r="DN9025">
            <v>0</v>
          </cell>
        </row>
        <row r="9026">
          <cell r="E9026">
            <v>0</v>
          </cell>
          <cell r="F9026">
            <v>0</v>
          </cell>
          <cell r="DN9026">
            <v>0</v>
          </cell>
        </row>
        <row r="9027">
          <cell r="E9027">
            <v>0</v>
          </cell>
          <cell r="F9027">
            <v>0</v>
          </cell>
          <cell r="DN9027">
            <v>0</v>
          </cell>
        </row>
        <row r="9028">
          <cell r="E9028">
            <v>0</v>
          </cell>
          <cell r="F9028">
            <v>0</v>
          </cell>
          <cell r="DN9028">
            <v>0</v>
          </cell>
        </row>
        <row r="9029">
          <cell r="E9029">
            <v>0</v>
          </cell>
          <cell r="F9029">
            <v>0</v>
          </cell>
          <cell r="DN9029">
            <v>0</v>
          </cell>
        </row>
        <row r="9030">
          <cell r="E9030">
            <v>0</v>
          </cell>
          <cell r="F9030">
            <v>0</v>
          </cell>
          <cell r="DN9030">
            <v>0</v>
          </cell>
        </row>
        <row r="9031">
          <cell r="E9031">
            <v>0</v>
          </cell>
          <cell r="F9031">
            <v>0</v>
          </cell>
          <cell r="DN9031">
            <v>0</v>
          </cell>
        </row>
        <row r="9032">
          <cell r="E9032">
            <v>0</v>
          </cell>
          <cell r="F9032">
            <v>0</v>
          </cell>
          <cell r="DN9032">
            <v>0</v>
          </cell>
        </row>
        <row r="9033">
          <cell r="E9033">
            <v>0</v>
          </cell>
          <cell r="F9033">
            <v>0</v>
          </cell>
          <cell r="DN9033">
            <v>0</v>
          </cell>
        </row>
        <row r="9034">
          <cell r="E9034">
            <v>0</v>
          </cell>
          <cell r="F9034">
            <v>0</v>
          </cell>
          <cell r="DN9034">
            <v>0</v>
          </cell>
        </row>
        <row r="9035">
          <cell r="E9035">
            <v>0</v>
          </cell>
          <cell r="F9035">
            <v>0</v>
          </cell>
          <cell r="DN9035">
            <v>0</v>
          </cell>
        </row>
        <row r="9036">
          <cell r="E9036">
            <v>0</v>
          </cell>
          <cell r="F9036">
            <v>0</v>
          </cell>
          <cell r="DN9036">
            <v>0</v>
          </cell>
        </row>
        <row r="9037">
          <cell r="E9037">
            <v>0</v>
          </cell>
          <cell r="F9037">
            <v>0</v>
          </cell>
          <cell r="DN9037">
            <v>0</v>
          </cell>
        </row>
        <row r="9038">
          <cell r="E9038">
            <v>0</v>
          </cell>
          <cell r="F9038">
            <v>0</v>
          </cell>
          <cell r="DN9038">
            <v>0</v>
          </cell>
        </row>
        <row r="9039">
          <cell r="E9039">
            <v>0</v>
          </cell>
          <cell r="F9039">
            <v>0</v>
          </cell>
          <cell r="DN9039">
            <v>0</v>
          </cell>
        </row>
        <row r="9040">
          <cell r="E9040">
            <v>0</v>
          </cell>
          <cell r="F9040">
            <v>0</v>
          </cell>
          <cell r="DN9040">
            <v>0</v>
          </cell>
        </row>
        <row r="9041">
          <cell r="E9041">
            <v>0</v>
          </cell>
          <cell r="F9041">
            <v>0</v>
          </cell>
          <cell r="DN9041">
            <v>0</v>
          </cell>
        </row>
        <row r="9042">
          <cell r="E9042">
            <v>0</v>
          </cell>
          <cell r="F9042">
            <v>0</v>
          </cell>
          <cell r="DN9042">
            <v>0</v>
          </cell>
        </row>
        <row r="9043">
          <cell r="E9043">
            <v>0</v>
          </cell>
          <cell r="F9043">
            <v>0</v>
          </cell>
          <cell r="DN9043">
            <v>0</v>
          </cell>
        </row>
        <row r="9044">
          <cell r="E9044">
            <v>0</v>
          </cell>
          <cell r="F9044">
            <v>0</v>
          </cell>
          <cell r="DN9044">
            <v>0</v>
          </cell>
        </row>
        <row r="9045">
          <cell r="E9045">
            <v>0</v>
          </cell>
          <cell r="F9045">
            <v>0</v>
          </cell>
          <cell r="DN9045">
            <v>0</v>
          </cell>
        </row>
        <row r="9046">
          <cell r="E9046">
            <v>0</v>
          </cell>
          <cell r="F9046">
            <v>0</v>
          </cell>
          <cell r="DN9046">
            <v>0</v>
          </cell>
        </row>
        <row r="9047">
          <cell r="E9047">
            <v>0</v>
          </cell>
          <cell r="F9047">
            <v>0</v>
          </cell>
          <cell r="DN9047">
            <v>0</v>
          </cell>
        </row>
        <row r="9048">
          <cell r="E9048">
            <v>0</v>
          </cell>
          <cell r="F9048">
            <v>0</v>
          </cell>
          <cell r="DN9048">
            <v>0</v>
          </cell>
        </row>
        <row r="9049">
          <cell r="E9049">
            <v>0</v>
          </cell>
          <cell r="F9049">
            <v>0</v>
          </cell>
          <cell r="DN9049">
            <v>0</v>
          </cell>
        </row>
        <row r="9050">
          <cell r="E9050">
            <v>0</v>
          </cell>
          <cell r="F9050">
            <v>0</v>
          </cell>
          <cell r="DN9050">
            <v>0</v>
          </cell>
        </row>
        <row r="9051">
          <cell r="E9051">
            <v>0</v>
          </cell>
          <cell r="F9051">
            <v>0</v>
          </cell>
          <cell r="DN9051">
            <v>0</v>
          </cell>
        </row>
        <row r="9052">
          <cell r="E9052">
            <v>0</v>
          </cell>
          <cell r="F9052">
            <v>0</v>
          </cell>
          <cell r="DN9052">
            <v>0</v>
          </cell>
        </row>
        <row r="9053">
          <cell r="E9053">
            <v>0</v>
          </cell>
          <cell r="F9053">
            <v>0</v>
          </cell>
          <cell r="DN9053">
            <v>0</v>
          </cell>
        </row>
        <row r="9054">
          <cell r="E9054">
            <v>0</v>
          </cell>
          <cell r="F9054">
            <v>0</v>
          </cell>
          <cell r="DN9054">
            <v>0</v>
          </cell>
        </row>
        <row r="9055">
          <cell r="E9055">
            <v>0</v>
          </cell>
          <cell r="F9055">
            <v>0</v>
          </cell>
          <cell r="DN9055">
            <v>0</v>
          </cell>
        </row>
        <row r="9056">
          <cell r="E9056">
            <v>0</v>
          </cell>
          <cell r="F9056">
            <v>0</v>
          </cell>
          <cell r="DN9056">
            <v>0</v>
          </cell>
        </row>
        <row r="9057">
          <cell r="E9057">
            <v>0</v>
          </cell>
          <cell r="F9057">
            <v>0</v>
          </cell>
          <cell r="DN9057">
            <v>0</v>
          </cell>
        </row>
        <row r="9058">
          <cell r="E9058">
            <v>0</v>
          </cell>
          <cell r="F9058">
            <v>0</v>
          </cell>
          <cell r="DN9058">
            <v>0</v>
          </cell>
        </row>
        <row r="9059">
          <cell r="E9059">
            <v>0</v>
          </cell>
          <cell r="F9059">
            <v>0</v>
          </cell>
          <cell r="DN9059">
            <v>0</v>
          </cell>
        </row>
        <row r="9060">
          <cell r="E9060">
            <v>0</v>
          </cell>
          <cell r="F9060">
            <v>0</v>
          </cell>
          <cell r="DN9060">
            <v>0</v>
          </cell>
        </row>
        <row r="9061">
          <cell r="E9061">
            <v>0</v>
          </cell>
          <cell r="F9061">
            <v>0</v>
          </cell>
          <cell r="DN9061">
            <v>0</v>
          </cell>
        </row>
        <row r="9062">
          <cell r="E9062">
            <v>0</v>
          </cell>
          <cell r="F9062">
            <v>0</v>
          </cell>
          <cell r="DN9062">
            <v>0</v>
          </cell>
        </row>
        <row r="9063">
          <cell r="E9063">
            <v>0</v>
          </cell>
          <cell r="F9063">
            <v>0</v>
          </cell>
          <cell r="DN9063">
            <v>0</v>
          </cell>
        </row>
        <row r="9064">
          <cell r="E9064">
            <v>0</v>
          </cell>
          <cell r="F9064">
            <v>0</v>
          </cell>
          <cell r="DN9064">
            <v>0</v>
          </cell>
        </row>
        <row r="9065">
          <cell r="E9065">
            <v>0</v>
          </cell>
          <cell r="F9065">
            <v>0</v>
          </cell>
          <cell r="DN9065">
            <v>0</v>
          </cell>
        </row>
        <row r="9066">
          <cell r="E9066">
            <v>0</v>
          </cell>
          <cell r="F9066">
            <v>0</v>
          </cell>
          <cell r="DN9066">
            <v>0</v>
          </cell>
        </row>
        <row r="9067">
          <cell r="E9067">
            <v>0</v>
          </cell>
          <cell r="F9067">
            <v>0</v>
          </cell>
          <cell r="DN9067">
            <v>0</v>
          </cell>
        </row>
        <row r="9068">
          <cell r="E9068">
            <v>0</v>
          </cell>
          <cell r="F9068">
            <v>0</v>
          </cell>
          <cell r="DN9068">
            <v>0</v>
          </cell>
        </row>
        <row r="9069">
          <cell r="E9069">
            <v>0</v>
          </cell>
          <cell r="F9069">
            <v>0</v>
          </cell>
          <cell r="DN9069">
            <v>0</v>
          </cell>
        </row>
        <row r="9070">
          <cell r="E9070">
            <v>0</v>
          </cell>
          <cell r="F9070">
            <v>0</v>
          </cell>
          <cell r="DN9070">
            <v>0</v>
          </cell>
        </row>
        <row r="9071">
          <cell r="E9071">
            <v>0</v>
          </cell>
          <cell r="F9071">
            <v>0</v>
          </cell>
          <cell r="DN9071">
            <v>0</v>
          </cell>
        </row>
        <row r="9072">
          <cell r="E9072">
            <v>0</v>
          </cell>
          <cell r="F9072">
            <v>0</v>
          </cell>
          <cell r="DN9072">
            <v>0</v>
          </cell>
        </row>
        <row r="9073">
          <cell r="E9073">
            <v>0</v>
          </cell>
          <cell r="F9073">
            <v>0</v>
          </cell>
          <cell r="DN9073">
            <v>0</v>
          </cell>
        </row>
        <row r="9074">
          <cell r="E9074">
            <v>0</v>
          </cell>
          <cell r="F9074">
            <v>0</v>
          </cell>
          <cell r="DN9074">
            <v>0</v>
          </cell>
        </row>
        <row r="9075">
          <cell r="E9075">
            <v>0</v>
          </cell>
          <cell r="F9075">
            <v>0</v>
          </cell>
          <cell r="DN9075">
            <v>0</v>
          </cell>
        </row>
        <row r="9076">
          <cell r="E9076">
            <v>0</v>
          </cell>
          <cell r="F9076">
            <v>0</v>
          </cell>
          <cell r="DN9076">
            <v>0</v>
          </cell>
        </row>
        <row r="9077">
          <cell r="E9077">
            <v>0</v>
          </cell>
          <cell r="F9077">
            <v>0</v>
          </cell>
          <cell r="DN9077">
            <v>0</v>
          </cell>
        </row>
        <row r="9078">
          <cell r="E9078">
            <v>0</v>
          </cell>
          <cell r="F9078">
            <v>0</v>
          </cell>
          <cell r="DN9078">
            <v>0</v>
          </cell>
        </row>
        <row r="9079">
          <cell r="E9079">
            <v>0</v>
          </cell>
          <cell r="F9079">
            <v>0</v>
          </cell>
          <cell r="DN9079">
            <v>0</v>
          </cell>
        </row>
        <row r="9080">
          <cell r="E9080">
            <v>0</v>
          </cell>
          <cell r="F9080">
            <v>0</v>
          </cell>
          <cell r="DN9080">
            <v>0</v>
          </cell>
        </row>
        <row r="9081">
          <cell r="E9081">
            <v>0</v>
          </cell>
          <cell r="F9081">
            <v>0</v>
          </cell>
          <cell r="DN9081">
            <v>0</v>
          </cell>
        </row>
        <row r="9082">
          <cell r="E9082">
            <v>0</v>
          </cell>
          <cell r="F9082">
            <v>0</v>
          </cell>
          <cell r="DN9082">
            <v>0</v>
          </cell>
        </row>
        <row r="9083">
          <cell r="E9083">
            <v>0</v>
          </cell>
          <cell r="F9083">
            <v>0</v>
          </cell>
          <cell r="DN9083">
            <v>0</v>
          </cell>
        </row>
        <row r="9084">
          <cell r="E9084">
            <v>0</v>
          </cell>
          <cell r="F9084">
            <v>0</v>
          </cell>
          <cell r="DN9084">
            <v>0</v>
          </cell>
        </row>
        <row r="9085">
          <cell r="E9085">
            <v>0</v>
          </cell>
          <cell r="F9085">
            <v>0</v>
          </cell>
          <cell r="DN9085">
            <v>0</v>
          </cell>
        </row>
        <row r="9086">
          <cell r="E9086">
            <v>0</v>
          </cell>
          <cell r="F9086">
            <v>0</v>
          </cell>
          <cell r="DN9086">
            <v>0</v>
          </cell>
        </row>
        <row r="9087">
          <cell r="E9087">
            <v>0</v>
          </cell>
          <cell r="F9087">
            <v>0</v>
          </cell>
          <cell r="DN9087">
            <v>0</v>
          </cell>
        </row>
        <row r="9088">
          <cell r="E9088">
            <v>0</v>
          </cell>
          <cell r="F9088">
            <v>0</v>
          </cell>
          <cell r="DN9088">
            <v>0</v>
          </cell>
        </row>
        <row r="9089">
          <cell r="E9089">
            <v>0</v>
          </cell>
          <cell r="F9089">
            <v>0</v>
          </cell>
          <cell r="DN9089">
            <v>0</v>
          </cell>
        </row>
        <row r="9090">
          <cell r="E9090">
            <v>0</v>
          </cell>
          <cell r="F9090">
            <v>0</v>
          </cell>
          <cell r="DN9090">
            <v>0</v>
          </cell>
        </row>
        <row r="9091">
          <cell r="E9091">
            <v>0</v>
          </cell>
          <cell r="F9091">
            <v>0</v>
          </cell>
          <cell r="DN9091">
            <v>0</v>
          </cell>
        </row>
        <row r="9092">
          <cell r="E9092">
            <v>0</v>
          </cell>
          <cell r="F9092">
            <v>0</v>
          </cell>
          <cell r="DN9092">
            <v>0</v>
          </cell>
        </row>
        <row r="9093">
          <cell r="E9093">
            <v>0</v>
          </cell>
          <cell r="F9093">
            <v>0</v>
          </cell>
          <cell r="DN9093">
            <v>0</v>
          </cell>
        </row>
        <row r="9094">
          <cell r="E9094">
            <v>0</v>
          </cell>
          <cell r="F9094">
            <v>0</v>
          </cell>
          <cell r="DN9094">
            <v>0</v>
          </cell>
        </row>
        <row r="9095">
          <cell r="E9095">
            <v>0</v>
          </cell>
          <cell r="F9095">
            <v>0</v>
          </cell>
          <cell r="DN9095">
            <v>0</v>
          </cell>
        </row>
        <row r="9096">
          <cell r="E9096">
            <v>0</v>
          </cell>
          <cell r="F9096">
            <v>0</v>
          </cell>
          <cell r="DN9096">
            <v>0</v>
          </cell>
        </row>
        <row r="9097">
          <cell r="E9097">
            <v>0</v>
          </cell>
          <cell r="F9097">
            <v>0</v>
          </cell>
          <cell r="DN9097">
            <v>0</v>
          </cell>
        </row>
        <row r="9098">
          <cell r="E9098">
            <v>0</v>
          </cell>
          <cell r="F9098">
            <v>0</v>
          </cell>
          <cell r="DN9098">
            <v>0</v>
          </cell>
        </row>
        <row r="9099">
          <cell r="E9099">
            <v>0</v>
          </cell>
          <cell r="F9099">
            <v>0</v>
          </cell>
          <cell r="DN9099">
            <v>0</v>
          </cell>
        </row>
        <row r="9100">
          <cell r="E9100">
            <v>0</v>
          </cell>
          <cell r="F9100">
            <v>0</v>
          </cell>
          <cell r="DN9100">
            <v>0</v>
          </cell>
        </row>
        <row r="9101">
          <cell r="E9101">
            <v>0</v>
          </cell>
          <cell r="F9101">
            <v>0</v>
          </cell>
          <cell r="DN9101">
            <v>0</v>
          </cell>
        </row>
        <row r="9102">
          <cell r="E9102">
            <v>0</v>
          </cell>
          <cell r="F9102">
            <v>0</v>
          </cell>
          <cell r="DN9102">
            <v>0</v>
          </cell>
        </row>
        <row r="9103">
          <cell r="E9103">
            <v>0</v>
          </cell>
          <cell r="F9103">
            <v>0</v>
          </cell>
          <cell r="DN9103">
            <v>0</v>
          </cell>
        </row>
        <row r="9104">
          <cell r="E9104">
            <v>0</v>
          </cell>
          <cell r="F9104">
            <v>0</v>
          </cell>
          <cell r="DN9104">
            <v>0</v>
          </cell>
        </row>
        <row r="9105">
          <cell r="E9105">
            <v>0</v>
          </cell>
          <cell r="F9105">
            <v>0</v>
          </cell>
          <cell r="DN9105">
            <v>0</v>
          </cell>
        </row>
        <row r="9106">
          <cell r="E9106">
            <v>0</v>
          </cell>
          <cell r="F9106">
            <v>0</v>
          </cell>
          <cell r="DN9106">
            <v>0</v>
          </cell>
        </row>
        <row r="9107">
          <cell r="E9107">
            <v>0</v>
          </cell>
          <cell r="F9107">
            <v>0</v>
          </cell>
          <cell r="DN9107">
            <v>0</v>
          </cell>
        </row>
        <row r="9108">
          <cell r="E9108">
            <v>0</v>
          </cell>
          <cell r="F9108">
            <v>0</v>
          </cell>
          <cell r="DN9108">
            <v>0</v>
          </cell>
        </row>
        <row r="9109">
          <cell r="E9109">
            <v>0</v>
          </cell>
          <cell r="F9109">
            <v>0</v>
          </cell>
          <cell r="DN9109">
            <v>0</v>
          </cell>
        </row>
        <row r="9110">
          <cell r="E9110">
            <v>0</v>
          </cell>
          <cell r="F9110">
            <v>0</v>
          </cell>
          <cell r="DN9110">
            <v>0</v>
          </cell>
        </row>
        <row r="9111">
          <cell r="E9111">
            <v>0</v>
          </cell>
          <cell r="F9111">
            <v>0</v>
          </cell>
          <cell r="DN9111">
            <v>0</v>
          </cell>
        </row>
        <row r="9112">
          <cell r="E9112">
            <v>0</v>
          </cell>
          <cell r="F9112">
            <v>0</v>
          </cell>
          <cell r="DN9112">
            <v>0</v>
          </cell>
        </row>
        <row r="9113">
          <cell r="E9113">
            <v>0</v>
          </cell>
          <cell r="F9113">
            <v>0</v>
          </cell>
          <cell r="DN9113">
            <v>0</v>
          </cell>
        </row>
        <row r="9114">
          <cell r="E9114">
            <v>0</v>
          </cell>
          <cell r="F9114">
            <v>0</v>
          </cell>
          <cell r="DN9114">
            <v>0</v>
          </cell>
        </row>
        <row r="9115">
          <cell r="E9115">
            <v>0</v>
          </cell>
          <cell r="F9115">
            <v>0</v>
          </cell>
          <cell r="DN9115">
            <v>0</v>
          </cell>
        </row>
        <row r="9116">
          <cell r="E9116">
            <v>0</v>
          </cell>
          <cell r="F9116">
            <v>0</v>
          </cell>
          <cell r="DN9116">
            <v>0</v>
          </cell>
        </row>
        <row r="9117">
          <cell r="E9117">
            <v>0</v>
          </cell>
          <cell r="F9117">
            <v>0</v>
          </cell>
          <cell r="DN9117">
            <v>0</v>
          </cell>
        </row>
        <row r="9118">
          <cell r="E9118">
            <v>0</v>
          </cell>
          <cell r="F9118">
            <v>0</v>
          </cell>
          <cell r="DN9118">
            <v>0</v>
          </cell>
        </row>
        <row r="9119">
          <cell r="E9119">
            <v>0</v>
          </cell>
          <cell r="F9119">
            <v>0</v>
          </cell>
          <cell r="DN9119">
            <v>0</v>
          </cell>
        </row>
        <row r="9120">
          <cell r="E9120">
            <v>0</v>
          </cell>
          <cell r="F9120">
            <v>0</v>
          </cell>
          <cell r="DN9120">
            <v>0</v>
          </cell>
        </row>
        <row r="9121">
          <cell r="E9121">
            <v>0</v>
          </cell>
          <cell r="F9121">
            <v>0</v>
          </cell>
          <cell r="DN9121">
            <v>0</v>
          </cell>
        </row>
        <row r="9122">
          <cell r="E9122">
            <v>0</v>
          </cell>
          <cell r="F9122">
            <v>0</v>
          </cell>
          <cell r="DN9122">
            <v>0</v>
          </cell>
        </row>
        <row r="9123">
          <cell r="E9123">
            <v>0</v>
          </cell>
          <cell r="F9123">
            <v>0</v>
          </cell>
          <cell r="DN9123">
            <v>0</v>
          </cell>
        </row>
        <row r="9124">
          <cell r="E9124">
            <v>0</v>
          </cell>
          <cell r="F9124">
            <v>0</v>
          </cell>
          <cell r="DN9124">
            <v>0</v>
          </cell>
        </row>
        <row r="9125">
          <cell r="E9125">
            <v>0</v>
          </cell>
          <cell r="F9125">
            <v>0</v>
          </cell>
          <cell r="DN9125">
            <v>0</v>
          </cell>
        </row>
        <row r="9126">
          <cell r="E9126">
            <v>0</v>
          </cell>
          <cell r="F9126">
            <v>0</v>
          </cell>
          <cell r="DN9126">
            <v>0</v>
          </cell>
        </row>
        <row r="9127">
          <cell r="E9127">
            <v>0</v>
          </cell>
          <cell r="F9127">
            <v>0</v>
          </cell>
          <cell r="DN9127">
            <v>0</v>
          </cell>
        </row>
        <row r="9128">
          <cell r="E9128">
            <v>0</v>
          </cell>
          <cell r="F9128">
            <v>0</v>
          </cell>
          <cell r="DN9128">
            <v>0</v>
          </cell>
        </row>
        <row r="9129">
          <cell r="E9129">
            <v>0</v>
          </cell>
          <cell r="F9129">
            <v>0</v>
          </cell>
          <cell r="DN9129">
            <v>0</v>
          </cell>
        </row>
        <row r="9130">
          <cell r="E9130">
            <v>0</v>
          </cell>
          <cell r="F9130">
            <v>0</v>
          </cell>
          <cell r="DN9130">
            <v>0</v>
          </cell>
        </row>
        <row r="9131">
          <cell r="E9131">
            <v>0</v>
          </cell>
          <cell r="F9131">
            <v>0</v>
          </cell>
          <cell r="DN9131">
            <v>0</v>
          </cell>
        </row>
        <row r="9132">
          <cell r="E9132">
            <v>0</v>
          </cell>
          <cell r="F9132">
            <v>0</v>
          </cell>
          <cell r="DN9132">
            <v>0</v>
          </cell>
        </row>
        <row r="9133">
          <cell r="E9133">
            <v>0</v>
          </cell>
          <cell r="F9133">
            <v>0</v>
          </cell>
          <cell r="DN9133">
            <v>0</v>
          </cell>
        </row>
        <row r="9134">
          <cell r="E9134">
            <v>0</v>
          </cell>
          <cell r="F9134">
            <v>0</v>
          </cell>
          <cell r="DN9134">
            <v>0</v>
          </cell>
        </row>
        <row r="9135">
          <cell r="E9135">
            <v>0</v>
          </cell>
          <cell r="F9135">
            <v>0</v>
          </cell>
          <cell r="DN9135">
            <v>0</v>
          </cell>
        </row>
        <row r="9136">
          <cell r="E9136">
            <v>0</v>
          </cell>
          <cell r="F9136">
            <v>0</v>
          </cell>
          <cell r="DN9136">
            <v>0</v>
          </cell>
        </row>
        <row r="9137">
          <cell r="E9137">
            <v>0</v>
          </cell>
          <cell r="F9137">
            <v>0</v>
          </cell>
          <cell r="DN9137">
            <v>0</v>
          </cell>
        </row>
        <row r="9138">
          <cell r="E9138">
            <v>0</v>
          </cell>
          <cell r="F9138">
            <v>0</v>
          </cell>
          <cell r="DN9138">
            <v>0</v>
          </cell>
        </row>
        <row r="9139">
          <cell r="E9139">
            <v>0</v>
          </cell>
          <cell r="F9139">
            <v>0</v>
          </cell>
          <cell r="DN9139">
            <v>0</v>
          </cell>
        </row>
        <row r="9140">
          <cell r="E9140">
            <v>0</v>
          </cell>
          <cell r="F9140">
            <v>0</v>
          </cell>
          <cell r="DN9140">
            <v>0</v>
          </cell>
        </row>
        <row r="9141">
          <cell r="E9141">
            <v>0</v>
          </cell>
          <cell r="F9141">
            <v>0</v>
          </cell>
          <cell r="DN9141">
            <v>0</v>
          </cell>
        </row>
        <row r="9142">
          <cell r="E9142">
            <v>0</v>
          </cell>
          <cell r="F9142">
            <v>0</v>
          </cell>
          <cell r="DN9142">
            <v>0</v>
          </cell>
        </row>
        <row r="9143">
          <cell r="E9143">
            <v>0</v>
          </cell>
          <cell r="F9143">
            <v>0</v>
          </cell>
          <cell r="DN9143">
            <v>0</v>
          </cell>
        </row>
        <row r="9144">
          <cell r="E9144">
            <v>0</v>
          </cell>
          <cell r="F9144">
            <v>0</v>
          </cell>
          <cell r="DN9144">
            <v>0</v>
          </cell>
        </row>
        <row r="9145">
          <cell r="E9145">
            <v>0</v>
          </cell>
          <cell r="F9145">
            <v>0</v>
          </cell>
          <cell r="DN9145">
            <v>0</v>
          </cell>
        </row>
        <row r="9146">
          <cell r="E9146">
            <v>0</v>
          </cell>
          <cell r="F9146">
            <v>0</v>
          </cell>
          <cell r="DN9146">
            <v>0</v>
          </cell>
        </row>
        <row r="9147">
          <cell r="E9147">
            <v>0</v>
          </cell>
          <cell r="F9147">
            <v>0</v>
          </cell>
          <cell r="DN9147">
            <v>0</v>
          </cell>
        </row>
        <row r="9148">
          <cell r="E9148">
            <v>0</v>
          </cell>
          <cell r="F9148">
            <v>0</v>
          </cell>
          <cell r="DN9148">
            <v>0</v>
          </cell>
        </row>
        <row r="9149">
          <cell r="E9149">
            <v>0</v>
          </cell>
          <cell r="F9149">
            <v>0</v>
          </cell>
          <cell r="DN9149">
            <v>0</v>
          </cell>
        </row>
        <row r="9150">
          <cell r="E9150">
            <v>0</v>
          </cell>
          <cell r="F9150">
            <v>0</v>
          </cell>
          <cell r="DN9150">
            <v>0</v>
          </cell>
        </row>
        <row r="9151">
          <cell r="E9151">
            <v>0</v>
          </cell>
          <cell r="F9151">
            <v>0</v>
          </cell>
          <cell r="DN9151">
            <v>0</v>
          </cell>
        </row>
        <row r="9152">
          <cell r="E9152">
            <v>0</v>
          </cell>
          <cell r="F9152">
            <v>0</v>
          </cell>
          <cell r="DN9152">
            <v>0</v>
          </cell>
        </row>
        <row r="9153">
          <cell r="E9153">
            <v>0</v>
          </cell>
          <cell r="F9153">
            <v>0</v>
          </cell>
          <cell r="DN9153">
            <v>0</v>
          </cell>
        </row>
        <row r="9154">
          <cell r="E9154">
            <v>0</v>
          </cell>
          <cell r="F9154">
            <v>0</v>
          </cell>
          <cell r="DN9154">
            <v>0</v>
          </cell>
        </row>
        <row r="9155">
          <cell r="E9155">
            <v>0</v>
          </cell>
          <cell r="F9155">
            <v>0</v>
          </cell>
          <cell r="DN9155">
            <v>0</v>
          </cell>
        </row>
        <row r="9156">
          <cell r="E9156">
            <v>0</v>
          </cell>
          <cell r="F9156">
            <v>0</v>
          </cell>
          <cell r="DN9156">
            <v>0</v>
          </cell>
        </row>
        <row r="9157">
          <cell r="E9157">
            <v>0</v>
          </cell>
          <cell r="F9157">
            <v>0</v>
          </cell>
          <cell r="DN9157">
            <v>0</v>
          </cell>
        </row>
        <row r="9158">
          <cell r="E9158">
            <v>0</v>
          </cell>
          <cell r="F9158">
            <v>0</v>
          </cell>
          <cell r="DN9158">
            <v>0</v>
          </cell>
        </row>
        <row r="9159">
          <cell r="E9159">
            <v>0</v>
          </cell>
          <cell r="F9159">
            <v>0</v>
          </cell>
          <cell r="DN9159">
            <v>0</v>
          </cell>
        </row>
        <row r="9160">
          <cell r="E9160">
            <v>0</v>
          </cell>
          <cell r="F9160">
            <v>0</v>
          </cell>
          <cell r="DN9160">
            <v>0</v>
          </cell>
        </row>
        <row r="9161">
          <cell r="E9161">
            <v>0</v>
          </cell>
          <cell r="F9161">
            <v>0</v>
          </cell>
          <cell r="DN9161">
            <v>0</v>
          </cell>
        </row>
        <row r="9162">
          <cell r="E9162">
            <v>0</v>
          </cell>
          <cell r="F9162">
            <v>0</v>
          </cell>
          <cell r="DN9162">
            <v>0</v>
          </cell>
        </row>
        <row r="9163">
          <cell r="E9163">
            <v>0</v>
          </cell>
          <cell r="F9163">
            <v>0</v>
          </cell>
          <cell r="DN9163">
            <v>0</v>
          </cell>
        </row>
        <row r="9164">
          <cell r="E9164">
            <v>0</v>
          </cell>
          <cell r="F9164">
            <v>0</v>
          </cell>
          <cell r="DN9164">
            <v>0</v>
          </cell>
        </row>
        <row r="9165">
          <cell r="E9165">
            <v>0</v>
          </cell>
          <cell r="F9165">
            <v>0</v>
          </cell>
          <cell r="DN9165">
            <v>0</v>
          </cell>
        </row>
        <row r="9166">
          <cell r="E9166">
            <v>0</v>
          </cell>
          <cell r="F9166">
            <v>0</v>
          </cell>
          <cell r="DN9166">
            <v>0</v>
          </cell>
        </row>
        <row r="9167">
          <cell r="E9167">
            <v>0</v>
          </cell>
          <cell r="F9167">
            <v>0</v>
          </cell>
          <cell r="DN9167">
            <v>0</v>
          </cell>
        </row>
        <row r="9168">
          <cell r="E9168">
            <v>0</v>
          </cell>
          <cell r="F9168">
            <v>0</v>
          </cell>
          <cell r="DN9168">
            <v>0</v>
          </cell>
        </row>
        <row r="9169">
          <cell r="E9169">
            <v>0</v>
          </cell>
          <cell r="F9169">
            <v>0</v>
          </cell>
          <cell r="DN9169">
            <v>0</v>
          </cell>
        </row>
        <row r="9170">
          <cell r="E9170">
            <v>0</v>
          </cell>
          <cell r="F9170">
            <v>0</v>
          </cell>
          <cell r="DN9170">
            <v>0</v>
          </cell>
        </row>
        <row r="9171">
          <cell r="E9171">
            <v>0</v>
          </cell>
          <cell r="F9171">
            <v>0</v>
          </cell>
          <cell r="DN9171">
            <v>0</v>
          </cell>
        </row>
        <row r="9172">
          <cell r="E9172">
            <v>0</v>
          </cell>
          <cell r="F9172">
            <v>0</v>
          </cell>
          <cell r="DN9172">
            <v>0</v>
          </cell>
        </row>
        <row r="9173">
          <cell r="E9173">
            <v>0</v>
          </cell>
          <cell r="F9173">
            <v>0</v>
          </cell>
          <cell r="DN9173">
            <v>0</v>
          </cell>
        </row>
        <row r="9174">
          <cell r="E9174">
            <v>0</v>
          </cell>
          <cell r="F9174">
            <v>0</v>
          </cell>
          <cell r="DN9174">
            <v>0</v>
          </cell>
        </row>
        <row r="9175">
          <cell r="E9175">
            <v>0</v>
          </cell>
          <cell r="F9175">
            <v>0</v>
          </cell>
          <cell r="DN9175">
            <v>0</v>
          </cell>
        </row>
        <row r="9176">
          <cell r="E9176">
            <v>0</v>
          </cell>
          <cell r="F9176">
            <v>0</v>
          </cell>
          <cell r="DN9176">
            <v>0</v>
          </cell>
        </row>
        <row r="9177">
          <cell r="E9177">
            <v>0</v>
          </cell>
          <cell r="F9177">
            <v>0</v>
          </cell>
          <cell r="DN9177">
            <v>0</v>
          </cell>
        </row>
        <row r="9178">
          <cell r="E9178">
            <v>0</v>
          </cell>
          <cell r="F9178">
            <v>0</v>
          </cell>
          <cell r="DN9178">
            <v>0</v>
          </cell>
        </row>
        <row r="9179">
          <cell r="E9179">
            <v>0</v>
          </cell>
          <cell r="F9179">
            <v>0</v>
          </cell>
          <cell r="DN9179">
            <v>0</v>
          </cell>
        </row>
        <row r="9180">
          <cell r="E9180">
            <v>0</v>
          </cell>
          <cell r="F9180">
            <v>0</v>
          </cell>
          <cell r="DN9180">
            <v>0</v>
          </cell>
        </row>
        <row r="9181">
          <cell r="E9181">
            <v>0</v>
          </cell>
          <cell r="F9181">
            <v>0</v>
          </cell>
          <cell r="DN9181">
            <v>0</v>
          </cell>
        </row>
        <row r="9182">
          <cell r="E9182">
            <v>0</v>
          </cell>
          <cell r="F9182">
            <v>0</v>
          </cell>
          <cell r="DN9182">
            <v>0</v>
          </cell>
        </row>
        <row r="9183">
          <cell r="E9183">
            <v>0</v>
          </cell>
          <cell r="F9183">
            <v>0</v>
          </cell>
          <cell r="DN9183">
            <v>0</v>
          </cell>
        </row>
        <row r="9184">
          <cell r="E9184">
            <v>0</v>
          </cell>
          <cell r="F9184">
            <v>0</v>
          </cell>
          <cell r="DN9184">
            <v>0</v>
          </cell>
        </row>
        <row r="9185">
          <cell r="E9185">
            <v>0</v>
          </cell>
          <cell r="F9185">
            <v>0</v>
          </cell>
          <cell r="DN9185">
            <v>0</v>
          </cell>
        </row>
        <row r="9186">
          <cell r="E9186">
            <v>0</v>
          </cell>
          <cell r="F9186">
            <v>0</v>
          </cell>
          <cell r="DN9186">
            <v>0</v>
          </cell>
        </row>
        <row r="9187">
          <cell r="E9187">
            <v>0</v>
          </cell>
          <cell r="F9187">
            <v>0</v>
          </cell>
          <cell r="DN9187">
            <v>0</v>
          </cell>
        </row>
        <row r="9188">
          <cell r="E9188">
            <v>0</v>
          </cell>
          <cell r="F9188">
            <v>0</v>
          </cell>
          <cell r="DN9188">
            <v>0</v>
          </cell>
        </row>
        <row r="9189">
          <cell r="E9189">
            <v>0</v>
          </cell>
          <cell r="F9189">
            <v>0</v>
          </cell>
          <cell r="DN9189">
            <v>0</v>
          </cell>
        </row>
        <row r="9190">
          <cell r="E9190">
            <v>0</v>
          </cell>
          <cell r="F9190">
            <v>0</v>
          </cell>
          <cell r="DN9190">
            <v>0</v>
          </cell>
        </row>
        <row r="9191">
          <cell r="E9191">
            <v>0</v>
          </cell>
          <cell r="F9191">
            <v>0</v>
          </cell>
          <cell r="DN9191">
            <v>0</v>
          </cell>
        </row>
        <row r="9192">
          <cell r="E9192">
            <v>0</v>
          </cell>
          <cell r="F9192">
            <v>0</v>
          </cell>
          <cell r="DN9192">
            <v>0</v>
          </cell>
        </row>
        <row r="9193">
          <cell r="E9193">
            <v>0</v>
          </cell>
          <cell r="F9193">
            <v>0</v>
          </cell>
          <cell r="DN9193">
            <v>0</v>
          </cell>
        </row>
        <row r="9194">
          <cell r="E9194">
            <v>0</v>
          </cell>
          <cell r="F9194">
            <v>0</v>
          </cell>
          <cell r="DN9194">
            <v>0</v>
          </cell>
        </row>
        <row r="9195">
          <cell r="E9195">
            <v>0</v>
          </cell>
          <cell r="F9195">
            <v>0</v>
          </cell>
          <cell r="DN9195">
            <v>0</v>
          </cell>
        </row>
        <row r="9196">
          <cell r="E9196">
            <v>0</v>
          </cell>
          <cell r="F9196">
            <v>0</v>
          </cell>
          <cell r="DN9196">
            <v>0</v>
          </cell>
        </row>
        <row r="9197">
          <cell r="E9197">
            <v>0</v>
          </cell>
          <cell r="F9197">
            <v>0</v>
          </cell>
          <cell r="DN9197">
            <v>0</v>
          </cell>
        </row>
        <row r="9198">
          <cell r="E9198">
            <v>0</v>
          </cell>
          <cell r="F9198">
            <v>0</v>
          </cell>
          <cell r="DN9198">
            <v>0</v>
          </cell>
        </row>
        <row r="9199">
          <cell r="E9199">
            <v>0</v>
          </cell>
          <cell r="F9199">
            <v>0</v>
          </cell>
          <cell r="DN9199">
            <v>0</v>
          </cell>
        </row>
        <row r="9200">
          <cell r="E9200">
            <v>0</v>
          </cell>
          <cell r="F9200">
            <v>0</v>
          </cell>
          <cell r="DN9200">
            <v>0</v>
          </cell>
        </row>
        <row r="9201">
          <cell r="E9201">
            <v>0</v>
          </cell>
          <cell r="F9201">
            <v>0</v>
          </cell>
          <cell r="DN9201">
            <v>0</v>
          </cell>
        </row>
        <row r="9202">
          <cell r="E9202">
            <v>0</v>
          </cell>
          <cell r="F9202">
            <v>0</v>
          </cell>
          <cell r="DN9202">
            <v>0</v>
          </cell>
        </row>
        <row r="9203">
          <cell r="E9203">
            <v>0</v>
          </cell>
          <cell r="F9203">
            <v>0</v>
          </cell>
          <cell r="DN9203">
            <v>0</v>
          </cell>
        </row>
        <row r="9204">
          <cell r="E9204">
            <v>0</v>
          </cell>
          <cell r="F9204">
            <v>0</v>
          </cell>
          <cell r="DN9204">
            <v>0</v>
          </cell>
        </row>
        <row r="9205">
          <cell r="E9205">
            <v>0</v>
          </cell>
          <cell r="F9205">
            <v>0</v>
          </cell>
          <cell r="DN9205">
            <v>0</v>
          </cell>
        </row>
        <row r="9206">
          <cell r="E9206">
            <v>0</v>
          </cell>
          <cell r="F9206">
            <v>0</v>
          </cell>
          <cell r="DN9206">
            <v>0</v>
          </cell>
        </row>
        <row r="9207">
          <cell r="E9207">
            <v>0</v>
          </cell>
          <cell r="F9207">
            <v>0</v>
          </cell>
          <cell r="DN9207">
            <v>0</v>
          </cell>
        </row>
        <row r="9208">
          <cell r="E9208">
            <v>0</v>
          </cell>
          <cell r="F9208">
            <v>0</v>
          </cell>
          <cell r="DN9208">
            <v>0</v>
          </cell>
        </row>
        <row r="9209">
          <cell r="E9209">
            <v>0</v>
          </cell>
          <cell r="F9209">
            <v>0</v>
          </cell>
          <cell r="DN9209">
            <v>0</v>
          </cell>
        </row>
        <row r="9210">
          <cell r="E9210">
            <v>0</v>
          </cell>
          <cell r="F9210">
            <v>0</v>
          </cell>
          <cell r="DN9210">
            <v>0</v>
          </cell>
        </row>
        <row r="9211">
          <cell r="E9211">
            <v>0</v>
          </cell>
          <cell r="F9211">
            <v>0</v>
          </cell>
          <cell r="DN9211">
            <v>0</v>
          </cell>
        </row>
        <row r="9212">
          <cell r="E9212">
            <v>0</v>
          </cell>
          <cell r="F9212">
            <v>0</v>
          </cell>
          <cell r="DN9212">
            <v>0</v>
          </cell>
        </row>
        <row r="9213">
          <cell r="E9213">
            <v>0</v>
          </cell>
          <cell r="F9213">
            <v>0</v>
          </cell>
          <cell r="DN9213">
            <v>0</v>
          </cell>
        </row>
        <row r="9214">
          <cell r="E9214">
            <v>0</v>
          </cell>
          <cell r="F9214">
            <v>0</v>
          </cell>
          <cell r="DN9214">
            <v>0</v>
          </cell>
        </row>
        <row r="9215">
          <cell r="E9215">
            <v>0</v>
          </cell>
          <cell r="F9215">
            <v>0</v>
          </cell>
          <cell r="DN9215">
            <v>0</v>
          </cell>
        </row>
        <row r="9216">
          <cell r="E9216">
            <v>0</v>
          </cell>
          <cell r="F9216">
            <v>0</v>
          </cell>
          <cell r="DN9216">
            <v>0</v>
          </cell>
        </row>
        <row r="9217">
          <cell r="E9217">
            <v>0</v>
          </cell>
          <cell r="F9217">
            <v>0</v>
          </cell>
          <cell r="DN9217">
            <v>0</v>
          </cell>
        </row>
        <row r="9218">
          <cell r="E9218">
            <v>0</v>
          </cell>
          <cell r="F9218">
            <v>0</v>
          </cell>
          <cell r="DN9218">
            <v>0</v>
          </cell>
        </row>
        <row r="9219">
          <cell r="E9219">
            <v>0</v>
          </cell>
          <cell r="F9219">
            <v>0</v>
          </cell>
          <cell r="DN9219">
            <v>0</v>
          </cell>
        </row>
        <row r="9220">
          <cell r="E9220">
            <v>0</v>
          </cell>
          <cell r="F9220">
            <v>0</v>
          </cell>
          <cell r="DN9220">
            <v>0</v>
          </cell>
        </row>
        <row r="9221">
          <cell r="E9221">
            <v>0</v>
          </cell>
          <cell r="F9221">
            <v>0</v>
          </cell>
          <cell r="DN9221">
            <v>0</v>
          </cell>
        </row>
        <row r="9222">
          <cell r="E9222">
            <v>0</v>
          </cell>
          <cell r="F9222">
            <v>0</v>
          </cell>
          <cell r="DN9222">
            <v>0</v>
          </cell>
        </row>
        <row r="9223">
          <cell r="E9223">
            <v>0</v>
          </cell>
          <cell r="F9223">
            <v>0</v>
          </cell>
          <cell r="DN9223">
            <v>0</v>
          </cell>
        </row>
        <row r="9224">
          <cell r="E9224">
            <v>0</v>
          </cell>
          <cell r="F9224">
            <v>0</v>
          </cell>
          <cell r="DN9224">
            <v>0</v>
          </cell>
        </row>
        <row r="9225">
          <cell r="E9225">
            <v>0</v>
          </cell>
          <cell r="F9225">
            <v>0</v>
          </cell>
          <cell r="DN9225">
            <v>0</v>
          </cell>
        </row>
        <row r="9226">
          <cell r="E9226">
            <v>0</v>
          </cell>
          <cell r="F9226">
            <v>0</v>
          </cell>
          <cell r="DN9226">
            <v>0</v>
          </cell>
        </row>
        <row r="9227">
          <cell r="E9227">
            <v>0</v>
          </cell>
          <cell r="F9227">
            <v>0</v>
          </cell>
          <cell r="DN9227">
            <v>0</v>
          </cell>
        </row>
        <row r="9228">
          <cell r="E9228">
            <v>0</v>
          </cell>
          <cell r="F9228">
            <v>0</v>
          </cell>
          <cell r="DN9228">
            <v>0</v>
          </cell>
        </row>
        <row r="9229">
          <cell r="E9229">
            <v>0</v>
          </cell>
          <cell r="F9229">
            <v>0</v>
          </cell>
          <cell r="DN9229">
            <v>0</v>
          </cell>
        </row>
        <row r="9230">
          <cell r="E9230">
            <v>0</v>
          </cell>
          <cell r="F9230">
            <v>0</v>
          </cell>
          <cell r="DN9230">
            <v>0</v>
          </cell>
        </row>
        <row r="9231">
          <cell r="E9231">
            <v>0</v>
          </cell>
          <cell r="F9231">
            <v>0</v>
          </cell>
          <cell r="DN9231">
            <v>0</v>
          </cell>
        </row>
        <row r="9232">
          <cell r="E9232">
            <v>0</v>
          </cell>
          <cell r="F9232">
            <v>0</v>
          </cell>
          <cell r="DN9232">
            <v>0</v>
          </cell>
        </row>
        <row r="9233">
          <cell r="E9233">
            <v>0</v>
          </cell>
          <cell r="F9233">
            <v>0</v>
          </cell>
          <cell r="DN9233">
            <v>0</v>
          </cell>
        </row>
        <row r="9234">
          <cell r="E9234">
            <v>0</v>
          </cell>
          <cell r="F9234">
            <v>0</v>
          </cell>
          <cell r="DN9234">
            <v>0</v>
          </cell>
        </row>
        <row r="9235">
          <cell r="E9235">
            <v>0</v>
          </cell>
          <cell r="F9235">
            <v>0</v>
          </cell>
          <cell r="DN9235">
            <v>0</v>
          </cell>
        </row>
        <row r="9236">
          <cell r="E9236">
            <v>0</v>
          </cell>
          <cell r="F9236">
            <v>0</v>
          </cell>
          <cell r="DN9236">
            <v>0</v>
          </cell>
        </row>
        <row r="9237">
          <cell r="E9237">
            <v>0</v>
          </cell>
          <cell r="F9237">
            <v>0</v>
          </cell>
          <cell r="DN9237">
            <v>0</v>
          </cell>
        </row>
        <row r="9238">
          <cell r="E9238">
            <v>0</v>
          </cell>
          <cell r="F9238">
            <v>0</v>
          </cell>
          <cell r="DN9238">
            <v>0</v>
          </cell>
        </row>
        <row r="9239">
          <cell r="E9239">
            <v>0</v>
          </cell>
          <cell r="F9239">
            <v>0</v>
          </cell>
          <cell r="DN9239">
            <v>0</v>
          </cell>
        </row>
        <row r="9240">
          <cell r="E9240">
            <v>0</v>
          </cell>
          <cell r="F9240">
            <v>0</v>
          </cell>
          <cell r="DN9240">
            <v>0</v>
          </cell>
        </row>
        <row r="9241">
          <cell r="E9241">
            <v>0</v>
          </cell>
          <cell r="F9241">
            <v>0</v>
          </cell>
          <cell r="DN9241">
            <v>0</v>
          </cell>
        </row>
        <row r="9242">
          <cell r="E9242">
            <v>0</v>
          </cell>
          <cell r="F9242">
            <v>0</v>
          </cell>
          <cell r="DN9242">
            <v>0</v>
          </cell>
        </row>
        <row r="9243">
          <cell r="E9243">
            <v>0</v>
          </cell>
          <cell r="F9243">
            <v>0</v>
          </cell>
          <cell r="DN9243">
            <v>0</v>
          </cell>
        </row>
        <row r="9244">
          <cell r="E9244">
            <v>0</v>
          </cell>
          <cell r="F9244">
            <v>0</v>
          </cell>
          <cell r="DN9244">
            <v>0</v>
          </cell>
        </row>
        <row r="9245">
          <cell r="E9245">
            <v>0</v>
          </cell>
          <cell r="F9245">
            <v>0</v>
          </cell>
          <cell r="DN9245">
            <v>0</v>
          </cell>
        </row>
        <row r="9246">
          <cell r="E9246">
            <v>0</v>
          </cell>
          <cell r="F9246">
            <v>0</v>
          </cell>
          <cell r="DN9246">
            <v>0</v>
          </cell>
        </row>
        <row r="9247">
          <cell r="E9247">
            <v>0</v>
          </cell>
          <cell r="F9247">
            <v>0</v>
          </cell>
          <cell r="DN9247">
            <v>0</v>
          </cell>
        </row>
        <row r="9248">
          <cell r="E9248">
            <v>0</v>
          </cell>
          <cell r="F9248">
            <v>0</v>
          </cell>
          <cell r="DN9248">
            <v>0</v>
          </cell>
        </row>
        <row r="9249">
          <cell r="E9249">
            <v>0</v>
          </cell>
          <cell r="F9249">
            <v>0</v>
          </cell>
          <cell r="DN9249">
            <v>0</v>
          </cell>
        </row>
        <row r="9250">
          <cell r="E9250">
            <v>0</v>
          </cell>
          <cell r="F9250">
            <v>0</v>
          </cell>
          <cell r="DN9250">
            <v>0</v>
          </cell>
        </row>
        <row r="9251">
          <cell r="E9251">
            <v>0</v>
          </cell>
          <cell r="F9251">
            <v>0</v>
          </cell>
          <cell r="DN9251">
            <v>0</v>
          </cell>
        </row>
        <row r="9252">
          <cell r="E9252">
            <v>0</v>
          </cell>
          <cell r="F9252">
            <v>0</v>
          </cell>
          <cell r="DN9252">
            <v>0</v>
          </cell>
        </row>
        <row r="9253">
          <cell r="E9253">
            <v>0</v>
          </cell>
          <cell r="F9253">
            <v>0</v>
          </cell>
          <cell r="DN9253">
            <v>0</v>
          </cell>
        </row>
        <row r="9254">
          <cell r="E9254">
            <v>0</v>
          </cell>
          <cell r="F9254">
            <v>0</v>
          </cell>
          <cell r="DN9254">
            <v>0</v>
          </cell>
        </row>
        <row r="9255">
          <cell r="E9255">
            <v>0</v>
          </cell>
          <cell r="F9255">
            <v>0</v>
          </cell>
          <cell r="DN9255">
            <v>0</v>
          </cell>
        </row>
        <row r="9256">
          <cell r="E9256">
            <v>0</v>
          </cell>
          <cell r="F9256">
            <v>0</v>
          </cell>
          <cell r="DN9256">
            <v>0</v>
          </cell>
        </row>
        <row r="9257">
          <cell r="E9257">
            <v>0</v>
          </cell>
          <cell r="F9257">
            <v>0</v>
          </cell>
          <cell r="DN9257">
            <v>0</v>
          </cell>
        </row>
        <row r="9258">
          <cell r="E9258">
            <v>0</v>
          </cell>
          <cell r="F9258">
            <v>0</v>
          </cell>
          <cell r="DN9258">
            <v>0</v>
          </cell>
        </row>
        <row r="9259">
          <cell r="E9259">
            <v>0</v>
          </cell>
          <cell r="F9259">
            <v>0</v>
          </cell>
          <cell r="DN9259">
            <v>0</v>
          </cell>
        </row>
        <row r="9260">
          <cell r="E9260">
            <v>0</v>
          </cell>
          <cell r="F9260">
            <v>0</v>
          </cell>
          <cell r="DN9260">
            <v>0</v>
          </cell>
        </row>
        <row r="9261">
          <cell r="E9261">
            <v>0</v>
          </cell>
          <cell r="F9261">
            <v>0</v>
          </cell>
          <cell r="DN9261">
            <v>0</v>
          </cell>
        </row>
        <row r="9262">
          <cell r="E9262">
            <v>0</v>
          </cell>
          <cell r="F9262">
            <v>0</v>
          </cell>
          <cell r="DN9262">
            <v>0</v>
          </cell>
        </row>
        <row r="9263">
          <cell r="E9263">
            <v>0</v>
          </cell>
          <cell r="F9263">
            <v>0</v>
          </cell>
          <cell r="DN9263">
            <v>0</v>
          </cell>
        </row>
        <row r="9264">
          <cell r="E9264">
            <v>0</v>
          </cell>
          <cell r="F9264">
            <v>0</v>
          </cell>
          <cell r="DN9264">
            <v>0</v>
          </cell>
        </row>
        <row r="9265">
          <cell r="E9265">
            <v>0</v>
          </cell>
          <cell r="F9265">
            <v>0</v>
          </cell>
          <cell r="DN9265">
            <v>0</v>
          </cell>
        </row>
        <row r="9266">
          <cell r="E9266">
            <v>0</v>
          </cell>
          <cell r="F9266">
            <v>0</v>
          </cell>
          <cell r="DN9266">
            <v>0</v>
          </cell>
        </row>
        <row r="9267">
          <cell r="E9267">
            <v>0</v>
          </cell>
          <cell r="F9267">
            <v>0</v>
          </cell>
          <cell r="DN9267">
            <v>0</v>
          </cell>
        </row>
        <row r="9268">
          <cell r="E9268">
            <v>0</v>
          </cell>
          <cell r="F9268">
            <v>0</v>
          </cell>
          <cell r="DN9268">
            <v>0</v>
          </cell>
        </row>
        <row r="9269">
          <cell r="E9269">
            <v>0</v>
          </cell>
          <cell r="F9269">
            <v>0</v>
          </cell>
          <cell r="DN9269">
            <v>0</v>
          </cell>
        </row>
        <row r="9270">
          <cell r="E9270">
            <v>0</v>
          </cell>
          <cell r="F9270">
            <v>0</v>
          </cell>
          <cell r="DN9270">
            <v>0</v>
          </cell>
        </row>
        <row r="9271">
          <cell r="E9271">
            <v>0</v>
          </cell>
          <cell r="F9271">
            <v>0</v>
          </cell>
          <cell r="DN9271">
            <v>0</v>
          </cell>
        </row>
        <row r="9272">
          <cell r="E9272">
            <v>0</v>
          </cell>
          <cell r="F9272">
            <v>0</v>
          </cell>
          <cell r="DN9272">
            <v>0</v>
          </cell>
        </row>
        <row r="9273">
          <cell r="E9273">
            <v>0</v>
          </cell>
          <cell r="F9273">
            <v>0</v>
          </cell>
          <cell r="DN9273">
            <v>0</v>
          </cell>
        </row>
        <row r="9274">
          <cell r="E9274">
            <v>0</v>
          </cell>
          <cell r="F9274">
            <v>0</v>
          </cell>
          <cell r="DN9274">
            <v>0</v>
          </cell>
        </row>
        <row r="9275">
          <cell r="E9275">
            <v>0</v>
          </cell>
          <cell r="F9275">
            <v>0</v>
          </cell>
          <cell r="DN9275">
            <v>0</v>
          </cell>
        </row>
        <row r="9276">
          <cell r="E9276">
            <v>0</v>
          </cell>
          <cell r="F9276">
            <v>0</v>
          </cell>
          <cell r="DN9276">
            <v>0</v>
          </cell>
        </row>
        <row r="9277">
          <cell r="E9277">
            <v>0</v>
          </cell>
          <cell r="F9277">
            <v>0</v>
          </cell>
          <cell r="DN9277">
            <v>0</v>
          </cell>
        </row>
        <row r="9278">
          <cell r="E9278">
            <v>0</v>
          </cell>
          <cell r="F9278">
            <v>0</v>
          </cell>
          <cell r="DN9278">
            <v>0</v>
          </cell>
        </row>
        <row r="9279">
          <cell r="E9279">
            <v>0</v>
          </cell>
          <cell r="F9279">
            <v>0</v>
          </cell>
          <cell r="DN9279">
            <v>0</v>
          </cell>
        </row>
        <row r="9280">
          <cell r="E9280">
            <v>0</v>
          </cell>
          <cell r="F9280">
            <v>0</v>
          </cell>
          <cell r="DN9280">
            <v>0</v>
          </cell>
        </row>
        <row r="9281">
          <cell r="E9281">
            <v>0</v>
          </cell>
          <cell r="F9281">
            <v>0</v>
          </cell>
          <cell r="DN9281">
            <v>0</v>
          </cell>
        </row>
        <row r="9282">
          <cell r="E9282">
            <v>0</v>
          </cell>
          <cell r="F9282">
            <v>0</v>
          </cell>
          <cell r="DN9282">
            <v>0</v>
          </cell>
        </row>
        <row r="9283">
          <cell r="E9283">
            <v>0</v>
          </cell>
          <cell r="F9283">
            <v>0</v>
          </cell>
          <cell r="DN9283">
            <v>0</v>
          </cell>
        </row>
        <row r="9284">
          <cell r="E9284">
            <v>0</v>
          </cell>
          <cell r="F9284">
            <v>0</v>
          </cell>
          <cell r="DN9284">
            <v>0</v>
          </cell>
        </row>
        <row r="9285">
          <cell r="E9285">
            <v>0</v>
          </cell>
          <cell r="F9285">
            <v>0</v>
          </cell>
          <cell r="DN9285">
            <v>0</v>
          </cell>
        </row>
        <row r="9286">
          <cell r="E9286">
            <v>0</v>
          </cell>
          <cell r="F9286">
            <v>0</v>
          </cell>
          <cell r="DN9286">
            <v>0</v>
          </cell>
        </row>
        <row r="9287">
          <cell r="E9287">
            <v>0</v>
          </cell>
          <cell r="F9287">
            <v>0</v>
          </cell>
          <cell r="DN9287">
            <v>0</v>
          </cell>
        </row>
        <row r="9288">
          <cell r="E9288">
            <v>0</v>
          </cell>
          <cell r="F9288">
            <v>0</v>
          </cell>
          <cell r="DN9288">
            <v>0</v>
          </cell>
        </row>
        <row r="9289">
          <cell r="E9289">
            <v>0</v>
          </cell>
          <cell r="F9289">
            <v>0</v>
          </cell>
          <cell r="DN9289">
            <v>0</v>
          </cell>
        </row>
        <row r="9290">
          <cell r="E9290">
            <v>0</v>
          </cell>
          <cell r="F9290">
            <v>0</v>
          </cell>
          <cell r="DN9290">
            <v>0</v>
          </cell>
        </row>
        <row r="9291">
          <cell r="E9291">
            <v>0</v>
          </cell>
          <cell r="F9291">
            <v>0</v>
          </cell>
          <cell r="DN9291">
            <v>0</v>
          </cell>
        </row>
        <row r="9292">
          <cell r="E9292">
            <v>0</v>
          </cell>
          <cell r="F9292">
            <v>0</v>
          </cell>
          <cell r="DN9292">
            <v>0</v>
          </cell>
        </row>
        <row r="9293">
          <cell r="E9293">
            <v>0</v>
          </cell>
          <cell r="F9293">
            <v>0</v>
          </cell>
          <cell r="DN9293">
            <v>0</v>
          </cell>
        </row>
        <row r="9294">
          <cell r="E9294">
            <v>0</v>
          </cell>
          <cell r="F9294">
            <v>0</v>
          </cell>
          <cell r="DN9294">
            <v>0</v>
          </cell>
        </row>
        <row r="9295">
          <cell r="E9295">
            <v>0</v>
          </cell>
          <cell r="F9295">
            <v>0</v>
          </cell>
          <cell r="DN9295">
            <v>0</v>
          </cell>
        </row>
        <row r="9296">
          <cell r="E9296">
            <v>0</v>
          </cell>
          <cell r="F9296">
            <v>0</v>
          </cell>
          <cell r="DN9296">
            <v>0</v>
          </cell>
        </row>
        <row r="9297">
          <cell r="E9297">
            <v>0</v>
          </cell>
          <cell r="F9297">
            <v>0</v>
          </cell>
          <cell r="DN9297">
            <v>0</v>
          </cell>
        </row>
        <row r="9298">
          <cell r="E9298">
            <v>0</v>
          </cell>
          <cell r="F9298">
            <v>0</v>
          </cell>
          <cell r="DN9298">
            <v>0</v>
          </cell>
        </row>
        <row r="9299">
          <cell r="E9299">
            <v>0</v>
          </cell>
          <cell r="F9299">
            <v>0</v>
          </cell>
          <cell r="DN9299">
            <v>0</v>
          </cell>
        </row>
        <row r="9300">
          <cell r="E9300">
            <v>0</v>
          </cell>
          <cell r="F9300">
            <v>0</v>
          </cell>
          <cell r="DN9300">
            <v>0</v>
          </cell>
        </row>
        <row r="9301">
          <cell r="E9301">
            <v>0</v>
          </cell>
          <cell r="F9301">
            <v>0</v>
          </cell>
          <cell r="DN9301">
            <v>0</v>
          </cell>
        </row>
        <row r="9302">
          <cell r="E9302">
            <v>0</v>
          </cell>
          <cell r="F9302">
            <v>0</v>
          </cell>
          <cell r="DN9302">
            <v>0</v>
          </cell>
        </row>
        <row r="9303">
          <cell r="E9303">
            <v>0</v>
          </cell>
          <cell r="F9303">
            <v>0</v>
          </cell>
          <cell r="DN9303">
            <v>0</v>
          </cell>
        </row>
        <row r="9304">
          <cell r="E9304">
            <v>0</v>
          </cell>
          <cell r="F9304">
            <v>0</v>
          </cell>
          <cell r="DN9304">
            <v>0</v>
          </cell>
        </row>
        <row r="9305">
          <cell r="E9305">
            <v>0</v>
          </cell>
          <cell r="F9305">
            <v>0</v>
          </cell>
          <cell r="DN9305">
            <v>0</v>
          </cell>
        </row>
        <row r="9306">
          <cell r="E9306">
            <v>0</v>
          </cell>
          <cell r="F9306">
            <v>0</v>
          </cell>
          <cell r="DN9306">
            <v>0</v>
          </cell>
        </row>
        <row r="9307">
          <cell r="E9307">
            <v>0</v>
          </cell>
          <cell r="F9307">
            <v>0</v>
          </cell>
          <cell r="DN9307">
            <v>0</v>
          </cell>
        </row>
        <row r="9308">
          <cell r="E9308">
            <v>0</v>
          </cell>
          <cell r="F9308">
            <v>0</v>
          </cell>
          <cell r="DN9308">
            <v>0</v>
          </cell>
        </row>
        <row r="9309">
          <cell r="E9309">
            <v>0</v>
          </cell>
          <cell r="F9309">
            <v>0</v>
          </cell>
          <cell r="DN9309">
            <v>0</v>
          </cell>
        </row>
        <row r="9310">
          <cell r="E9310">
            <v>0</v>
          </cell>
          <cell r="F9310">
            <v>0</v>
          </cell>
          <cell r="DN9310">
            <v>0</v>
          </cell>
        </row>
        <row r="9311">
          <cell r="E9311">
            <v>0</v>
          </cell>
          <cell r="F9311">
            <v>0</v>
          </cell>
          <cell r="DN9311">
            <v>0</v>
          </cell>
        </row>
        <row r="9312">
          <cell r="E9312">
            <v>0</v>
          </cell>
          <cell r="F9312">
            <v>0</v>
          </cell>
          <cell r="DN9312">
            <v>0</v>
          </cell>
        </row>
        <row r="9313">
          <cell r="E9313">
            <v>0</v>
          </cell>
          <cell r="F9313">
            <v>0</v>
          </cell>
          <cell r="DN9313">
            <v>0</v>
          </cell>
        </row>
        <row r="9314">
          <cell r="E9314">
            <v>0</v>
          </cell>
          <cell r="F9314">
            <v>0</v>
          </cell>
          <cell r="DN9314">
            <v>0</v>
          </cell>
        </row>
        <row r="9315">
          <cell r="E9315">
            <v>0</v>
          </cell>
          <cell r="F9315">
            <v>0</v>
          </cell>
          <cell r="DN9315">
            <v>0</v>
          </cell>
        </row>
        <row r="9316">
          <cell r="E9316">
            <v>0</v>
          </cell>
          <cell r="F9316">
            <v>0</v>
          </cell>
          <cell r="DN9316">
            <v>0</v>
          </cell>
        </row>
        <row r="9317">
          <cell r="E9317">
            <v>0</v>
          </cell>
          <cell r="F9317">
            <v>0</v>
          </cell>
          <cell r="DN9317">
            <v>0</v>
          </cell>
        </row>
        <row r="9318">
          <cell r="E9318">
            <v>0</v>
          </cell>
          <cell r="F9318">
            <v>0</v>
          </cell>
          <cell r="DN9318">
            <v>0</v>
          </cell>
        </row>
        <row r="9319">
          <cell r="E9319">
            <v>0</v>
          </cell>
          <cell r="F9319">
            <v>0</v>
          </cell>
          <cell r="DN9319">
            <v>0</v>
          </cell>
        </row>
        <row r="9320">
          <cell r="E9320">
            <v>0</v>
          </cell>
          <cell r="F9320">
            <v>0</v>
          </cell>
          <cell r="DN9320">
            <v>0</v>
          </cell>
        </row>
        <row r="9321">
          <cell r="E9321">
            <v>0</v>
          </cell>
          <cell r="F9321">
            <v>0</v>
          </cell>
          <cell r="DN9321">
            <v>0</v>
          </cell>
        </row>
        <row r="9322">
          <cell r="E9322">
            <v>0</v>
          </cell>
          <cell r="F9322">
            <v>0</v>
          </cell>
          <cell r="DN9322">
            <v>0</v>
          </cell>
        </row>
        <row r="9323">
          <cell r="E9323">
            <v>0</v>
          </cell>
          <cell r="F9323">
            <v>0</v>
          </cell>
          <cell r="DN9323">
            <v>0</v>
          </cell>
        </row>
        <row r="9324">
          <cell r="E9324">
            <v>0</v>
          </cell>
          <cell r="F9324">
            <v>0</v>
          </cell>
          <cell r="DN9324">
            <v>0</v>
          </cell>
        </row>
        <row r="9325">
          <cell r="E9325">
            <v>0</v>
          </cell>
          <cell r="F9325">
            <v>0</v>
          </cell>
          <cell r="DN9325">
            <v>0</v>
          </cell>
        </row>
        <row r="9326">
          <cell r="E9326">
            <v>0</v>
          </cell>
          <cell r="F9326">
            <v>0</v>
          </cell>
          <cell r="DN9326">
            <v>0</v>
          </cell>
        </row>
        <row r="9327">
          <cell r="E9327">
            <v>0</v>
          </cell>
          <cell r="F9327">
            <v>0</v>
          </cell>
          <cell r="DN9327">
            <v>0</v>
          </cell>
        </row>
        <row r="9328">
          <cell r="E9328">
            <v>0</v>
          </cell>
          <cell r="F9328">
            <v>0</v>
          </cell>
          <cell r="DN9328">
            <v>0</v>
          </cell>
        </row>
        <row r="9329">
          <cell r="E9329">
            <v>0</v>
          </cell>
          <cell r="F9329">
            <v>0</v>
          </cell>
          <cell r="DN9329">
            <v>0</v>
          </cell>
        </row>
        <row r="9330">
          <cell r="E9330">
            <v>0</v>
          </cell>
          <cell r="F9330">
            <v>0</v>
          </cell>
          <cell r="DN9330">
            <v>0</v>
          </cell>
        </row>
        <row r="9331">
          <cell r="E9331">
            <v>0</v>
          </cell>
          <cell r="F9331">
            <v>0</v>
          </cell>
          <cell r="DN9331">
            <v>0</v>
          </cell>
        </row>
        <row r="9332">
          <cell r="E9332">
            <v>0</v>
          </cell>
          <cell r="F9332">
            <v>0</v>
          </cell>
          <cell r="DN9332">
            <v>0</v>
          </cell>
        </row>
        <row r="9333">
          <cell r="E9333">
            <v>0</v>
          </cell>
          <cell r="F9333">
            <v>0</v>
          </cell>
          <cell r="DN9333">
            <v>0</v>
          </cell>
        </row>
        <row r="9334">
          <cell r="E9334">
            <v>0</v>
          </cell>
          <cell r="F9334">
            <v>0</v>
          </cell>
          <cell r="DN9334">
            <v>0</v>
          </cell>
        </row>
        <row r="9335">
          <cell r="E9335">
            <v>0</v>
          </cell>
          <cell r="F9335">
            <v>0</v>
          </cell>
          <cell r="DN9335">
            <v>0</v>
          </cell>
        </row>
        <row r="9336">
          <cell r="E9336">
            <v>0</v>
          </cell>
          <cell r="F9336">
            <v>0</v>
          </cell>
          <cell r="DN9336">
            <v>0</v>
          </cell>
        </row>
        <row r="9337">
          <cell r="E9337">
            <v>0</v>
          </cell>
          <cell r="F9337">
            <v>0</v>
          </cell>
          <cell r="DN9337">
            <v>0</v>
          </cell>
        </row>
        <row r="9338">
          <cell r="E9338">
            <v>0</v>
          </cell>
          <cell r="F9338">
            <v>0</v>
          </cell>
          <cell r="DN9338">
            <v>0</v>
          </cell>
        </row>
        <row r="9339">
          <cell r="E9339">
            <v>0</v>
          </cell>
          <cell r="F9339">
            <v>0</v>
          </cell>
          <cell r="DN9339">
            <v>0</v>
          </cell>
        </row>
        <row r="9340">
          <cell r="E9340">
            <v>0</v>
          </cell>
          <cell r="F9340">
            <v>0</v>
          </cell>
          <cell r="DN9340">
            <v>0</v>
          </cell>
        </row>
        <row r="9341">
          <cell r="E9341">
            <v>0</v>
          </cell>
          <cell r="F9341">
            <v>0</v>
          </cell>
          <cell r="DN9341">
            <v>0</v>
          </cell>
        </row>
        <row r="9342">
          <cell r="E9342">
            <v>0</v>
          </cell>
          <cell r="F9342">
            <v>0</v>
          </cell>
          <cell r="DN9342">
            <v>0</v>
          </cell>
        </row>
        <row r="9343">
          <cell r="E9343">
            <v>0</v>
          </cell>
          <cell r="F9343">
            <v>0</v>
          </cell>
          <cell r="DN9343">
            <v>0</v>
          </cell>
        </row>
        <row r="9344">
          <cell r="E9344">
            <v>0</v>
          </cell>
          <cell r="F9344">
            <v>0</v>
          </cell>
          <cell r="DN9344">
            <v>0</v>
          </cell>
        </row>
        <row r="9345">
          <cell r="E9345">
            <v>0</v>
          </cell>
          <cell r="F9345">
            <v>0</v>
          </cell>
          <cell r="DN9345">
            <v>0</v>
          </cell>
        </row>
        <row r="9346">
          <cell r="E9346">
            <v>0</v>
          </cell>
          <cell r="F9346">
            <v>0</v>
          </cell>
          <cell r="DN9346">
            <v>0</v>
          </cell>
        </row>
        <row r="9347">
          <cell r="E9347">
            <v>0</v>
          </cell>
          <cell r="F9347">
            <v>0</v>
          </cell>
          <cell r="DN9347">
            <v>0</v>
          </cell>
        </row>
        <row r="9348">
          <cell r="E9348">
            <v>0</v>
          </cell>
          <cell r="F9348">
            <v>0</v>
          </cell>
          <cell r="DN9348">
            <v>0</v>
          </cell>
        </row>
        <row r="9349">
          <cell r="E9349">
            <v>0</v>
          </cell>
          <cell r="F9349">
            <v>0</v>
          </cell>
          <cell r="DN9349">
            <v>0</v>
          </cell>
        </row>
        <row r="9350">
          <cell r="E9350">
            <v>0</v>
          </cell>
          <cell r="F9350">
            <v>0</v>
          </cell>
          <cell r="DN9350">
            <v>0</v>
          </cell>
        </row>
        <row r="9351">
          <cell r="E9351">
            <v>0</v>
          </cell>
          <cell r="F9351">
            <v>0</v>
          </cell>
          <cell r="DN9351">
            <v>0</v>
          </cell>
        </row>
        <row r="9352">
          <cell r="E9352">
            <v>0</v>
          </cell>
          <cell r="F9352">
            <v>0</v>
          </cell>
          <cell r="DN9352">
            <v>0</v>
          </cell>
        </row>
        <row r="9353">
          <cell r="E9353">
            <v>0</v>
          </cell>
          <cell r="F9353">
            <v>0</v>
          </cell>
          <cell r="DN9353">
            <v>0</v>
          </cell>
        </row>
        <row r="9354">
          <cell r="E9354">
            <v>0</v>
          </cell>
          <cell r="F9354">
            <v>0</v>
          </cell>
          <cell r="DN9354">
            <v>0</v>
          </cell>
        </row>
        <row r="9355">
          <cell r="E9355">
            <v>0</v>
          </cell>
          <cell r="F9355">
            <v>0</v>
          </cell>
          <cell r="DN9355">
            <v>0</v>
          </cell>
        </row>
        <row r="9356">
          <cell r="E9356">
            <v>0</v>
          </cell>
          <cell r="F9356">
            <v>0</v>
          </cell>
          <cell r="DN9356">
            <v>0</v>
          </cell>
        </row>
        <row r="9357">
          <cell r="E9357">
            <v>0</v>
          </cell>
          <cell r="F9357">
            <v>0</v>
          </cell>
          <cell r="DN9357">
            <v>0</v>
          </cell>
        </row>
        <row r="9358">
          <cell r="E9358">
            <v>0</v>
          </cell>
          <cell r="F9358">
            <v>0</v>
          </cell>
          <cell r="DN9358">
            <v>0</v>
          </cell>
        </row>
        <row r="9359">
          <cell r="E9359">
            <v>0</v>
          </cell>
          <cell r="F9359">
            <v>0</v>
          </cell>
          <cell r="DN9359">
            <v>0</v>
          </cell>
        </row>
        <row r="9360">
          <cell r="E9360">
            <v>0</v>
          </cell>
          <cell r="F9360">
            <v>0</v>
          </cell>
          <cell r="DN9360">
            <v>0</v>
          </cell>
        </row>
        <row r="9361">
          <cell r="E9361">
            <v>0</v>
          </cell>
          <cell r="F9361">
            <v>0</v>
          </cell>
          <cell r="DN9361">
            <v>0</v>
          </cell>
        </row>
        <row r="9362">
          <cell r="E9362">
            <v>0</v>
          </cell>
          <cell r="F9362">
            <v>0</v>
          </cell>
          <cell r="DN9362">
            <v>0</v>
          </cell>
        </row>
        <row r="9363">
          <cell r="E9363">
            <v>0</v>
          </cell>
          <cell r="F9363">
            <v>0</v>
          </cell>
          <cell r="DN9363">
            <v>0</v>
          </cell>
        </row>
        <row r="9364">
          <cell r="E9364">
            <v>0</v>
          </cell>
          <cell r="F9364">
            <v>0</v>
          </cell>
          <cell r="DN9364">
            <v>0</v>
          </cell>
        </row>
        <row r="9365">
          <cell r="E9365">
            <v>0</v>
          </cell>
          <cell r="F9365">
            <v>0</v>
          </cell>
          <cell r="DN9365">
            <v>0</v>
          </cell>
        </row>
        <row r="9366">
          <cell r="E9366">
            <v>0</v>
          </cell>
          <cell r="F9366">
            <v>0</v>
          </cell>
          <cell r="DN9366">
            <v>0</v>
          </cell>
        </row>
        <row r="9367">
          <cell r="E9367">
            <v>0</v>
          </cell>
          <cell r="F9367">
            <v>0</v>
          </cell>
          <cell r="DN9367">
            <v>0</v>
          </cell>
        </row>
        <row r="9368">
          <cell r="E9368">
            <v>0</v>
          </cell>
          <cell r="F9368">
            <v>0</v>
          </cell>
          <cell r="DN9368">
            <v>0</v>
          </cell>
        </row>
        <row r="9369">
          <cell r="E9369">
            <v>0</v>
          </cell>
          <cell r="F9369">
            <v>0</v>
          </cell>
          <cell r="DN9369">
            <v>0</v>
          </cell>
        </row>
        <row r="9370">
          <cell r="E9370">
            <v>0</v>
          </cell>
          <cell r="F9370">
            <v>0</v>
          </cell>
          <cell r="DN9370">
            <v>0</v>
          </cell>
        </row>
        <row r="9371">
          <cell r="E9371">
            <v>0</v>
          </cell>
          <cell r="F9371">
            <v>0</v>
          </cell>
          <cell r="DN9371">
            <v>0</v>
          </cell>
        </row>
        <row r="9372">
          <cell r="E9372">
            <v>0</v>
          </cell>
          <cell r="F9372">
            <v>0</v>
          </cell>
          <cell r="DN9372">
            <v>0</v>
          </cell>
        </row>
        <row r="9373">
          <cell r="E9373">
            <v>0</v>
          </cell>
          <cell r="F9373">
            <v>0</v>
          </cell>
          <cell r="DN9373">
            <v>0</v>
          </cell>
        </row>
        <row r="9374">
          <cell r="E9374">
            <v>0</v>
          </cell>
          <cell r="F9374">
            <v>0</v>
          </cell>
          <cell r="DN9374">
            <v>0</v>
          </cell>
        </row>
        <row r="9375">
          <cell r="E9375">
            <v>0</v>
          </cell>
          <cell r="F9375">
            <v>0</v>
          </cell>
          <cell r="DN9375">
            <v>0</v>
          </cell>
        </row>
        <row r="9376">
          <cell r="E9376">
            <v>0</v>
          </cell>
          <cell r="F9376">
            <v>0</v>
          </cell>
          <cell r="DN9376">
            <v>0</v>
          </cell>
        </row>
        <row r="9377">
          <cell r="E9377">
            <v>0</v>
          </cell>
          <cell r="F9377">
            <v>0</v>
          </cell>
          <cell r="DN9377">
            <v>0</v>
          </cell>
        </row>
        <row r="9378">
          <cell r="E9378">
            <v>0</v>
          </cell>
          <cell r="F9378">
            <v>0</v>
          </cell>
          <cell r="DN9378">
            <v>0</v>
          </cell>
        </row>
        <row r="9379">
          <cell r="E9379">
            <v>0</v>
          </cell>
          <cell r="F9379">
            <v>0</v>
          </cell>
          <cell r="DN9379">
            <v>0</v>
          </cell>
        </row>
        <row r="9380">
          <cell r="E9380">
            <v>0</v>
          </cell>
          <cell r="F9380">
            <v>0</v>
          </cell>
          <cell r="DN9380">
            <v>0</v>
          </cell>
        </row>
        <row r="9381">
          <cell r="E9381">
            <v>0</v>
          </cell>
          <cell r="F9381">
            <v>0</v>
          </cell>
          <cell r="DN9381">
            <v>0</v>
          </cell>
        </row>
        <row r="9382">
          <cell r="E9382">
            <v>0</v>
          </cell>
          <cell r="F9382">
            <v>0</v>
          </cell>
          <cell r="DN9382">
            <v>0</v>
          </cell>
        </row>
        <row r="9383">
          <cell r="E9383">
            <v>0</v>
          </cell>
          <cell r="F9383">
            <v>0</v>
          </cell>
          <cell r="DN9383">
            <v>0</v>
          </cell>
        </row>
        <row r="9384">
          <cell r="E9384">
            <v>0</v>
          </cell>
          <cell r="F9384">
            <v>0</v>
          </cell>
          <cell r="DN9384">
            <v>0</v>
          </cell>
        </row>
        <row r="9385">
          <cell r="E9385">
            <v>0</v>
          </cell>
          <cell r="F9385">
            <v>0</v>
          </cell>
          <cell r="DN9385">
            <v>0</v>
          </cell>
        </row>
        <row r="9386">
          <cell r="E9386">
            <v>0</v>
          </cell>
          <cell r="F9386">
            <v>0</v>
          </cell>
          <cell r="DN9386">
            <v>0</v>
          </cell>
        </row>
        <row r="9387">
          <cell r="E9387">
            <v>0</v>
          </cell>
          <cell r="F9387">
            <v>0</v>
          </cell>
          <cell r="DN9387">
            <v>0</v>
          </cell>
        </row>
        <row r="9388">
          <cell r="E9388">
            <v>0</v>
          </cell>
          <cell r="F9388">
            <v>0</v>
          </cell>
          <cell r="DN9388">
            <v>0</v>
          </cell>
        </row>
        <row r="9389">
          <cell r="E9389">
            <v>0</v>
          </cell>
          <cell r="F9389">
            <v>0</v>
          </cell>
          <cell r="DN9389">
            <v>0</v>
          </cell>
        </row>
        <row r="9390">
          <cell r="E9390">
            <v>0</v>
          </cell>
          <cell r="F9390">
            <v>0</v>
          </cell>
          <cell r="DN9390">
            <v>0</v>
          </cell>
        </row>
        <row r="9391">
          <cell r="E9391">
            <v>0</v>
          </cell>
          <cell r="F9391">
            <v>0</v>
          </cell>
          <cell r="DN9391">
            <v>0</v>
          </cell>
        </row>
        <row r="9392">
          <cell r="E9392">
            <v>0</v>
          </cell>
          <cell r="F9392">
            <v>0</v>
          </cell>
          <cell r="DN9392">
            <v>0</v>
          </cell>
        </row>
        <row r="9393">
          <cell r="E9393">
            <v>0</v>
          </cell>
          <cell r="F9393">
            <v>0</v>
          </cell>
          <cell r="DN9393">
            <v>0</v>
          </cell>
        </row>
        <row r="9394">
          <cell r="E9394">
            <v>0</v>
          </cell>
          <cell r="F9394">
            <v>0</v>
          </cell>
          <cell r="DN9394">
            <v>0</v>
          </cell>
        </row>
        <row r="9395">
          <cell r="E9395">
            <v>0</v>
          </cell>
          <cell r="F9395">
            <v>0</v>
          </cell>
          <cell r="DN9395">
            <v>0</v>
          </cell>
        </row>
        <row r="9396">
          <cell r="E9396">
            <v>0</v>
          </cell>
          <cell r="F9396">
            <v>0</v>
          </cell>
          <cell r="DN9396">
            <v>0</v>
          </cell>
        </row>
        <row r="9397">
          <cell r="E9397">
            <v>0</v>
          </cell>
          <cell r="F9397">
            <v>0</v>
          </cell>
          <cell r="DN9397">
            <v>0</v>
          </cell>
        </row>
        <row r="9398">
          <cell r="E9398">
            <v>0</v>
          </cell>
          <cell r="F9398">
            <v>0</v>
          </cell>
          <cell r="DN9398">
            <v>0</v>
          </cell>
        </row>
        <row r="9399">
          <cell r="E9399">
            <v>0</v>
          </cell>
          <cell r="F9399">
            <v>0</v>
          </cell>
          <cell r="DN9399">
            <v>0</v>
          </cell>
        </row>
        <row r="9400">
          <cell r="E9400">
            <v>0</v>
          </cell>
          <cell r="F9400">
            <v>0</v>
          </cell>
          <cell r="DN9400">
            <v>0</v>
          </cell>
        </row>
        <row r="9401">
          <cell r="E9401">
            <v>0</v>
          </cell>
          <cell r="F9401">
            <v>0</v>
          </cell>
          <cell r="DN9401">
            <v>0</v>
          </cell>
        </row>
        <row r="9402">
          <cell r="E9402">
            <v>0</v>
          </cell>
          <cell r="F9402">
            <v>0</v>
          </cell>
          <cell r="DN9402">
            <v>0</v>
          </cell>
        </row>
        <row r="9403">
          <cell r="E9403">
            <v>0</v>
          </cell>
          <cell r="F9403">
            <v>0</v>
          </cell>
          <cell r="DN9403">
            <v>0</v>
          </cell>
        </row>
        <row r="9404">
          <cell r="E9404">
            <v>0</v>
          </cell>
          <cell r="F9404">
            <v>0</v>
          </cell>
          <cell r="DN9404">
            <v>0</v>
          </cell>
        </row>
        <row r="9405">
          <cell r="E9405">
            <v>0</v>
          </cell>
          <cell r="F9405">
            <v>0</v>
          </cell>
          <cell r="DN9405">
            <v>0</v>
          </cell>
        </row>
        <row r="9406">
          <cell r="E9406">
            <v>0</v>
          </cell>
          <cell r="F9406">
            <v>0</v>
          </cell>
          <cell r="DN9406">
            <v>0</v>
          </cell>
        </row>
        <row r="9407">
          <cell r="E9407">
            <v>0</v>
          </cell>
          <cell r="F9407">
            <v>0</v>
          </cell>
          <cell r="DN9407">
            <v>0</v>
          </cell>
        </row>
        <row r="9408">
          <cell r="E9408">
            <v>0</v>
          </cell>
          <cell r="F9408">
            <v>0</v>
          </cell>
          <cell r="DN9408">
            <v>0</v>
          </cell>
        </row>
        <row r="9409">
          <cell r="E9409">
            <v>0</v>
          </cell>
          <cell r="F9409">
            <v>0</v>
          </cell>
          <cell r="DN9409">
            <v>0</v>
          </cell>
        </row>
        <row r="9410">
          <cell r="E9410">
            <v>0</v>
          </cell>
          <cell r="F9410">
            <v>0</v>
          </cell>
          <cell r="DN9410">
            <v>0</v>
          </cell>
        </row>
        <row r="9411">
          <cell r="E9411">
            <v>0</v>
          </cell>
          <cell r="F9411">
            <v>0</v>
          </cell>
          <cell r="DN9411">
            <v>0</v>
          </cell>
        </row>
        <row r="9412">
          <cell r="E9412">
            <v>0</v>
          </cell>
          <cell r="F9412">
            <v>0</v>
          </cell>
          <cell r="DN9412">
            <v>0</v>
          </cell>
        </row>
        <row r="9413">
          <cell r="E9413">
            <v>0</v>
          </cell>
          <cell r="F9413">
            <v>0</v>
          </cell>
          <cell r="DN9413">
            <v>0</v>
          </cell>
        </row>
        <row r="9414">
          <cell r="E9414">
            <v>0</v>
          </cell>
          <cell r="F9414">
            <v>0</v>
          </cell>
          <cell r="DN9414">
            <v>0</v>
          </cell>
        </row>
        <row r="9415">
          <cell r="E9415">
            <v>0</v>
          </cell>
          <cell r="F9415">
            <v>0</v>
          </cell>
          <cell r="DN9415">
            <v>0</v>
          </cell>
        </row>
        <row r="9416">
          <cell r="E9416">
            <v>0</v>
          </cell>
          <cell r="F9416">
            <v>0</v>
          </cell>
          <cell r="DN9416">
            <v>0</v>
          </cell>
        </row>
        <row r="9417">
          <cell r="E9417">
            <v>0</v>
          </cell>
          <cell r="F9417">
            <v>0</v>
          </cell>
          <cell r="DN9417">
            <v>0</v>
          </cell>
        </row>
        <row r="9418">
          <cell r="E9418">
            <v>0</v>
          </cell>
          <cell r="F9418">
            <v>0</v>
          </cell>
          <cell r="DN9418">
            <v>0</v>
          </cell>
        </row>
        <row r="9419">
          <cell r="E9419">
            <v>0</v>
          </cell>
          <cell r="F9419">
            <v>0</v>
          </cell>
          <cell r="DN9419">
            <v>0</v>
          </cell>
        </row>
        <row r="9420">
          <cell r="E9420">
            <v>0</v>
          </cell>
          <cell r="F9420">
            <v>0</v>
          </cell>
          <cell r="DN9420">
            <v>0</v>
          </cell>
        </row>
        <row r="9421">
          <cell r="E9421">
            <v>0</v>
          </cell>
          <cell r="F9421">
            <v>0</v>
          </cell>
          <cell r="DN9421">
            <v>0</v>
          </cell>
        </row>
        <row r="9422">
          <cell r="E9422">
            <v>0</v>
          </cell>
          <cell r="F9422">
            <v>0</v>
          </cell>
          <cell r="DN9422">
            <v>0</v>
          </cell>
        </row>
        <row r="9423">
          <cell r="E9423">
            <v>0</v>
          </cell>
          <cell r="F9423">
            <v>0</v>
          </cell>
          <cell r="DN9423">
            <v>0</v>
          </cell>
        </row>
        <row r="9424">
          <cell r="E9424">
            <v>0</v>
          </cell>
          <cell r="F9424">
            <v>0</v>
          </cell>
          <cell r="DN9424">
            <v>0</v>
          </cell>
        </row>
        <row r="9425">
          <cell r="E9425">
            <v>0</v>
          </cell>
          <cell r="F9425">
            <v>0</v>
          </cell>
          <cell r="DN9425">
            <v>0</v>
          </cell>
        </row>
        <row r="9426">
          <cell r="E9426">
            <v>0</v>
          </cell>
          <cell r="F9426">
            <v>0</v>
          </cell>
          <cell r="DN9426">
            <v>0</v>
          </cell>
        </row>
        <row r="9427">
          <cell r="E9427">
            <v>0</v>
          </cell>
          <cell r="F9427">
            <v>0</v>
          </cell>
          <cell r="DN9427">
            <v>0</v>
          </cell>
        </row>
        <row r="9428">
          <cell r="E9428">
            <v>0</v>
          </cell>
          <cell r="F9428">
            <v>0</v>
          </cell>
          <cell r="DN9428">
            <v>0</v>
          </cell>
        </row>
        <row r="9429">
          <cell r="E9429">
            <v>0</v>
          </cell>
          <cell r="F9429">
            <v>0</v>
          </cell>
          <cell r="DN9429">
            <v>0</v>
          </cell>
        </row>
        <row r="9430">
          <cell r="E9430">
            <v>0</v>
          </cell>
          <cell r="F9430">
            <v>0</v>
          </cell>
          <cell r="DN9430">
            <v>0</v>
          </cell>
        </row>
        <row r="9431">
          <cell r="E9431">
            <v>0</v>
          </cell>
          <cell r="F9431">
            <v>0</v>
          </cell>
          <cell r="DN9431">
            <v>0</v>
          </cell>
        </row>
        <row r="9432">
          <cell r="E9432">
            <v>0</v>
          </cell>
          <cell r="F9432">
            <v>0</v>
          </cell>
          <cell r="DN9432">
            <v>0</v>
          </cell>
        </row>
        <row r="9433">
          <cell r="E9433">
            <v>0</v>
          </cell>
          <cell r="F9433">
            <v>0</v>
          </cell>
          <cell r="DN9433">
            <v>0</v>
          </cell>
        </row>
        <row r="9434">
          <cell r="E9434">
            <v>0</v>
          </cell>
          <cell r="F9434">
            <v>0</v>
          </cell>
          <cell r="DN9434">
            <v>0</v>
          </cell>
        </row>
        <row r="9435">
          <cell r="E9435">
            <v>0</v>
          </cell>
          <cell r="F9435">
            <v>0</v>
          </cell>
          <cell r="DN9435">
            <v>0</v>
          </cell>
        </row>
        <row r="9436">
          <cell r="E9436">
            <v>0</v>
          </cell>
          <cell r="F9436">
            <v>0</v>
          </cell>
          <cell r="DN9436">
            <v>0</v>
          </cell>
        </row>
        <row r="9437">
          <cell r="E9437">
            <v>0</v>
          </cell>
          <cell r="F9437">
            <v>0</v>
          </cell>
          <cell r="DN9437">
            <v>0</v>
          </cell>
        </row>
        <row r="9438">
          <cell r="E9438">
            <v>0</v>
          </cell>
          <cell r="F9438">
            <v>0</v>
          </cell>
          <cell r="DN9438">
            <v>0</v>
          </cell>
        </row>
        <row r="9439">
          <cell r="E9439">
            <v>0</v>
          </cell>
          <cell r="F9439">
            <v>0</v>
          </cell>
          <cell r="DN9439">
            <v>0</v>
          </cell>
        </row>
        <row r="9440">
          <cell r="E9440">
            <v>0</v>
          </cell>
          <cell r="F9440">
            <v>0</v>
          </cell>
          <cell r="DN9440">
            <v>0</v>
          </cell>
        </row>
        <row r="9441">
          <cell r="E9441">
            <v>0</v>
          </cell>
          <cell r="F9441">
            <v>0</v>
          </cell>
          <cell r="DN9441">
            <v>0</v>
          </cell>
        </row>
        <row r="9442">
          <cell r="E9442">
            <v>0</v>
          </cell>
          <cell r="F9442">
            <v>0</v>
          </cell>
          <cell r="DN9442">
            <v>0</v>
          </cell>
        </row>
        <row r="9443">
          <cell r="E9443">
            <v>0</v>
          </cell>
          <cell r="F9443">
            <v>0</v>
          </cell>
          <cell r="DN9443">
            <v>0</v>
          </cell>
        </row>
        <row r="9444">
          <cell r="E9444">
            <v>0</v>
          </cell>
          <cell r="F9444">
            <v>0</v>
          </cell>
          <cell r="DN9444">
            <v>0</v>
          </cell>
        </row>
        <row r="9445">
          <cell r="E9445">
            <v>0</v>
          </cell>
          <cell r="F9445">
            <v>0</v>
          </cell>
          <cell r="DN9445">
            <v>0</v>
          </cell>
        </row>
        <row r="9446">
          <cell r="E9446">
            <v>0</v>
          </cell>
          <cell r="F9446">
            <v>0</v>
          </cell>
          <cell r="DN9446">
            <v>0</v>
          </cell>
        </row>
        <row r="9447">
          <cell r="E9447">
            <v>0</v>
          </cell>
          <cell r="F9447">
            <v>0</v>
          </cell>
          <cell r="DN9447">
            <v>0</v>
          </cell>
        </row>
        <row r="9448">
          <cell r="E9448">
            <v>0</v>
          </cell>
          <cell r="F9448">
            <v>0</v>
          </cell>
          <cell r="DN9448">
            <v>0</v>
          </cell>
        </row>
        <row r="9449">
          <cell r="E9449">
            <v>0</v>
          </cell>
          <cell r="F9449">
            <v>0</v>
          </cell>
          <cell r="DN9449">
            <v>0</v>
          </cell>
        </row>
        <row r="9450">
          <cell r="E9450">
            <v>0</v>
          </cell>
          <cell r="F9450">
            <v>0</v>
          </cell>
          <cell r="DN9450">
            <v>0</v>
          </cell>
        </row>
        <row r="9451">
          <cell r="E9451">
            <v>0</v>
          </cell>
          <cell r="F9451">
            <v>0</v>
          </cell>
          <cell r="DN9451">
            <v>0</v>
          </cell>
        </row>
        <row r="9452">
          <cell r="E9452">
            <v>0</v>
          </cell>
          <cell r="F9452">
            <v>0</v>
          </cell>
          <cell r="DN9452">
            <v>0</v>
          </cell>
        </row>
        <row r="9453">
          <cell r="E9453">
            <v>0</v>
          </cell>
          <cell r="F9453">
            <v>0</v>
          </cell>
          <cell r="DN9453">
            <v>0</v>
          </cell>
        </row>
        <row r="9454">
          <cell r="E9454">
            <v>0</v>
          </cell>
          <cell r="F9454">
            <v>0</v>
          </cell>
          <cell r="DN9454">
            <v>0</v>
          </cell>
        </row>
        <row r="9455">
          <cell r="E9455">
            <v>0</v>
          </cell>
          <cell r="F9455">
            <v>0</v>
          </cell>
          <cell r="DN9455">
            <v>0</v>
          </cell>
        </row>
        <row r="9456">
          <cell r="E9456">
            <v>0</v>
          </cell>
          <cell r="F9456">
            <v>0</v>
          </cell>
          <cell r="DN9456">
            <v>0</v>
          </cell>
        </row>
        <row r="9457">
          <cell r="E9457">
            <v>0</v>
          </cell>
          <cell r="F9457">
            <v>0</v>
          </cell>
          <cell r="DN9457">
            <v>0</v>
          </cell>
        </row>
        <row r="9458">
          <cell r="E9458">
            <v>0</v>
          </cell>
          <cell r="F9458">
            <v>0</v>
          </cell>
          <cell r="DN9458">
            <v>0</v>
          </cell>
        </row>
        <row r="9459">
          <cell r="E9459">
            <v>0</v>
          </cell>
          <cell r="F9459">
            <v>0</v>
          </cell>
          <cell r="DN9459">
            <v>0</v>
          </cell>
        </row>
        <row r="9460">
          <cell r="E9460">
            <v>0</v>
          </cell>
          <cell r="F9460">
            <v>0</v>
          </cell>
          <cell r="DN9460">
            <v>0</v>
          </cell>
        </row>
        <row r="9461">
          <cell r="E9461">
            <v>0</v>
          </cell>
          <cell r="F9461">
            <v>0</v>
          </cell>
          <cell r="DN9461">
            <v>0</v>
          </cell>
        </row>
        <row r="9462">
          <cell r="E9462">
            <v>0</v>
          </cell>
          <cell r="F9462">
            <v>0</v>
          </cell>
          <cell r="DN9462">
            <v>0</v>
          </cell>
        </row>
        <row r="9463">
          <cell r="E9463">
            <v>0</v>
          </cell>
          <cell r="F9463">
            <v>0</v>
          </cell>
          <cell r="DN9463">
            <v>0</v>
          </cell>
        </row>
        <row r="9464">
          <cell r="E9464">
            <v>0</v>
          </cell>
          <cell r="F9464">
            <v>0</v>
          </cell>
          <cell r="DN9464">
            <v>0</v>
          </cell>
        </row>
        <row r="9465">
          <cell r="E9465">
            <v>0</v>
          </cell>
          <cell r="F9465">
            <v>0</v>
          </cell>
          <cell r="DN9465">
            <v>0</v>
          </cell>
        </row>
        <row r="9466">
          <cell r="E9466">
            <v>0</v>
          </cell>
          <cell r="F9466">
            <v>0</v>
          </cell>
          <cell r="DN9466">
            <v>0</v>
          </cell>
        </row>
        <row r="9467">
          <cell r="E9467">
            <v>0</v>
          </cell>
          <cell r="F9467">
            <v>0</v>
          </cell>
          <cell r="DN9467">
            <v>0</v>
          </cell>
        </row>
        <row r="9468">
          <cell r="E9468">
            <v>0</v>
          </cell>
          <cell r="F9468">
            <v>0</v>
          </cell>
          <cell r="DN9468">
            <v>0</v>
          </cell>
        </row>
        <row r="9469">
          <cell r="E9469">
            <v>0</v>
          </cell>
          <cell r="F9469">
            <v>0</v>
          </cell>
          <cell r="DN9469">
            <v>0</v>
          </cell>
        </row>
        <row r="9470">
          <cell r="E9470">
            <v>0</v>
          </cell>
          <cell r="F9470">
            <v>0</v>
          </cell>
          <cell r="DN9470">
            <v>0</v>
          </cell>
        </row>
        <row r="9471">
          <cell r="E9471">
            <v>0</v>
          </cell>
          <cell r="F9471">
            <v>0</v>
          </cell>
          <cell r="DN9471">
            <v>0</v>
          </cell>
        </row>
        <row r="9472">
          <cell r="E9472">
            <v>0</v>
          </cell>
          <cell r="F9472">
            <v>0</v>
          </cell>
          <cell r="DN9472">
            <v>0</v>
          </cell>
        </row>
        <row r="9473">
          <cell r="E9473">
            <v>0</v>
          </cell>
          <cell r="F9473">
            <v>0</v>
          </cell>
          <cell r="DN9473">
            <v>0</v>
          </cell>
        </row>
        <row r="9474">
          <cell r="E9474">
            <v>0</v>
          </cell>
          <cell r="F9474">
            <v>0</v>
          </cell>
          <cell r="DN9474">
            <v>0</v>
          </cell>
        </row>
        <row r="9475">
          <cell r="E9475">
            <v>0</v>
          </cell>
          <cell r="F9475">
            <v>0</v>
          </cell>
          <cell r="DN9475">
            <v>0</v>
          </cell>
        </row>
        <row r="9476">
          <cell r="E9476">
            <v>0</v>
          </cell>
          <cell r="F9476">
            <v>0</v>
          </cell>
          <cell r="DN9476">
            <v>0</v>
          </cell>
        </row>
        <row r="9477">
          <cell r="E9477">
            <v>0</v>
          </cell>
          <cell r="F9477">
            <v>0</v>
          </cell>
          <cell r="DN9477">
            <v>0</v>
          </cell>
        </row>
        <row r="9478">
          <cell r="E9478">
            <v>0</v>
          </cell>
          <cell r="F9478">
            <v>0</v>
          </cell>
          <cell r="DN9478">
            <v>0</v>
          </cell>
        </row>
        <row r="9479">
          <cell r="E9479">
            <v>0</v>
          </cell>
          <cell r="F9479">
            <v>0</v>
          </cell>
          <cell r="DN9479">
            <v>0</v>
          </cell>
        </row>
        <row r="9480">
          <cell r="E9480">
            <v>0</v>
          </cell>
          <cell r="F9480">
            <v>0</v>
          </cell>
          <cell r="DN9480">
            <v>0</v>
          </cell>
        </row>
        <row r="9481">
          <cell r="E9481">
            <v>0</v>
          </cell>
          <cell r="F9481">
            <v>0</v>
          </cell>
          <cell r="DN9481">
            <v>0</v>
          </cell>
        </row>
        <row r="9482">
          <cell r="E9482">
            <v>0</v>
          </cell>
          <cell r="F9482">
            <v>0</v>
          </cell>
          <cell r="DN9482">
            <v>0</v>
          </cell>
        </row>
        <row r="9483">
          <cell r="E9483">
            <v>0</v>
          </cell>
          <cell r="F9483">
            <v>0</v>
          </cell>
          <cell r="DN9483">
            <v>0</v>
          </cell>
        </row>
        <row r="9484">
          <cell r="E9484">
            <v>0</v>
          </cell>
          <cell r="F9484">
            <v>0</v>
          </cell>
          <cell r="DN9484">
            <v>0</v>
          </cell>
        </row>
        <row r="9485">
          <cell r="E9485">
            <v>0</v>
          </cell>
          <cell r="F9485">
            <v>0</v>
          </cell>
          <cell r="DN9485">
            <v>0</v>
          </cell>
        </row>
        <row r="9486">
          <cell r="E9486">
            <v>0</v>
          </cell>
          <cell r="F9486">
            <v>0</v>
          </cell>
          <cell r="DN9486">
            <v>0</v>
          </cell>
        </row>
        <row r="9487">
          <cell r="E9487">
            <v>0</v>
          </cell>
          <cell r="F9487">
            <v>0</v>
          </cell>
          <cell r="DN9487">
            <v>0</v>
          </cell>
        </row>
        <row r="9488">
          <cell r="E9488">
            <v>0</v>
          </cell>
          <cell r="F9488">
            <v>0</v>
          </cell>
          <cell r="DN9488">
            <v>0</v>
          </cell>
        </row>
        <row r="9489">
          <cell r="E9489">
            <v>0</v>
          </cell>
          <cell r="F9489">
            <v>0</v>
          </cell>
          <cell r="DN9489">
            <v>0</v>
          </cell>
        </row>
        <row r="9490">
          <cell r="E9490">
            <v>0</v>
          </cell>
          <cell r="F9490">
            <v>0</v>
          </cell>
          <cell r="DN9490">
            <v>0</v>
          </cell>
        </row>
        <row r="9491">
          <cell r="E9491">
            <v>0</v>
          </cell>
          <cell r="F9491">
            <v>0</v>
          </cell>
          <cell r="DN9491">
            <v>0</v>
          </cell>
        </row>
        <row r="9492">
          <cell r="E9492">
            <v>0</v>
          </cell>
          <cell r="F9492">
            <v>0</v>
          </cell>
          <cell r="DN9492">
            <v>0</v>
          </cell>
        </row>
        <row r="9493">
          <cell r="E9493">
            <v>0</v>
          </cell>
          <cell r="F9493">
            <v>0</v>
          </cell>
          <cell r="DN9493">
            <v>0</v>
          </cell>
        </row>
        <row r="9494">
          <cell r="E9494">
            <v>0</v>
          </cell>
          <cell r="F9494">
            <v>0</v>
          </cell>
          <cell r="DN9494">
            <v>0</v>
          </cell>
        </row>
        <row r="9495">
          <cell r="E9495">
            <v>0</v>
          </cell>
          <cell r="F9495">
            <v>0</v>
          </cell>
          <cell r="DN9495">
            <v>0</v>
          </cell>
        </row>
        <row r="9496">
          <cell r="E9496">
            <v>0</v>
          </cell>
          <cell r="F9496">
            <v>0</v>
          </cell>
          <cell r="DN9496">
            <v>0</v>
          </cell>
        </row>
        <row r="9497">
          <cell r="E9497">
            <v>0</v>
          </cell>
          <cell r="F9497">
            <v>0</v>
          </cell>
          <cell r="DN9497">
            <v>0</v>
          </cell>
        </row>
        <row r="9498">
          <cell r="E9498">
            <v>0</v>
          </cell>
          <cell r="F9498">
            <v>0</v>
          </cell>
          <cell r="DN9498">
            <v>0</v>
          </cell>
        </row>
        <row r="9499">
          <cell r="E9499">
            <v>0</v>
          </cell>
          <cell r="F9499">
            <v>0</v>
          </cell>
          <cell r="DN9499">
            <v>0</v>
          </cell>
        </row>
        <row r="9500">
          <cell r="E9500">
            <v>0</v>
          </cell>
          <cell r="F9500">
            <v>0</v>
          </cell>
          <cell r="DN9500">
            <v>0</v>
          </cell>
        </row>
        <row r="9501">
          <cell r="E9501">
            <v>0</v>
          </cell>
          <cell r="F9501">
            <v>0</v>
          </cell>
          <cell r="DN9501">
            <v>0</v>
          </cell>
        </row>
        <row r="9502">
          <cell r="E9502">
            <v>0</v>
          </cell>
          <cell r="F9502">
            <v>0</v>
          </cell>
          <cell r="DN9502">
            <v>0</v>
          </cell>
        </row>
        <row r="9503">
          <cell r="E9503">
            <v>0</v>
          </cell>
          <cell r="F9503">
            <v>0</v>
          </cell>
          <cell r="DN9503">
            <v>0</v>
          </cell>
        </row>
        <row r="9504">
          <cell r="E9504">
            <v>0</v>
          </cell>
          <cell r="F9504">
            <v>0</v>
          </cell>
          <cell r="DN9504">
            <v>0</v>
          </cell>
        </row>
        <row r="9505">
          <cell r="E9505">
            <v>0</v>
          </cell>
          <cell r="F9505">
            <v>0</v>
          </cell>
          <cell r="DN9505">
            <v>0</v>
          </cell>
        </row>
        <row r="9506">
          <cell r="E9506">
            <v>0</v>
          </cell>
          <cell r="F9506">
            <v>0</v>
          </cell>
          <cell r="DN9506">
            <v>0</v>
          </cell>
        </row>
        <row r="9507">
          <cell r="E9507">
            <v>0</v>
          </cell>
          <cell r="F9507">
            <v>0</v>
          </cell>
          <cell r="DN9507">
            <v>0</v>
          </cell>
        </row>
        <row r="9508">
          <cell r="E9508">
            <v>0</v>
          </cell>
          <cell r="F9508">
            <v>0</v>
          </cell>
          <cell r="DN9508">
            <v>0</v>
          </cell>
        </row>
        <row r="9509">
          <cell r="E9509">
            <v>0</v>
          </cell>
          <cell r="F9509">
            <v>0</v>
          </cell>
          <cell r="DN9509">
            <v>0</v>
          </cell>
        </row>
        <row r="9510">
          <cell r="E9510">
            <v>0</v>
          </cell>
          <cell r="F9510">
            <v>0</v>
          </cell>
          <cell r="DN9510">
            <v>0</v>
          </cell>
        </row>
        <row r="9511">
          <cell r="E9511">
            <v>0</v>
          </cell>
          <cell r="F9511">
            <v>0</v>
          </cell>
          <cell r="DN9511">
            <v>0</v>
          </cell>
        </row>
        <row r="9512">
          <cell r="E9512">
            <v>0</v>
          </cell>
          <cell r="F9512">
            <v>0</v>
          </cell>
          <cell r="DN9512">
            <v>0</v>
          </cell>
        </row>
        <row r="9513">
          <cell r="E9513">
            <v>0</v>
          </cell>
          <cell r="F9513">
            <v>0</v>
          </cell>
          <cell r="DN9513">
            <v>0</v>
          </cell>
        </row>
        <row r="9514">
          <cell r="E9514">
            <v>0</v>
          </cell>
          <cell r="F9514">
            <v>0</v>
          </cell>
          <cell r="DN9514">
            <v>0</v>
          </cell>
        </row>
        <row r="9515">
          <cell r="E9515">
            <v>0</v>
          </cell>
          <cell r="F9515">
            <v>0</v>
          </cell>
          <cell r="DN9515">
            <v>0</v>
          </cell>
        </row>
        <row r="9516">
          <cell r="E9516">
            <v>0</v>
          </cell>
          <cell r="F9516">
            <v>0</v>
          </cell>
          <cell r="DN9516">
            <v>0</v>
          </cell>
        </row>
        <row r="9517">
          <cell r="E9517">
            <v>0</v>
          </cell>
          <cell r="F9517">
            <v>0</v>
          </cell>
          <cell r="DN9517">
            <v>0</v>
          </cell>
        </row>
        <row r="9518">
          <cell r="E9518">
            <v>0</v>
          </cell>
          <cell r="F9518">
            <v>0</v>
          </cell>
          <cell r="DN9518">
            <v>0</v>
          </cell>
        </row>
        <row r="9519">
          <cell r="E9519">
            <v>0</v>
          </cell>
          <cell r="F9519">
            <v>0</v>
          </cell>
          <cell r="DN9519">
            <v>0</v>
          </cell>
        </row>
        <row r="9520">
          <cell r="E9520">
            <v>0</v>
          </cell>
          <cell r="F9520">
            <v>0</v>
          </cell>
          <cell r="DN9520">
            <v>0</v>
          </cell>
        </row>
        <row r="9521">
          <cell r="E9521">
            <v>0</v>
          </cell>
          <cell r="F9521">
            <v>0</v>
          </cell>
          <cell r="DN9521">
            <v>0</v>
          </cell>
        </row>
        <row r="9522">
          <cell r="E9522">
            <v>0</v>
          </cell>
          <cell r="F9522">
            <v>0</v>
          </cell>
          <cell r="DN9522">
            <v>0</v>
          </cell>
        </row>
        <row r="9523">
          <cell r="E9523">
            <v>0</v>
          </cell>
          <cell r="F9523">
            <v>0</v>
          </cell>
          <cell r="DN9523">
            <v>0</v>
          </cell>
        </row>
        <row r="9524">
          <cell r="E9524">
            <v>0</v>
          </cell>
          <cell r="F9524">
            <v>0</v>
          </cell>
          <cell r="DN9524">
            <v>0</v>
          </cell>
        </row>
        <row r="9525">
          <cell r="E9525">
            <v>0</v>
          </cell>
          <cell r="F9525">
            <v>0</v>
          </cell>
          <cell r="DN9525">
            <v>0</v>
          </cell>
        </row>
        <row r="9526">
          <cell r="E9526">
            <v>0</v>
          </cell>
          <cell r="F9526">
            <v>0</v>
          </cell>
          <cell r="DN9526">
            <v>0</v>
          </cell>
        </row>
        <row r="9527">
          <cell r="E9527">
            <v>0</v>
          </cell>
          <cell r="F9527">
            <v>0</v>
          </cell>
          <cell r="DN9527">
            <v>0</v>
          </cell>
        </row>
        <row r="9528">
          <cell r="E9528">
            <v>0</v>
          </cell>
          <cell r="F9528">
            <v>0</v>
          </cell>
          <cell r="DN9528">
            <v>0</v>
          </cell>
        </row>
        <row r="9529">
          <cell r="E9529">
            <v>0</v>
          </cell>
          <cell r="F9529">
            <v>0</v>
          </cell>
          <cell r="DN9529">
            <v>0</v>
          </cell>
        </row>
        <row r="9530">
          <cell r="E9530">
            <v>0</v>
          </cell>
          <cell r="F9530">
            <v>0</v>
          </cell>
          <cell r="DN9530">
            <v>0</v>
          </cell>
        </row>
        <row r="9531">
          <cell r="E9531">
            <v>0</v>
          </cell>
          <cell r="F9531">
            <v>0</v>
          </cell>
          <cell r="DN9531">
            <v>0</v>
          </cell>
        </row>
        <row r="9532">
          <cell r="E9532">
            <v>0</v>
          </cell>
          <cell r="F9532">
            <v>0</v>
          </cell>
          <cell r="DN9532">
            <v>0</v>
          </cell>
        </row>
        <row r="9533">
          <cell r="E9533">
            <v>0</v>
          </cell>
          <cell r="F9533">
            <v>0</v>
          </cell>
          <cell r="DN9533">
            <v>0</v>
          </cell>
        </row>
        <row r="9534">
          <cell r="E9534">
            <v>0</v>
          </cell>
          <cell r="F9534">
            <v>0</v>
          </cell>
          <cell r="DN9534">
            <v>0</v>
          </cell>
        </row>
        <row r="9535">
          <cell r="E9535">
            <v>0</v>
          </cell>
          <cell r="F9535">
            <v>0</v>
          </cell>
          <cell r="DN9535">
            <v>0</v>
          </cell>
        </row>
        <row r="9536">
          <cell r="E9536">
            <v>0</v>
          </cell>
          <cell r="F9536">
            <v>0</v>
          </cell>
          <cell r="DN9536">
            <v>0</v>
          </cell>
        </row>
        <row r="9537">
          <cell r="E9537">
            <v>0</v>
          </cell>
          <cell r="F9537">
            <v>0</v>
          </cell>
          <cell r="DN9537">
            <v>0</v>
          </cell>
        </row>
        <row r="9538">
          <cell r="E9538">
            <v>0</v>
          </cell>
          <cell r="F9538">
            <v>0</v>
          </cell>
          <cell r="DN9538">
            <v>0</v>
          </cell>
        </row>
        <row r="9539">
          <cell r="E9539">
            <v>0</v>
          </cell>
          <cell r="F9539">
            <v>0</v>
          </cell>
          <cell r="DN9539">
            <v>0</v>
          </cell>
        </row>
        <row r="9540">
          <cell r="E9540">
            <v>0</v>
          </cell>
          <cell r="F9540">
            <v>0</v>
          </cell>
          <cell r="DN9540">
            <v>0</v>
          </cell>
        </row>
        <row r="9541">
          <cell r="E9541">
            <v>0</v>
          </cell>
          <cell r="F9541">
            <v>0</v>
          </cell>
          <cell r="DN9541">
            <v>0</v>
          </cell>
        </row>
        <row r="9542">
          <cell r="E9542">
            <v>0</v>
          </cell>
          <cell r="F9542">
            <v>0</v>
          </cell>
          <cell r="DN9542">
            <v>0</v>
          </cell>
        </row>
        <row r="9543">
          <cell r="E9543">
            <v>0</v>
          </cell>
          <cell r="F9543">
            <v>0</v>
          </cell>
          <cell r="DN9543">
            <v>0</v>
          </cell>
        </row>
        <row r="9544">
          <cell r="E9544">
            <v>0</v>
          </cell>
          <cell r="F9544">
            <v>0</v>
          </cell>
          <cell r="DN9544">
            <v>0</v>
          </cell>
        </row>
        <row r="9545">
          <cell r="E9545">
            <v>0</v>
          </cell>
          <cell r="F9545">
            <v>0</v>
          </cell>
          <cell r="DN9545">
            <v>0</v>
          </cell>
        </row>
        <row r="9546">
          <cell r="E9546">
            <v>0</v>
          </cell>
          <cell r="F9546">
            <v>0</v>
          </cell>
          <cell r="DN9546">
            <v>0</v>
          </cell>
        </row>
        <row r="9547">
          <cell r="E9547">
            <v>0</v>
          </cell>
          <cell r="F9547">
            <v>0</v>
          </cell>
          <cell r="DN9547">
            <v>0</v>
          </cell>
        </row>
        <row r="9548">
          <cell r="E9548">
            <v>0</v>
          </cell>
          <cell r="F9548">
            <v>0</v>
          </cell>
          <cell r="DN9548">
            <v>0</v>
          </cell>
        </row>
        <row r="9549">
          <cell r="E9549">
            <v>0</v>
          </cell>
          <cell r="F9549">
            <v>0</v>
          </cell>
          <cell r="DN9549">
            <v>0</v>
          </cell>
        </row>
        <row r="9550">
          <cell r="E9550">
            <v>0</v>
          </cell>
          <cell r="F9550">
            <v>0</v>
          </cell>
          <cell r="DN9550">
            <v>0</v>
          </cell>
        </row>
        <row r="9551">
          <cell r="E9551">
            <v>0</v>
          </cell>
          <cell r="F9551">
            <v>0</v>
          </cell>
          <cell r="DN9551">
            <v>0</v>
          </cell>
        </row>
        <row r="9552">
          <cell r="E9552">
            <v>0</v>
          </cell>
          <cell r="F9552">
            <v>0</v>
          </cell>
          <cell r="DN9552">
            <v>0</v>
          </cell>
        </row>
        <row r="9553">
          <cell r="E9553">
            <v>0</v>
          </cell>
          <cell r="F9553">
            <v>0</v>
          </cell>
          <cell r="DN9553">
            <v>0</v>
          </cell>
        </row>
        <row r="9554">
          <cell r="E9554">
            <v>0</v>
          </cell>
          <cell r="F9554">
            <v>0</v>
          </cell>
          <cell r="DN9554">
            <v>0</v>
          </cell>
        </row>
        <row r="9555">
          <cell r="E9555">
            <v>0</v>
          </cell>
          <cell r="F9555">
            <v>0</v>
          </cell>
          <cell r="DN9555">
            <v>0</v>
          </cell>
        </row>
        <row r="9556">
          <cell r="E9556">
            <v>0</v>
          </cell>
          <cell r="F9556">
            <v>0</v>
          </cell>
          <cell r="DN9556">
            <v>0</v>
          </cell>
        </row>
        <row r="9557">
          <cell r="E9557">
            <v>0</v>
          </cell>
          <cell r="F9557">
            <v>0</v>
          </cell>
          <cell r="DN9557">
            <v>0</v>
          </cell>
        </row>
        <row r="9558">
          <cell r="E9558">
            <v>0</v>
          </cell>
          <cell r="F9558">
            <v>0</v>
          </cell>
          <cell r="DN9558">
            <v>0</v>
          </cell>
        </row>
        <row r="9559">
          <cell r="E9559">
            <v>0</v>
          </cell>
          <cell r="F9559">
            <v>0</v>
          </cell>
          <cell r="DN9559">
            <v>0</v>
          </cell>
        </row>
        <row r="9560">
          <cell r="E9560">
            <v>0</v>
          </cell>
          <cell r="F9560">
            <v>0</v>
          </cell>
          <cell r="DN9560">
            <v>0</v>
          </cell>
        </row>
        <row r="9561">
          <cell r="E9561">
            <v>0</v>
          </cell>
          <cell r="F9561">
            <v>0</v>
          </cell>
          <cell r="DN9561">
            <v>0</v>
          </cell>
        </row>
        <row r="9562">
          <cell r="E9562">
            <v>0</v>
          </cell>
          <cell r="F9562">
            <v>0</v>
          </cell>
          <cell r="DN9562">
            <v>0</v>
          </cell>
        </row>
        <row r="9563">
          <cell r="E9563">
            <v>0</v>
          </cell>
          <cell r="F9563">
            <v>0</v>
          </cell>
          <cell r="DN9563">
            <v>0</v>
          </cell>
        </row>
        <row r="9564">
          <cell r="E9564">
            <v>0</v>
          </cell>
          <cell r="F9564">
            <v>0</v>
          </cell>
          <cell r="DN9564">
            <v>0</v>
          </cell>
        </row>
        <row r="9565">
          <cell r="E9565">
            <v>0</v>
          </cell>
          <cell r="F9565">
            <v>0</v>
          </cell>
          <cell r="DN9565">
            <v>0</v>
          </cell>
        </row>
        <row r="9566">
          <cell r="E9566">
            <v>0</v>
          </cell>
          <cell r="F9566">
            <v>0</v>
          </cell>
          <cell r="DN9566">
            <v>0</v>
          </cell>
        </row>
        <row r="9567">
          <cell r="E9567">
            <v>0</v>
          </cell>
          <cell r="F9567">
            <v>0</v>
          </cell>
          <cell r="DN9567">
            <v>0</v>
          </cell>
        </row>
        <row r="9568">
          <cell r="E9568">
            <v>0</v>
          </cell>
          <cell r="F9568">
            <v>0</v>
          </cell>
          <cell r="DN9568">
            <v>0</v>
          </cell>
        </row>
        <row r="9569">
          <cell r="E9569">
            <v>0</v>
          </cell>
          <cell r="F9569">
            <v>0</v>
          </cell>
          <cell r="DN9569">
            <v>0</v>
          </cell>
        </row>
        <row r="9570">
          <cell r="E9570">
            <v>0</v>
          </cell>
          <cell r="F9570">
            <v>0</v>
          </cell>
          <cell r="DN9570">
            <v>0</v>
          </cell>
        </row>
        <row r="9571">
          <cell r="E9571">
            <v>0</v>
          </cell>
          <cell r="F9571">
            <v>0</v>
          </cell>
          <cell r="DN9571">
            <v>0</v>
          </cell>
        </row>
        <row r="9572">
          <cell r="E9572">
            <v>0</v>
          </cell>
          <cell r="F9572">
            <v>0</v>
          </cell>
          <cell r="DN9572">
            <v>0</v>
          </cell>
        </row>
        <row r="9573">
          <cell r="E9573">
            <v>0</v>
          </cell>
          <cell r="F9573">
            <v>0</v>
          </cell>
          <cell r="DN9573">
            <v>0</v>
          </cell>
        </row>
        <row r="9574">
          <cell r="E9574">
            <v>0</v>
          </cell>
          <cell r="F9574">
            <v>0</v>
          </cell>
          <cell r="DN9574">
            <v>0</v>
          </cell>
        </row>
        <row r="9575">
          <cell r="E9575">
            <v>0</v>
          </cell>
          <cell r="F9575">
            <v>0</v>
          </cell>
          <cell r="DN9575">
            <v>0</v>
          </cell>
        </row>
        <row r="9576">
          <cell r="E9576">
            <v>0</v>
          </cell>
          <cell r="F9576">
            <v>0</v>
          </cell>
          <cell r="DN9576">
            <v>0</v>
          </cell>
        </row>
        <row r="9577">
          <cell r="E9577">
            <v>0</v>
          </cell>
          <cell r="F9577">
            <v>0</v>
          </cell>
          <cell r="DN9577">
            <v>0</v>
          </cell>
        </row>
        <row r="9578">
          <cell r="E9578">
            <v>0</v>
          </cell>
          <cell r="F9578">
            <v>0</v>
          </cell>
          <cell r="DN9578">
            <v>0</v>
          </cell>
        </row>
        <row r="9579">
          <cell r="E9579">
            <v>0</v>
          </cell>
          <cell r="F9579">
            <v>0</v>
          </cell>
          <cell r="DN9579">
            <v>0</v>
          </cell>
        </row>
        <row r="9580">
          <cell r="E9580">
            <v>0</v>
          </cell>
          <cell r="F9580">
            <v>0</v>
          </cell>
          <cell r="DN9580">
            <v>0</v>
          </cell>
        </row>
        <row r="9581">
          <cell r="E9581">
            <v>0</v>
          </cell>
          <cell r="F9581">
            <v>0</v>
          </cell>
          <cell r="DN9581">
            <v>0</v>
          </cell>
        </row>
        <row r="9582">
          <cell r="E9582">
            <v>0</v>
          </cell>
          <cell r="F9582">
            <v>0</v>
          </cell>
          <cell r="DN9582">
            <v>0</v>
          </cell>
        </row>
        <row r="9583">
          <cell r="E9583">
            <v>0</v>
          </cell>
          <cell r="F9583">
            <v>0</v>
          </cell>
          <cell r="DN9583">
            <v>0</v>
          </cell>
        </row>
        <row r="9584">
          <cell r="E9584">
            <v>0</v>
          </cell>
          <cell r="F9584">
            <v>0</v>
          </cell>
          <cell r="DN9584">
            <v>0</v>
          </cell>
        </row>
        <row r="9585">
          <cell r="E9585">
            <v>0</v>
          </cell>
          <cell r="F9585">
            <v>0</v>
          </cell>
          <cell r="DN9585">
            <v>0</v>
          </cell>
        </row>
        <row r="9586">
          <cell r="E9586">
            <v>0</v>
          </cell>
          <cell r="F9586">
            <v>0</v>
          </cell>
          <cell r="DN9586">
            <v>0</v>
          </cell>
        </row>
        <row r="9587">
          <cell r="E9587">
            <v>0</v>
          </cell>
          <cell r="F9587">
            <v>0</v>
          </cell>
          <cell r="DN9587">
            <v>0</v>
          </cell>
        </row>
        <row r="9588">
          <cell r="E9588">
            <v>0</v>
          </cell>
          <cell r="F9588">
            <v>0</v>
          </cell>
          <cell r="DN9588">
            <v>0</v>
          </cell>
        </row>
        <row r="9589">
          <cell r="E9589">
            <v>0</v>
          </cell>
          <cell r="F9589">
            <v>0</v>
          </cell>
          <cell r="DN9589">
            <v>0</v>
          </cell>
        </row>
        <row r="9590">
          <cell r="E9590">
            <v>0</v>
          </cell>
          <cell r="F9590">
            <v>0</v>
          </cell>
          <cell r="DN9590">
            <v>0</v>
          </cell>
        </row>
        <row r="9591">
          <cell r="E9591">
            <v>0</v>
          </cell>
          <cell r="F9591">
            <v>0</v>
          </cell>
          <cell r="DN9591">
            <v>0</v>
          </cell>
        </row>
        <row r="9592">
          <cell r="E9592">
            <v>0</v>
          </cell>
          <cell r="F9592">
            <v>0</v>
          </cell>
          <cell r="DN9592">
            <v>0</v>
          </cell>
        </row>
        <row r="9593">
          <cell r="E9593">
            <v>0</v>
          </cell>
          <cell r="F9593">
            <v>0</v>
          </cell>
          <cell r="DN9593">
            <v>0</v>
          </cell>
        </row>
        <row r="9594">
          <cell r="E9594">
            <v>0</v>
          </cell>
          <cell r="F9594">
            <v>0</v>
          </cell>
          <cell r="DN9594">
            <v>0</v>
          </cell>
        </row>
        <row r="9595">
          <cell r="E9595">
            <v>0</v>
          </cell>
          <cell r="F9595">
            <v>0</v>
          </cell>
          <cell r="DN9595">
            <v>0</v>
          </cell>
        </row>
        <row r="9596">
          <cell r="E9596">
            <v>0</v>
          </cell>
          <cell r="F9596">
            <v>0</v>
          </cell>
          <cell r="DN9596">
            <v>0</v>
          </cell>
        </row>
        <row r="9597">
          <cell r="E9597">
            <v>0</v>
          </cell>
          <cell r="F9597">
            <v>0</v>
          </cell>
          <cell r="DN9597">
            <v>0</v>
          </cell>
        </row>
        <row r="9598">
          <cell r="E9598">
            <v>0</v>
          </cell>
          <cell r="F9598">
            <v>0</v>
          </cell>
          <cell r="DN9598">
            <v>0</v>
          </cell>
        </row>
        <row r="9599">
          <cell r="E9599">
            <v>0</v>
          </cell>
          <cell r="F9599">
            <v>0</v>
          </cell>
          <cell r="DN9599">
            <v>0</v>
          </cell>
        </row>
        <row r="9600">
          <cell r="E9600">
            <v>0</v>
          </cell>
          <cell r="F9600">
            <v>0</v>
          </cell>
          <cell r="DN9600">
            <v>0</v>
          </cell>
        </row>
        <row r="9601">
          <cell r="E9601">
            <v>0</v>
          </cell>
          <cell r="F9601">
            <v>0</v>
          </cell>
          <cell r="DN9601">
            <v>0</v>
          </cell>
        </row>
        <row r="9602">
          <cell r="E9602">
            <v>0</v>
          </cell>
          <cell r="F9602">
            <v>0</v>
          </cell>
          <cell r="DN9602">
            <v>0</v>
          </cell>
        </row>
        <row r="9603">
          <cell r="E9603">
            <v>0</v>
          </cell>
          <cell r="F9603">
            <v>0</v>
          </cell>
          <cell r="DN9603">
            <v>0</v>
          </cell>
        </row>
        <row r="9604">
          <cell r="E9604">
            <v>0</v>
          </cell>
          <cell r="F9604">
            <v>0</v>
          </cell>
          <cell r="DN9604">
            <v>0</v>
          </cell>
        </row>
        <row r="9605">
          <cell r="E9605">
            <v>0</v>
          </cell>
          <cell r="F9605">
            <v>0</v>
          </cell>
          <cell r="DN9605">
            <v>0</v>
          </cell>
        </row>
        <row r="9606">
          <cell r="E9606">
            <v>0</v>
          </cell>
          <cell r="F9606">
            <v>0</v>
          </cell>
          <cell r="DN9606">
            <v>0</v>
          </cell>
        </row>
        <row r="9607">
          <cell r="E9607">
            <v>0</v>
          </cell>
          <cell r="F9607">
            <v>0</v>
          </cell>
          <cell r="DN9607">
            <v>0</v>
          </cell>
        </row>
        <row r="9608">
          <cell r="E9608">
            <v>0</v>
          </cell>
          <cell r="F9608">
            <v>0</v>
          </cell>
          <cell r="DN9608">
            <v>0</v>
          </cell>
        </row>
        <row r="9609">
          <cell r="E9609">
            <v>0</v>
          </cell>
          <cell r="F9609">
            <v>0</v>
          </cell>
          <cell r="DN9609">
            <v>0</v>
          </cell>
        </row>
        <row r="9610">
          <cell r="E9610">
            <v>0</v>
          </cell>
          <cell r="F9610">
            <v>0</v>
          </cell>
          <cell r="DN9610">
            <v>0</v>
          </cell>
        </row>
        <row r="9611">
          <cell r="E9611">
            <v>0</v>
          </cell>
          <cell r="F9611">
            <v>0</v>
          </cell>
          <cell r="DN9611">
            <v>0</v>
          </cell>
        </row>
        <row r="9612">
          <cell r="E9612">
            <v>0</v>
          </cell>
          <cell r="F9612">
            <v>0</v>
          </cell>
          <cell r="DN9612">
            <v>0</v>
          </cell>
        </row>
        <row r="9613">
          <cell r="E9613">
            <v>0</v>
          </cell>
          <cell r="F9613">
            <v>0</v>
          </cell>
          <cell r="DN9613">
            <v>0</v>
          </cell>
        </row>
        <row r="9614">
          <cell r="E9614">
            <v>0</v>
          </cell>
          <cell r="F9614">
            <v>0</v>
          </cell>
          <cell r="DN9614">
            <v>0</v>
          </cell>
        </row>
        <row r="9615">
          <cell r="E9615">
            <v>0</v>
          </cell>
          <cell r="F9615">
            <v>0</v>
          </cell>
          <cell r="DN9615">
            <v>0</v>
          </cell>
        </row>
        <row r="9616">
          <cell r="E9616">
            <v>0</v>
          </cell>
          <cell r="F9616">
            <v>0</v>
          </cell>
          <cell r="DN9616">
            <v>0</v>
          </cell>
        </row>
        <row r="9617">
          <cell r="E9617">
            <v>0</v>
          </cell>
          <cell r="F9617">
            <v>0</v>
          </cell>
          <cell r="DN9617">
            <v>0</v>
          </cell>
        </row>
        <row r="9618">
          <cell r="E9618">
            <v>0</v>
          </cell>
          <cell r="F9618">
            <v>0</v>
          </cell>
          <cell r="DN9618">
            <v>0</v>
          </cell>
        </row>
        <row r="9619">
          <cell r="E9619">
            <v>0</v>
          </cell>
          <cell r="F9619">
            <v>0</v>
          </cell>
          <cell r="DN9619">
            <v>0</v>
          </cell>
        </row>
        <row r="9620">
          <cell r="E9620">
            <v>0</v>
          </cell>
          <cell r="F9620">
            <v>0</v>
          </cell>
          <cell r="DN9620">
            <v>0</v>
          </cell>
        </row>
        <row r="9621">
          <cell r="E9621">
            <v>0</v>
          </cell>
          <cell r="F9621">
            <v>0</v>
          </cell>
          <cell r="DN9621">
            <v>0</v>
          </cell>
        </row>
        <row r="9622">
          <cell r="E9622">
            <v>0</v>
          </cell>
          <cell r="F9622">
            <v>0</v>
          </cell>
          <cell r="DN9622">
            <v>0</v>
          </cell>
        </row>
        <row r="9623">
          <cell r="E9623">
            <v>0</v>
          </cell>
          <cell r="F9623">
            <v>0</v>
          </cell>
          <cell r="DN9623">
            <v>0</v>
          </cell>
        </row>
        <row r="9624">
          <cell r="E9624">
            <v>0</v>
          </cell>
          <cell r="F9624">
            <v>0</v>
          </cell>
          <cell r="DN9624">
            <v>0</v>
          </cell>
        </row>
        <row r="9625">
          <cell r="E9625">
            <v>0</v>
          </cell>
          <cell r="F9625">
            <v>0</v>
          </cell>
          <cell r="DN9625">
            <v>0</v>
          </cell>
        </row>
        <row r="9626">
          <cell r="E9626">
            <v>0</v>
          </cell>
          <cell r="F9626">
            <v>0</v>
          </cell>
          <cell r="DN9626">
            <v>0</v>
          </cell>
        </row>
        <row r="9627">
          <cell r="E9627">
            <v>0</v>
          </cell>
          <cell r="F9627">
            <v>0</v>
          </cell>
          <cell r="DN9627">
            <v>0</v>
          </cell>
        </row>
        <row r="9628">
          <cell r="E9628">
            <v>0</v>
          </cell>
          <cell r="F9628">
            <v>0</v>
          </cell>
          <cell r="DN9628">
            <v>0</v>
          </cell>
        </row>
        <row r="9629">
          <cell r="E9629">
            <v>0</v>
          </cell>
          <cell r="F9629">
            <v>0</v>
          </cell>
          <cell r="DN9629">
            <v>0</v>
          </cell>
        </row>
        <row r="9630">
          <cell r="E9630">
            <v>0</v>
          </cell>
          <cell r="F9630">
            <v>0</v>
          </cell>
          <cell r="DN9630">
            <v>0</v>
          </cell>
        </row>
        <row r="9631">
          <cell r="E9631">
            <v>0</v>
          </cell>
          <cell r="F9631">
            <v>0</v>
          </cell>
          <cell r="DN9631">
            <v>0</v>
          </cell>
        </row>
        <row r="9632">
          <cell r="E9632">
            <v>0</v>
          </cell>
          <cell r="F9632">
            <v>0</v>
          </cell>
          <cell r="DN9632">
            <v>0</v>
          </cell>
        </row>
        <row r="9633">
          <cell r="E9633">
            <v>0</v>
          </cell>
          <cell r="F9633">
            <v>0</v>
          </cell>
          <cell r="DN9633">
            <v>0</v>
          </cell>
        </row>
        <row r="9634">
          <cell r="E9634">
            <v>0</v>
          </cell>
          <cell r="F9634">
            <v>0</v>
          </cell>
          <cell r="DN9634">
            <v>0</v>
          </cell>
        </row>
        <row r="9635">
          <cell r="E9635">
            <v>0</v>
          </cell>
          <cell r="F9635">
            <v>0</v>
          </cell>
          <cell r="DN9635">
            <v>0</v>
          </cell>
        </row>
        <row r="9636">
          <cell r="E9636">
            <v>0</v>
          </cell>
          <cell r="F9636">
            <v>0</v>
          </cell>
          <cell r="DN9636">
            <v>0</v>
          </cell>
        </row>
        <row r="9637">
          <cell r="E9637">
            <v>0</v>
          </cell>
          <cell r="F9637">
            <v>0</v>
          </cell>
          <cell r="DN9637">
            <v>0</v>
          </cell>
        </row>
        <row r="9638">
          <cell r="E9638">
            <v>0</v>
          </cell>
          <cell r="F9638">
            <v>0</v>
          </cell>
          <cell r="DN9638">
            <v>0</v>
          </cell>
        </row>
        <row r="9639">
          <cell r="E9639">
            <v>0</v>
          </cell>
          <cell r="F9639">
            <v>0</v>
          </cell>
          <cell r="DN9639">
            <v>0</v>
          </cell>
        </row>
        <row r="9640">
          <cell r="E9640">
            <v>0</v>
          </cell>
          <cell r="F9640">
            <v>0</v>
          </cell>
          <cell r="DN9640">
            <v>0</v>
          </cell>
        </row>
        <row r="9641">
          <cell r="E9641">
            <v>0</v>
          </cell>
          <cell r="F9641">
            <v>0</v>
          </cell>
          <cell r="DN9641">
            <v>0</v>
          </cell>
        </row>
        <row r="9642">
          <cell r="E9642">
            <v>0</v>
          </cell>
          <cell r="F9642">
            <v>0</v>
          </cell>
          <cell r="DN9642">
            <v>0</v>
          </cell>
        </row>
        <row r="9643">
          <cell r="E9643">
            <v>0</v>
          </cell>
          <cell r="F9643">
            <v>0</v>
          </cell>
          <cell r="DN9643">
            <v>0</v>
          </cell>
        </row>
        <row r="9644">
          <cell r="E9644">
            <v>0</v>
          </cell>
          <cell r="F9644">
            <v>0</v>
          </cell>
          <cell r="DN9644">
            <v>0</v>
          </cell>
        </row>
        <row r="9645">
          <cell r="E9645">
            <v>0</v>
          </cell>
          <cell r="F9645">
            <v>0</v>
          </cell>
          <cell r="DN9645">
            <v>0</v>
          </cell>
        </row>
        <row r="9646">
          <cell r="E9646">
            <v>0</v>
          </cell>
          <cell r="F9646">
            <v>0</v>
          </cell>
          <cell r="DN9646">
            <v>0</v>
          </cell>
        </row>
        <row r="9647">
          <cell r="E9647">
            <v>0</v>
          </cell>
          <cell r="F9647">
            <v>0</v>
          </cell>
          <cell r="DN9647">
            <v>0</v>
          </cell>
        </row>
        <row r="9648">
          <cell r="E9648">
            <v>0</v>
          </cell>
          <cell r="F9648">
            <v>0</v>
          </cell>
          <cell r="DN9648">
            <v>0</v>
          </cell>
        </row>
        <row r="9649">
          <cell r="E9649">
            <v>0</v>
          </cell>
          <cell r="F9649">
            <v>0</v>
          </cell>
          <cell r="DN9649">
            <v>0</v>
          </cell>
        </row>
        <row r="9650">
          <cell r="E9650">
            <v>0</v>
          </cell>
          <cell r="F9650">
            <v>0</v>
          </cell>
          <cell r="DN9650">
            <v>0</v>
          </cell>
        </row>
        <row r="9651">
          <cell r="E9651">
            <v>0</v>
          </cell>
          <cell r="F9651">
            <v>0</v>
          </cell>
          <cell r="DN9651">
            <v>0</v>
          </cell>
        </row>
        <row r="9652">
          <cell r="E9652">
            <v>0</v>
          </cell>
          <cell r="F9652">
            <v>0</v>
          </cell>
          <cell r="DN9652">
            <v>0</v>
          </cell>
        </row>
        <row r="9653">
          <cell r="E9653">
            <v>0</v>
          </cell>
          <cell r="F9653">
            <v>0</v>
          </cell>
          <cell r="DN9653">
            <v>0</v>
          </cell>
        </row>
        <row r="9654">
          <cell r="E9654">
            <v>0</v>
          </cell>
          <cell r="F9654">
            <v>0</v>
          </cell>
          <cell r="DN9654">
            <v>0</v>
          </cell>
        </row>
        <row r="9655">
          <cell r="E9655">
            <v>0</v>
          </cell>
          <cell r="F9655">
            <v>0</v>
          </cell>
          <cell r="DN9655">
            <v>0</v>
          </cell>
        </row>
        <row r="9656">
          <cell r="E9656">
            <v>0</v>
          </cell>
          <cell r="F9656">
            <v>0</v>
          </cell>
          <cell r="DN9656">
            <v>0</v>
          </cell>
        </row>
        <row r="9657">
          <cell r="E9657">
            <v>0</v>
          </cell>
          <cell r="F9657">
            <v>0</v>
          </cell>
          <cell r="DN9657">
            <v>0</v>
          </cell>
        </row>
        <row r="9658">
          <cell r="E9658">
            <v>0</v>
          </cell>
          <cell r="F9658">
            <v>0</v>
          </cell>
          <cell r="DN9658">
            <v>0</v>
          </cell>
        </row>
        <row r="9659">
          <cell r="E9659">
            <v>0</v>
          </cell>
          <cell r="F9659">
            <v>0</v>
          </cell>
          <cell r="DN9659">
            <v>0</v>
          </cell>
        </row>
        <row r="9660">
          <cell r="E9660">
            <v>0</v>
          </cell>
          <cell r="F9660">
            <v>0</v>
          </cell>
          <cell r="DN9660">
            <v>0</v>
          </cell>
        </row>
        <row r="9661">
          <cell r="E9661">
            <v>0</v>
          </cell>
          <cell r="F9661">
            <v>0</v>
          </cell>
          <cell r="DN9661">
            <v>0</v>
          </cell>
        </row>
        <row r="9662">
          <cell r="E9662">
            <v>0</v>
          </cell>
          <cell r="F9662">
            <v>0</v>
          </cell>
          <cell r="DN9662">
            <v>0</v>
          </cell>
        </row>
        <row r="9663">
          <cell r="E9663">
            <v>0</v>
          </cell>
          <cell r="F9663">
            <v>0</v>
          </cell>
          <cell r="DN9663">
            <v>0</v>
          </cell>
        </row>
        <row r="9664">
          <cell r="E9664">
            <v>0</v>
          </cell>
          <cell r="F9664">
            <v>0</v>
          </cell>
          <cell r="DN9664">
            <v>0</v>
          </cell>
        </row>
        <row r="9665">
          <cell r="E9665">
            <v>0</v>
          </cell>
          <cell r="F9665">
            <v>0</v>
          </cell>
          <cell r="DN9665">
            <v>0</v>
          </cell>
        </row>
        <row r="9666">
          <cell r="E9666">
            <v>0</v>
          </cell>
          <cell r="F9666">
            <v>0</v>
          </cell>
          <cell r="DN9666">
            <v>0</v>
          </cell>
        </row>
        <row r="9667">
          <cell r="E9667">
            <v>0</v>
          </cell>
          <cell r="F9667">
            <v>0</v>
          </cell>
          <cell r="DN9667">
            <v>0</v>
          </cell>
        </row>
        <row r="9668">
          <cell r="E9668">
            <v>0</v>
          </cell>
          <cell r="F9668">
            <v>0</v>
          </cell>
          <cell r="DN9668">
            <v>0</v>
          </cell>
        </row>
        <row r="9669">
          <cell r="E9669">
            <v>0</v>
          </cell>
          <cell r="F9669">
            <v>0</v>
          </cell>
          <cell r="DN9669">
            <v>0</v>
          </cell>
        </row>
        <row r="9670">
          <cell r="E9670">
            <v>0</v>
          </cell>
          <cell r="F9670">
            <v>0</v>
          </cell>
          <cell r="DN9670">
            <v>0</v>
          </cell>
        </row>
        <row r="9671">
          <cell r="E9671">
            <v>0</v>
          </cell>
          <cell r="F9671">
            <v>0</v>
          </cell>
          <cell r="DN9671">
            <v>0</v>
          </cell>
        </row>
        <row r="9672">
          <cell r="E9672">
            <v>0</v>
          </cell>
          <cell r="F9672">
            <v>0</v>
          </cell>
          <cell r="DN9672">
            <v>0</v>
          </cell>
        </row>
        <row r="9673">
          <cell r="E9673">
            <v>0</v>
          </cell>
          <cell r="F9673">
            <v>0</v>
          </cell>
          <cell r="DN9673">
            <v>0</v>
          </cell>
        </row>
        <row r="9674">
          <cell r="E9674">
            <v>0</v>
          </cell>
          <cell r="F9674">
            <v>0</v>
          </cell>
          <cell r="DN9674">
            <v>0</v>
          </cell>
        </row>
        <row r="9675">
          <cell r="E9675">
            <v>0</v>
          </cell>
          <cell r="F9675">
            <v>0</v>
          </cell>
          <cell r="DN9675">
            <v>0</v>
          </cell>
        </row>
        <row r="9676">
          <cell r="E9676">
            <v>0</v>
          </cell>
          <cell r="F9676">
            <v>0</v>
          </cell>
          <cell r="DN9676">
            <v>0</v>
          </cell>
        </row>
        <row r="9677">
          <cell r="E9677">
            <v>0</v>
          </cell>
          <cell r="F9677">
            <v>0</v>
          </cell>
          <cell r="DN9677">
            <v>0</v>
          </cell>
        </row>
        <row r="9678">
          <cell r="E9678">
            <v>0</v>
          </cell>
          <cell r="F9678">
            <v>0</v>
          </cell>
          <cell r="DN9678">
            <v>0</v>
          </cell>
        </row>
        <row r="9679">
          <cell r="E9679">
            <v>0</v>
          </cell>
          <cell r="F9679">
            <v>0</v>
          </cell>
          <cell r="DN9679">
            <v>0</v>
          </cell>
        </row>
        <row r="9680">
          <cell r="E9680">
            <v>0</v>
          </cell>
          <cell r="F9680">
            <v>0</v>
          </cell>
          <cell r="DN9680">
            <v>0</v>
          </cell>
        </row>
        <row r="9681">
          <cell r="E9681">
            <v>0</v>
          </cell>
          <cell r="F9681">
            <v>0</v>
          </cell>
          <cell r="DN9681">
            <v>0</v>
          </cell>
        </row>
        <row r="9682">
          <cell r="E9682">
            <v>0</v>
          </cell>
          <cell r="F9682">
            <v>0</v>
          </cell>
          <cell r="DN9682">
            <v>0</v>
          </cell>
        </row>
        <row r="9683">
          <cell r="E9683">
            <v>0</v>
          </cell>
          <cell r="F9683">
            <v>0</v>
          </cell>
          <cell r="DN9683">
            <v>0</v>
          </cell>
        </row>
        <row r="9684">
          <cell r="E9684">
            <v>0</v>
          </cell>
          <cell r="F9684">
            <v>0</v>
          </cell>
          <cell r="DN9684">
            <v>0</v>
          </cell>
        </row>
        <row r="9685">
          <cell r="E9685">
            <v>0</v>
          </cell>
          <cell r="F9685">
            <v>0</v>
          </cell>
          <cell r="DN9685">
            <v>0</v>
          </cell>
        </row>
        <row r="9686">
          <cell r="E9686">
            <v>0</v>
          </cell>
          <cell r="F9686">
            <v>0</v>
          </cell>
          <cell r="DN9686">
            <v>0</v>
          </cell>
        </row>
        <row r="9687">
          <cell r="E9687">
            <v>0</v>
          </cell>
          <cell r="F9687">
            <v>0</v>
          </cell>
          <cell r="DN9687">
            <v>0</v>
          </cell>
        </row>
        <row r="9688">
          <cell r="E9688">
            <v>0</v>
          </cell>
          <cell r="F9688">
            <v>0</v>
          </cell>
          <cell r="DN9688">
            <v>0</v>
          </cell>
        </row>
        <row r="9689">
          <cell r="E9689">
            <v>0</v>
          </cell>
          <cell r="F9689">
            <v>0</v>
          </cell>
          <cell r="DN9689">
            <v>0</v>
          </cell>
        </row>
        <row r="9690">
          <cell r="E9690">
            <v>0</v>
          </cell>
          <cell r="F9690">
            <v>0</v>
          </cell>
          <cell r="DN9690">
            <v>0</v>
          </cell>
        </row>
        <row r="9691">
          <cell r="E9691">
            <v>0</v>
          </cell>
          <cell r="F9691">
            <v>0</v>
          </cell>
          <cell r="DN9691">
            <v>0</v>
          </cell>
        </row>
        <row r="9692">
          <cell r="E9692">
            <v>0</v>
          </cell>
          <cell r="F9692">
            <v>0</v>
          </cell>
          <cell r="DN9692">
            <v>0</v>
          </cell>
        </row>
        <row r="9693">
          <cell r="E9693">
            <v>0</v>
          </cell>
          <cell r="F9693">
            <v>0</v>
          </cell>
          <cell r="DN9693">
            <v>0</v>
          </cell>
        </row>
        <row r="9694">
          <cell r="E9694">
            <v>0</v>
          </cell>
          <cell r="F9694">
            <v>0</v>
          </cell>
          <cell r="DN9694">
            <v>0</v>
          </cell>
        </row>
        <row r="9695">
          <cell r="E9695">
            <v>0</v>
          </cell>
          <cell r="F9695">
            <v>0</v>
          </cell>
          <cell r="DN9695">
            <v>0</v>
          </cell>
        </row>
        <row r="9696">
          <cell r="E9696">
            <v>0</v>
          </cell>
          <cell r="F9696">
            <v>0</v>
          </cell>
          <cell r="DN9696">
            <v>0</v>
          </cell>
        </row>
        <row r="9697">
          <cell r="E9697">
            <v>0</v>
          </cell>
          <cell r="F9697">
            <v>0</v>
          </cell>
          <cell r="DN9697">
            <v>0</v>
          </cell>
        </row>
        <row r="9698">
          <cell r="E9698">
            <v>0</v>
          </cell>
          <cell r="F9698">
            <v>0</v>
          </cell>
          <cell r="DN9698">
            <v>0</v>
          </cell>
        </row>
        <row r="9699">
          <cell r="E9699">
            <v>0</v>
          </cell>
          <cell r="F9699">
            <v>0</v>
          </cell>
          <cell r="DN9699">
            <v>0</v>
          </cell>
        </row>
        <row r="9700">
          <cell r="E9700">
            <v>0</v>
          </cell>
          <cell r="F9700">
            <v>0</v>
          </cell>
          <cell r="DN9700">
            <v>0</v>
          </cell>
        </row>
        <row r="9701">
          <cell r="E9701">
            <v>0</v>
          </cell>
          <cell r="F9701">
            <v>0</v>
          </cell>
          <cell r="DN9701">
            <v>0</v>
          </cell>
        </row>
        <row r="9702">
          <cell r="E9702">
            <v>0</v>
          </cell>
          <cell r="F9702">
            <v>0</v>
          </cell>
          <cell r="DN9702">
            <v>0</v>
          </cell>
        </row>
        <row r="9703">
          <cell r="E9703">
            <v>0</v>
          </cell>
          <cell r="F9703">
            <v>0</v>
          </cell>
          <cell r="DN9703">
            <v>0</v>
          </cell>
        </row>
        <row r="9704">
          <cell r="E9704">
            <v>0</v>
          </cell>
          <cell r="F9704">
            <v>0</v>
          </cell>
          <cell r="DN9704">
            <v>0</v>
          </cell>
        </row>
        <row r="9705">
          <cell r="E9705">
            <v>0</v>
          </cell>
          <cell r="F9705">
            <v>0</v>
          </cell>
          <cell r="DN9705">
            <v>0</v>
          </cell>
        </row>
        <row r="9706">
          <cell r="E9706">
            <v>0</v>
          </cell>
          <cell r="F9706">
            <v>0</v>
          </cell>
          <cell r="DN9706">
            <v>0</v>
          </cell>
        </row>
        <row r="9707">
          <cell r="E9707">
            <v>0</v>
          </cell>
          <cell r="F9707">
            <v>0</v>
          </cell>
          <cell r="DN9707">
            <v>0</v>
          </cell>
        </row>
        <row r="9708">
          <cell r="E9708">
            <v>0</v>
          </cell>
          <cell r="F9708">
            <v>0</v>
          </cell>
          <cell r="DN9708">
            <v>0</v>
          </cell>
        </row>
        <row r="9709">
          <cell r="E9709">
            <v>0</v>
          </cell>
          <cell r="F9709">
            <v>0</v>
          </cell>
          <cell r="DN9709">
            <v>0</v>
          </cell>
        </row>
        <row r="9710">
          <cell r="E9710">
            <v>0</v>
          </cell>
          <cell r="F9710">
            <v>0</v>
          </cell>
          <cell r="DN9710">
            <v>0</v>
          </cell>
        </row>
        <row r="9711">
          <cell r="E9711">
            <v>0</v>
          </cell>
          <cell r="F9711">
            <v>0</v>
          </cell>
          <cell r="DN9711">
            <v>0</v>
          </cell>
        </row>
        <row r="9712">
          <cell r="E9712">
            <v>0</v>
          </cell>
          <cell r="F9712">
            <v>0</v>
          </cell>
          <cell r="DN9712">
            <v>0</v>
          </cell>
        </row>
        <row r="9713">
          <cell r="E9713">
            <v>0</v>
          </cell>
          <cell r="F9713">
            <v>0</v>
          </cell>
          <cell r="DN9713">
            <v>0</v>
          </cell>
        </row>
        <row r="9714">
          <cell r="E9714">
            <v>0</v>
          </cell>
          <cell r="F9714">
            <v>0</v>
          </cell>
          <cell r="DN9714">
            <v>0</v>
          </cell>
        </row>
        <row r="9715">
          <cell r="E9715">
            <v>0</v>
          </cell>
          <cell r="F9715">
            <v>0</v>
          </cell>
          <cell r="DN9715">
            <v>0</v>
          </cell>
        </row>
        <row r="9716">
          <cell r="E9716">
            <v>0</v>
          </cell>
          <cell r="F9716">
            <v>0</v>
          </cell>
          <cell r="DN9716">
            <v>0</v>
          </cell>
        </row>
        <row r="9717">
          <cell r="E9717">
            <v>0</v>
          </cell>
          <cell r="F9717">
            <v>0</v>
          </cell>
          <cell r="DN9717">
            <v>0</v>
          </cell>
        </row>
        <row r="9718">
          <cell r="E9718">
            <v>0</v>
          </cell>
          <cell r="F9718">
            <v>0</v>
          </cell>
          <cell r="DN9718">
            <v>0</v>
          </cell>
        </row>
        <row r="9719">
          <cell r="E9719">
            <v>0</v>
          </cell>
          <cell r="F9719">
            <v>0</v>
          </cell>
          <cell r="DN9719">
            <v>0</v>
          </cell>
        </row>
        <row r="9720">
          <cell r="E9720">
            <v>0</v>
          </cell>
          <cell r="F9720">
            <v>0</v>
          </cell>
          <cell r="DN9720">
            <v>0</v>
          </cell>
        </row>
        <row r="9721">
          <cell r="E9721">
            <v>0</v>
          </cell>
          <cell r="F9721">
            <v>0</v>
          </cell>
          <cell r="DN9721">
            <v>0</v>
          </cell>
        </row>
        <row r="9722">
          <cell r="E9722">
            <v>0</v>
          </cell>
          <cell r="F9722">
            <v>0</v>
          </cell>
          <cell r="DN9722">
            <v>0</v>
          </cell>
        </row>
        <row r="9723">
          <cell r="E9723">
            <v>0</v>
          </cell>
          <cell r="F9723">
            <v>0</v>
          </cell>
          <cell r="DN9723">
            <v>0</v>
          </cell>
        </row>
        <row r="9724">
          <cell r="E9724">
            <v>0</v>
          </cell>
          <cell r="F9724">
            <v>0</v>
          </cell>
          <cell r="DN9724">
            <v>0</v>
          </cell>
        </row>
        <row r="9725">
          <cell r="E9725">
            <v>0</v>
          </cell>
          <cell r="F9725">
            <v>0</v>
          </cell>
          <cell r="DN9725">
            <v>0</v>
          </cell>
        </row>
        <row r="9726">
          <cell r="E9726">
            <v>0</v>
          </cell>
          <cell r="F9726">
            <v>0</v>
          </cell>
          <cell r="DN9726">
            <v>0</v>
          </cell>
        </row>
        <row r="9727">
          <cell r="E9727">
            <v>0</v>
          </cell>
          <cell r="F9727">
            <v>0</v>
          </cell>
          <cell r="DN9727">
            <v>0</v>
          </cell>
        </row>
        <row r="9728">
          <cell r="E9728">
            <v>0</v>
          </cell>
          <cell r="F9728">
            <v>0</v>
          </cell>
          <cell r="DN9728">
            <v>0</v>
          </cell>
        </row>
        <row r="9729">
          <cell r="E9729">
            <v>0</v>
          </cell>
          <cell r="F9729">
            <v>0</v>
          </cell>
          <cell r="DN9729">
            <v>0</v>
          </cell>
        </row>
        <row r="9730">
          <cell r="E9730">
            <v>0</v>
          </cell>
          <cell r="F9730">
            <v>0</v>
          </cell>
          <cell r="DN9730">
            <v>0</v>
          </cell>
        </row>
        <row r="9731">
          <cell r="E9731">
            <v>0</v>
          </cell>
          <cell r="F9731">
            <v>0</v>
          </cell>
          <cell r="DN9731">
            <v>0</v>
          </cell>
        </row>
        <row r="9732">
          <cell r="E9732">
            <v>0</v>
          </cell>
          <cell r="F9732">
            <v>0</v>
          </cell>
          <cell r="DN9732">
            <v>0</v>
          </cell>
        </row>
        <row r="9733">
          <cell r="E9733">
            <v>0</v>
          </cell>
          <cell r="F9733">
            <v>0</v>
          </cell>
          <cell r="DN9733">
            <v>0</v>
          </cell>
        </row>
        <row r="9734">
          <cell r="E9734">
            <v>0</v>
          </cell>
          <cell r="F9734">
            <v>0</v>
          </cell>
          <cell r="DN9734">
            <v>0</v>
          </cell>
        </row>
        <row r="9735">
          <cell r="E9735">
            <v>0</v>
          </cell>
          <cell r="F9735">
            <v>0</v>
          </cell>
          <cell r="DN9735">
            <v>0</v>
          </cell>
        </row>
        <row r="9736">
          <cell r="E9736">
            <v>0</v>
          </cell>
          <cell r="F9736">
            <v>0</v>
          </cell>
          <cell r="DN9736">
            <v>0</v>
          </cell>
        </row>
        <row r="9737">
          <cell r="E9737">
            <v>0</v>
          </cell>
          <cell r="F9737">
            <v>0</v>
          </cell>
          <cell r="DN9737">
            <v>0</v>
          </cell>
        </row>
        <row r="9738">
          <cell r="E9738">
            <v>0</v>
          </cell>
          <cell r="F9738">
            <v>0</v>
          </cell>
          <cell r="DN9738">
            <v>0</v>
          </cell>
        </row>
        <row r="9739">
          <cell r="E9739">
            <v>0</v>
          </cell>
          <cell r="F9739">
            <v>0</v>
          </cell>
          <cell r="DN9739">
            <v>0</v>
          </cell>
        </row>
        <row r="9740">
          <cell r="E9740">
            <v>0</v>
          </cell>
          <cell r="F9740">
            <v>0</v>
          </cell>
          <cell r="DN9740">
            <v>0</v>
          </cell>
        </row>
        <row r="9741">
          <cell r="E9741">
            <v>0</v>
          </cell>
          <cell r="F9741">
            <v>0</v>
          </cell>
          <cell r="DN9741">
            <v>0</v>
          </cell>
        </row>
        <row r="9742">
          <cell r="E9742">
            <v>0</v>
          </cell>
          <cell r="F9742">
            <v>0</v>
          </cell>
          <cell r="DN9742">
            <v>0</v>
          </cell>
        </row>
        <row r="9743">
          <cell r="E9743">
            <v>0</v>
          </cell>
          <cell r="F9743">
            <v>0</v>
          </cell>
          <cell r="DN9743">
            <v>0</v>
          </cell>
        </row>
        <row r="9744">
          <cell r="E9744">
            <v>0</v>
          </cell>
          <cell r="F9744">
            <v>0</v>
          </cell>
          <cell r="DN9744">
            <v>0</v>
          </cell>
        </row>
        <row r="9745">
          <cell r="E9745">
            <v>0</v>
          </cell>
          <cell r="F9745">
            <v>0</v>
          </cell>
          <cell r="DN9745">
            <v>0</v>
          </cell>
        </row>
        <row r="9746">
          <cell r="E9746">
            <v>0</v>
          </cell>
          <cell r="F9746">
            <v>0</v>
          </cell>
          <cell r="DN9746">
            <v>0</v>
          </cell>
        </row>
        <row r="9747">
          <cell r="E9747">
            <v>0</v>
          </cell>
          <cell r="F9747">
            <v>0</v>
          </cell>
          <cell r="DN9747">
            <v>0</v>
          </cell>
        </row>
        <row r="9748">
          <cell r="E9748">
            <v>0</v>
          </cell>
          <cell r="F9748">
            <v>0</v>
          </cell>
          <cell r="DN9748">
            <v>0</v>
          </cell>
        </row>
        <row r="9749">
          <cell r="E9749">
            <v>0</v>
          </cell>
          <cell r="F9749">
            <v>0</v>
          </cell>
          <cell r="DN9749">
            <v>0</v>
          </cell>
        </row>
        <row r="9750">
          <cell r="E9750">
            <v>0</v>
          </cell>
          <cell r="F9750">
            <v>0</v>
          </cell>
          <cell r="DN9750">
            <v>0</v>
          </cell>
        </row>
        <row r="9751">
          <cell r="E9751">
            <v>0</v>
          </cell>
          <cell r="F9751">
            <v>0</v>
          </cell>
          <cell r="DN9751">
            <v>0</v>
          </cell>
        </row>
        <row r="9752">
          <cell r="E9752">
            <v>0</v>
          </cell>
          <cell r="F9752">
            <v>0</v>
          </cell>
          <cell r="DN9752">
            <v>0</v>
          </cell>
        </row>
        <row r="9753">
          <cell r="E9753">
            <v>0</v>
          </cell>
          <cell r="F9753">
            <v>0</v>
          </cell>
          <cell r="DN9753">
            <v>0</v>
          </cell>
        </row>
        <row r="9754">
          <cell r="E9754">
            <v>0</v>
          </cell>
          <cell r="F9754">
            <v>0</v>
          </cell>
          <cell r="DN9754">
            <v>0</v>
          </cell>
        </row>
        <row r="9755">
          <cell r="E9755">
            <v>0</v>
          </cell>
          <cell r="F9755">
            <v>0</v>
          </cell>
          <cell r="DN9755">
            <v>0</v>
          </cell>
        </row>
        <row r="9756">
          <cell r="E9756">
            <v>0</v>
          </cell>
          <cell r="F9756">
            <v>0</v>
          </cell>
          <cell r="DN9756">
            <v>0</v>
          </cell>
        </row>
        <row r="9757">
          <cell r="E9757">
            <v>0</v>
          </cell>
          <cell r="F9757">
            <v>0</v>
          </cell>
          <cell r="DN9757">
            <v>0</v>
          </cell>
        </row>
        <row r="9758">
          <cell r="E9758">
            <v>0</v>
          </cell>
          <cell r="F9758">
            <v>0</v>
          </cell>
          <cell r="DN9758">
            <v>0</v>
          </cell>
        </row>
        <row r="9759">
          <cell r="E9759">
            <v>0</v>
          </cell>
          <cell r="F9759">
            <v>0</v>
          </cell>
          <cell r="DN9759">
            <v>0</v>
          </cell>
        </row>
        <row r="9760">
          <cell r="E9760">
            <v>0</v>
          </cell>
          <cell r="F9760">
            <v>0</v>
          </cell>
          <cell r="DN9760">
            <v>0</v>
          </cell>
        </row>
        <row r="9761">
          <cell r="E9761">
            <v>0</v>
          </cell>
          <cell r="F9761">
            <v>0</v>
          </cell>
          <cell r="DN9761">
            <v>0</v>
          </cell>
        </row>
        <row r="9762">
          <cell r="E9762">
            <v>0</v>
          </cell>
          <cell r="F9762">
            <v>0</v>
          </cell>
          <cell r="DN9762">
            <v>0</v>
          </cell>
        </row>
        <row r="9763">
          <cell r="E9763">
            <v>0</v>
          </cell>
          <cell r="F9763">
            <v>0</v>
          </cell>
          <cell r="DN9763">
            <v>0</v>
          </cell>
        </row>
        <row r="9764">
          <cell r="E9764">
            <v>0</v>
          </cell>
          <cell r="F9764">
            <v>0</v>
          </cell>
          <cell r="DN9764">
            <v>0</v>
          </cell>
        </row>
        <row r="9765">
          <cell r="E9765">
            <v>0</v>
          </cell>
          <cell r="F9765">
            <v>0</v>
          </cell>
          <cell r="DN9765">
            <v>0</v>
          </cell>
        </row>
        <row r="9766">
          <cell r="E9766">
            <v>0</v>
          </cell>
          <cell r="F9766">
            <v>0</v>
          </cell>
          <cell r="DN9766">
            <v>0</v>
          </cell>
        </row>
        <row r="9767">
          <cell r="E9767">
            <v>0</v>
          </cell>
          <cell r="F9767">
            <v>0</v>
          </cell>
          <cell r="DN9767">
            <v>0</v>
          </cell>
        </row>
        <row r="9768">
          <cell r="E9768">
            <v>0</v>
          </cell>
          <cell r="F9768">
            <v>0</v>
          </cell>
          <cell r="DN9768">
            <v>0</v>
          </cell>
        </row>
        <row r="9769">
          <cell r="E9769">
            <v>0</v>
          </cell>
          <cell r="F9769">
            <v>0</v>
          </cell>
          <cell r="DN9769">
            <v>0</v>
          </cell>
        </row>
        <row r="9770">
          <cell r="E9770">
            <v>0</v>
          </cell>
          <cell r="F9770">
            <v>0</v>
          </cell>
          <cell r="DN9770">
            <v>0</v>
          </cell>
        </row>
        <row r="9771">
          <cell r="E9771">
            <v>0</v>
          </cell>
          <cell r="F9771">
            <v>0</v>
          </cell>
          <cell r="DN9771">
            <v>0</v>
          </cell>
        </row>
        <row r="9772">
          <cell r="E9772">
            <v>0</v>
          </cell>
          <cell r="F9772">
            <v>0</v>
          </cell>
          <cell r="DN9772">
            <v>0</v>
          </cell>
        </row>
        <row r="9773">
          <cell r="E9773">
            <v>0</v>
          </cell>
          <cell r="F9773">
            <v>0</v>
          </cell>
          <cell r="DN9773">
            <v>0</v>
          </cell>
        </row>
        <row r="9774">
          <cell r="E9774">
            <v>0</v>
          </cell>
          <cell r="F9774">
            <v>0</v>
          </cell>
          <cell r="DN9774">
            <v>0</v>
          </cell>
        </row>
        <row r="9775">
          <cell r="E9775">
            <v>0</v>
          </cell>
          <cell r="F9775">
            <v>0</v>
          </cell>
          <cell r="DN9775">
            <v>0</v>
          </cell>
        </row>
        <row r="9776">
          <cell r="E9776">
            <v>0</v>
          </cell>
          <cell r="F9776">
            <v>0</v>
          </cell>
          <cell r="DN9776">
            <v>0</v>
          </cell>
        </row>
        <row r="9777">
          <cell r="E9777">
            <v>0</v>
          </cell>
          <cell r="F9777">
            <v>0</v>
          </cell>
          <cell r="DN9777">
            <v>0</v>
          </cell>
        </row>
        <row r="9778">
          <cell r="E9778">
            <v>0</v>
          </cell>
          <cell r="F9778">
            <v>0</v>
          </cell>
          <cell r="DN9778">
            <v>0</v>
          </cell>
        </row>
        <row r="9779">
          <cell r="E9779">
            <v>0</v>
          </cell>
          <cell r="F9779">
            <v>0</v>
          </cell>
          <cell r="DN9779">
            <v>0</v>
          </cell>
        </row>
        <row r="9780">
          <cell r="E9780">
            <v>0</v>
          </cell>
          <cell r="F9780">
            <v>0</v>
          </cell>
          <cell r="DN9780">
            <v>0</v>
          </cell>
        </row>
        <row r="9781">
          <cell r="E9781">
            <v>0</v>
          </cell>
          <cell r="F9781">
            <v>0</v>
          </cell>
          <cell r="DN9781">
            <v>0</v>
          </cell>
        </row>
        <row r="9782">
          <cell r="E9782">
            <v>0</v>
          </cell>
          <cell r="F9782">
            <v>0</v>
          </cell>
          <cell r="DN9782">
            <v>0</v>
          </cell>
        </row>
        <row r="9783">
          <cell r="E9783">
            <v>0</v>
          </cell>
          <cell r="F9783">
            <v>0</v>
          </cell>
          <cell r="DN9783">
            <v>0</v>
          </cell>
        </row>
        <row r="9784">
          <cell r="E9784">
            <v>0</v>
          </cell>
          <cell r="F9784">
            <v>0</v>
          </cell>
          <cell r="DN9784">
            <v>0</v>
          </cell>
        </row>
        <row r="9785">
          <cell r="E9785">
            <v>0</v>
          </cell>
          <cell r="F9785">
            <v>0</v>
          </cell>
          <cell r="DN9785">
            <v>0</v>
          </cell>
        </row>
        <row r="9786">
          <cell r="E9786">
            <v>0</v>
          </cell>
          <cell r="F9786">
            <v>0</v>
          </cell>
          <cell r="DN9786">
            <v>0</v>
          </cell>
        </row>
        <row r="9787">
          <cell r="E9787">
            <v>0</v>
          </cell>
          <cell r="F9787">
            <v>0</v>
          </cell>
          <cell r="DN9787">
            <v>0</v>
          </cell>
        </row>
        <row r="9788">
          <cell r="E9788">
            <v>0</v>
          </cell>
          <cell r="F9788">
            <v>0</v>
          </cell>
          <cell r="DN9788">
            <v>0</v>
          </cell>
        </row>
        <row r="9789">
          <cell r="E9789">
            <v>0</v>
          </cell>
          <cell r="F9789">
            <v>0</v>
          </cell>
          <cell r="DN9789">
            <v>0</v>
          </cell>
        </row>
        <row r="9790">
          <cell r="E9790">
            <v>0</v>
          </cell>
          <cell r="F9790">
            <v>0</v>
          </cell>
          <cell r="DN9790">
            <v>0</v>
          </cell>
        </row>
        <row r="9791">
          <cell r="E9791">
            <v>0</v>
          </cell>
          <cell r="F9791">
            <v>0</v>
          </cell>
          <cell r="DN9791">
            <v>0</v>
          </cell>
        </row>
        <row r="9792">
          <cell r="E9792">
            <v>0</v>
          </cell>
          <cell r="F9792">
            <v>0</v>
          </cell>
          <cell r="DN9792">
            <v>0</v>
          </cell>
        </row>
        <row r="9793">
          <cell r="E9793">
            <v>0</v>
          </cell>
          <cell r="F9793">
            <v>0</v>
          </cell>
          <cell r="DN9793">
            <v>0</v>
          </cell>
        </row>
        <row r="9794">
          <cell r="E9794">
            <v>0</v>
          </cell>
          <cell r="F9794">
            <v>0</v>
          </cell>
          <cell r="DN9794">
            <v>0</v>
          </cell>
        </row>
        <row r="9795">
          <cell r="E9795">
            <v>0</v>
          </cell>
          <cell r="F9795">
            <v>0</v>
          </cell>
          <cell r="DN9795">
            <v>0</v>
          </cell>
        </row>
        <row r="9796">
          <cell r="E9796">
            <v>0</v>
          </cell>
          <cell r="F9796">
            <v>0</v>
          </cell>
          <cell r="DN9796">
            <v>0</v>
          </cell>
        </row>
        <row r="9797">
          <cell r="E9797">
            <v>0</v>
          </cell>
          <cell r="F9797">
            <v>0</v>
          </cell>
          <cell r="DN9797">
            <v>0</v>
          </cell>
        </row>
        <row r="9798">
          <cell r="E9798">
            <v>0</v>
          </cell>
          <cell r="F9798">
            <v>0</v>
          </cell>
          <cell r="DN9798">
            <v>0</v>
          </cell>
        </row>
        <row r="9799">
          <cell r="E9799">
            <v>0</v>
          </cell>
          <cell r="F9799">
            <v>0</v>
          </cell>
          <cell r="DN9799">
            <v>0</v>
          </cell>
        </row>
        <row r="9800">
          <cell r="E9800">
            <v>0</v>
          </cell>
          <cell r="F9800">
            <v>0</v>
          </cell>
          <cell r="DN9800">
            <v>0</v>
          </cell>
        </row>
        <row r="9801">
          <cell r="E9801">
            <v>0</v>
          </cell>
          <cell r="F9801">
            <v>0</v>
          </cell>
          <cell r="DN9801">
            <v>0</v>
          </cell>
        </row>
        <row r="9802">
          <cell r="E9802">
            <v>0</v>
          </cell>
          <cell r="F9802">
            <v>0</v>
          </cell>
          <cell r="DN9802">
            <v>0</v>
          </cell>
        </row>
        <row r="9803">
          <cell r="E9803">
            <v>0</v>
          </cell>
          <cell r="F9803">
            <v>0</v>
          </cell>
          <cell r="DN9803">
            <v>0</v>
          </cell>
        </row>
        <row r="9804">
          <cell r="E9804">
            <v>0</v>
          </cell>
          <cell r="F9804">
            <v>0</v>
          </cell>
          <cell r="DN9804">
            <v>0</v>
          </cell>
        </row>
        <row r="9805">
          <cell r="E9805">
            <v>0</v>
          </cell>
          <cell r="F9805">
            <v>0</v>
          </cell>
          <cell r="DN9805">
            <v>0</v>
          </cell>
        </row>
        <row r="9806">
          <cell r="E9806">
            <v>0</v>
          </cell>
          <cell r="F9806">
            <v>0</v>
          </cell>
          <cell r="DN9806">
            <v>0</v>
          </cell>
        </row>
        <row r="9807">
          <cell r="E9807">
            <v>0</v>
          </cell>
          <cell r="F9807">
            <v>0</v>
          </cell>
          <cell r="DN9807">
            <v>0</v>
          </cell>
        </row>
        <row r="9808">
          <cell r="E9808">
            <v>0</v>
          </cell>
          <cell r="F9808">
            <v>0</v>
          </cell>
          <cell r="DN9808">
            <v>0</v>
          </cell>
        </row>
        <row r="9809">
          <cell r="E9809">
            <v>0</v>
          </cell>
          <cell r="F9809">
            <v>0</v>
          </cell>
          <cell r="DN9809">
            <v>0</v>
          </cell>
        </row>
        <row r="9810">
          <cell r="E9810">
            <v>0</v>
          </cell>
          <cell r="F9810">
            <v>0</v>
          </cell>
          <cell r="DN9810">
            <v>0</v>
          </cell>
        </row>
        <row r="9811">
          <cell r="E9811">
            <v>0</v>
          </cell>
          <cell r="F9811">
            <v>0</v>
          </cell>
          <cell r="DN9811">
            <v>0</v>
          </cell>
        </row>
        <row r="9812">
          <cell r="E9812">
            <v>0</v>
          </cell>
          <cell r="F9812">
            <v>0</v>
          </cell>
          <cell r="DN9812">
            <v>0</v>
          </cell>
        </row>
        <row r="9813">
          <cell r="E9813">
            <v>0</v>
          </cell>
          <cell r="F9813">
            <v>0</v>
          </cell>
          <cell r="DN9813">
            <v>0</v>
          </cell>
        </row>
        <row r="9814">
          <cell r="E9814">
            <v>0</v>
          </cell>
          <cell r="F9814">
            <v>0</v>
          </cell>
          <cell r="DN9814">
            <v>0</v>
          </cell>
        </row>
        <row r="9815">
          <cell r="E9815">
            <v>0</v>
          </cell>
          <cell r="F9815">
            <v>0</v>
          </cell>
          <cell r="DN9815">
            <v>0</v>
          </cell>
        </row>
        <row r="9816">
          <cell r="E9816">
            <v>0</v>
          </cell>
          <cell r="F9816">
            <v>0</v>
          </cell>
          <cell r="DN9816">
            <v>0</v>
          </cell>
        </row>
        <row r="9817">
          <cell r="E9817">
            <v>0</v>
          </cell>
          <cell r="F9817">
            <v>0</v>
          </cell>
          <cell r="DN9817">
            <v>0</v>
          </cell>
        </row>
        <row r="9818">
          <cell r="E9818">
            <v>0</v>
          </cell>
          <cell r="F9818">
            <v>0</v>
          </cell>
          <cell r="DN9818">
            <v>0</v>
          </cell>
        </row>
        <row r="9819">
          <cell r="E9819">
            <v>0</v>
          </cell>
          <cell r="F9819">
            <v>0</v>
          </cell>
          <cell r="DN9819">
            <v>0</v>
          </cell>
        </row>
        <row r="9820">
          <cell r="E9820">
            <v>0</v>
          </cell>
          <cell r="F9820">
            <v>0</v>
          </cell>
          <cell r="DN9820">
            <v>0</v>
          </cell>
        </row>
        <row r="9821">
          <cell r="E9821">
            <v>0</v>
          </cell>
          <cell r="F9821">
            <v>0</v>
          </cell>
          <cell r="DN9821">
            <v>0</v>
          </cell>
        </row>
        <row r="9822">
          <cell r="E9822">
            <v>0</v>
          </cell>
          <cell r="F9822">
            <v>0</v>
          </cell>
          <cell r="DN9822">
            <v>0</v>
          </cell>
        </row>
        <row r="9823">
          <cell r="E9823">
            <v>0</v>
          </cell>
          <cell r="F9823">
            <v>0</v>
          </cell>
          <cell r="DN9823">
            <v>0</v>
          </cell>
        </row>
        <row r="9824">
          <cell r="E9824">
            <v>0</v>
          </cell>
          <cell r="F9824">
            <v>0</v>
          </cell>
          <cell r="DN9824">
            <v>0</v>
          </cell>
        </row>
        <row r="9825">
          <cell r="E9825">
            <v>0</v>
          </cell>
          <cell r="F9825">
            <v>0</v>
          </cell>
          <cell r="DN9825">
            <v>0</v>
          </cell>
        </row>
        <row r="9826">
          <cell r="E9826">
            <v>0</v>
          </cell>
          <cell r="F9826">
            <v>0</v>
          </cell>
          <cell r="DN9826">
            <v>0</v>
          </cell>
        </row>
        <row r="9827">
          <cell r="E9827">
            <v>0</v>
          </cell>
          <cell r="F9827">
            <v>0</v>
          </cell>
          <cell r="DN9827">
            <v>0</v>
          </cell>
        </row>
        <row r="9828">
          <cell r="E9828">
            <v>0</v>
          </cell>
          <cell r="F9828">
            <v>0</v>
          </cell>
          <cell r="DN9828">
            <v>0</v>
          </cell>
        </row>
        <row r="9829">
          <cell r="E9829">
            <v>0</v>
          </cell>
          <cell r="F9829">
            <v>0</v>
          </cell>
          <cell r="DN9829">
            <v>0</v>
          </cell>
        </row>
        <row r="9830">
          <cell r="E9830">
            <v>0</v>
          </cell>
          <cell r="F9830">
            <v>0</v>
          </cell>
          <cell r="DN9830">
            <v>0</v>
          </cell>
        </row>
        <row r="9831">
          <cell r="E9831">
            <v>0</v>
          </cell>
          <cell r="F9831">
            <v>0</v>
          </cell>
          <cell r="DN9831">
            <v>0</v>
          </cell>
        </row>
        <row r="9832">
          <cell r="E9832">
            <v>0</v>
          </cell>
          <cell r="F9832">
            <v>0</v>
          </cell>
          <cell r="DN9832">
            <v>0</v>
          </cell>
        </row>
        <row r="9833">
          <cell r="E9833">
            <v>0</v>
          </cell>
          <cell r="F9833">
            <v>0</v>
          </cell>
          <cell r="DN9833">
            <v>0</v>
          </cell>
        </row>
        <row r="9834">
          <cell r="E9834">
            <v>0</v>
          </cell>
          <cell r="F9834">
            <v>0</v>
          </cell>
          <cell r="DN9834">
            <v>0</v>
          </cell>
        </row>
        <row r="9835">
          <cell r="E9835">
            <v>0</v>
          </cell>
          <cell r="F9835">
            <v>0</v>
          </cell>
          <cell r="DN9835">
            <v>0</v>
          </cell>
        </row>
        <row r="9836">
          <cell r="E9836">
            <v>0</v>
          </cell>
          <cell r="F9836">
            <v>0</v>
          </cell>
          <cell r="DN9836">
            <v>0</v>
          </cell>
        </row>
        <row r="9837">
          <cell r="E9837">
            <v>0</v>
          </cell>
          <cell r="F9837">
            <v>0</v>
          </cell>
          <cell r="DN9837">
            <v>0</v>
          </cell>
        </row>
        <row r="9838">
          <cell r="E9838">
            <v>0</v>
          </cell>
          <cell r="F9838">
            <v>0</v>
          </cell>
          <cell r="DN9838">
            <v>0</v>
          </cell>
        </row>
        <row r="9839">
          <cell r="E9839">
            <v>0</v>
          </cell>
          <cell r="F9839">
            <v>0</v>
          </cell>
          <cell r="DN9839">
            <v>0</v>
          </cell>
        </row>
        <row r="9840">
          <cell r="E9840">
            <v>0</v>
          </cell>
          <cell r="F9840">
            <v>0</v>
          </cell>
          <cell r="DN9840">
            <v>0</v>
          </cell>
        </row>
        <row r="9841">
          <cell r="E9841">
            <v>0</v>
          </cell>
          <cell r="F9841">
            <v>0</v>
          </cell>
          <cell r="DN9841">
            <v>0</v>
          </cell>
        </row>
        <row r="9842">
          <cell r="E9842">
            <v>0</v>
          </cell>
          <cell r="F9842">
            <v>0</v>
          </cell>
          <cell r="DN9842">
            <v>0</v>
          </cell>
        </row>
        <row r="9843">
          <cell r="E9843">
            <v>0</v>
          </cell>
          <cell r="F9843">
            <v>0</v>
          </cell>
          <cell r="DN9843">
            <v>0</v>
          </cell>
        </row>
        <row r="9844">
          <cell r="E9844">
            <v>0</v>
          </cell>
          <cell r="F9844">
            <v>0</v>
          </cell>
          <cell r="DN9844">
            <v>0</v>
          </cell>
        </row>
        <row r="9845">
          <cell r="E9845">
            <v>0</v>
          </cell>
          <cell r="F9845">
            <v>0</v>
          </cell>
          <cell r="DN9845">
            <v>0</v>
          </cell>
        </row>
        <row r="9846">
          <cell r="E9846">
            <v>0</v>
          </cell>
          <cell r="F9846">
            <v>0</v>
          </cell>
          <cell r="DN9846">
            <v>0</v>
          </cell>
        </row>
        <row r="9847">
          <cell r="E9847">
            <v>0</v>
          </cell>
          <cell r="F9847">
            <v>0</v>
          </cell>
          <cell r="DN9847">
            <v>0</v>
          </cell>
        </row>
        <row r="9848">
          <cell r="E9848">
            <v>0</v>
          </cell>
          <cell r="F9848">
            <v>0</v>
          </cell>
          <cell r="DN9848">
            <v>0</v>
          </cell>
        </row>
        <row r="9849">
          <cell r="E9849">
            <v>0</v>
          </cell>
          <cell r="F9849">
            <v>0</v>
          </cell>
          <cell r="DN9849">
            <v>0</v>
          </cell>
        </row>
        <row r="9850">
          <cell r="E9850">
            <v>0</v>
          </cell>
          <cell r="F9850">
            <v>0</v>
          </cell>
          <cell r="DN9850">
            <v>0</v>
          </cell>
        </row>
        <row r="9851">
          <cell r="E9851">
            <v>0</v>
          </cell>
          <cell r="F9851">
            <v>0</v>
          </cell>
          <cell r="DN9851">
            <v>0</v>
          </cell>
        </row>
        <row r="9852">
          <cell r="E9852">
            <v>0</v>
          </cell>
          <cell r="F9852">
            <v>0</v>
          </cell>
          <cell r="DN9852">
            <v>0</v>
          </cell>
        </row>
        <row r="9853">
          <cell r="E9853">
            <v>0</v>
          </cell>
          <cell r="F9853">
            <v>0</v>
          </cell>
          <cell r="DN9853">
            <v>0</v>
          </cell>
        </row>
        <row r="9854">
          <cell r="E9854">
            <v>0</v>
          </cell>
          <cell r="F9854">
            <v>0</v>
          </cell>
          <cell r="DN9854">
            <v>0</v>
          </cell>
        </row>
        <row r="9855">
          <cell r="E9855">
            <v>0</v>
          </cell>
          <cell r="F9855">
            <v>0</v>
          </cell>
          <cell r="DN9855">
            <v>0</v>
          </cell>
        </row>
        <row r="9856">
          <cell r="E9856">
            <v>0</v>
          </cell>
          <cell r="F9856">
            <v>0</v>
          </cell>
          <cell r="DN9856">
            <v>0</v>
          </cell>
        </row>
        <row r="9857">
          <cell r="E9857">
            <v>0</v>
          </cell>
          <cell r="F9857">
            <v>0</v>
          </cell>
          <cell r="DN9857">
            <v>0</v>
          </cell>
        </row>
        <row r="9858">
          <cell r="E9858">
            <v>0</v>
          </cell>
          <cell r="F9858">
            <v>0</v>
          </cell>
          <cell r="DN9858">
            <v>0</v>
          </cell>
        </row>
        <row r="9859">
          <cell r="E9859">
            <v>0</v>
          </cell>
          <cell r="F9859">
            <v>0</v>
          </cell>
          <cell r="DN9859">
            <v>0</v>
          </cell>
        </row>
        <row r="9860">
          <cell r="E9860">
            <v>0</v>
          </cell>
          <cell r="F9860">
            <v>0</v>
          </cell>
          <cell r="DN9860">
            <v>0</v>
          </cell>
        </row>
        <row r="9861">
          <cell r="E9861">
            <v>0</v>
          </cell>
          <cell r="F9861">
            <v>0</v>
          </cell>
          <cell r="DN9861">
            <v>0</v>
          </cell>
        </row>
        <row r="9862">
          <cell r="E9862">
            <v>0</v>
          </cell>
          <cell r="F9862">
            <v>0</v>
          </cell>
          <cell r="DN9862">
            <v>0</v>
          </cell>
        </row>
        <row r="9863">
          <cell r="E9863">
            <v>0</v>
          </cell>
          <cell r="F9863">
            <v>0</v>
          </cell>
          <cell r="DN9863">
            <v>0</v>
          </cell>
        </row>
        <row r="9864">
          <cell r="E9864">
            <v>0</v>
          </cell>
          <cell r="F9864">
            <v>0</v>
          </cell>
          <cell r="DN9864">
            <v>0</v>
          </cell>
        </row>
        <row r="9865">
          <cell r="E9865">
            <v>0</v>
          </cell>
          <cell r="F9865">
            <v>0</v>
          </cell>
          <cell r="DN9865">
            <v>0</v>
          </cell>
        </row>
        <row r="9866">
          <cell r="E9866">
            <v>0</v>
          </cell>
          <cell r="F9866">
            <v>0</v>
          </cell>
          <cell r="DN9866">
            <v>0</v>
          </cell>
        </row>
        <row r="9867">
          <cell r="E9867">
            <v>0</v>
          </cell>
          <cell r="F9867">
            <v>0</v>
          </cell>
          <cell r="DN9867">
            <v>0</v>
          </cell>
        </row>
        <row r="9868">
          <cell r="E9868">
            <v>0</v>
          </cell>
          <cell r="F9868">
            <v>0</v>
          </cell>
          <cell r="DN9868">
            <v>0</v>
          </cell>
        </row>
        <row r="9869">
          <cell r="E9869">
            <v>0</v>
          </cell>
          <cell r="F9869">
            <v>0</v>
          </cell>
          <cell r="DN9869">
            <v>0</v>
          </cell>
        </row>
        <row r="9870">
          <cell r="E9870">
            <v>0</v>
          </cell>
          <cell r="F9870">
            <v>0</v>
          </cell>
          <cell r="DN9870">
            <v>0</v>
          </cell>
        </row>
        <row r="9871">
          <cell r="E9871">
            <v>0</v>
          </cell>
          <cell r="F9871">
            <v>0</v>
          </cell>
          <cell r="DN9871">
            <v>0</v>
          </cell>
        </row>
        <row r="9872">
          <cell r="E9872">
            <v>0</v>
          </cell>
          <cell r="F9872">
            <v>0</v>
          </cell>
          <cell r="DN9872">
            <v>0</v>
          </cell>
        </row>
        <row r="9873">
          <cell r="E9873">
            <v>0</v>
          </cell>
          <cell r="F9873">
            <v>0</v>
          </cell>
          <cell r="DN9873">
            <v>0</v>
          </cell>
        </row>
        <row r="9874">
          <cell r="E9874">
            <v>0</v>
          </cell>
          <cell r="F9874">
            <v>0</v>
          </cell>
          <cell r="DN9874">
            <v>0</v>
          </cell>
        </row>
        <row r="9875">
          <cell r="E9875">
            <v>0</v>
          </cell>
          <cell r="F9875">
            <v>0</v>
          </cell>
          <cell r="DN9875">
            <v>0</v>
          </cell>
        </row>
        <row r="9876">
          <cell r="E9876">
            <v>0</v>
          </cell>
          <cell r="F9876">
            <v>0</v>
          </cell>
          <cell r="DN9876">
            <v>0</v>
          </cell>
        </row>
        <row r="9877">
          <cell r="E9877">
            <v>0</v>
          </cell>
          <cell r="F9877">
            <v>0</v>
          </cell>
          <cell r="DN9877">
            <v>0</v>
          </cell>
        </row>
        <row r="9878">
          <cell r="E9878">
            <v>0</v>
          </cell>
          <cell r="F9878">
            <v>0</v>
          </cell>
          <cell r="DN9878">
            <v>0</v>
          </cell>
        </row>
        <row r="9879">
          <cell r="E9879">
            <v>0</v>
          </cell>
          <cell r="F9879">
            <v>0</v>
          </cell>
          <cell r="DN9879">
            <v>0</v>
          </cell>
        </row>
        <row r="9880">
          <cell r="E9880">
            <v>0</v>
          </cell>
          <cell r="F9880">
            <v>0</v>
          </cell>
          <cell r="DN9880">
            <v>0</v>
          </cell>
        </row>
        <row r="9881">
          <cell r="E9881">
            <v>0</v>
          </cell>
          <cell r="F9881">
            <v>0</v>
          </cell>
          <cell r="DN9881">
            <v>0</v>
          </cell>
        </row>
        <row r="9882">
          <cell r="E9882">
            <v>0</v>
          </cell>
          <cell r="F9882">
            <v>0</v>
          </cell>
          <cell r="DN9882">
            <v>0</v>
          </cell>
        </row>
        <row r="9883">
          <cell r="E9883">
            <v>0</v>
          </cell>
          <cell r="F9883">
            <v>0</v>
          </cell>
          <cell r="DN9883">
            <v>0</v>
          </cell>
        </row>
        <row r="9884">
          <cell r="E9884">
            <v>0</v>
          </cell>
          <cell r="F9884">
            <v>0</v>
          </cell>
          <cell r="DN9884">
            <v>0</v>
          </cell>
        </row>
        <row r="9885">
          <cell r="E9885">
            <v>0</v>
          </cell>
          <cell r="F9885">
            <v>0</v>
          </cell>
          <cell r="DN9885">
            <v>0</v>
          </cell>
        </row>
        <row r="9886">
          <cell r="E9886">
            <v>0</v>
          </cell>
          <cell r="F9886">
            <v>0</v>
          </cell>
          <cell r="DN9886">
            <v>0</v>
          </cell>
        </row>
        <row r="9887">
          <cell r="E9887">
            <v>0</v>
          </cell>
          <cell r="F9887">
            <v>0</v>
          </cell>
          <cell r="DN9887">
            <v>0</v>
          </cell>
        </row>
        <row r="9888">
          <cell r="E9888">
            <v>0</v>
          </cell>
          <cell r="F9888">
            <v>0</v>
          </cell>
          <cell r="DN9888">
            <v>0</v>
          </cell>
        </row>
        <row r="9889">
          <cell r="E9889">
            <v>0</v>
          </cell>
          <cell r="F9889">
            <v>0</v>
          </cell>
          <cell r="DN9889">
            <v>0</v>
          </cell>
        </row>
        <row r="9890">
          <cell r="E9890">
            <v>0</v>
          </cell>
          <cell r="F9890">
            <v>0</v>
          </cell>
          <cell r="DN9890">
            <v>0</v>
          </cell>
        </row>
        <row r="9891">
          <cell r="E9891">
            <v>0</v>
          </cell>
          <cell r="F9891">
            <v>0</v>
          </cell>
          <cell r="DN9891">
            <v>0</v>
          </cell>
        </row>
        <row r="9892">
          <cell r="E9892">
            <v>0</v>
          </cell>
          <cell r="F9892">
            <v>0</v>
          </cell>
          <cell r="DN9892">
            <v>0</v>
          </cell>
        </row>
        <row r="9893">
          <cell r="E9893">
            <v>0</v>
          </cell>
          <cell r="F9893">
            <v>0</v>
          </cell>
          <cell r="DN9893">
            <v>0</v>
          </cell>
        </row>
        <row r="9894">
          <cell r="E9894">
            <v>0</v>
          </cell>
          <cell r="F9894">
            <v>0</v>
          </cell>
          <cell r="DN9894">
            <v>0</v>
          </cell>
        </row>
        <row r="9895">
          <cell r="E9895">
            <v>0</v>
          </cell>
          <cell r="F9895">
            <v>0</v>
          </cell>
          <cell r="DN9895">
            <v>0</v>
          </cell>
        </row>
        <row r="9896">
          <cell r="E9896">
            <v>0</v>
          </cell>
          <cell r="F9896">
            <v>0</v>
          </cell>
          <cell r="DN9896">
            <v>0</v>
          </cell>
        </row>
        <row r="9897">
          <cell r="E9897">
            <v>0</v>
          </cell>
          <cell r="F9897">
            <v>0</v>
          </cell>
          <cell r="DN9897">
            <v>0</v>
          </cell>
        </row>
        <row r="9898">
          <cell r="E9898">
            <v>0</v>
          </cell>
          <cell r="F9898">
            <v>0</v>
          </cell>
          <cell r="DN9898">
            <v>0</v>
          </cell>
        </row>
        <row r="9899">
          <cell r="E9899">
            <v>0</v>
          </cell>
          <cell r="F9899">
            <v>0</v>
          </cell>
          <cell r="DN9899">
            <v>0</v>
          </cell>
        </row>
        <row r="9900">
          <cell r="E9900">
            <v>0</v>
          </cell>
          <cell r="F9900">
            <v>0</v>
          </cell>
          <cell r="DN9900">
            <v>0</v>
          </cell>
        </row>
        <row r="9901">
          <cell r="E9901">
            <v>0</v>
          </cell>
          <cell r="F9901">
            <v>0</v>
          </cell>
          <cell r="DN9901">
            <v>0</v>
          </cell>
        </row>
        <row r="9902">
          <cell r="E9902">
            <v>0</v>
          </cell>
          <cell r="F9902">
            <v>0</v>
          </cell>
          <cell r="DN9902">
            <v>0</v>
          </cell>
        </row>
        <row r="9903">
          <cell r="E9903">
            <v>0</v>
          </cell>
          <cell r="F9903">
            <v>0</v>
          </cell>
          <cell r="DN9903">
            <v>0</v>
          </cell>
        </row>
        <row r="9904">
          <cell r="E9904">
            <v>0</v>
          </cell>
          <cell r="F9904">
            <v>0</v>
          </cell>
          <cell r="DN9904">
            <v>0</v>
          </cell>
        </row>
        <row r="9905">
          <cell r="E9905">
            <v>0</v>
          </cell>
          <cell r="F9905">
            <v>0</v>
          </cell>
          <cell r="DN9905">
            <v>0</v>
          </cell>
        </row>
        <row r="9906">
          <cell r="E9906">
            <v>0</v>
          </cell>
          <cell r="F9906">
            <v>0</v>
          </cell>
          <cell r="DN9906">
            <v>0</v>
          </cell>
        </row>
        <row r="9907">
          <cell r="E9907">
            <v>0</v>
          </cell>
          <cell r="F9907">
            <v>0</v>
          </cell>
          <cell r="DN9907">
            <v>0</v>
          </cell>
        </row>
        <row r="9908">
          <cell r="E9908">
            <v>0</v>
          </cell>
          <cell r="F9908">
            <v>0</v>
          </cell>
          <cell r="DN9908">
            <v>0</v>
          </cell>
        </row>
        <row r="9909">
          <cell r="E9909">
            <v>0</v>
          </cell>
          <cell r="F9909">
            <v>0</v>
          </cell>
          <cell r="DN9909">
            <v>0</v>
          </cell>
        </row>
        <row r="9910">
          <cell r="E9910">
            <v>0</v>
          </cell>
          <cell r="F9910">
            <v>0</v>
          </cell>
          <cell r="DN9910">
            <v>0</v>
          </cell>
        </row>
        <row r="9911">
          <cell r="E9911">
            <v>0</v>
          </cell>
          <cell r="F9911">
            <v>0</v>
          </cell>
          <cell r="DN9911">
            <v>0</v>
          </cell>
        </row>
        <row r="9912">
          <cell r="E9912">
            <v>0</v>
          </cell>
          <cell r="F9912">
            <v>0</v>
          </cell>
          <cell r="DN9912">
            <v>0</v>
          </cell>
        </row>
        <row r="9913">
          <cell r="E9913">
            <v>0</v>
          </cell>
          <cell r="F9913">
            <v>0</v>
          </cell>
          <cell r="DN9913">
            <v>0</v>
          </cell>
        </row>
        <row r="9914">
          <cell r="E9914">
            <v>0</v>
          </cell>
          <cell r="F9914">
            <v>0</v>
          </cell>
          <cell r="DN9914">
            <v>0</v>
          </cell>
        </row>
        <row r="9915">
          <cell r="E9915">
            <v>0</v>
          </cell>
          <cell r="F9915">
            <v>0</v>
          </cell>
          <cell r="DN9915">
            <v>0</v>
          </cell>
        </row>
        <row r="9916">
          <cell r="E9916">
            <v>0</v>
          </cell>
          <cell r="F9916">
            <v>0</v>
          </cell>
          <cell r="DN9916">
            <v>0</v>
          </cell>
        </row>
        <row r="9917">
          <cell r="E9917">
            <v>0</v>
          </cell>
          <cell r="F9917">
            <v>0</v>
          </cell>
          <cell r="DN9917">
            <v>0</v>
          </cell>
        </row>
        <row r="9918">
          <cell r="E9918">
            <v>0</v>
          </cell>
          <cell r="F9918">
            <v>0</v>
          </cell>
          <cell r="DN9918">
            <v>0</v>
          </cell>
        </row>
        <row r="9919">
          <cell r="E9919">
            <v>0</v>
          </cell>
          <cell r="F9919">
            <v>0</v>
          </cell>
          <cell r="DN9919">
            <v>0</v>
          </cell>
        </row>
        <row r="9920">
          <cell r="E9920">
            <v>0</v>
          </cell>
          <cell r="F9920">
            <v>0</v>
          </cell>
          <cell r="DN9920">
            <v>0</v>
          </cell>
        </row>
        <row r="9921">
          <cell r="E9921">
            <v>0</v>
          </cell>
          <cell r="F9921">
            <v>0</v>
          </cell>
          <cell r="DN9921">
            <v>0</v>
          </cell>
        </row>
        <row r="9922">
          <cell r="E9922">
            <v>0</v>
          </cell>
          <cell r="F9922">
            <v>0</v>
          </cell>
          <cell r="DN9922">
            <v>0</v>
          </cell>
        </row>
        <row r="9923">
          <cell r="E9923">
            <v>0</v>
          </cell>
          <cell r="F9923">
            <v>0</v>
          </cell>
          <cell r="DN9923">
            <v>0</v>
          </cell>
        </row>
        <row r="9924">
          <cell r="E9924">
            <v>0</v>
          </cell>
          <cell r="F9924">
            <v>0</v>
          </cell>
          <cell r="DN9924">
            <v>0</v>
          </cell>
        </row>
        <row r="9925">
          <cell r="E9925">
            <v>0</v>
          </cell>
          <cell r="F9925">
            <v>0</v>
          </cell>
          <cell r="DN9925">
            <v>0</v>
          </cell>
        </row>
        <row r="9926">
          <cell r="E9926">
            <v>0</v>
          </cell>
          <cell r="F9926">
            <v>0</v>
          </cell>
          <cell r="DN9926">
            <v>0</v>
          </cell>
        </row>
        <row r="9927">
          <cell r="E9927">
            <v>0</v>
          </cell>
          <cell r="F9927">
            <v>0</v>
          </cell>
          <cell r="DN9927">
            <v>0</v>
          </cell>
        </row>
        <row r="9928">
          <cell r="E9928">
            <v>0</v>
          </cell>
          <cell r="F9928">
            <v>0</v>
          </cell>
          <cell r="DN9928">
            <v>0</v>
          </cell>
        </row>
        <row r="9929">
          <cell r="E9929">
            <v>0</v>
          </cell>
          <cell r="F9929">
            <v>0</v>
          </cell>
          <cell r="DN9929">
            <v>0</v>
          </cell>
        </row>
        <row r="9930">
          <cell r="E9930">
            <v>0</v>
          </cell>
          <cell r="F9930">
            <v>0</v>
          </cell>
          <cell r="DN9930">
            <v>0</v>
          </cell>
        </row>
        <row r="9931">
          <cell r="E9931">
            <v>0</v>
          </cell>
          <cell r="F9931">
            <v>0</v>
          </cell>
          <cell r="DN9931">
            <v>0</v>
          </cell>
        </row>
        <row r="9932">
          <cell r="E9932">
            <v>0</v>
          </cell>
          <cell r="F9932">
            <v>0</v>
          </cell>
          <cell r="DN9932">
            <v>0</v>
          </cell>
        </row>
        <row r="9933">
          <cell r="E9933">
            <v>0</v>
          </cell>
          <cell r="F9933">
            <v>0</v>
          </cell>
          <cell r="DN9933">
            <v>0</v>
          </cell>
        </row>
        <row r="9934">
          <cell r="E9934">
            <v>0</v>
          </cell>
          <cell r="F9934">
            <v>0</v>
          </cell>
          <cell r="DN9934">
            <v>0</v>
          </cell>
        </row>
        <row r="9935">
          <cell r="E9935">
            <v>0</v>
          </cell>
          <cell r="F9935">
            <v>0</v>
          </cell>
          <cell r="DN9935">
            <v>0</v>
          </cell>
        </row>
        <row r="9936">
          <cell r="E9936">
            <v>0</v>
          </cell>
          <cell r="F9936">
            <v>0</v>
          </cell>
          <cell r="DN9936">
            <v>0</v>
          </cell>
        </row>
        <row r="9937">
          <cell r="E9937">
            <v>0</v>
          </cell>
          <cell r="F9937">
            <v>0</v>
          </cell>
          <cell r="DN9937">
            <v>0</v>
          </cell>
        </row>
        <row r="9938">
          <cell r="E9938">
            <v>0</v>
          </cell>
          <cell r="F9938">
            <v>0</v>
          </cell>
          <cell r="DN9938">
            <v>0</v>
          </cell>
        </row>
        <row r="9939">
          <cell r="E9939">
            <v>0</v>
          </cell>
          <cell r="F9939">
            <v>0</v>
          </cell>
          <cell r="DN9939">
            <v>0</v>
          </cell>
        </row>
        <row r="9940">
          <cell r="E9940">
            <v>0</v>
          </cell>
          <cell r="F9940">
            <v>0</v>
          </cell>
          <cell r="DN9940">
            <v>0</v>
          </cell>
        </row>
        <row r="9941">
          <cell r="E9941">
            <v>0</v>
          </cell>
          <cell r="F9941">
            <v>0</v>
          </cell>
          <cell r="DN9941">
            <v>0</v>
          </cell>
        </row>
        <row r="9942">
          <cell r="E9942">
            <v>0</v>
          </cell>
          <cell r="F9942">
            <v>0</v>
          </cell>
          <cell r="DN9942">
            <v>0</v>
          </cell>
        </row>
        <row r="9943">
          <cell r="E9943">
            <v>0</v>
          </cell>
          <cell r="F9943">
            <v>0</v>
          </cell>
          <cell r="DN9943">
            <v>0</v>
          </cell>
        </row>
        <row r="9944">
          <cell r="E9944">
            <v>0</v>
          </cell>
          <cell r="F9944">
            <v>0</v>
          </cell>
          <cell r="DN9944">
            <v>0</v>
          </cell>
        </row>
        <row r="9945">
          <cell r="E9945">
            <v>0</v>
          </cell>
          <cell r="F9945">
            <v>0</v>
          </cell>
          <cell r="DN9945">
            <v>0</v>
          </cell>
        </row>
        <row r="9946">
          <cell r="E9946">
            <v>0</v>
          </cell>
          <cell r="F9946">
            <v>0</v>
          </cell>
          <cell r="DN9946">
            <v>0</v>
          </cell>
        </row>
        <row r="9947">
          <cell r="E9947">
            <v>0</v>
          </cell>
          <cell r="F9947">
            <v>0</v>
          </cell>
          <cell r="DN9947">
            <v>0</v>
          </cell>
        </row>
        <row r="9948">
          <cell r="E9948">
            <v>0</v>
          </cell>
          <cell r="F9948">
            <v>0</v>
          </cell>
          <cell r="DN9948">
            <v>0</v>
          </cell>
        </row>
        <row r="9949">
          <cell r="E9949">
            <v>0</v>
          </cell>
          <cell r="F9949">
            <v>0</v>
          </cell>
          <cell r="DN9949">
            <v>0</v>
          </cell>
        </row>
        <row r="9950">
          <cell r="E9950">
            <v>0</v>
          </cell>
          <cell r="F9950">
            <v>0</v>
          </cell>
          <cell r="DN9950">
            <v>0</v>
          </cell>
        </row>
        <row r="9951">
          <cell r="E9951">
            <v>0</v>
          </cell>
          <cell r="F9951">
            <v>0</v>
          </cell>
          <cell r="DN9951">
            <v>0</v>
          </cell>
        </row>
        <row r="9952">
          <cell r="E9952">
            <v>0</v>
          </cell>
          <cell r="F9952">
            <v>0</v>
          </cell>
          <cell r="DN9952">
            <v>0</v>
          </cell>
        </row>
        <row r="9953">
          <cell r="E9953">
            <v>0</v>
          </cell>
          <cell r="F9953">
            <v>0</v>
          </cell>
          <cell r="DN9953">
            <v>0</v>
          </cell>
        </row>
        <row r="9954">
          <cell r="E9954">
            <v>0</v>
          </cell>
          <cell r="F9954">
            <v>0</v>
          </cell>
          <cell r="DN9954">
            <v>0</v>
          </cell>
        </row>
        <row r="9955">
          <cell r="E9955">
            <v>0</v>
          </cell>
          <cell r="F9955">
            <v>0</v>
          </cell>
          <cell r="DN9955">
            <v>0</v>
          </cell>
        </row>
        <row r="9956">
          <cell r="E9956">
            <v>0</v>
          </cell>
          <cell r="F9956">
            <v>0</v>
          </cell>
          <cell r="DN9956">
            <v>0</v>
          </cell>
        </row>
        <row r="9957">
          <cell r="E9957">
            <v>0</v>
          </cell>
          <cell r="F9957">
            <v>0</v>
          </cell>
          <cell r="DN9957">
            <v>0</v>
          </cell>
        </row>
        <row r="9958">
          <cell r="E9958">
            <v>0</v>
          </cell>
          <cell r="F9958">
            <v>0</v>
          </cell>
          <cell r="DN9958">
            <v>0</v>
          </cell>
        </row>
        <row r="9959">
          <cell r="E9959">
            <v>0</v>
          </cell>
          <cell r="F9959">
            <v>0</v>
          </cell>
          <cell r="DN9959">
            <v>0</v>
          </cell>
        </row>
        <row r="9960">
          <cell r="E9960">
            <v>0</v>
          </cell>
          <cell r="F9960">
            <v>0</v>
          </cell>
          <cell r="DN9960">
            <v>0</v>
          </cell>
        </row>
        <row r="9961">
          <cell r="E9961">
            <v>0</v>
          </cell>
          <cell r="F9961">
            <v>0</v>
          </cell>
          <cell r="DN9961">
            <v>0</v>
          </cell>
        </row>
        <row r="9962">
          <cell r="E9962">
            <v>0</v>
          </cell>
          <cell r="F9962">
            <v>0</v>
          </cell>
          <cell r="DN9962">
            <v>0</v>
          </cell>
        </row>
        <row r="9963">
          <cell r="E9963">
            <v>0</v>
          </cell>
          <cell r="F9963">
            <v>0</v>
          </cell>
          <cell r="DN9963">
            <v>0</v>
          </cell>
        </row>
        <row r="9964">
          <cell r="E9964">
            <v>0</v>
          </cell>
          <cell r="F9964">
            <v>0</v>
          </cell>
          <cell r="DN9964">
            <v>0</v>
          </cell>
        </row>
        <row r="9965">
          <cell r="E9965">
            <v>0</v>
          </cell>
          <cell r="F9965">
            <v>0</v>
          </cell>
          <cell r="DN9965">
            <v>0</v>
          </cell>
        </row>
        <row r="9966">
          <cell r="E9966">
            <v>0</v>
          </cell>
          <cell r="F9966">
            <v>0</v>
          </cell>
          <cell r="DN9966">
            <v>0</v>
          </cell>
        </row>
        <row r="9967">
          <cell r="E9967">
            <v>0</v>
          </cell>
          <cell r="F9967">
            <v>0</v>
          </cell>
          <cell r="DN9967">
            <v>0</v>
          </cell>
        </row>
        <row r="9968">
          <cell r="E9968">
            <v>0</v>
          </cell>
          <cell r="F9968">
            <v>0</v>
          </cell>
          <cell r="DN9968">
            <v>0</v>
          </cell>
        </row>
        <row r="9969">
          <cell r="E9969">
            <v>0</v>
          </cell>
          <cell r="F9969">
            <v>0</v>
          </cell>
          <cell r="DN9969">
            <v>0</v>
          </cell>
        </row>
        <row r="9970">
          <cell r="E9970">
            <v>0</v>
          </cell>
          <cell r="F9970">
            <v>0</v>
          </cell>
          <cell r="DN9970">
            <v>0</v>
          </cell>
        </row>
        <row r="9971">
          <cell r="E9971">
            <v>0</v>
          </cell>
          <cell r="F9971">
            <v>0</v>
          </cell>
          <cell r="DN9971">
            <v>0</v>
          </cell>
        </row>
        <row r="9972">
          <cell r="E9972">
            <v>0</v>
          </cell>
          <cell r="F9972">
            <v>0</v>
          </cell>
          <cell r="DN9972">
            <v>0</v>
          </cell>
        </row>
        <row r="9973">
          <cell r="E9973">
            <v>0</v>
          </cell>
          <cell r="F9973">
            <v>0</v>
          </cell>
          <cell r="DN9973">
            <v>0</v>
          </cell>
        </row>
        <row r="9974">
          <cell r="E9974">
            <v>0</v>
          </cell>
          <cell r="F9974">
            <v>0</v>
          </cell>
          <cell r="DN9974">
            <v>0</v>
          </cell>
        </row>
        <row r="9975">
          <cell r="E9975">
            <v>0</v>
          </cell>
          <cell r="F9975">
            <v>0</v>
          </cell>
          <cell r="DN9975">
            <v>0</v>
          </cell>
        </row>
        <row r="9976">
          <cell r="E9976">
            <v>0</v>
          </cell>
          <cell r="F9976">
            <v>0</v>
          </cell>
          <cell r="DN9976">
            <v>0</v>
          </cell>
        </row>
        <row r="9977">
          <cell r="E9977">
            <v>0</v>
          </cell>
          <cell r="F9977">
            <v>0</v>
          </cell>
          <cell r="DN9977">
            <v>0</v>
          </cell>
        </row>
        <row r="9978">
          <cell r="E9978">
            <v>0</v>
          </cell>
          <cell r="F9978">
            <v>0</v>
          </cell>
          <cell r="DN9978">
            <v>0</v>
          </cell>
        </row>
        <row r="9979">
          <cell r="E9979">
            <v>0</v>
          </cell>
          <cell r="F9979">
            <v>0</v>
          </cell>
          <cell r="DN9979">
            <v>0</v>
          </cell>
        </row>
        <row r="9980">
          <cell r="E9980">
            <v>0</v>
          </cell>
          <cell r="F9980">
            <v>0</v>
          </cell>
          <cell r="DN9980">
            <v>0</v>
          </cell>
        </row>
        <row r="9981">
          <cell r="E9981">
            <v>0</v>
          </cell>
          <cell r="F9981">
            <v>0</v>
          </cell>
          <cell r="DN9981">
            <v>0</v>
          </cell>
        </row>
        <row r="9982">
          <cell r="E9982">
            <v>0</v>
          </cell>
          <cell r="F9982">
            <v>0</v>
          </cell>
          <cell r="DN9982">
            <v>0</v>
          </cell>
        </row>
        <row r="9983">
          <cell r="E9983">
            <v>0</v>
          </cell>
          <cell r="F9983">
            <v>0</v>
          </cell>
          <cell r="DN9983">
            <v>0</v>
          </cell>
        </row>
        <row r="9984">
          <cell r="E9984">
            <v>0</v>
          </cell>
          <cell r="F9984">
            <v>0</v>
          </cell>
          <cell r="DN9984">
            <v>0</v>
          </cell>
        </row>
        <row r="9985">
          <cell r="E9985">
            <v>0</v>
          </cell>
          <cell r="F9985">
            <v>0</v>
          </cell>
          <cell r="DN9985">
            <v>0</v>
          </cell>
        </row>
        <row r="9986">
          <cell r="E9986">
            <v>0</v>
          </cell>
          <cell r="F9986">
            <v>0</v>
          </cell>
          <cell r="DN9986">
            <v>0</v>
          </cell>
        </row>
        <row r="9987">
          <cell r="E9987">
            <v>0</v>
          </cell>
          <cell r="F9987">
            <v>0</v>
          </cell>
          <cell r="DN9987">
            <v>0</v>
          </cell>
        </row>
        <row r="9988">
          <cell r="E9988">
            <v>0</v>
          </cell>
          <cell r="F9988">
            <v>0</v>
          </cell>
          <cell r="DN9988">
            <v>0</v>
          </cell>
        </row>
        <row r="9989">
          <cell r="E9989">
            <v>0</v>
          </cell>
          <cell r="F9989">
            <v>0</v>
          </cell>
          <cell r="DN9989">
            <v>0</v>
          </cell>
        </row>
        <row r="9990">
          <cell r="E9990">
            <v>0</v>
          </cell>
          <cell r="F9990">
            <v>0</v>
          </cell>
          <cell r="DN9990">
            <v>0</v>
          </cell>
        </row>
        <row r="9991">
          <cell r="E9991">
            <v>0</v>
          </cell>
          <cell r="F9991">
            <v>0</v>
          </cell>
          <cell r="DN9991">
            <v>0</v>
          </cell>
        </row>
        <row r="9992">
          <cell r="E9992">
            <v>0</v>
          </cell>
          <cell r="F9992">
            <v>0</v>
          </cell>
          <cell r="DN9992">
            <v>0</v>
          </cell>
        </row>
        <row r="9993">
          <cell r="E9993">
            <v>0</v>
          </cell>
          <cell r="F9993">
            <v>0</v>
          </cell>
          <cell r="DN9993">
            <v>0</v>
          </cell>
        </row>
        <row r="9994">
          <cell r="E9994">
            <v>0</v>
          </cell>
          <cell r="F9994">
            <v>0</v>
          </cell>
          <cell r="DN9994">
            <v>0</v>
          </cell>
        </row>
        <row r="9995">
          <cell r="E9995">
            <v>0</v>
          </cell>
          <cell r="F9995">
            <v>0</v>
          </cell>
          <cell r="DN9995">
            <v>0</v>
          </cell>
        </row>
        <row r="9996">
          <cell r="E9996">
            <v>0</v>
          </cell>
          <cell r="F9996">
            <v>0</v>
          </cell>
          <cell r="DN9996">
            <v>0</v>
          </cell>
        </row>
        <row r="9997">
          <cell r="E9997">
            <v>0</v>
          </cell>
          <cell r="F9997">
            <v>0</v>
          </cell>
          <cell r="DN9997">
            <v>0</v>
          </cell>
        </row>
        <row r="9998">
          <cell r="E9998">
            <v>0</v>
          </cell>
          <cell r="F9998">
            <v>0</v>
          </cell>
          <cell r="DN9998">
            <v>0</v>
          </cell>
        </row>
        <row r="9999">
          <cell r="E9999">
            <v>0</v>
          </cell>
          <cell r="F9999">
            <v>0</v>
          </cell>
          <cell r="DN9999">
            <v>0</v>
          </cell>
        </row>
        <row r="10000">
          <cell r="E10000">
            <v>0</v>
          </cell>
          <cell r="F10000">
            <v>0</v>
          </cell>
          <cell r="DN10000">
            <v>0</v>
          </cell>
        </row>
        <row r="10001">
          <cell r="E10001">
            <v>0</v>
          </cell>
          <cell r="F10001">
            <v>0</v>
          </cell>
          <cell r="DN10001">
            <v>0</v>
          </cell>
        </row>
        <row r="10002">
          <cell r="E10002">
            <v>0</v>
          </cell>
          <cell r="F10002">
            <v>0</v>
          </cell>
          <cell r="DN10002">
            <v>0</v>
          </cell>
        </row>
        <row r="10003">
          <cell r="E10003">
            <v>0</v>
          </cell>
          <cell r="F10003">
            <v>0</v>
          </cell>
          <cell r="DN10003">
            <v>0</v>
          </cell>
        </row>
        <row r="10004">
          <cell r="E10004">
            <v>0</v>
          </cell>
          <cell r="F10004">
            <v>0</v>
          </cell>
          <cell r="DN10004">
            <v>0</v>
          </cell>
        </row>
        <row r="10005">
          <cell r="E10005">
            <v>0</v>
          </cell>
          <cell r="F10005">
            <v>0</v>
          </cell>
          <cell r="DN10005">
            <v>0</v>
          </cell>
        </row>
        <row r="10006">
          <cell r="E10006">
            <v>0</v>
          </cell>
          <cell r="F10006">
            <v>0</v>
          </cell>
          <cell r="DN10006">
            <v>0</v>
          </cell>
        </row>
        <row r="10007">
          <cell r="E10007">
            <v>0</v>
          </cell>
          <cell r="F10007">
            <v>0</v>
          </cell>
          <cell r="DN10007">
            <v>0</v>
          </cell>
        </row>
        <row r="10008">
          <cell r="E10008">
            <v>0</v>
          </cell>
          <cell r="F10008">
            <v>0</v>
          </cell>
          <cell r="DN10008">
            <v>0</v>
          </cell>
        </row>
        <row r="10009">
          <cell r="E10009">
            <v>0</v>
          </cell>
          <cell r="F10009">
            <v>0</v>
          </cell>
          <cell r="DN10009">
            <v>0</v>
          </cell>
        </row>
        <row r="10010">
          <cell r="E10010">
            <v>0</v>
          </cell>
          <cell r="F10010">
            <v>0</v>
          </cell>
          <cell r="DN10010">
            <v>0</v>
          </cell>
        </row>
        <row r="10011">
          <cell r="E10011">
            <v>0</v>
          </cell>
          <cell r="F10011">
            <v>0</v>
          </cell>
          <cell r="DN10011">
            <v>0</v>
          </cell>
        </row>
        <row r="10012">
          <cell r="E10012">
            <v>0</v>
          </cell>
          <cell r="F10012">
            <v>0</v>
          </cell>
          <cell r="DN10012">
            <v>0</v>
          </cell>
        </row>
        <row r="10013">
          <cell r="E10013">
            <v>0</v>
          </cell>
          <cell r="F10013">
            <v>0</v>
          </cell>
          <cell r="DN10013">
            <v>0</v>
          </cell>
        </row>
        <row r="10014">
          <cell r="E10014">
            <v>0</v>
          </cell>
          <cell r="F10014">
            <v>0</v>
          </cell>
          <cell r="DN10014">
            <v>0</v>
          </cell>
        </row>
        <row r="10015">
          <cell r="E10015">
            <v>0</v>
          </cell>
          <cell r="F10015">
            <v>0</v>
          </cell>
          <cell r="DN10015">
            <v>0</v>
          </cell>
        </row>
        <row r="10016">
          <cell r="E10016">
            <v>0</v>
          </cell>
          <cell r="F10016">
            <v>0</v>
          </cell>
          <cell r="DN10016">
            <v>0</v>
          </cell>
        </row>
        <row r="10017">
          <cell r="E10017">
            <v>0</v>
          </cell>
          <cell r="F10017">
            <v>0</v>
          </cell>
          <cell r="DN10017">
            <v>0</v>
          </cell>
        </row>
        <row r="10018">
          <cell r="E10018">
            <v>0</v>
          </cell>
          <cell r="F10018">
            <v>0</v>
          </cell>
          <cell r="DN10018">
            <v>0</v>
          </cell>
        </row>
        <row r="10019">
          <cell r="E10019">
            <v>0</v>
          </cell>
          <cell r="F10019">
            <v>0</v>
          </cell>
          <cell r="DN10019">
            <v>0</v>
          </cell>
        </row>
        <row r="10020">
          <cell r="E10020">
            <v>0</v>
          </cell>
          <cell r="F10020">
            <v>0</v>
          </cell>
          <cell r="DN10020">
            <v>0</v>
          </cell>
        </row>
        <row r="10021">
          <cell r="E10021">
            <v>0</v>
          </cell>
          <cell r="F10021">
            <v>0</v>
          </cell>
          <cell r="DN10021">
            <v>0</v>
          </cell>
        </row>
        <row r="10022">
          <cell r="E10022">
            <v>0</v>
          </cell>
          <cell r="F10022">
            <v>0</v>
          </cell>
          <cell r="DN10022">
            <v>0</v>
          </cell>
        </row>
        <row r="10023">
          <cell r="E10023">
            <v>0</v>
          </cell>
          <cell r="F10023">
            <v>0</v>
          </cell>
          <cell r="DN10023">
            <v>0</v>
          </cell>
        </row>
        <row r="10024">
          <cell r="E10024">
            <v>0</v>
          </cell>
          <cell r="F10024">
            <v>0</v>
          </cell>
          <cell r="DN10024">
            <v>0</v>
          </cell>
        </row>
        <row r="10025">
          <cell r="E10025">
            <v>0</v>
          </cell>
          <cell r="F10025">
            <v>0</v>
          </cell>
          <cell r="DN10025">
            <v>0</v>
          </cell>
        </row>
        <row r="10026">
          <cell r="E10026">
            <v>0</v>
          </cell>
          <cell r="F10026">
            <v>0</v>
          </cell>
          <cell r="DN10026">
            <v>0</v>
          </cell>
        </row>
        <row r="10027">
          <cell r="E10027">
            <v>0</v>
          </cell>
          <cell r="F10027">
            <v>0</v>
          </cell>
          <cell r="DN10027">
            <v>0</v>
          </cell>
        </row>
        <row r="10028">
          <cell r="E10028">
            <v>0</v>
          </cell>
          <cell r="F10028">
            <v>0</v>
          </cell>
          <cell r="DN10028">
            <v>0</v>
          </cell>
        </row>
        <row r="10029">
          <cell r="E10029">
            <v>0</v>
          </cell>
          <cell r="F10029">
            <v>0</v>
          </cell>
          <cell r="DN10029">
            <v>0</v>
          </cell>
        </row>
        <row r="10030">
          <cell r="E10030">
            <v>0</v>
          </cell>
          <cell r="F10030">
            <v>0</v>
          </cell>
          <cell r="DN10030">
            <v>0</v>
          </cell>
        </row>
        <row r="10031">
          <cell r="E10031">
            <v>0</v>
          </cell>
          <cell r="F10031">
            <v>0</v>
          </cell>
          <cell r="DN10031">
            <v>0</v>
          </cell>
        </row>
        <row r="10032">
          <cell r="E10032">
            <v>0</v>
          </cell>
          <cell r="F10032">
            <v>0</v>
          </cell>
          <cell r="DN10032">
            <v>0</v>
          </cell>
        </row>
        <row r="10033">
          <cell r="E10033">
            <v>0</v>
          </cell>
          <cell r="F10033">
            <v>0</v>
          </cell>
          <cell r="DN10033">
            <v>0</v>
          </cell>
        </row>
        <row r="10034">
          <cell r="E10034">
            <v>0</v>
          </cell>
          <cell r="F10034">
            <v>0</v>
          </cell>
          <cell r="DN10034">
            <v>0</v>
          </cell>
        </row>
        <row r="10035">
          <cell r="E10035">
            <v>0</v>
          </cell>
          <cell r="F10035">
            <v>0</v>
          </cell>
          <cell r="DN10035">
            <v>0</v>
          </cell>
        </row>
        <row r="10036">
          <cell r="E10036">
            <v>0</v>
          </cell>
          <cell r="F10036">
            <v>0</v>
          </cell>
          <cell r="DN10036">
            <v>0</v>
          </cell>
        </row>
        <row r="10037">
          <cell r="E10037">
            <v>0</v>
          </cell>
          <cell r="F10037">
            <v>0</v>
          </cell>
          <cell r="DN10037">
            <v>0</v>
          </cell>
        </row>
        <row r="10038">
          <cell r="E10038">
            <v>0</v>
          </cell>
          <cell r="F10038">
            <v>0</v>
          </cell>
          <cell r="DN10038">
            <v>0</v>
          </cell>
        </row>
        <row r="10039">
          <cell r="E10039">
            <v>0</v>
          </cell>
          <cell r="F10039">
            <v>0</v>
          </cell>
          <cell r="DN10039">
            <v>0</v>
          </cell>
        </row>
        <row r="10040">
          <cell r="E10040">
            <v>0</v>
          </cell>
          <cell r="F10040">
            <v>0</v>
          </cell>
          <cell r="DN10040">
            <v>0</v>
          </cell>
        </row>
        <row r="10041">
          <cell r="E10041">
            <v>0</v>
          </cell>
          <cell r="F10041">
            <v>0</v>
          </cell>
          <cell r="DN10041">
            <v>0</v>
          </cell>
        </row>
        <row r="10042">
          <cell r="E10042">
            <v>0</v>
          </cell>
          <cell r="F10042">
            <v>0</v>
          </cell>
          <cell r="DN10042">
            <v>0</v>
          </cell>
        </row>
        <row r="10043">
          <cell r="E10043">
            <v>0</v>
          </cell>
          <cell r="F10043">
            <v>0</v>
          </cell>
          <cell r="DN10043">
            <v>0</v>
          </cell>
        </row>
        <row r="10044">
          <cell r="E10044">
            <v>0</v>
          </cell>
          <cell r="F10044">
            <v>0</v>
          </cell>
          <cell r="DN10044">
            <v>0</v>
          </cell>
        </row>
        <row r="10045">
          <cell r="E10045">
            <v>0</v>
          </cell>
          <cell r="F10045">
            <v>0</v>
          </cell>
          <cell r="DN10045">
            <v>0</v>
          </cell>
        </row>
        <row r="10046">
          <cell r="E10046">
            <v>0</v>
          </cell>
          <cell r="F10046">
            <v>0</v>
          </cell>
          <cell r="DN10046">
            <v>0</v>
          </cell>
        </row>
        <row r="10047">
          <cell r="E10047">
            <v>0</v>
          </cell>
          <cell r="F10047">
            <v>0</v>
          </cell>
          <cell r="DN10047">
            <v>0</v>
          </cell>
        </row>
        <row r="10048">
          <cell r="E10048">
            <v>0</v>
          </cell>
          <cell r="F10048">
            <v>0</v>
          </cell>
          <cell r="DN10048">
            <v>0</v>
          </cell>
        </row>
        <row r="10049">
          <cell r="E10049">
            <v>0</v>
          </cell>
          <cell r="F10049">
            <v>0</v>
          </cell>
          <cell r="DN10049">
            <v>0</v>
          </cell>
        </row>
        <row r="10050">
          <cell r="E10050">
            <v>0</v>
          </cell>
          <cell r="F10050">
            <v>0</v>
          </cell>
          <cell r="DN10050">
            <v>0</v>
          </cell>
        </row>
        <row r="10051">
          <cell r="E10051">
            <v>0</v>
          </cell>
          <cell r="F10051">
            <v>0</v>
          </cell>
          <cell r="DN10051">
            <v>0</v>
          </cell>
        </row>
        <row r="10052">
          <cell r="E10052">
            <v>0</v>
          </cell>
          <cell r="F10052">
            <v>0</v>
          </cell>
          <cell r="DN10052">
            <v>0</v>
          </cell>
        </row>
        <row r="10053">
          <cell r="E10053">
            <v>0</v>
          </cell>
          <cell r="F10053">
            <v>0</v>
          </cell>
          <cell r="DN10053">
            <v>0</v>
          </cell>
        </row>
        <row r="10054">
          <cell r="E10054">
            <v>0</v>
          </cell>
          <cell r="F10054">
            <v>0</v>
          </cell>
          <cell r="DN10054">
            <v>0</v>
          </cell>
        </row>
        <row r="10055">
          <cell r="E10055">
            <v>0</v>
          </cell>
          <cell r="F10055">
            <v>0</v>
          </cell>
          <cell r="DN10055">
            <v>0</v>
          </cell>
        </row>
        <row r="10056">
          <cell r="E10056">
            <v>0</v>
          </cell>
          <cell r="F10056">
            <v>0</v>
          </cell>
          <cell r="DN10056">
            <v>0</v>
          </cell>
        </row>
        <row r="10057">
          <cell r="E10057">
            <v>0</v>
          </cell>
          <cell r="F10057">
            <v>0</v>
          </cell>
          <cell r="DN10057">
            <v>0</v>
          </cell>
        </row>
        <row r="10058">
          <cell r="E10058">
            <v>0</v>
          </cell>
          <cell r="F10058">
            <v>0</v>
          </cell>
          <cell r="DN10058">
            <v>0</v>
          </cell>
        </row>
        <row r="10059">
          <cell r="E10059">
            <v>0</v>
          </cell>
          <cell r="F10059">
            <v>0</v>
          </cell>
          <cell r="DN10059">
            <v>0</v>
          </cell>
        </row>
        <row r="10060">
          <cell r="E10060">
            <v>0</v>
          </cell>
          <cell r="F10060">
            <v>0</v>
          </cell>
          <cell r="DN10060">
            <v>0</v>
          </cell>
        </row>
        <row r="10061">
          <cell r="E10061">
            <v>0</v>
          </cell>
          <cell r="F10061">
            <v>0</v>
          </cell>
          <cell r="DN10061">
            <v>0</v>
          </cell>
        </row>
        <row r="10062">
          <cell r="E10062">
            <v>0</v>
          </cell>
          <cell r="F10062">
            <v>0</v>
          </cell>
          <cell r="DN10062">
            <v>0</v>
          </cell>
        </row>
        <row r="10063">
          <cell r="E10063">
            <v>0</v>
          </cell>
          <cell r="F10063">
            <v>0</v>
          </cell>
          <cell r="DN10063">
            <v>0</v>
          </cell>
        </row>
        <row r="10064">
          <cell r="E10064">
            <v>0</v>
          </cell>
          <cell r="F10064">
            <v>0</v>
          </cell>
          <cell r="DN10064">
            <v>0</v>
          </cell>
        </row>
        <row r="10065">
          <cell r="E10065">
            <v>0</v>
          </cell>
          <cell r="F10065">
            <v>0</v>
          </cell>
          <cell r="DN10065">
            <v>0</v>
          </cell>
        </row>
        <row r="10066">
          <cell r="E10066">
            <v>0</v>
          </cell>
          <cell r="F10066">
            <v>0</v>
          </cell>
          <cell r="DN10066">
            <v>0</v>
          </cell>
        </row>
        <row r="10067">
          <cell r="E10067">
            <v>0</v>
          </cell>
          <cell r="F10067">
            <v>0</v>
          </cell>
          <cell r="DN10067">
            <v>0</v>
          </cell>
        </row>
        <row r="10068">
          <cell r="E10068">
            <v>0</v>
          </cell>
          <cell r="F10068">
            <v>0</v>
          </cell>
          <cell r="DN10068">
            <v>0</v>
          </cell>
        </row>
        <row r="10069">
          <cell r="E10069">
            <v>0</v>
          </cell>
          <cell r="F10069">
            <v>0</v>
          </cell>
          <cell r="DN10069">
            <v>0</v>
          </cell>
        </row>
        <row r="10070">
          <cell r="E10070">
            <v>0</v>
          </cell>
          <cell r="F10070">
            <v>0</v>
          </cell>
          <cell r="DN10070">
            <v>0</v>
          </cell>
        </row>
        <row r="10071">
          <cell r="E10071">
            <v>0</v>
          </cell>
          <cell r="F10071">
            <v>0</v>
          </cell>
          <cell r="DN10071">
            <v>0</v>
          </cell>
        </row>
        <row r="10072">
          <cell r="E10072">
            <v>0</v>
          </cell>
          <cell r="F10072">
            <v>0</v>
          </cell>
          <cell r="DN10072">
            <v>0</v>
          </cell>
        </row>
        <row r="10073">
          <cell r="E10073">
            <v>0</v>
          </cell>
          <cell r="F10073">
            <v>0</v>
          </cell>
          <cell r="DN10073">
            <v>0</v>
          </cell>
        </row>
        <row r="10074">
          <cell r="E10074">
            <v>0</v>
          </cell>
          <cell r="F10074">
            <v>0</v>
          </cell>
          <cell r="DN10074">
            <v>0</v>
          </cell>
        </row>
        <row r="10075">
          <cell r="E10075">
            <v>0</v>
          </cell>
          <cell r="F10075">
            <v>0</v>
          </cell>
          <cell r="DN10075">
            <v>0</v>
          </cell>
        </row>
        <row r="10076">
          <cell r="E10076">
            <v>0</v>
          </cell>
          <cell r="F10076">
            <v>0</v>
          </cell>
          <cell r="DN10076">
            <v>0</v>
          </cell>
        </row>
        <row r="10077">
          <cell r="E10077">
            <v>0</v>
          </cell>
          <cell r="F10077">
            <v>0</v>
          </cell>
          <cell r="DN10077">
            <v>0</v>
          </cell>
        </row>
        <row r="10078">
          <cell r="E10078">
            <v>0</v>
          </cell>
          <cell r="F10078">
            <v>0</v>
          </cell>
          <cell r="DN10078">
            <v>0</v>
          </cell>
        </row>
        <row r="10079">
          <cell r="E10079">
            <v>0</v>
          </cell>
          <cell r="F10079">
            <v>0</v>
          </cell>
          <cell r="DN10079">
            <v>0</v>
          </cell>
        </row>
        <row r="10080">
          <cell r="E10080">
            <v>0</v>
          </cell>
          <cell r="F10080">
            <v>0</v>
          </cell>
          <cell r="DN10080">
            <v>0</v>
          </cell>
        </row>
        <row r="10081">
          <cell r="E10081">
            <v>0</v>
          </cell>
          <cell r="F10081">
            <v>0</v>
          </cell>
          <cell r="DN10081">
            <v>0</v>
          </cell>
        </row>
        <row r="10082">
          <cell r="E10082">
            <v>0</v>
          </cell>
          <cell r="F10082">
            <v>0</v>
          </cell>
          <cell r="DN10082">
            <v>0</v>
          </cell>
        </row>
        <row r="10083">
          <cell r="E10083">
            <v>0</v>
          </cell>
          <cell r="F10083">
            <v>0</v>
          </cell>
          <cell r="DN10083">
            <v>0</v>
          </cell>
        </row>
        <row r="10084">
          <cell r="E10084">
            <v>0</v>
          </cell>
          <cell r="F10084">
            <v>0</v>
          </cell>
          <cell r="DN10084">
            <v>0</v>
          </cell>
        </row>
        <row r="10085">
          <cell r="E10085">
            <v>0</v>
          </cell>
          <cell r="F10085">
            <v>0</v>
          </cell>
          <cell r="DN10085">
            <v>0</v>
          </cell>
        </row>
        <row r="10086">
          <cell r="E10086">
            <v>0</v>
          </cell>
          <cell r="F10086">
            <v>0</v>
          </cell>
          <cell r="DN10086">
            <v>0</v>
          </cell>
        </row>
        <row r="10087">
          <cell r="E10087">
            <v>0</v>
          </cell>
          <cell r="F10087">
            <v>0</v>
          </cell>
          <cell r="DN10087">
            <v>0</v>
          </cell>
        </row>
        <row r="10088">
          <cell r="E10088">
            <v>0</v>
          </cell>
          <cell r="F10088">
            <v>0</v>
          </cell>
          <cell r="DN10088">
            <v>0</v>
          </cell>
        </row>
        <row r="10089">
          <cell r="E10089">
            <v>0</v>
          </cell>
          <cell r="F10089">
            <v>0</v>
          </cell>
          <cell r="DN10089">
            <v>0</v>
          </cell>
        </row>
        <row r="10090">
          <cell r="E10090">
            <v>0</v>
          </cell>
          <cell r="F10090">
            <v>0</v>
          </cell>
          <cell r="DN10090">
            <v>0</v>
          </cell>
        </row>
        <row r="10091">
          <cell r="E10091">
            <v>0</v>
          </cell>
          <cell r="F10091">
            <v>0</v>
          </cell>
          <cell r="DN10091">
            <v>0</v>
          </cell>
        </row>
        <row r="10092">
          <cell r="E10092">
            <v>0</v>
          </cell>
          <cell r="F10092">
            <v>0</v>
          </cell>
          <cell r="DN10092">
            <v>0</v>
          </cell>
        </row>
        <row r="10093">
          <cell r="E10093">
            <v>0</v>
          </cell>
          <cell r="F10093">
            <v>0</v>
          </cell>
          <cell r="DN10093">
            <v>0</v>
          </cell>
        </row>
        <row r="10094">
          <cell r="E10094">
            <v>0</v>
          </cell>
          <cell r="F10094">
            <v>0</v>
          </cell>
          <cell r="DN10094">
            <v>0</v>
          </cell>
        </row>
        <row r="10095">
          <cell r="E10095">
            <v>0</v>
          </cell>
          <cell r="F10095">
            <v>0</v>
          </cell>
          <cell r="DN10095">
            <v>0</v>
          </cell>
        </row>
        <row r="10096">
          <cell r="E10096">
            <v>0</v>
          </cell>
          <cell r="F10096">
            <v>0</v>
          </cell>
          <cell r="DN10096">
            <v>0</v>
          </cell>
        </row>
        <row r="10097">
          <cell r="E10097">
            <v>0</v>
          </cell>
          <cell r="F10097">
            <v>0</v>
          </cell>
          <cell r="DN10097">
            <v>0</v>
          </cell>
        </row>
        <row r="10098">
          <cell r="E10098">
            <v>0</v>
          </cell>
          <cell r="F10098">
            <v>0</v>
          </cell>
          <cell r="DN10098">
            <v>0</v>
          </cell>
        </row>
        <row r="10099">
          <cell r="E10099">
            <v>0</v>
          </cell>
          <cell r="F10099">
            <v>0</v>
          </cell>
          <cell r="DN10099">
            <v>0</v>
          </cell>
        </row>
        <row r="10100">
          <cell r="E10100">
            <v>0</v>
          </cell>
          <cell r="F10100">
            <v>0</v>
          </cell>
          <cell r="DN10100">
            <v>0</v>
          </cell>
        </row>
        <row r="10101">
          <cell r="E10101">
            <v>0</v>
          </cell>
          <cell r="F10101">
            <v>0</v>
          </cell>
          <cell r="DN10101">
            <v>0</v>
          </cell>
        </row>
        <row r="10102">
          <cell r="E10102">
            <v>0</v>
          </cell>
          <cell r="F10102">
            <v>0</v>
          </cell>
          <cell r="DN10102">
            <v>0</v>
          </cell>
        </row>
        <row r="10103">
          <cell r="E10103">
            <v>0</v>
          </cell>
          <cell r="F10103">
            <v>0</v>
          </cell>
          <cell r="DN10103">
            <v>0</v>
          </cell>
        </row>
        <row r="10104">
          <cell r="E10104">
            <v>0</v>
          </cell>
          <cell r="F10104">
            <v>0</v>
          </cell>
          <cell r="DN10104">
            <v>0</v>
          </cell>
        </row>
        <row r="10105">
          <cell r="E10105">
            <v>0</v>
          </cell>
          <cell r="F10105">
            <v>0</v>
          </cell>
          <cell r="DN10105">
            <v>0</v>
          </cell>
        </row>
        <row r="10106">
          <cell r="E10106">
            <v>0</v>
          </cell>
          <cell r="F10106">
            <v>0</v>
          </cell>
          <cell r="DN10106">
            <v>0</v>
          </cell>
        </row>
        <row r="10107">
          <cell r="E10107">
            <v>0</v>
          </cell>
          <cell r="F10107">
            <v>0</v>
          </cell>
          <cell r="DN10107">
            <v>0</v>
          </cell>
        </row>
        <row r="10108">
          <cell r="E10108">
            <v>0</v>
          </cell>
          <cell r="F10108">
            <v>0</v>
          </cell>
          <cell r="DN10108">
            <v>0</v>
          </cell>
        </row>
        <row r="10109">
          <cell r="E10109">
            <v>0</v>
          </cell>
          <cell r="F10109">
            <v>0</v>
          </cell>
          <cell r="DN10109">
            <v>0</v>
          </cell>
        </row>
        <row r="10110">
          <cell r="E10110">
            <v>0</v>
          </cell>
          <cell r="F10110">
            <v>0</v>
          </cell>
          <cell r="DN10110">
            <v>0</v>
          </cell>
        </row>
        <row r="10111">
          <cell r="E10111">
            <v>0</v>
          </cell>
          <cell r="F10111">
            <v>0</v>
          </cell>
          <cell r="DN10111">
            <v>0</v>
          </cell>
        </row>
        <row r="10112">
          <cell r="E10112">
            <v>0</v>
          </cell>
          <cell r="F10112">
            <v>0</v>
          </cell>
          <cell r="DN10112">
            <v>0</v>
          </cell>
        </row>
        <row r="10113">
          <cell r="E10113">
            <v>0</v>
          </cell>
          <cell r="F10113">
            <v>0</v>
          </cell>
          <cell r="DN10113">
            <v>0</v>
          </cell>
        </row>
        <row r="10114">
          <cell r="E10114">
            <v>0</v>
          </cell>
          <cell r="F10114">
            <v>0</v>
          </cell>
          <cell r="DN10114">
            <v>0</v>
          </cell>
        </row>
        <row r="10115">
          <cell r="E10115">
            <v>0</v>
          </cell>
          <cell r="F10115">
            <v>0</v>
          </cell>
          <cell r="DN10115">
            <v>0</v>
          </cell>
        </row>
        <row r="10116">
          <cell r="E10116">
            <v>0</v>
          </cell>
          <cell r="F10116">
            <v>0</v>
          </cell>
          <cell r="DN10116">
            <v>0</v>
          </cell>
        </row>
        <row r="10117">
          <cell r="E10117">
            <v>0</v>
          </cell>
          <cell r="F10117">
            <v>0</v>
          </cell>
          <cell r="DN10117">
            <v>0</v>
          </cell>
        </row>
        <row r="10118">
          <cell r="E10118">
            <v>0</v>
          </cell>
          <cell r="F10118">
            <v>0</v>
          </cell>
          <cell r="DN10118">
            <v>0</v>
          </cell>
        </row>
        <row r="10119">
          <cell r="E10119">
            <v>0</v>
          </cell>
          <cell r="F10119">
            <v>0</v>
          </cell>
          <cell r="DN10119">
            <v>0</v>
          </cell>
        </row>
        <row r="10120">
          <cell r="E10120">
            <v>0</v>
          </cell>
          <cell r="F10120">
            <v>0</v>
          </cell>
          <cell r="DN10120">
            <v>0</v>
          </cell>
        </row>
        <row r="10121">
          <cell r="E10121">
            <v>0</v>
          </cell>
          <cell r="F10121">
            <v>0</v>
          </cell>
          <cell r="DN10121">
            <v>0</v>
          </cell>
        </row>
        <row r="10122">
          <cell r="E10122">
            <v>0</v>
          </cell>
          <cell r="F10122">
            <v>0</v>
          </cell>
          <cell r="DN10122">
            <v>0</v>
          </cell>
        </row>
        <row r="10123">
          <cell r="E10123">
            <v>0</v>
          </cell>
          <cell r="F10123">
            <v>0</v>
          </cell>
          <cell r="DN10123">
            <v>0</v>
          </cell>
        </row>
        <row r="10124">
          <cell r="E10124">
            <v>0</v>
          </cell>
          <cell r="F10124">
            <v>0</v>
          </cell>
          <cell r="DN10124">
            <v>0</v>
          </cell>
        </row>
        <row r="10125">
          <cell r="E10125">
            <v>0</v>
          </cell>
          <cell r="F10125">
            <v>0</v>
          </cell>
          <cell r="DN10125">
            <v>0</v>
          </cell>
        </row>
        <row r="10126">
          <cell r="E10126">
            <v>0</v>
          </cell>
          <cell r="F10126">
            <v>0</v>
          </cell>
          <cell r="DN10126">
            <v>0</v>
          </cell>
        </row>
        <row r="10127">
          <cell r="E10127">
            <v>0</v>
          </cell>
          <cell r="F10127">
            <v>0</v>
          </cell>
          <cell r="DN10127">
            <v>0</v>
          </cell>
        </row>
        <row r="10128">
          <cell r="E10128">
            <v>0</v>
          </cell>
          <cell r="F10128">
            <v>0</v>
          </cell>
          <cell r="DN10128">
            <v>0</v>
          </cell>
        </row>
        <row r="10129">
          <cell r="E10129">
            <v>0</v>
          </cell>
          <cell r="F10129">
            <v>0</v>
          </cell>
          <cell r="DN10129">
            <v>0</v>
          </cell>
        </row>
        <row r="10130">
          <cell r="E10130">
            <v>0</v>
          </cell>
          <cell r="F10130">
            <v>0</v>
          </cell>
          <cell r="DN10130">
            <v>0</v>
          </cell>
        </row>
        <row r="10131">
          <cell r="E10131">
            <v>0</v>
          </cell>
          <cell r="F10131">
            <v>0</v>
          </cell>
          <cell r="DN10131">
            <v>0</v>
          </cell>
        </row>
        <row r="10132">
          <cell r="E10132">
            <v>0</v>
          </cell>
          <cell r="F10132">
            <v>0</v>
          </cell>
          <cell r="DN10132">
            <v>0</v>
          </cell>
        </row>
        <row r="10133">
          <cell r="E10133">
            <v>0</v>
          </cell>
          <cell r="F10133">
            <v>0</v>
          </cell>
          <cell r="DN10133">
            <v>0</v>
          </cell>
        </row>
        <row r="10134">
          <cell r="E10134">
            <v>0</v>
          </cell>
          <cell r="F10134">
            <v>0</v>
          </cell>
          <cell r="DN10134">
            <v>0</v>
          </cell>
        </row>
        <row r="10135">
          <cell r="E10135">
            <v>0</v>
          </cell>
          <cell r="F10135">
            <v>0</v>
          </cell>
          <cell r="DN10135">
            <v>0</v>
          </cell>
        </row>
        <row r="10136">
          <cell r="E10136">
            <v>0</v>
          </cell>
          <cell r="F10136">
            <v>0</v>
          </cell>
          <cell r="DN10136">
            <v>0</v>
          </cell>
        </row>
        <row r="10137">
          <cell r="E10137">
            <v>0</v>
          </cell>
          <cell r="F10137">
            <v>0</v>
          </cell>
          <cell r="DN10137">
            <v>0</v>
          </cell>
        </row>
        <row r="10138">
          <cell r="E10138">
            <v>0</v>
          </cell>
          <cell r="F10138">
            <v>0</v>
          </cell>
          <cell r="DN10138">
            <v>0</v>
          </cell>
        </row>
        <row r="10139">
          <cell r="E10139">
            <v>0</v>
          </cell>
          <cell r="F10139">
            <v>0</v>
          </cell>
          <cell r="DN10139">
            <v>0</v>
          </cell>
        </row>
        <row r="10140">
          <cell r="E10140">
            <v>0</v>
          </cell>
          <cell r="F10140">
            <v>0</v>
          </cell>
          <cell r="DN10140">
            <v>0</v>
          </cell>
        </row>
        <row r="10141">
          <cell r="E10141">
            <v>0</v>
          </cell>
          <cell r="F10141">
            <v>0</v>
          </cell>
          <cell r="DN10141">
            <v>0</v>
          </cell>
        </row>
        <row r="10142">
          <cell r="E10142">
            <v>0</v>
          </cell>
          <cell r="F10142">
            <v>0</v>
          </cell>
          <cell r="DN10142">
            <v>0</v>
          </cell>
        </row>
        <row r="10143">
          <cell r="E10143">
            <v>0</v>
          </cell>
          <cell r="F10143">
            <v>0</v>
          </cell>
          <cell r="DN10143">
            <v>0</v>
          </cell>
        </row>
        <row r="10144">
          <cell r="E10144">
            <v>0</v>
          </cell>
          <cell r="F10144">
            <v>0</v>
          </cell>
          <cell r="DN10144">
            <v>0</v>
          </cell>
        </row>
        <row r="10145">
          <cell r="E10145">
            <v>0</v>
          </cell>
          <cell r="F10145">
            <v>0</v>
          </cell>
          <cell r="DN10145">
            <v>0</v>
          </cell>
        </row>
        <row r="10146">
          <cell r="E10146">
            <v>0</v>
          </cell>
          <cell r="F10146">
            <v>0</v>
          </cell>
          <cell r="DN10146">
            <v>0</v>
          </cell>
        </row>
        <row r="10147">
          <cell r="E10147">
            <v>0</v>
          </cell>
          <cell r="F10147">
            <v>0</v>
          </cell>
          <cell r="DN10147">
            <v>0</v>
          </cell>
        </row>
        <row r="10148">
          <cell r="E10148">
            <v>0</v>
          </cell>
          <cell r="F10148">
            <v>0</v>
          </cell>
          <cell r="DN10148">
            <v>0</v>
          </cell>
        </row>
        <row r="10149">
          <cell r="E10149">
            <v>0</v>
          </cell>
          <cell r="F10149">
            <v>0</v>
          </cell>
          <cell r="DN10149">
            <v>0</v>
          </cell>
        </row>
        <row r="10150">
          <cell r="E10150">
            <v>0</v>
          </cell>
          <cell r="F10150">
            <v>0</v>
          </cell>
          <cell r="DN10150">
            <v>0</v>
          </cell>
        </row>
        <row r="10151">
          <cell r="E10151">
            <v>0</v>
          </cell>
          <cell r="F10151">
            <v>0</v>
          </cell>
          <cell r="DN10151">
            <v>0</v>
          </cell>
        </row>
        <row r="10152">
          <cell r="E10152">
            <v>0</v>
          </cell>
          <cell r="F10152">
            <v>0</v>
          </cell>
          <cell r="DN10152">
            <v>0</v>
          </cell>
        </row>
        <row r="10153">
          <cell r="E10153">
            <v>0</v>
          </cell>
          <cell r="F10153">
            <v>0</v>
          </cell>
          <cell r="DN10153">
            <v>0</v>
          </cell>
        </row>
        <row r="10154">
          <cell r="E10154">
            <v>0</v>
          </cell>
          <cell r="F10154">
            <v>0</v>
          </cell>
          <cell r="DN10154">
            <v>0</v>
          </cell>
        </row>
        <row r="10155">
          <cell r="E10155">
            <v>0</v>
          </cell>
          <cell r="F10155">
            <v>0</v>
          </cell>
          <cell r="DN10155">
            <v>0</v>
          </cell>
        </row>
        <row r="10156">
          <cell r="E10156">
            <v>0</v>
          </cell>
          <cell r="F10156">
            <v>0</v>
          </cell>
          <cell r="DN10156">
            <v>0</v>
          </cell>
        </row>
        <row r="10157">
          <cell r="E10157">
            <v>0</v>
          </cell>
          <cell r="F10157">
            <v>0</v>
          </cell>
          <cell r="DN10157">
            <v>0</v>
          </cell>
        </row>
        <row r="10158">
          <cell r="E10158">
            <v>0</v>
          </cell>
          <cell r="F10158">
            <v>0</v>
          </cell>
          <cell r="DN10158">
            <v>0</v>
          </cell>
        </row>
        <row r="10159">
          <cell r="E10159">
            <v>0</v>
          </cell>
          <cell r="F10159">
            <v>0</v>
          </cell>
          <cell r="DN10159">
            <v>0</v>
          </cell>
        </row>
        <row r="10160">
          <cell r="E10160">
            <v>0</v>
          </cell>
          <cell r="F10160">
            <v>0</v>
          </cell>
          <cell r="DN10160">
            <v>0</v>
          </cell>
        </row>
        <row r="10161">
          <cell r="E10161">
            <v>0</v>
          </cell>
          <cell r="F10161">
            <v>0</v>
          </cell>
          <cell r="DN10161">
            <v>0</v>
          </cell>
        </row>
        <row r="10162">
          <cell r="E10162">
            <v>0</v>
          </cell>
          <cell r="F10162">
            <v>0</v>
          </cell>
          <cell r="DN10162">
            <v>0</v>
          </cell>
        </row>
        <row r="10163">
          <cell r="E10163">
            <v>0</v>
          </cell>
          <cell r="F10163">
            <v>0</v>
          </cell>
          <cell r="DN10163">
            <v>0</v>
          </cell>
        </row>
        <row r="10164">
          <cell r="E10164">
            <v>0</v>
          </cell>
          <cell r="F10164">
            <v>0</v>
          </cell>
          <cell r="DN10164">
            <v>0</v>
          </cell>
        </row>
        <row r="10165">
          <cell r="E10165">
            <v>0</v>
          </cell>
          <cell r="F10165">
            <v>0</v>
          </cell>
          <cell r="DN10165">
            <v>0</v>
          </cell>
        </row>
        <row r="10166">
          <cell r="E10166">
            <v>0</v>
          </cell>
          <cell r="F10166">
            <v>0</v>
          </cell>
          <cell r="DN10166">
            <v>0</v>
          </cell>
        </row>
        <row r="10167">
          <cell r="E10167">
            <v>0</v>
          </cell>
          <cell r="F10167">
            <v>0</v>
          </cell>
          <cell r="DN10167">
            <v>0</v>
          </cell>
        </row>
        <row r="10168">
          <cell r="E10168">
            <v>0</v>
          </cell>
          <cell r="F10168">
            <v>0</v>
          </cell>
          <cell r="DN10168">
            <v>0</v>
          </cell>
        </row>
        <row r="10169">
          <cell r="E10169">
            <v>0</v>
          </cell>
          <cell r="F10169">
            <v>0</v>
          </cell>
          <cell r="DN10169">
            <v>0</v>
          </cell>
        </row>
        <row r="10170">
          <cell r="E10170">
            <v>0</v>
          </cell>
          <cell r="F10170">
            <v>0</v>
          </cell>
          <cell r="DN10170">
            <v>0</v>
          </cell>
        </row>
        <row r="10171">
          <cell r="E10171">
            <v>0</v>
          </cell>
          <cell r="F10171">
            <v>0</v>
          </cell>
          <cell r="DN10171">
            <v>0</v>
          </cell>
        </row>
        <row r="10172">
          <cell r="E10172">
            <v>0</v>
          </cell>
          <cell r="F10172">
            <v>0</v>
          </cell>
          <cell r="DN10172">
            <v>0</v>
          </cell>
        </row>
        <row r="10173">
          <cell r="E10173">
            <v>0</v>
          </cell>
          <cell r="F10173">
            <v>0</v>
          </cell>
          <cell r="DN10173">
            <v>0</v>
          </cell>
        </row>
        <row r="10174">
          <cell r="E10174">
            <v>0</v>
          </cell>
          <cell r="F10174">
            <v>0</v>
          </cell>
          <cell r="DN10174">
            <v>0</v>
          </cell>
        </row>
        <row r="10175">
          <cell r="E10175">
            <v>0</v>
          </cell>
          <cell r="F10175">
            <v>0</v>
          </cell>
          <cell r="DN10175">
            <v>0</v>
          </cell>
        </row>
        <row r="10176">
          <cell r="E10176">
            <v>0</v>
          </cell>
          <cell r="F10176">
            <v>0</v>
          </cell>
          <cell r="DN10176">
            <v>0</v>
          </cell>
        </row>
        <row r="10177">
          <cell r="E10177">
            <v>0</v>
          </cell>
          <cell r="F10177">
            <v>0</v>
          </cell>
          <cell r="DN10177">
            <v>0</v>
          </cell>
        </row>
        <row r="10178">
          <cell r="E10178">
            <v>0</v>
          </cell>
          <cell r="F10178">
            <v>0</v>
          </cell>
          <cell r="DN10178">
            <v>0</v>
          </cell>
        </row>
        <row r="10179">
          <cell r="E10179">
            <v>0</v>
          </cell>
          <cell r="F10179">
            <v>0</v>
          </cell>
          <cell r="DN10179">
            <v>0</v>
          </cell>
        </row>
        <row r="10180">
          <cell r="E10180">
            <v>0</v>
          </cell>
          <cell r="F10180">
            <v>0</v>
          </cell>
          <cell r="DN10180">
            <v>0</v>
          </cell>
        </row>
        <row r="10181">
          <cell r="E10181">
            <v>0</v>
          </cell>
          <cell r="F10181">
            <v>0</v>
          </cell>
          <cell r="DN10181">
            <v>0</v>
          </cell>
        </row>
        <row r="10182">
          <cell r="E10182">
            <v>0</v>
          </cell>
          <cell r="F10182">
            <v>0</v>
          </cell>
          <cell r="DN10182">
            <v>0</v>
          </cell>
        </row>
        <row r="10183">
          <cell r="E10183">
            <v>0</v>
          </cell>
          <cell r="F10183">
            <v>0</v>
          </cell>
          <cell r="DN10183">
            <v>0</v>
          </cell>
        </row>
        <row r="10184">
          <cell r="E10184">
            <v>0</v>
          </cell>
          <cell r="F10184">
            <v>0</v>
          </cell>
          <cell r="DN10184">
            <v>0</v>
          </cell>
        </row>
        <row r="10185">
          <cell r="E10185">
            <v>0</v>
          </cell>
          <cell r="F10185">
            <v>0</v>
          </cell>
          <cell r="DN10185">
            <v>0</v>
          </cell>
        </row>
        <row r="10186">
          <cell r="E10186">
            <v>0</v>
          </cell>
          <cell r="F10186">
            <v>0</v>
          </cell>
          <cell r="DN10186">
            <v>0</v>
          </cell>
        </row>
        <row r="10187">
          <cell r="E10187">
            <v>0</v>
          </cell>
          <cell r="F10187">
            <v>0</v>
          </cell>
          <cell r="DN10187">
            <v>0</v>
          </cell>
        </row>
        <row r="10188">
          <cell r="E10188">
            <v>0</v>
          </cell>
          <cell r="F10188">
            <v>0</v>
          </cell>
          <cell r="DN10188">
            <v>0</v>
          </cell>
        </row>
        <row r="10189">
          <cell r="E10189">
            <v>0</v>
          </cell>
          <cell r="F10189">
            <v>0</v>
          </cell>
          <cell r="DN10189">
            <v>0</v>
          </cell>
        </row>
        <row r="10190">
          <cell r="E10190">
            <v>0</v>
          </cell>
          <cell r="F10190">
            <v>0</v>
          </cell>
          <cell r="DN10190">
            <v>0</v>
          </cell>
        </row>
        <row r="10191">
          <cell r="E10191">
            <v>0</v>
          </cell>
          <cell r="F10191">
            <v>0</v>
          </cell>
          <cell r="DN10191">
            <v>0</v>
          </cell>
        </row>
        <row r="10192">
          <cell r="E10192">
            <v>0</v>
          </cell>
          <cell r="F10192">
            <v>0</v>
          </cell>
          <cell r="DN10192">
            <v>0</v>
          </cell>
        </row>
        <row r="10193">
          <cell r="E10193">
            <v>0</v>
          </cell>
          <cell r="F10193">
            <v>0</v>
          </cell>
          <cell r="DN10193">
            <v>0</v>
          </cell>
        </row>
        <row r="10194">
          <cell r="E10194">
            <v>0</v>
          </cell>
          <cell r="F10194">
            <v>0</v>
          </cell>
          <cell r="DN10194">
            <v>0</v>
          </cell>
        </row>
        <row r="10195">
          <cell r="E10195">
            <v>0</v>
          </cell>
          <cell r="F10195">
            <v>0</v>
          </cell>
          <cell r="DN10195">
            <v>0</v>
          </cell>
        </row>
        <row r="10196">
          <cell r="E10196">
            <v>0</v>
          </cell>
          <cell r="F10196">
            <v>0</v>
          </cell>
          <cell r="DN10196">
            <v>0</v>
          </cell>
        </row>
        <row r="10197">
          <cell r="E10197">
            <v>0</v>
          </cell>
          <cell r="F10197">
            <v>0</v>
          </cell>
          <cell r="DN10197">
            <v>0</v>
          </cell>
        </row>
        <row r="10198">
          <cell r="E10198">
            <v>0</v>
          </cell>
          <cell r="F10198">
            <v>0</v>
          </cell>
          <cell r="DN10198">
            <v>0</v>
          </cell>
        </row>
        <row r="10199">
          <cell r="E10199">
            <v>0</v>
          </cell>
          <cell r="F10199">
            <v>0</v>
          </cell>
          <cell r="DN10199">
            <v>0</v>
          </cell>
        </row>
        <row r="10200">
          <cell r="E10200">
            <v>0</v>
          </cell>
          <cell r="F10200">
            <v>0</v>
          </cell>
          <cell r="DN10200">
            <v>0</v>
          </cell>
        </row>
        <row r="10201">
          <cell r="E10201">
            <v>0</v>
          </cell>
          <cell r="F10201">
            <v>0</v>
          </cell>
          <cell r="DN10201">
            <v>0</v>
          </cell>
        </row>
        <row r="10202">
          <cell r="E10202">
            <v>0</v>
          </cell>
          <cell r="F10202">
            <v>0</v>
          </cell>
          <cell r="DN10202">
            <v>0</v>
          </cell>
        </row>
        <row r="10203">
          <cell r="E10203">
            <v>0</v>
          </cell>
          <cell r="F10203">
            <v>0</v>
          </cell>
          <cell r="DN10203">
            <v>0</v>
          </cell>
        </row>
        <row r="10204">
          <cell r="E10204">
            <v>0</v>
          </cell>
          <cell r="F10204">
            <v>0</v>
          </cell>
          <cell r="DN10204">
            <v>0</v>
          </cell>
        </row>
        <row r="10205">
          <cell r="E10205">
            <v>0</v>
          </cell>
          <cell r="F10205">
            <v>0</v>
          </cell>
          <cell r="DN10205">
            <v>0</v>
          </cell>
        </row>
        <row r="10206">
          <cell r="E10206">
            <v>0</v>
          </cell>
          <cell r="F10206">
            <v>0</v>
          </cell>
          <cell r="DN10206">
            <v>0</v>
          </cell>
        </row>
        <row r="10207">
          <cell r="E10207">
            <v>0</v>
          </cell>
          <cell r="F10207">
            <v>0</v>
          </cell>
          <cell r="DN10207">
            <v>0</v>
          </cell>
        </row>
        <row r="10208">
          <cell r="E10208">
            <v>0</v>
          </cell>
          <cell r="F10208">
            <v>0</v>
          </cell>
          <cell r="DN10208">
            <v>0</v>
          </cell>
        </row>
        <row r="10209">
          <cell r="E10209">
            <v>0</v>
          </cell>
          <cell r="F10209">
            <v>0</v>
          </cell>
          <cell r="DN10209">
            <v>0</v>
          </cell>
        </row>
        <row r="10210">
          <cell r="E10210">
            <v>0</v>
          </cell>
          <cell r="F10210">
            <v>0</v>
          </cell>
          <cell r="DN10210">
            <v>0</v>
          </cell>
        </row>
        <row r="10211">
          <cell r="E10211">
            <v>0</v>
          </cell>
          <cell r="F10211">
            <v>0</v>
          </cell>
          <cell r="DN10211">
            <v>0</v>
          </cell>
        </row>
        <row r="10212">
          <cell r="E10212">
            <v>0</v>
          </cell>
          <cell r="F10212">
            <v>0</v>
          </cell>
          <cell r="DN10212">
            <v>0</v>
          </cell>
        </row>
        <row r="10213">
          <cell r="E10213">
            <v>0</v>
          </cell>
          <cell r="F10213">
            <v>0</v>
          </cell>
          <cell r="DN10213">
            <v>0</v>
          </cell>
        </row>
        <row r="10214">
          <cell r="E10214">
            <v>0</v>
          </cell>
          <cell r="F10214">
            <v>0</v>
          </cell>
          <cell r="DN10214">
            <v>0</v>
          </cell>
        </row>
        <row r="10215">
          <cell r="E10215">
            <v>0</v>
          </cell>
          <cell r="F10215">
            <v>0</v>
          </cell>
          <cell r="DN10215">
            <v>0</v>
          </cell>
        </row>
        <row r="10216">
          <cell r="E10216">
            <v>0</v>
          </cell>
          <cell r="F10216">
            <v>0</v>
          </cell>
          <cell r="DN10216">
            <v>0</v>
          </cell>
        </row>
        <row r="10217">
          <cell r="E10217">
            <v>0</v>
          </cell>
          <cell r="F10217">
            <v>0</v>
          </cell>
          <cell r="DN10217">
            <v>0</v>
          </cell>
        </row>
        <row r="10218">
          <cell r="E10218">
            <v>0</v>
          </cell>
          <cell r="F10218">
            <v>0</v>
          </cell>
          <cell r="DN10218">
            <v>0</v>
          </cell>
        </row>
        <row r="10219">
          <cell r="E10219">
            <v>0</v>
          </cell>
          <cell r="F10219">
            <v>0</v>
          </cell>
          <cell r="DN10219">
            <v>0</v>
          </cell>
        </row>
        <row r="10220">
          <cell r="E10220">
            <v>0</v>
          </cell>
          <cell r="F10220">
            <v>0</v>
          </cell>
          <cell r="DN10220">
            <v>0</v>
          </cell>
        </row>
        <row r="10221">
          <cell r="E10221">
            <v>0</v>
          </cell>
          <cell r="F10221">
            <v>0</v>
          </cell>
          <cell r="DN10221">
            <v>0</v>
          </cell>
        </row>
        <row r="10222">
          <cell r="E10222">
            <v>0</v>
          </cell>
          <cell r="F10222">
            <v>0</v>
          </cell>
          <cell r="DN10222">
            <v>0</v>
          </cell>
        </row>
        <row r="10223">
          <cell r="E10223">
            <v>0</v>
          </cell>
          <cell r="F10223">
            <v>0</v>
          </cell>
          <cell r="DN10223">
            <v>0</v>
          </cell>
        </row>
        <row r="10224">
          <cell r="E10224">
            <v>0</v>
          </cell>
          <cell r="F10224">
            <v>0</v>
          </cell>
          <cell r="DN10224">
            <v>0</v>
          </cell>
        </row>
        <row r="10225">
          <cell r="E10225">
            <v>0</v>
          </cell>
          <cell r="F10225">
            <v>0</v>
          </cell>
          <cell r="DN10225">
            <v>0</v>
          </cell>
        </row>
        <row r="10226">
          <cell r="E10226">
            <v>0</v>
          </cell>
          <cell r="F10226">
            <v>0</v>
          </cell>
          <cell r="DN10226">
            <v>0</v>
          </cell>
        </row>
        <row r="10227">
          <cell r="E10227">
            <v>0</v>
          </cell>
          <cell r="F10227">
            <v>0</v>
          </cell>
          <cell r="DN10227">
            <v>0</v>
          </cell>
        </row>
        <row r="10228">
          <cell r="E10228">
            <v>0</v>
          </cell>
          <cell r="F10228">
            <v>0</v>
          </cell>
          <cell r="DN10228">
            <v>0</v>
          </cell>
        </row>
        <row r="10229">
          <cell r="E10229">
            <v>0</v>
          </cell>
          <cell r="F10229">
            <v>0</v>
          </cell>
          <cell r="DN10229">
            <v>0</v>
          </cell>
        </row>
        <row r="10230">
          <cell r="E10230">
            <v>0</v>
          </cell>
          <cell r="F10230">
            <v>0</v>
          </cell>
          <cell r="DN10230">
            <v>0</v>
          </cell>
        </row>
        <row r="10231">
          <cell r="E10231">
            <v>0</v>
          </cell>
          <cell r="F10231">
            <v>0</v>
          </cell>
          <cell r="DN10231">
            <v>0</v>
          </cell>
        </row>
        <row r="10232">
          <cell r="E10232">
            <v>0</v>
          </cell>
          <cell r="F10232">
            <v>0</v>
          </cell>
          <cell r="DN10232">
            <v>0</v>
          </cell>
        </row>
        <row r="10233">
          <cell r="E10233">
            <v>0</v>
          </cell>
          <cell r="F10233">
            <v>0</v>
          </cell>
          <cell r="DN10233">
            <v>0</v>
          </cell>
        </row>
        <row r="10234">
          <cell r="E10234">
            <v>0</v>
          </cell>
          <cell r="F10234">
            <v>0</v>
          </cell>
          <cell r="DN10234">
            <v>0</v>
          </cell>
        </row>
        <row r="10235">
          <cell r="E10235">
            <v>0</v>
          </cell>
          <cell r="F10235">
            <v>0</v>
          </cell>
          <cell r="DN10235">
            <v>0</v>
          </cell>
        </row>
        <row r="10236">
          <cell r="E10236">
            <v>0</v>
          </cell>
          <cell r="F10236">
            <v>0</v>
          </cell>
          <cell r="DN10236">
            <v>0</v>
          </cell>
        </row>
        <row r="10237">
          <cell r="E10237">
            <v>0</v>
          </cell>
          <cell r="F10237">
            <v>0</v>
          </cell>
          <cell r="DN10237">
            <v>0</v>
          </cell>
        </row>
        <row r="10238">
          <cell r="E10238">
            <v>0</v>
          </cell>
          <cell r="F10238">
            <v>0</v>
          </cell>
          <cell r="DN10238">
            <v>0</v>
          </cell>
        </row>
        <row r="10239">
          <cell r="E10239">
            <v>0</v>
          </cell>
          <cell r="F10239">
            <v>0</v>
          </cell>
          <cell r="DN10239">
            <v>0</v>
          </cell>
        </row>
        <row r="10240">
          <cell r="E10240">
            <v>0</v>
          </cell>
          <cell r="F10240">
            <v>0</v>
          </cell>
          <cell r="DN10240">
            <v>0</v>
          </cell>
        </row>
        <row r="10241">
          <cell r="E10241">
            <v>0</v>
          </cell>
          <cell r="F10241">
            <v>0</v>
          </cell>
          <cell r="DN10241">
            <v>0</v>
          </cell>
        </row>
        <row r="10242">
          <cell r="E10242">
            <v>0</v>
          </cell>
          <cell r="F10242">
            <v>0</v>
          </cell>
          <cell r="DN10242">
            <v>0</v>
          </cell>
        </row>
        <row r="10243">
          <cell r="E10243">
            <v>0</v>
          </cell>
          <cell r="F10243">
            <v>0</v>
          </cell>
          <cell r="DN10243">
            <v>0</v>
          </cell>
        </row>
        <row r="10244">
          <cell r="E10244">
            <v>0</v>
          </cell>
          <cell r="F10244">
            <v>0</v>
          </cell>
          <cell r="DN10244">
            <v>0</v>
          </cell>
        </row>
        <row r="10245">
          <cell r="E10245">
            <v>0</v>
          </cell>
          <cell r="F10245">
            <v>0</v>
          </cell>
          <cell r="DN10245">
            <v>0</v>
          </cell>
        </row>
        <row r="10246">
          <cell r="E10246">
            <v>0</v>
          </cell>
          <cell r="F10246">
            <v>0</v>
          </cell>
          <cell r="DN10246">
            <v>0</v>
          </cell>
        </row>
        <row r="10247">
          <cell r="E10247">
            <v>0</v>
          </cell>
          <cell r="F10247">
            <v>0</v>
          </cell>
          <cell r="DN10247">
            <v>0</v>
          </cell>
        </row>
        <row r="10248">
          <cell r="E10248">
            <v>0</v>
          </cell>
          <cell r="F10248">
            <v>0</v>
          </cell>
          <cell r="DN10248">
            <v>0</v>
          </cell>
        </row>
        <row r="10249">
          <cell r="E10249">
            <v>0</v>
          </cell>
          <cell r="F10249">
            <v>0</v>
          </cell>
          <cell r="DN10249">
            <v>0</v>
          </cell>
        </row>
        <row r="10250">
          <cell r="E10250">
            <v>0</v>
          </cell>
          <cell r="F10250">
            <v>0</v>
          </cell>
          <cell r="DN10250">
            <v>0</v>
          </cell>
        </row>
        <row r="10251">
          <cell r="E10251">
            <v>0</v>
          </cell>
          <cell r="F10251">
            <v>0</v>
          </cell>
          <cell r="DN10251">
            <v>0</v>
          </cell>
        </row>
        <row r="10252">
          <cell r="E10252">
            <v>0</v>
          </cell>
          <cell r="F10252">
            <v>0</v>
          </cell>
          <cell r="DN10252">
            <v>0</v>
          </cell>
        </row>
        <row r="10253">
          <cell r="E10253">
            <v>0</v>
          </cell>
          <cell r="F10253">
            <v>0</v>
          </cell>
          <cell r="DN10253">
            <v>0</v>
          </cell>
        </row>
        <row r="10254">
          <cell r="E10254">
            <v>0</v>
          </cell>
          <cell r="F10254">
            <v>0</v>
          </cell>
          <cell r="DN10254">
            <v>0</v>
          </cell>
        </row>
        <row r="10255">
          <cell r="E10255">
            <v>0</v>
          </cell>
          <cell r="F10255">
            <v>0</v>
          </cell>
          <cell r="DN10255">
            <v>0</v>
          </cell>
        </row>
        <row r="10256">
          <cell r="E10256">
            <v>0</v>
          </cell>
          <cell r="F10256">
            <v>0</v>
          </cell>
          <cell r="DN10256">
            <v>0</v>
          </cell>
        </row>
        <row r="10257">
          <cell r="E10257">
            <v>0</v>
          </cell>
          <cell r="F10257">
            <v>0</v>
          </cell>
          <cell r="DN10257">
            <v>0</v>
          </cell>
        </row>
        <row r="10258">
          <cell r="E10258">
            <v>0</v>
          </cell>
          <cell r="F10258">
            <v>0</v>
          </cell>
          <cell r="DN10258">
            <v>0</v>
          </cell>
        </row>
        <row r="10259">
          <cell r="E10259">
            <v>0</v>
          </cell>
          <cell r="F10259">
            <v>0</v>
          </cell>
          <cell r="DN10259">
            <v>0</v>
          </cell>
        </row>
        <row r="10260">
          <cell r="E10260">
            <v>0</v>
          </cell>
          <cell r="F10260">
            <v>0</v>
          </cell>
          <cell r="DN10260">
            <v>0</v>
          </cell>
        </row>
        <row r="10261">
          <cell r="E10261">
            <v>0</v>
          </cell>
          <cell r="F10261">
            <v>0</v>
          </cell>
          <cell r="DN10261">
            <v>0</v>
          </cell>
        </row>
        <row r="10262">
          <cell r="E10262">
            <v>0</v>
          </cell>
          <cell r="F10262">
            <v>0</v>
          </cell>
          <cell r="DN10262">
            <v>0</v>
          </cell>
        </row>
        <row r="10263">
          <cell r="E10263">
            <v>0</v>
          </cell>
          <cell r="F10263">
            <v>0</v>
          </cell>
          <cell r="DN10263">
            <v>0</v>
          </cell>
        </row>
        <row r="10264">
          <cell r="E10264">
            <v>0</v>
          </cell>
          <cell r="F10264">
            <v>0</v>
          </cell>
          <cell r="DN10264">
            <v>0</v>
          </cell>
        </row>
        <row r="10265">
          <cell r="E10265">
            <v>0</v>
          </cell>
          <cell r="F10265">
            <v>0</v>
          </cell>
          <cell r="DN10265">
            <v>0</v>
          </cell>
        </row>
        <row r="10266">
          <cell r="E10266">
            <v>0</v>
          </cell>
          <cell r="F10266">
            <v>0</v>
          </cell>
          <cell r="DN10266">
            <v>0</v>
          </cell>
        </row>
        <row r="10267">
          <cell r="E10267">
            <v>0</v>
          </cell>
          <cell r="F10267">
            <v>0</v>
          </cell>
          <cell r="DN10267">
            <v>0</v>
          </cell>
        </row>
        <row r="10268">
          <cell r="E10268">
            <v>0</v>
          </cell>
          <cell r="F10268">
            <v>0</v>
          </cell>
          <cell r="DN10268">
            <v>0</v>
          </cell>
        </row>
        <row r="10269">
          <cell r="E10269">
            <v>0</v>
          </cell>
          <cell r="F10269">
            <v>0</v>
          </cell>
          <cell r="DN10269">
            <v>0</v>
          </cell>
        </row>
        <row r="10270">
          <cell r="E10270">
            <v>0</v>
          </cell>
          <cell r="F10270">
            <v>0</v>
          </cell>
          <cell r="DN10270">
            <v>0</v>
          </cell>
        </row>
        <row r="10271">
          <cell r="E10271">
            <v>0</v>
          </cell>
          <cell r="F10271">
            <v>0</v>
          </cell>
          <cell r="DN10271">
            <v>0</v>
          </cell>
        </row>
        <row r="10272">
          <cell r="E10272">
            <v>0</v>
          </cell>
          <cell r="F10272">
            <v>0</v>
          </cell>
          <cell r="DN10272">
            <v>0</v>
          </cell>
        </row>
        <row r="10273">
          <cell r="E10273">
            <v>0</v>
          </cell>
          <cell r="F10273">
            <v>0</v>
          </cell>
          <cell r="DN10273">
            <v>0</v>
          </cell>
        </row>
        <row r="10274">
          <cell r="E10274">
            <v>0</v>
          </cell>
          <cell r="F10274">
            <v>0</v>
          </cell>
          <cell r="DN10274">
            <v>0</v>
          </cell>
        </row>
        <row r="10275">
          <cell r="E10275">
            <v>0</v>
          </cell>
          <cell r="F10275">
            <v>0</v>
          </cell>
          <cell r="DN10275">
            <v>0</v>
          </cell>
        </row>
        <row r="10276">
          <cell r="E10276">
            <v>0</v>
          </cell>
          <cell r="F10276">
            <v>0</v>
          </cell>
          <cell r="DN10276">
            <v>0</v>
          </cell>
        </row>
        <row r="10277">
          <cell r="E10277">
            <v>0</v>
          </cell>
          <cell r="F10277">
            <v>0</v>
          </cell>
          <cell r="DN10277">
            <v>0</v>
          </cell>
        </row>
        <row r="10278">
          <cell r="E10278">
            <v>0</v>
          </cell>
          <cell r="F10278">
            <v>0</v>
          </cell>
          <cell r="DN10278">
            <v>0</v>
          </cell>
        </row>
        <row r="10279">
          <cell r="E10279">
            <v>0</v>
          </cell>
          <cell r="F10279">
            <v>0</v>
          </cell>
          <cell r="DN10279">
            <v>0</v>
          </cell>
        </row>
        <row r="10280">
          <cell r="E10280">
            <v>0</v>
          </cell>
          <cell r="F10280">
            <v>0</v>
          </cell>
          <cell r="DN10280">
            <v>0</v>
          </cell>
        </row>
        <row r="10281">
          <cell r="E10281">
            <v>0</v>
          </cell>
          <cell r="F10281">
            <v>0</v>
          </cell>
          <cell r="DN10281">
            <v>0</v>
          </cell>
        </row>
        <row r="10282">
          <cell r="E10282">
            <v>0</v>
          </cell>
          <cell r="F10282">
            <v>0</v>
          </cell>
          <cell r="DN10282">
            <v>0</v>
          </cell>
        </row>
        <row r="10283">
          <cell r="E10283">
            <v>0</v>
          </cell>
          <cell r="F10283">
            <v>0</v>
          </cell>
          <cell r="DN10283">
            <v>0</v>
          </cell>
        </row>
        <row r="10284">
          <cell r="E10284">
            <v>0</v>
          </cell>
          <cell r="F10284">
            <v>0</v>
          </cell>
          <cell r="DN10284">
            <v>0</v>
          </cell>
        </row>
        <row r="10285">
          <cell r="E10285">
            <v>0</v>
          </cell>
          <cell r="F10285">
            <v>0</v>
          </cell>
          <cell r="DN10285">
            <v>0</v>
          </cell>
        </row>
        <row r="10286">
          <cell r="E10286">
            <v>0</v>
          </cell>
          <cell r="F10286">
            <v>0</v>
          </cell>
          <cell r="DN10286">
            <v>0</v>
          </cell>
        </row>
        <row r="10287">
          <cell r="E10287">
            <v>0</v>
          </cell>
          <cell r="F10287">
            <v>0</v>
          </cell>
          <cell r="DN10287">
            <v>0</v>
          </cell>
        </row>
        <row r="10288">
          <cell r="E10288">
            <v>0</v>
          </cell>
          <cell r="F10288">
            <v>0</v>
          </cell>
          <cell r="DN10288">
            <v>0</v>
          </cell>
        </row>
        <row r="10289">
          <cell r="E10289">
            <v>0</v>
          </cell>
          <cell r="F10289">
            <v>0</v>
          </cell>
          <cell r="DN10289">
            <v>0</v>
          </cell>
        </row>
        <row r="10290">
          <cell r="E10290">
            <v>0</v>
          </cell>
          <cell r="F10290">
            <v>0</v>
          </cell>
          <cell r="DN10290">
            <v>0</v>
          </cell>
        </row>
        <row r="10291">
          <cell r="E10291">
            <v>0</v>
          </cell>
          <cell r="F10291">
            <v>0</v>
          </cell>
          <cell r="DN10291">
            <v>0</v>
          </cell>
        </row>
        <row r="10292">
          <cell r="E10292">
            <v>0</v>
          </cell>
          <cell r="F10292">
            <v>0</v>
          </cell>
          <cell r="DN10292">
            <v>0</v>
          </cell>
        </row>
        <row r="10293">
          <cell r="E10293">
            <v>0</v>
          </cell>
          <cell r="F10293">
            <v>0</v>
          </cell>
          <cell r="DN10293">
            <v>0</v>
          </cell>
        </row>
        <row r="10294">
          <cell r="E10294">
            <v>0</v>
          </cell>
          <cell r="F10294">
            <v>0</v>
          </cell>
          <cell r="DN10294">
            <v>0</v>
          </cell>
        </row>
        <row r="10295">
          <cell r="E10295">
            <v>0</v>
          </cell>
          <cell r="F10295">
            <v>0</v>
          </cell>
          <cell r="DN10295">
            <v>0</v>
          </cell>
        </row>
        <row r="10296">
          <cell r="E10296">
            <v>0</v>
          </cell>
          <cell r="F10296">
            <v>0</v>
          </cell>
          <cell r="DN10296">
            <v>0</v>
          </cell>
        </row>
        <row r="10297">
          <cell r="E10297">
            <v>0</v>
          </cell>
          <cell r="F10297">
            <v>0</v>
          </cell>
          <cell r="DN10297">
            <v>0</v>
          </cell>
        </row>
        <row r="10298">
          <cell r="E10298">
            <v>0</v>
          </cell>
          <cell r="F10298">
            <v>0</v>
          </cell>
          <cell r="DN10298">
            <v>0</v>
          </cell>
        </row>
        <row r="10299">
          <cell r="E10299">
            <v>0</v>
          </cell>
          <cell r="F10299">
            <v>0</v>
          </cell>
          <cell r="DN10299">
            <v>0</v>
          </cell>
        </row>
        <row r="10300">
          <cell r="E10300">
            <v>0</v>
          </cell>
          <cell r="F10300">
            <v>0</v>
          </cell>
          <cell r="DN10300">
            <v>0</v>
          </cell>
        </row>
        <row r="10301">
          <cell r="E10301">
            <v>0</v>
          </cell>
          <cell r="F10301">
            <v>0</v>
          </cell>
          <cell r="DN10301">
            <v>0</v>
          </cell>
        </row>
        <row r="10302">
          <cell r="E10302">
            <v>0</v>
          </cell>
          <cell r="F10302">
            <v>0</v>
          </cell>
          <cell r="DN10302">
            <v>0</v>
          </cell>
        </row>
        <row r="10303">
          <cell r="E10303">
            <v>0</v>
          </cell>
          <cell r="F10303">
            <v>0</v>
          </cell>
          <cell r="DN10303">
            <v>0</v>
          </cell>
        </row>
        <row r="10304">
          <cell r="E10304">
            <v>0</v>
          </cell>
          <cell r="F10304">
            <v>0</v>
          </cell>
          <cell r="DN10304">
            <v>0</v>
          </cell>
        </row>
        <row r="10305">
          <cell r="E10305">
            <v>0</v>
          </cell>
          <cell r="F10305">
            <v>0</v>
          </cell>
          <cell r="DN10305">
            <v>0</v>
          </cell>
        </row>
        <row r="10306">
          <cell r="E10306">
            <v>0</v>
          </cell>
          <cell r="F10306">
            <v>0</v>
          </cell>
          <cell r="DN10306">
            <v>0</v>
          </cell>
        </row>
        <row r="10307">
          <cell r="E10307">
            <v>0</v>
          </cell>
          <cell r="F10307">
            <v>0</v>
          </cell>
          <cell r="DN10307">
            <v>0</v>
          </cell>
        </row>
        <row r="10308">
          <cell r="E10308">
            <v>0</v>
          </cell>
          <cell r="F10308">
            <v>0</v>
          </cell>
          <cell r="DN10308">
            <v>0</v>
          </cell>
        </row>
        <row r="10309">
          <cell r="E10309">
            <v>0</v>
          </cell>
          <cell r="F10309">
            <v>0</v>
          </cell>
          <cell r="DN10309">
            <v>0</v>
          </cell>
        </row>
        <row r="10310">
          <cell r="E10310">
            <v>0</v>
          </cell>
          <cell r="F10310">
            <v>0</v>
          </cell>
          <cell r="DN10310">
            <v>0</v>
          </cell>
        </row>
        <row r="10311">
          <cell r="E10311">
            <v>0</v>
          </cell>
          <cell r="F10311">
            <v>0</v>
          </cell>
          <cell r="DN10311">
            <v>0</v>
          </cell>
        </row>
        <row r="10312">
          <cell r="E10312">
            <v>0</v>
          </cell>
          <cell r="F10312">
            <v>0</v>
          </cell>
          <cell r="DN10312">
            <v>0</v>
          </cell>
        </row>
        <row r="10313">
          <cell r="E10313">
            <v>0</v>
          </cell>
          <cell r="F10313">
            <v>0</v>
          </cell>
          <cell r="DN10313">
            <v>0</v>
          </cell>
        </row>
        <row r="10314">
          <cell r="E10314">
            <v>0</v>
          </cell>
          <cell r="F10314">
            <v>0</v>
          </cell>
          <cell r="DN10314">
            <v>0</v>
          </cell>
        </row>
        <row r="10315">
          <cell r="E10315">
            <v>0</v>
          </cell>
          <cell r="F10315">
            <v>0</v>
          </cell>
          <cell r="DN10315">
            <v>0</v>
          </cell>
        </row>
        <row r="10316">
          <cell r="E10316">
            <v>0</v>
          </cell>
          <cell r="F10316">
            <v>0</v>
          </cell>
          <cell r="DN10316">
            <v>0</v>
          </cell>
        </row>
        <row r="10317">
          <cell r="E10317">
            <v>0</v>
          </cell>
          <cell r="F10317">
            <v>0</v>
          </cell>
          <cell r="DN10317">
            <v>0</v>
          </cell>
        </row>
        <row r="10318">
          <cell r="E10318">
            <v>0</v>
          </cell>
          <cell r="F10318">
            <v>0</v>
          </cell>
          <cell r="DN10318">
            <v>0</v>
          </cell>
        </row>
        <row r="10319">
          <cell r="E10319">
            <v>0</v>
          </cell>
          <cell r="F10319">
            <v>0</v>
          </cell>
          <cell r="DN10319">
            <v>0</v>
          </cell>
        </row>
        <row r="10320">
          <cell r="E10320">
            <v>0</v>
          </cell>
          <cell r="F10320">
            <v>0</v>
          </cell>
          <cell r="DN10320">
            <v>0</v>
          </cell>
        </row>
        <row r="10321">
          <cell r="E10321">
            <v>0</v>
          </cell>
          <cell r="F10321">
            <v>0</v>
          </cell>
          <cell r="DN10321">
            <v>0</v>
          </cell>
        </row>
        <row r="10322">
          <cell r="E10322">
            <v>0</v>
          </cell>
          <cell r="F10322">
            <v>0</v>
          </cell>
          <cell r="DN10322">
            <v>0</v>
          </cell>
        </row>
        <row r="10323">
          <cell r="E10323">
            <v>0</v>
          </cell>
          <cell r="F10323">
            <v>0</v>
          </cell>
          <cell r="DN10323">
            <v>0</v>
          </cell>
        </row>
        <row r="10324">
          <cell r="E10324">
            <v>0</v>
          </cell>
          <cell r="F10324">
            <v>0</v>
          </cell>
          <cell r="DN10324">
            <v>0</v>
          </cell>
        </row>
        <row r="10325">
          <cell r="E10325">
            <v>0</v>
          </cell>
          <cell r="F10325">
            <v>0</v>
          </cell>
          <cell r="DN10325">
            <v>0</v>
          </cell>
        </row>
        <row r="10326">
          <cell r="E10326">
            <v>0</v>
          </cell>
          <cell r="F10326">
            <v>0</v>
          </cell>
          <cell r="DN10326">
            <v>0</v>
          </cell>
        </row>
        <row r="10327">
          <cell r="E10327">
            <v>0</v>
          </cell>
          <cell r="F10327">
            <v>0</v>
          </cell>
          <cell r="DN10327">
            <v>0</v>
          </cell>
        </row>
        <row r="10328">
          <cell r="E10328">
            <v>0</v>
          </cell>
          <cell r="F10328">
            <v>0</v>
          </cell>
          <cell r="DN10328">
            <v>0</v>
          </cell>
        </row>
        <row r="10329">
          <cell r="E10329">
            <v>0</v>
          </cell>
          <cell r="F10329">
            <v>0</v>
          </cell>
          <cell r="DN10329">
            <v>0</v>
          </cell>
        </row>
        <row r="10330">
          <cell r="E10330">
            <v>0</v>
          </cell>
          <cell r="F10330">
            <v>0</v>
          </cell>
          <cell r="DN10330">
            <v>0</v>
          </cell>
        </row>
        <row r="10331">
          <cell r="E10331">
            <v>0</v>
          </cell>
          <cell r="F10331">
            <v>0</v>
          </cell>
          <cell r="DN10331">
            <v>0</v>
          </cell>
        </row>
        <row r="10332">
          <cell r="E10332">
            <v>0</v>
          </cell>
          <cell r="F10332">
            <v>0</v>
          </cell>
          <cell r="DN10332">
            <v>0</v>
          </cell>
        </row>
        <row r="10333">
          <cell r="E10333">
            <v>0</v>
          </cell>
          <cell r="F10333">
            <v>0</v>
          </cell>
          <cell r="DN10333">
            <v>0</v>
          </cell>
        </row>
        <row r="10334">
          <cell r="E10334">
            <v>0</v>
          </cell>
          <cell r="F10334">
            <v>0</v>
          </cell>
          <cell r="DN10334">
            <v>0</v>
          </cell>
        </row>
        <row r="10335">
          <cell r="E10335">
            <v>0</v>
          </cell>
          <cell r="F10335">
            <v>0</v>
          </cell>
          <cell r="DN10335">
            <v>0</v>
          </cell>
        </row>
        <row r="10336">
          <cell r="E10336">
            <v>0</v>
          </cell>
          <cell r="F10336">
            <v>0</v>
          </cell>
          <cell r="DN10336">
            <v>0</v>
          </cell>
        </row>
        <row r="10337">
          <cell r="E10337">
            <v>0</v>
          </cell>
          <cell r="F10337">
            <v>0</v>
          </cell>
          <cell r="DN10337">
            <v>0</v>
          </cell>
        </row>
        <row r="10338">
          <cell r="E10338">
            <v>0</v>
          </cell>
          <cell r="F10338">
            <v>0</v>
          </cell>
          <cell r="DN10338">
            <v>0</v>
          </cell>
        </row>
        <row r="10339">
          <cell r="E10339">
            <v>0</v>
          </cell>
          <cell r="F10339">
            <v>0</v>
          </cell>
          <cell r="DN10339">
            <v>0</v>
          </cell>
        </row>
        <row r="10340">
          <cell r="E10340">
            <v>0</v>
          </cell>
          <cell r="F10340">
            <v>0</v>
          </cell>
          <cell r="DN10340">
            <v>0</v>
          </cell>
        </row>
        <row r="10341">
          <cell r="E10341">
            <v>0</v>
          </cell>
          <cell r="F10341">
            <v>0</v>
          </cell>
          <cell r="DN10341">
            <v>0</v>
          </cell>
        </row>
        <row r="10342">
          <cell r="E10342">
            <v>0</v>
          </cell>
          <cell r="F10342">
            <v>0</v>
          </cell>
          <cell r="DN10342">
            <v>0</v>
          </cell>
        </row>
        <row r="10343">
          <cell r="E10343">
            <v>0</v>
          </cell>
          <cell r="F10343">
            <v>0</v>
          </cell>
          <cell r="DN10343">
            <v>0</v>
          </cell>
        </row>
        <row r="10344">
          <cell r="E10344">
            <v>0</v>
          </cell>
          <cell r="F10344">
            <v>0</v>
          </cell>
          <cell r="DN10344">
            <v>0</v>
          </cell>
        </row>
        <row r="10345">
          <cell r="E10345">
            <v>0</v>
          </cell>
          <cell r="F10345">
            <v>0</v>
          </cell>
          <cell r="DN10345">
            <v>0</v>
          </cell>
        </row>
        <row r="10346">
          <cell r="E10346">
            <v>0</v>
          </cell>
          <cell r="F10346">
            <v>0</v>
          </cell>
          <cell r="DN10346">
            <v>0</v>
          </cell>
        </row>
        <row r="10347">
          <cell r="E10347">
            <v>0</v>
          </cell>
          <cell r="F10347">
            <v>0</v>
          </cell>
          <cell r="DN10347">
            <v>0</v>
          </cell>
        </row>
        <row r="10348">
          <cell r="E10348">
            <v>0</v>
          </cell>
          <cell r="F10348">
            <v>0</v>
          </cell>
          <cell r="DN10348">
            <v>0</v>
          </cell>
        </row>
        <row r="10349">
          <cell r="E10349">
            <v>0</v>
          </cell>
          <cell r="F10349">
            <v>0</v>
          </cell>
          <cell r="DN10349">
            <v>0</v>
          </cell>
        </row>
        <row r="10350">
          <cell r="E10350">
            <v>0</v>
          </cell>
          <cell r="F10350">
            <v>0</v>
          </cell>
          <cell r="DN10350">
            <v>0</v>
          </cell>
        </row>
        <row r="10351">
          <cell r="E10351">
            <v>0</v>
          </cell>
          <cell r="F10351">
            <v>0</v>
          </cell>
          <cell r="DN10351">
            <v>0</v>
          </cell>
        </row>
        <row r="10352">
          <cell r="E10352">
            <v>0</v>
          </cell>
          <cell r="F10352">
            <v>0</v>
          </cell>
          <cell r="DN10352">
            <v>0</v>
          </cell>
        </row>
        <row r="10353">
          <cell r="E10353">
            <v>0</v>
          </cell>
          <cell r="F10353">
            <v>0</v>
          </cell>
          <cell r="DN10353">
            <v>0</v>
          </cell>
        </row>
        <row r="10354">
          <cell r="E10354">
            <v>0</v>
          </cell>
          <cell r="F10354">
            <v>0</v>
          </cell>
          <cell r="DN10354">
            <v>0</v>
          </cell>
        </row>
        <row r="10355">
          <cell r="E10355">
            <v>0</v>
          </cell>
          <cell r="F10355">
            <v>0</v>
          </cell>
          <cell r="DN10355">
            <v>0</v>
          </cell>
        </row>
        <row r="10356">
          <cell r="E10356">
            <v>0</v>
          </cell>
          <cell r="F10356">
            <v>0</v>
          </cell>
          <cell r="DN10356">
            <v>0</v>
          </cell>
        </row>
        <row r="10357">
          <cell r="E10357">
            <v>0</v>
          </cell>
          <cell r="F10357">
            <v>0</v>
          </cell>
          <cell r="DN10357">
            <v>0</v>
          </cell>
        </row>
        <row r="10358">
          <cell r="E10358">
            <v>0</v>
          </cell>
          <cell r="F10358">
            <v>0</v>
          </cell>
          <cell r="DN10358">
            <v>0</v>
          </cell>
        </row>
        <row r="10359">
          <cell r="E10359">
            <v>0</v>
          </cell>
          <cell r="F10359">
            <v>0</v>
          </cell>
          <cell r="DN10359">
            <v>0</v>
          </cell>
        </row>
        <row r="10360">
          <cell r="E10360">
            <v>0</v>
          </cell>
          <cell r="F10360">
            <v>0</v>
          </cell>
          <cell r="DN10360">
            <v>0</v>
          </cell>
        </row>
        <row r="10361">
          <cell r="E10361">
            <v>0</v>
          </cell>
          <cell r="F10361">
            <v>0</v>
          </cell>
          <cell r="DN10361">
            <v>0</v>
          </cell>
        </row>
        <row r="10362">
          <cell r="E10362">
            <v>0</v>
          </cell>
          <cell r="F10362">
            <v>0</v>
          </cell>
          <cell r="DN10362">
            <v>0</v>
          </cell>
        </row>
        <row r="10363">
          <cell r="E10363">
            <v>0</v>
          </cell>
          <cell r="F10363">
            <v>0</v>
          </cell>
          <cell r="DN10363">
            <v>0</v>
          </cell>
        </row>
        <row r="10364">
          <cell r="E10364">
            <v>0</v>
          </cell>
          <cell r="F10364">
            <v>0</v>
          </cell>
          <cell r="DN10364">
            <v>0</v>
          </cell>
        </row>
        <row r="10365">
          <cell r="E10365">
            <v>0</v>
          </cell>
          <cell r="F10365">
            <v>0</v>
          </cell>
          <cell r="DN10365">
            <v>0</v>
          </cell>
        </row>
        <row r="10366">
          <cell r="E10366">
            <v>0</v>
          </cell>
          <cell r="F10366">
            <v>0</v>
          </cell>
          <cell r="DN10366">
            <v>0</v>
          </cell>
        </row>
        <row r="10367">
          <cell r="E10367">
            <v>0</v>
          </cell>
          <cell r="F10367">
            <v>0</v>
          </cell>
          <cell r="DN10367">
            <v>0</v>
          </cell>
        </row>
        <row r="10368">
          <cell r="E10368">
            <v>0</v>
          </cell>
          <cell r="F10368">
            <v>0</v>
          </cell>
          <cell r="DN10368">
            <v>0</v>
          </cell>
        </row>
        <row r="10369">
          <cell r="E10369">
            <v>0</v>
          </cell>
          <cell r="F10369">
            <v>0</v>
          </cell>
          <cell r="DN10369">
            <v>0</v>
          </cell>
        </row>
        <row r="10370">
          <cell r="E10370">
            <v>0</v>
          </cell>
          <cell r="F10370">
            <v>0</v>
          </cell>
          <cell r="DN10370">
            <v>0</v>
          </cell>
        </row>
        <row r="10371">
          <cell r="E10371">
            <v>0</v>
          </cell>
          <cell r="F10371">
            <v>0</v>
          </cell>
          <cell r="DN10371">
            <v>0</v>
          </cell>
        </row>
        <row r="10372">
          <cell r="E10372">
            <v>0</v>
          </cell>
          <cell r="F10372">
            <v>0</v>
          </cell>
          <cell r="DN10372">
            <v>0</v>
          </cell>
        </row>
        <row r="10373">
          <cell r="E10373">
            <v>0</v>
          </cell>
          <cell r="F10373">
            <v>0</v>
          </cell>
          <cell r="DN10373">
            <v>0</v>
          </cell>
        </row>
        <row r="10374">
          <cell r="E10374">
            <v>0</v>
          </cell>
          <cell r="F10374">
            <v>0</v>
          </cell>
          <cell r="DN10374">
            <v>0</v>
          </cell>
        </row>
        <row r="10375">
          <cell r="E10375">
            <v>0</v>
          </cell>
          <cell r="F10375">
            <v>0</v>
          </cell>
          <cell r="DN10375">
            <v>0</v>
          </cell>
        </row>
        <row r="10376">
          <cell r="E10376">
            <v>0</v>
          </cell>
          <cell r="F10376">
            <v>0</v>
          </cell>
          <cell r="DN10376">
            <v>0</v>
          </cell>
        </row>
        <row r="10377">
          <cell r="E10377">
            <v>0</v>
          </cell>
          <cell r="F10377">
            <v>0</v>
          </cell>
          <cell r="DN10377">
            <v>0</v>
          </cell>
        </row>
        <row r="10378">
          <cell r="E10378">
            <v>0</v>
          </cell>
          <cell r="F10378">
            <v>0</v>
          </cell>
          <cell r="DN10378">
            <v>0</v>
          </cell>
        </row>
        <row r="10379">
          <cell r="E10379">
            <v>0</v>
          </cell>
          <cell r="F10379">
            <v>0</v>
          </cell>
          <cell r="DN10379">
            <v>0</v>
          </cell>
        </row>
        <row r="10380">
          <cell r="E10380">
            <v>0</v>
          </cell>
          <cell r="F10380">
            <v>0</v>
          </cell>
          <cell r="DN10380">
            <v>0</v>
          </cell>
        </row>
        <row r="10381">
          <cell r="E10381">
            <v>0</v>
          </cell>
          <cell r="F10381">
            <v>0</v>
          </cell>
          <cell r="DN10381">
            <v>0</v>
          </cell>
        </row>
        <row r="10382">
          <cell r="E10382">
            <v>0</v>
          </cell>
          <cell r="F10382">
            <v>0</v>
          </cell>
          <cell r="DN10382">
            <v>0</v>
          </cell>
        </row>
        <row r="10383">
          <cell r="E10383">
            <v>0</v>
          </cell>
          <cell r="F10383">
            <v>0</v>
          </cell>
          <cell r="DN10383">
            <v>0</v>
          </cell>
        </row>
        <row r="10384">
          <cell r="E10384">
            <v>0</v>
          </cell>
          <cell r="F10384">
            <v>0</v>
          </cell>
          <cell r="DN10384">
            <v>0</v>
          </cell>
        </row>
        <row r="10385">
          <cell r="E10385">
            <v>0</v>
          </cell>
          <cell r="F10385">
            <v>0</v>
          </cell>
          <cell r="DN10385">
            <v>0</v>
          </cell>
        </row>
        <row r="10386">
          <cell r="E10386">
            <v>0</v>
          </cell>
          <cell r="F10386">
            <v>0</v>
          </cell>
          <cell r="DN10386">
            <v>0</v>
          </cell>
        </row>
        <row r="10387">
          <cell r="E10387">
            <v>0</v>
          </cell>
          <cell r="F10387">
            <v>0</v>
          </cell>
          <cell r="DN10387">
            <v>0</v>
          </cell>
        </row>
        <row r="10388">
          <cell r="E10388">
            <v>0</v>
          </cell>
          <cell r="F10388">
            <v>0</v>
          </cell>
          <cell r="DN10388">
            <v>0</v>
          </cell>
        </row>
        <row r="10389">
          <cell r="E10389">
            <v>0</v>
          </cell>
          <cell r="F10389">
            <v>0</v>
          </cell>
          <cell r="DN10389">
            <v>0</v>
          </cell>
        </row>
        <row r="10390">
          <cell r="E10390">
            <v>0</v>
          </cell>
          <cell r="F10390">
            <v>0</v>
          </cell>
          <cell r="DN10390">
            <v>0</v>
          </cell>
        </row>
        <row r="10391">
          <cell r="E10391">
            <v>0</v>
          </cell>
          <cell r="F10391">
            <v>0</v>
          </cell>
          <cell r="DN10391">
            <v>0</v>
          </cell>
        </row>
        <row r="10392">
          <cell r="E10392">
            <v>0</v>
          </cell>
          <cell r="F10392">
            <v>0</v>
          </cell>
          <cell r="DN10392">
            <v>0</v>
          </cell>
        </row>
        <row r="10393">
          <cell r="E10393">
            <v>0</v>
          </cell>
          <cell r="F10393">
            <v>0</v>
          </cell>
          <cell r="DN10393">
            <v>0</v>
          </cell>
        </row>
        <row r="10394">
          <cell r="E10394">
            <v>0</v>
          </cell>
          <cell r="F10394">
            <v>0</v>
          </cell>
          <cell r="DN10394">
            <v>0</v>
          </cell>
        </row>
        <row r="10395">
          <cell r="E10395">
            <v>0</v>
          </cell>
          <cell r="F10395">
            <v>0</v>
          </cell>
          <cell r="DN10395">
            <v>0</v>
          </cell>
        </row>
        <row r="10396">
          <cell r="E10396">
            <v>0</v>
          </cell>
          <cell r="F10396">
            <v>0</v>
          </cell>
          <cell r="DN10396">
            <v>0</v>
          </cell>
        </row>
        <row r="10397">
          <cell r="E10397">
            <v>0</v>
          </cell>
          <cell r="F10397">
            <v>0</v>
          </cell>
          <cell r="DN10397">
            <v>0</v>
          </cell>
        </row>
        <row r="10398">
          <cell r="E10398">
            <v>0</v>
          </cell>
          <cell r="F10398">
            <v>0</v>
          </cell>
          <cell r="DN10398">
            <v>0</v>
          </cell>
        </row>
        <row r="10399">
          <cell r="E10399">
            <v>0</v>
          </cell>
          <cell r="F10399">
            <v>0</v>
          </cell>
          <cell r="DN10399">
            <v>0</v>
          </cell>
        </row>
        <row r="10400">
          <cell r="E10400">
            <v>0</v>
          </cell>
          <cell r="F10400">
            <v>0</v>
          </cell>
          <cell r="DN10400">
            <v>0</v>
          </cell>
        </row>
        <row r="10401">
          <cell r="E10401">
            <v>0</v>
          </cell>
          <cell r="F10401">
            <v>0</v>
          </cell>
          <cell r="DN10401">
            <v>0</v>
          </cell>
        </row>
        <row r="10402">
          <cell r="E10402">
            <v>0</v>
          </cell>
          <cell r="F10402">
            <v>0</v>
          </cell>
          <cell r="DN10402">
            <v>0</v>
          </cell>
        </row>
        <row r="10403">
          <cell r="E10403">
            <v>0</v>
          </cell>
          <cell r="F10403">
            <v>0</v>
          </cell>
          <cell r="DN10403">
            <v>0</v>
          </cell>
        </row>
        <row r="10404">
          <cell r="E10404">
            <v>0</v>
          </cell>
          <cell r="F10404">
            <v>0</v>
          </cell>
          <cell r="DN10404">
            <v>0</v>
          </cell>
        </row>
        <row r="10405">
          <cell r="E10405">
            <v>0</v>
          </cell>
          <cell r="F10405">
            <v>0</v>
          </cell>
          <cell r="DN10405">
            <v>0</v>
          </cell>
        </row>
        <row r="10406">
          <cell r="E10406">
            <v>0</v>
          </cell>
          <cell r="F10406">
            <v>0</v>
          </cell>
          <cell r="DN10406">
            <v>0</v>
          </cell>
        </row>
        <row r="10407">
          <cell r="E10407">
            <v>0</v>
          </cell>
          <cell r="F10407">
            <v>0</v>
          </cell>
          <cell r="DN10407">
            <v>0</v>
          </cell>
        </row>
        <row r="10408">
          <cell r="E10408">
            <v>0</v>
          </cell>
          <cell r="F10408">
            <v>0</v>
          </cell>
          <cell r="DN10408">
            <v>0</v>
          </cell>
        </row>
        <row r="10409">
          <cell r="E10409">
            <v>0</v>
          </cell>
          <cell r="F10409">
            <v>0</v>
          </cell>
          <cell r="DN10409">
            <v>0</v>
          </cell>
        </row>
        <row r="10410">
          <cell r="E10410">
            <v>0</v>
          </cell>
          <cell r="F10410">
            <v>0</v>
          </cell>
          <cell r="DN10410">
            <v>0</v>
          </cell>
        </row>
        <row r="10411">
          <cell r="E10411">
            <v>0</v>
          </cell>
          <cell r="F10411">
            <v>0</v>
          </cell>
          <cell r="DN10411">
            <v>0</v>
          </cell>
        </row>
        <row r="10412">
          <cell r="E10412">
            <v>0</v>
          </cell>
          <cell r="F10412">
            <v>0</v>
          </cell>
          <cell r="DN10412">
            <v>0</v>
          </cell>
        </row>
        <row r="10413">
          <cell r="E10413">
            <v>0</v>
          </cell>
          <cell r="F10413">
            <v>0</v>
          </cell>
          <cell r="DN10413">
            <v>0</v>
          </cell>
        </row>
        <row r="10414">
          <cell r="E10414">
            <v>0</v>
          </cell>
          <cell r="F10414">
            <v>0</v>
          </cell>
          <cell r="DN10414">
            <v>0</v>
          </cell>
        </row>
        <row r="10415">
          <cell r="E10415">
            <v>0</v>
          </cell>
          <cell r="F10415">
            <v>0</v>
          </cell>
          <cell r="DN10415">
            <v>0</v>
          </cell>
        </row>
        <row r="10416">
          <cell r="E10416">
            <v>0</v>
          </cell>
          <cell r="F10416">
            <v>0</v>
          </cell>
          <cell r="DN10416">
            <v>0</v>
          </cell>
        </row>
        <row r="10417">
          <cell r="E10417">
            <v>0</v>
          </cell>
          <cell r="F10417">
            <v>0</v>
          </cell>
          <cell r="DN10417">
            <v>0</v>
          </cell>
        </row>
        <row r="10418">
          <cell r="E10418">
            <v>0</v>
          </cell>
          <cell r="F10418">
            <v>0</v>
          </cell>
          <cell r="DN10418">
            <v>0</v>
          </cell>
        </row>
        <row r="10419">
          <cell r="E10419">
            <v>0</v>
          </cell>
          <cell r="F10419">
            <v>0</v>
          </cell>
          <cell r="DN10419">
            <v>0</v>
          </cell>
        </row>
        <row r="10420">
          <cell r="E10420">
            <v>0</v>
          </cell>
          <cell r="F10420">
            <v>0</v>
          </cell>
          <cell r="DN10420">
            <v>0</v>
          </cell>
        </row>
        <row r="10421">
          <cell r="E10421">
            <v>0</v>
          </cell>
          <cell r="F10421">
            <v>0</v>
          </cell>
          <cell r="DN10421">
            <v>0</v>
          </cell>
        </row>
        <row r="10422">
          <cell r="E10422">
            <v>0</v>
          </cell>
          <cell r="F10422">
            <v>0</v>
          </cell>
          <cell r="DN10422">
            <v>0</v>
          </cell>
        </row>
        <row r="10423">
          <cell r="E10423">
            <v>0</v>
          </cell>
          <cell r="F10423">
            <v>0</v>
          </cell>
          <cell r="DN10423">
            <v>0</v>
          </cell>
        </row>
        <row r="10424">
          <cell r="E10424">
            <v>0</v>
          </cell>
          <cell r="F10424">
            <v>0</v>
          </cell>
          <cell r="DN10424">
            <v>0</v>
          </cell>
        </row>
        <row r="10425">
          <cell r="E10425">
            <v>0</v>
          </cell>
          <cell r="F10425">
            <v>0</v>
          </cell>
          <cell r="DN10425">
            <v>0</v>
          </cell>
        </row>
        <row r="10426">
          <cell r="E10426">
            <v>0</v>
          </cell>
          <cell r="F10426">
            <v>0</v>
          </cell>
          <cell r="DN10426">
            <v>0</v>
          </cell>
        </row>
        <row r="10427">
          <cell r="E10427">
            <v>0</v>
          </cell>
          <cell r="F10427">
            <v>0</v>
          </cell>
          <cell r="DN10427">
            <v>0</v>
          </cell>
        </row>
        <row r="10428">
          <cell r="E10428">
            <v>0</v>
          </cell>
          <cell r="F10428">
            <v>0</v>
          </cell>
          <cell r="DN10428">
            <v>0</v>
          </cell>
        </row>
        <row r="10429">
          <cell r="E10429">
            <v>0</v>
          </cell>
          <cell r="F10429">
            <v>0</v>
          </cell>
          <cell r="DN10429">
            <v>0</v>
          </cell>
        </row>
        <row r="10430">
          <cell r="E10430">
            <v>0</v>
          </cell>
          <cell r="F10430">
            <v>0</v>
          </cell>
          <cell r="DN10430">
            <v>0</v>
          </cell>
        </row>
        <row r="10431">
          <cell r="E10431">
            <v>0</v>
          </cell>
          <cell r="F10431">
            <v>0</v>
          </cell>
          <cell r="DN10431">
            <v>0</v>
          </cell>
        </row>
        <row r="10432">
          <cell r="E10432">
            <v>0</v>
          </cell>
          <cell r="F10432">
            <v>0</v>
          </cell>
          <cell r="DN10432">
            <v>0</v>
          </cell>
        </row>
        <row r="10433">
          <cell r="E10433">
            <v>0</v>
          </cell>
          <cell r="F10433">
            <v>0</v>
          </cell>
          <cell r="DN10433">
            <v>0</v>
          </cell>
        </row>
        <row r="10434">
          <cell r="E10434">
            <v>0</v>
          </cell>
          <cell r="F10434">
            <v>0</v>
          </cell>
          <cell r="DN10434">
            <v>0</v>
          </cell>
        </row>
        <row r="10435">
          <cell r="E10435">
            <v>0</v>
          </cell>
          <cell r="F10435">
            <v>0</v>
          </cell>
          <cell r="DN10435">
            <v>0</v>
          </cell>
        </row>
        <row r="10436">
          <cell r="E10436">
            <v>0</v>
          </cell>
          <cell r="F10436">
            <v>0</v>
          </cell>
          <cell r="DN10436">
            <v>0</v>
          </cell>
        </row>
        <row r="10437">
          <cell r="E10437">
            <v>0</v>
          </cell>
          <cell r="F10437">
            <v>0</v>
          </cell>
          <cell r="DN10437">
            <v>0</v>
          </cell>
        </row>
        <row r="10438">
          <cell r="E10438">
            <v>0</v>
          </cell>
          <cell r="F10438">
            <v>0</v>
          </cell>
          <cell r="DN10438">
            <v>0</v>
          </cell>
        </row>
        <row r="10439">
          <cell r="E10439">
            <v>0</v>
          </cell>
          <cell r="F10439">
            <v>0</v>
          </cell>
          <cell r="DN10439">
            <v>0</v>
          </cell>
        </row>
        <row r="10440">
          <cell r="E10440">
            <v>0</v>
          </cell>
          <cell r="F10440">
            <v>0</v>
          </cell>
          <cell r="DN10440">
            <v>0</v>
          </cell>
        </row>
        <row r="10441">
          <cell r="E10441">
            <v>0</v>
          </cell>
          <cell r="F10441">
            <v>0</v>
          </cell>
          <cell r="DN10441">
            <v>0</v>
          </cell>
        </row>
        <row r="10442">
          <cell r="E10442">
            <v>0</v>
          </cell>
          <cell r="F10442">
            <v>0</v>
          </cell>
          <cell r="DN10442">
            <v>0</v>
          </cell>
        </row>
        <row r="10443">
          <cell r="E10443">
            <v>0</v>
          </cell>
          <cell r="F10443">
            <v>0</v>
          </cell>
          <cell r="DN10443">
            <v>0</v>
          </cell>
        </row>
        <row r="10444">
          <cell r="E10444">
            <v>0</v>
          </cell>
          <cell r="F10444">
            <v>0</v>
          </cell>
          <cell r="DN10444">
            <v>0</v>
          </cell>
        </row>
        <row r="10445">
          <cell r="E10445">
            <v>0</v>
          </cell>
          <cell r="F10445">
            <v>0</v>
          </cell>
          <cell r="DN10445">
            <v>0</v>
          </cell>
        </row>
        <row r="10446">
          <cell r="E10446">
            <v>0</v>
          </cell>
          <cell r="F10446">
            <v>0</v>
          </cell>
          <cell r="DN10446">
            <v>0</v>
          </cell>
        </row>
        <row r="10447">
          <cell r="E10447">
            <v>0</v>
          </cell>
          <cell r="F10447">
            <v>0</v>
          </cell>
          <cell r="DN10447">
            <v>0</v>
          </cell>
        </row>
        <row r="10448">
          <cell r="E10448">
            <v>0</v>
          </cell>
          <cell r="F10448">
            <v>0</v>
          </cell>
          <cell r="DN10448">
            <v>0</v>
          </cell>
        </row>
        <row r="10449">
          <cell r="E10449">
            <v>0</v>
          </cell>
          <cell r="F10449">
            <v>0</v>
          </cell>
          <cell r="DN10449">
            <v>0</v>
          </cell>
        </row>
        <row r="10450">
          <cell r="E10450">
            <v>0</v>
          </cell>
          <cell r="F10450">
            <v>0</v>
          </cell>
          <cell r="DN10450">
            <v>0</v>
          </cell>
        </row>
        <row r="10451">
          <cell r="E10451">
            <v>0</v>
          </cell>
          <cell r="F10451">
            <v>0</v>
          </cell>
          <cell r="DN10451">
            <v>0</v>
          </cell>
        </row>
        <row r="10452">
          <cell r="E10452">
            <v>0</v>
          </cell>
          <cell r="F10452">
            <v>0</v>
          </cell>
          <cell r="DN10452">
            <v>0</v>
          </cell>
        </row>
        <row r="10453">
          <cell r="E10453">
            <v>0</v>
          </cell>
          <cell r="F10453">
            <v>0</v>
          </cell>
          <cell r="DN10453">
            <v>0</v>
          </cell>
        </row>
        <row r="10454">
          <cell r="E10454">
            <v>0</v>
          </cell>
          <cell r="F10454">
            <v>0</v>
          </cell>
          <cell r="DN10454">
            <v>0</v>
          </cell>
        </row>
        <row r="10455">
          <cell r="E10455">
            <v>0</v>
          </cell>
          <cell r="F10455">
            <v>0</v>
          </cell>
          <cell r="DN10455">
            <v>0</v>
          </cell>
        </row>
        <row r="10456">
          <cell r="E10456">
            <v>0</v>
          </cell>
          <cell r="F10456">
            <v>0</v>
          </cell>
          <cell r="DN10456">
            <v>0</v>
          </cell>
        </row>
        <row r="10457">
          <cell r="E10457">
            <v>0</v>
          </cell>
          <cell r="F10457">
            <v>0</v>
          </cell>
          <cell r="DN10457">
            <v>0</v>
          </cell>
        </row>
        <row r="10458">
          <cell r="E10458">
            <v>0</v>
          </cell>
          <cell r="F10458">
            <v>0</v>
          </cell>
          <cell r="DN10458">
            <v>0</v>
          </cell>
        </row>
        <row r="10459">
          <cell r="E10459">
            <v>0</v>
          </cell>
          <cell r="F10459">
            <v>0</v>
          </cell>
          <cell r="DN10459">
            <v>0</v>
          </cell>
        </row>
        <row r="10460">
          <cell r="E10460">
            <v>0</v>
          </cell>
          <cell r="F10460">
            <v>0</v>
          </cell>
          <cell r="DN10460">
            <v>0</v>
          </cell>
        </row>
        <row r="10461">
          <cell r="E10461">
            <v>0</v>
          </cell>
          <cell r="F10461">
            <v>0</v>
          </cell>
          <cell r="DN10461">
            <v>0</v>
          </cell>
        </row>
        <row r="10462">
          <cell r="E10462">
            <v>0</v>
          </cell>
          <cell r="F10462">
            <v>0</v>
          </cell>
          <cell r="DN10462">
            <v>0</v>
          </cell>
        </row>
        <row r="10463">
          <cell r="E10463">
            <v>0</v>
          </cell>
          <cell r="F10463">
            <v>0</v>
          </cell>
          <cell r="DN10463">
            <v>0</v>
          </cell>
        </row>
        <row r="10464">
          <cell r="E10464">
            <v>0</v>
          </cell>
          <cell r="F10464">
            <v>0</v>
          </cell>
          <cell r="DN10464">
            <v>0</v>
          </cell>
        </row>
        <row r="10465">
          <cell r="E10465">
            <v>0</v>
          </cell>
          <cell r="F10465">
            <v>0</v>
          </cell>
          <cell r="DN10465">
            <v>0</v>
          </cell>
        </row>
        <row r="10466">
          <cell r="E10466">
            <v>0</v>
          </cell>
          <cell r="F10466">
            <v>0</v>
          </cell>
          <cell r="DN10466">
            <v>0</v>
          </cell>
        </row>
        <row r="10467">
          <cell r="E10467">
            <v>0</v>
          </cell>
          <cell r="F10467">
            <v>0</v>
          </cell>
          <cell r="DN10467">
            <v>0</v>
          </cell>
        </row>
        <row r="10468">
          <cell r="E10468">
            <v>0</v>
          </cell>
          <cell r="F10468">
            <v>0</v>
          </cell>
          <cell r="DN10468">
            <v>0</v>
          </cell>
        </row>
        <row r="10469">
          <cell r="E10469">
            <v>0</v>
          </cell>
          <cell r="F10469">
            <v>0</v>
          </cell>
          <cell r="DN10469">
            <v>0</v>
          </cell>
        </row>
        <row r="10470">
          <cell r="E10470">
            <v>0</v>
          </cell>
          <cell r="F10470">
            <v>0</v>
          </cell>
          <cell r="DN10470">
            <v>0</v>
          </cell>
        </row>
        <row r="10471">
          <cell r="E10471">
            <v>0</v>
          </cell>
          <cell r="F10471">
            <v>0</v>
          </cell>
          <cell r="DN10471">
            <v>0</v>
          </cell>
        </row>
        <row r="10472">
          <cell r="E10472">
            <v>0</v>
          </cell>
          <cell r="F10472">
            <v>0</v>
          </cell>
          <cell r="DN10472">
            <v>0</v>
          </cell>
        </row>
        <row r="10473">
          <cell r="E10473">
            <v>0</v>
          </cell>
          <cell r="F10473">
            <v>0</v>
          </cell>
          <cell r="DN10473">
            <v>0</v>
          </cell>
        </row>
        <row r="10474">
          <cell r="E10474">
            <v>0</v>
          </cell>
          <cell r="F10474">
            <v>0</v>
          </cell>
          <cell r="DN10474">
            <v>0</v>
          </cell>
        </row>
        <row r="10475">
          <cell r="E10475">
            <v>0</v>
          </cell>
          <cell r="F10475">
            <v>0</v>
          </cell>
          <cell r="DN10475">
            <v>0</v>
          </cell>
        </row>
        <row r="10476">
          <cell r="E10476">
            <v>0</v>
          </cell>
          <cell r="F10476">
            <v>0</v>
          </cell>
          <cell r="DN10476">
            <v>0</v>
          </cell>
        </row>
        <row r="10477">
          <cell r="E10477">
            <v>0</v>
          </cell>
          <cell r="F10477">
            <v>0</v>
          </cell>
          <cell r="DN10477">
            <v>0</v>
          </cell>
        </row>
        <row r="10478">
          <cell r="E10478">
            <v>0</v>
          </cell>
          <cell r="F10478">
            <v>0</v>
          </cell>
          <cell r="DN10478">
            <v>0</v>
          </cell>
        </row>
        <row r="10479">
          <cell r="E10479">
            <v>0</v>
          </cell>
          <cell r="F10479">
            <v>0</v>
          </cell>
          <cell r="DN10479">
            <v>0</v>
          </cell>
        </row>
        <row r="10480">
          <cell r="E10480">
            <v>0</v>
          </cell>
          <cell r="F10480">
            <v>0</v>
          </cell>
          <cell r="DN10480">
            <v>0</v>
          </cell>
        </row>
        <row r="10481">
          <cell r="E10481">
            <v>0</v>
          </cell>
          <cell r="F10481">
            <v>0</v>
          </cell>
          <cell r="DN10481">
            <v>0</v>
          </cell>
        </row>
        <row r="10482">
          <cell r="E10482">
            <v>0</v>
          </cell>
          <cell r="F10482">
            <v>0</v>
          </cell>
          <cell r="DN10482">
            <v>0</v>
          </cell>
        </row>
        <row r="10483">
          <cell r="E10483">
            <v>0</v>
          </cell>
          <cell r="F10483">
            <v>0</v>
          </cell>
          <cell r="DN10483">
            <v>0</v>
          </cell>
        </row>
        <row r="10484">
          <cell r="E10484">
            <v>0</v>
          </cell>
          <cell r="F10484">
            <v>0</v>
          </cell>
          <cell r="DN10484">
            <v>0</v>
          </cell>
        </row>
        <row r="10485">
          <cell r="E10485">
            <v>0</v>
          </cell>
          <cell r="F10485">
            <v>0</v>
          </cell>
          <cell r="DN10485">
            <v>0</v>
          </cell>
        </row>
        <row r="10486">
          <cell r="E10486">
            <v>0</v>
          </cell>
          <cell r="F10486">
            <v>0</v>
          </cell>
          <cell r="DN10486">
            <v>0</v>
          </cell>
        </row>
        <row r="10487">
          <cell r="E10487">
            <v>0</v>
          </cell>
          <cell r="F10487">
            <v>0</v>
          </cell>
          <cell r="DN10487">
            <v>0</v>
          </cell>
        </row>
        <row r="10488">
          <cell r="E10488">
            <v>0</v>
          </cell>
          <cell r="F10488">
            <v>0</v>
          </cell>
          <cell r="DN10488">
            <v>0</v>
          </cell>
        </row>
        <row r="10489">
          <cell r="E10489">
            <v>0</v>
          </cell>
          <cell r="F10489">
            <v>0</v>
          </cell>
          <cell r="DN10489">
            <v>0</v>
          </cell>
        </row>
        <row r="10490">
          <cell r="E10490">
            <v>0</v>
          </cell>
          <cell r="F10490">
            <v>0</v>
          </cell>
          <cell r="DN10490">
            <v>0</v>
          </cell>
        </row>
        <row r="10491">
          <cell r="E10491">
            <v>0</v>
          </cell>
          <cell r="F10491">
            <v>0</v>
          </cell>
          <cell r="DN10491">
            <v>0</v>
          </cell>
        </row>
        <row r="10492">
          <cell r="E10492">
            <v>0</v>
          </cell>
          <cell r="F10492">
            <v>0</v>
          </cell>
          <cell r="DN10492">
            <v>0</v>
          </cell>
        </row>
        <row r="10493">
          <cell r="E10493">
            <v>0</v>
          </cell>
          <cell r="F10493">
            <v>0</v>
          </cell>
          <cell r="DN10493">
            <v>0</v>
          </cell>
        </row>
        <row r="10494">
          <cell r="E10494">
            <v>0</v>
          </cell>
          <cell r="F10494">
            <v>0</v>
          </cell>
          <cell r="DN10494">
            <v>0</v>
          </cell>
        </row>
        <row r="10495">
          <cell r="E10495">
            <v>0</v>
          </cell>
          <cell r="F10495">
            <v>0</v>
          </cell>
          <cell r="DN10495">
            <v>0</v>
          </cell>
        </row>
        <row r="10496">
          <cell r="E10496">
            <v>0</v>
          </cell>
          <cell r="F10496">
            <v>0</v>
          </cell>
          <cell r="DN10496">
            <v>0</v>
          </cell>
        </row>
        <row r="10497">
          <cell r="E10497">
            <v>0</v>
          </cell>
          <cell r="F10497">
            <v>0</v>
          </cell>
          <cell r="DN10497">
            <v>0</v>
          </cell>
        </row>
        <row r="10498">
          <cell r="E10498">
            <v>0</v>
          </cell>
          <cell r="F10498">
            <v>0</v>
          </cell>
          <cell r="DN10498">
            <v>0</v>
          </cell>
        </row>
        <row r="10499">
          <cell r="E10499">
            <v>0</v>
          </cell>
          <cell r="F10499">
            <v>0</v>
          </cell>
          <cell r="DN10499">
            <v>0</v>
          </cell>
        </row>
        <row r="10500">
          <cell r="E10500">
            <v>0</v>
          </cell>
          <cell r="F10500">
            <v>0</v>
          </cell>
          <cell r="DN10500">
            <v>0</v>
          </cell>
        </row>
        <row r="10501">
          <cell r="E10501">
            <v>0</v>
          </cell>
          <cell r="F10501">
            <v>0</v>
          </cell>
          <cell r="DN10501">
            <v>0</v>
          </cell>
        </row>
        <row r="10502">
          <cell r="E10502">
            <v>0</v>
          </cell>
          <cell r="F10502">
            <v>0</v>
          </cell>
          <cell r="DN10502">
            <v>0</v>
          </cell>
        </row>
        <row r="10503">
          <cell r="E10503">
            <v>0</v>
          </cell>
          <cell r="F10503">
            <v>0</v>
          </cell>
          <cell r="DN10503">
            <v>0</v>
          </cell>
        </row>
        <row r="10504">
          <cell r="E10504">
            <v>0</v>
          </cell>
          <cell r="F10504">
            <v>0</v>
          </cell>
          <cell r="DN10504">
            <v>0</v>
          </cell>
        </row>
        <row r="10505">
          <cell r="E10505">
            <v>0</v>
          </cell>
          <cell r="F10505">
            <v>0</v>
          </cell>
          <cell r="DN10505">
            <v>0</v>
          </cell>
        </row>
        <row r="10506">
          <cell r="E10506">
            <v>0</v>
          </cell>
          <cell r="F10506">
            <v>0</v>
          </cell>
          <cell r="DN10506">
            <v>0</v>
          </cell>
        </row>
        <row r="10507">
          <cell r="E10507">
            <v>0</v>
          </cell>
          <cell r="F10507">
            <v>0</v>
          </cell>
          <cell r="DN10507">
            <v>0</v>
          </cell>
        </row>
        <row r="10508">
          <cell r="E10508">
            <v>0</v>
          </cell>
          <cell r="F10508">
            <v>0</v>
          </cell>
          <cell r="DN10508">
            <v>0</v>
          </cell>
        </row>
        <row r="10509">
          <cell r="E10509">
            <v>0</v>
          </cell>
          <cell r="F10509">
            <v>0</v>
          </cell>
          <cell r="DN10509">
            <v>0</v>
          </cell>
        </row>
        <row r="10510">
          <cell r="E10510">
            <v>0</v>
          </cell>
          <cell r="F10510">
            <v>0</v>
          </cell>
          <cell r="DN10510">
            <v>0</v>
          </cell>
        </row>
        <row r="10511">
          <cell r="E10511">
            <v>0</v>
          </cell>
          <cell r="F10511">
            <v>0</v>
          </cell>
          <cell r="DN10511">
            <v>0</v>
          </cell>
        </row>
        <row r="10512">
          <cell r="E10512">
            <v>0</v>
          </cell>
          <cell r="F10512">
            <v>0</v>
          </cell>
          <cell r="DN10512">
            <v>0</v>
          </cell>
        </row>
        <row r="10513">
          <cell r="E10513">
            <v>0</v>
          </cell>
          <cell r="F10513">
            <v>0</v>
          </cell>
          <cell r="DN10513">
            <v>0</v>
          </cell>
        </row>
        <row r="10514">
          <cell r="E10514">
            <v>0</v>
          </cell>
          <cell r="F10514">
            <v>0</v>
          </cell>
          <cell r="DN10514">
            <v>0</v>
          </cell>
        </row>
        <row r="10515">
          <cell r="E10515">
            <v>0</v>
          </cell>
          <cell r="F10515">
            <v>0</v>
          </cell>
          <cell r="DN10515">
            <v>0</v>
          </cell>
        </row>
        <row r="10516">
          <cell r="E10516">
            <v>0</v>
          </cell>
          <cell r="F10516">
            <v>0</v>
          </cell>
          <cell r="DN10516">
            <v>0</v>
          </cell>
        </row>
        <row r="10517">
          <cell r="E10517">
            <v>0</v>
          </cell>
          <cell r="F10517">
            <v>0</v>
          </cell>
          <cell r="DN10517">
            <v>0</v>
          </cell>
        </row>
        <row r="10518">
          <cell r="E10518">
            <v>0</v>
          </cell>
          <cell r="F10518">
            <v>0</v>
          </cell>
          <cell r="DN10518">
            <v>0</v>
          </cell>
        </row>
        <row r="10519">
          <cell r="E10519">
            <v>0</v>
          </cell>
          <cell r="F10519">
            <v>0</v>
          </cell>
          <cell r="DN10519">
            <v>0</v>
          </cell>
        </row>
        <row r="10520">
          <cell r="E10520">
            <v>0</v>
          </cell>
          <cell r="F10520">
            <v>0</v>
          </cell>
          <cell r="DN10520">
            <v>0</v>
          </cell>
        </row>
        <row r="10521">
          <cell r="E10521">
            <v>0</v>
          </cell>
          <cell r="F10521">
            <v>0</v>
          </cell>
          <cell r="DN10521">
            <v>0</v>
          </cell>
        </row>
        <row r="10522">
          <cell r="E10522">
            <v>0</v>
          </cell>
          <cell r="F10522">
            <v>0</v>
          </cell>
          <cell r="DN10522">
            <v>0</v>
          </cell>
        </row>
        <row r="10523">
          <cell r="E10523">
            <v>0</v>
          </cell>
          <cell r="F10523">
            <v>0</v>
          </cell>
          <cell r="DN10523">
            <v>0</v>
          </cell>
        </row>
        <row r="10524">
          <cell r="E10524">
            <v>0</v>
          </cell>
          <cell r="F10524">
            <v>0</v>
          </cell>
          <cell r="DN10524">
            <v>0</v>
          </cell>
        </row>
        <row r="10525">
          <cell r="E10525">
            <v>0</v>
          </cell>
          <cell r="F10525">
            <v>0</v>
          </cell>
          <cell r="DN10525">
            <v>0</v>
          </cell>
        </row>
        <row r="10526">
          <cell r="E10526">
            <v>0</v>
          </cell>
          <cell r="F10526">
            <v>0</v>
          </cell>
          <cell r="DN10526">
            <v>0</v>
          </cell>
        </row>
        <row r="10527">
          <cell r="E10527">
            <v>0</v>
          </cell>
          <cell r="F10527">
            <v>0</v>
          </cell>
          <cell r="DN10527">
            <v>0</v>
          </cell>
        </row>
        <row r="10528">
          <cell r="E10528">
            <v>0</v>
          </cell>
          <cell r="F10528">
            <v>0</v>
          </cell>
          <cell r="DN10528">
            <v>0</v>
          </cell>
        </row>
        <row r="10529">
          <cell r="E10529">
            <v>0</v>
          </cell>
          <cell r="F10529">
            <v>0</v>
          </cell>
          <cell r="DN10529">
            <v>0</v>
          </cell>
        </row>
        <row r="10530">
          <cell r="E10530">
            <v>0</v>
          </cell>
          <cell r="F10530">
            <v>0</v>
          </cell>
          <cell r="DN10530">
            <v>0</v>
          </cell>
        </row>
        <row r="10531">
          <cell r="E10531">
            <v>0</v>
          </cell>
          <cell r="F10531">
            <v>0</v>
          </cell>
          <cell r="DN10531">
            <v>0</v>
          </cell>
        </row>
        <row r="10532">
          <cell r="E10532">
            <v>0</v>
          </cell>
          <cell r="F10532">
            <v>0</v>
          </cell>
          <cell r="DN10532">
            <v>0</v>
          </cell>
        </row>
        <row r="10533">
          <cell r="E10533">
            <v>0</v>
          </cell>
          <cell r="F10533">
            <v>0</v>
          </cell>
          <cell r="DN10533">
            <v>0</v>
          </cell>
        </row>
        <row r="10534">
          <cell r="E10534">
            <v>0</v>
          </cell>
          <cell r="F10534">
            <v>0</v>
          </cell>
          <cell r="DN10534">
            <v>0</v>
          </cell>
        </row>
        <row r="10535">
          <cell r="E10535">
            <v>0</v>
          </cell>
          <cell r="F10535">
            <v>0</v>
          </cell>
          <cell r="DN10535">
            <v>0</v>
          </cell>
        </row>
        <row r="10536">
          <cell r="E10536">
            <v>0</v>
          </cell>
          <cell r="F10536">
            <v>0</v>
          </cell>
          <cell r="DN10536">
            <v>0</v>
          </cell>
        </row>
        <row r="10537">
          <cell r="E10537">
            <v>0</v>
          </cell>
          <cell r="F10537">
            <v>0</v>
          </cell>
          <cell r="DN10537">
            <v>0</v>
          </cell>
        </row>
        <row r="10538">
          <cell r="E10538">
            <v>0</v>
          </cell>
          <cell r="F10538">
            <v>0</v>
          </cell>
          <cell r="DN10538">
            <v>0</v>
          </cell>
        </row>
        <row r="10539">
          <cell r="E10539">
            <v>0</v>
          </cell>
          <cell r="F10539">
            <v>0</v>
          </cell>
          <cell r="DN10539">
            <v>0</v>
          </cell>
        </row>
        <row r="10540">
          <cell r="E10540">
            <v>0</v>
          </cell>
          <cell r="F10540">
            <v>0</v>
          </cell>
          <cell r="DN10540">
            <v>0</v>
          </cell>
        </row>
        <row r="10541">
          <cell r="E10541">
            <v>0</v>
          </cell>
          <cell r="F10541">
            <v>0</v>
          </cell>
          <cell r="DN10541">
            <v>0</v>
          </cell>
        </row>
        <row r="10542">
          <cell r="E10542">
            <v>0</v>
          </cell>
          <cell r="F10542">
            <v>0</v>
          </cell>
          <cell r="DN10542">
            <v>0</v>
          </cell>
        </row>
        <row r="10543">
          <cell r="E10543">
            <v>0</v>
          </cell>
          <cell r="F10543">
            <v>0</v>
          </cell>
          <cell r="DN10543">
            <v>0</v>
          </cell>
        </row>
        <row r="10544">
          <cell r="E10544">
            <v>0</v>
          </cell>
          <cell r="F10544">
            <v>0</v>
          </cell>
          <cell r="DN10544">
            <v>0</v>
          </cell>
        </row>
        <row r="10545">
          <cell r="E10545">
            <v>0</v>
          </cell>
          <cell r="F10545">
            <v>0</v>
          </cell>
          <cell r="DN10545">
            <v>0</v>
          </cell>
        </row>
        <row r="10546">
          <cell r="E10546">
            <v>0</v>
          </cell>
          <cell r="F10546">
            <v>0</v>
          </cell>
          <cell r="DN10546">
            <v>0</v>
          </cell>
        </row>
        <row r="10547">
          <cell r="E10547">
            <v>0</v>
          </cell>
          <cell r="F10547">
            <v>0</v>
          </cell>
          <cell r="DN10547">
            <v>0</v>
          </cell>
        </row>
        <row r="10548">
          <cell r="E10548">
            <v>0</v>
          </cell>
          <cell r="F10548">
            <v>0</v>
          </cell>
          <cell r="DN10548">
            <v>0</v>
          </cell>
        </row>
        <row r="10549">
          <cell r="E10549">
            <v>0</v>
          </cell>
          <cell r="F10549">
            <v>0</v>
          </cell>
          <cell r="DN10549">
            <v>0</v>
          </cell>
        </row>
        <row r="10550">
          <cell r="E10550">
            <v>0</v>
          </cell>
          <cell r="F10550">
            <v>0</v>
          </cell>
          <cell r="DN10550">
            <v>0</v>
          </cell>
        </row>
        <row r="10551">
          <cell r="E10551">
            <v>0</v>
          </cell>
          <cell r="F10551">
            <v>0</v>
          </cell>
          <cell r="DN10551">
            <v>0</v>
          </cell>
        </row>
        <row r="10552">
          <cell r="E10552">
            <v>0</v>
          </cell>
          <cell r="F10552">
            <v>0</v>
          </cell>
          <cell r="DN10552">
            <v>0</v>
          </cell>
        </row>
        <row r="10553">
          <cell r="E10553">
            <v>0</v>
          </cell>
          <cell r="F10553">
            <v>0</v>
          </cell>
          <cell r="DN10553">
            <v>0</v>
          </cell>
        </row>
        <row r="10554">
          <cell r="E10554">
            <v>0</v>
          </cell>
          <cell r="F10554">
            <v>0</v>
          </cell>
          <cell r="DN10554">
            <v>0</v>
          </cell>
        </row>
        <row r="10555">
          <cell r="E10555">
            <v>0</v>
          </cell>
          <cell r="F10555">
            <v>0</v>
          </cell>
          <cell r="DN10555">
            <v>0</v>
          </cell>
        </row>
        <row r="10556">
          <cell r="E10556">
            <v>0</v>
          </cell>
          <cell r="F10556">
            <v>0</v>
          </cell>
          <cell r="DN10556">
            <v>0</v>
          </cell>
        </row>
        <row r="10557">
          <cell r="E10557">
            <v>0</v>
          </cell>
          <cell r="F10557">
            <v>0</v>
          </cell>
          <cell r="DN10557">
            <v>0</v>
          </cell>
        </row>
        <row r="10558">
          <cell r="E10558">
            <v>0</v>
          </cell>
          <cell r="F10558">
            <v>0</v>
          </cell>
          <cell r="DN10558">
            <v>0</v>
          </cell>
        </row>
        <row r="10559">
          <cell r="E10559">
            <v>0</v>
          </cell>
          <cell r="F10559">
            <v>0</v>
          </cell>
          <cell r="DN10559">
            <v>0</v>
          </cell>
        </row>
        <row r="10560">
          <cell r="E10560">
            <v>0</v>
          </cell>
          <cell r="F10560">
            <v>0</v>
          </cell>
          <cell r="DN10560">
            <v>0</v>
          </cell>
        </row>
        <row r="10561">
          <cell r="E10561">
            <v>0</v>
          </cell>
          <cell r="F10561">
            <v>0</v>
          </cell>
          <cell r="DN10561">
            <v>0</v>
          </cell>
        </row>
        <row r="10562">
          <cell r="E10562">
            <v>0</v>
          </cell>
          <cell r="F10562">
            <v>0</v>
          </cell>
          <cell r="DN10562">
            <v>0</v>
          </cell>
        </row>
        <row r="10563">
          <cell r="E10563">
            <v>0</v>
          </cell>
          <cell r="F10563">
            <v>0</v>
          </cell>
          <cell r="DN10563">
            <v>0</v>
          </cell>
        </row>
        <row r="10564">
          <cell r="E10564">
            <v>0</v>
          </cell>
          <cell r="F10564">
            <v>0</v>
          </cell>
          <cell r="DN10564">
            <v>0</v>
          </cell>
        </row>
        <row r="10565">
          <cell r="E10565">
            <v>0</v>
          </cell>
          <cell r="F10565">
            <v>0</v>
          </cell>
          <cell r="DN10565">
            <v>0</v>
          </cell>
        </row>
        <row r="10566">
          <cell r="E10566">
            <v>0</v>
          </cell>
          <cell r="F10566">
            <v>0</v>
          </cell>
          <cell r="DN10566">
            <v>0</v>
          </cell>
        </row>
        <row r="10567">
          <cell r="E10567">
            <v>0</v>
          </cell>
          <cell r="F10567">
            <v>0</v>
          </cell>
          <cell r="DN10567">
            <v>0</v>
          </cell>
        </row>
        <row r="10568">
          <cell r="E10568">
            <v>0</v>
          </cell>
          <cell r="F10568">
            <v>0</v>
          </cell>
          <cell r="DN10568">
            <v>0</v>
          </cell>
        </row>
        <row r="10569">
          <cell r="E10569">
            <v>0</v>
          </cell>
          <cell r="F10569">
            <v>0</v>
          </cell>
          <cell r="DN10569">
            <v>0</v>
          </cell>
        </row>
        <row r="10570">
          <cell r="E10570">
            <v>0</v>
          </cell>
          <cell r="F10570">
            <v>0</v>
          </cell>
          <cell r="DN10570">
            <v>0</v>
          </cell>
        </row>
        <row r="10571">
          <cell r="E10571">
            <v>0</v>
          </cell>
          <cell r="F10571">
            <v>0</v>
          </cell>
          <cell r="DN10571">
            <v>0</v>
          </cell>
        </row>
        <row r="10572">
          <cell r="E10572">
            <v>0</v>
          </cell>
          <cell r="F10572">
            <v>0</v>
          </cell>
          <cell r="DN10572">
            <v>0</v>
          </cell>
        </row>
        <row r="10573">
          <cell r="E10573">
            <v>0</v>
          </cell>
          <cell r="F10573">
            <v>0</v>
          </cell>
          <cell r="DN10573">
            <v>0</v>
          </cell>
        </row>
        <row r="10574">
          <cell r="E10574">
            <v>0</v>
          </cell>
          <cell r="F10574">
            <v>0</v>
          </cell>
          <cell r="DN10574">
            <v>0</v>
          </cell>
        </row>
        <row r="10575">
          <cell r="E10575">
            <v>0</v>
          </cell>
          <cell r="F10575">
            <v>0</v>
          </cell>
          <cell r="DN10575">
            <v>0</v>
          </cell>
        </row>
        <row r="10576">
          <cell r="E10576">
            <v>0</v>
          </cell>
          <cell r="F10576">
            <v>0</v>
          </cell>
          <cell r="DN10576">
            <v>0</v>
          </cell>
        </row>
        <row r="10577">
          <cell r="E10577">
            <v>0</v>
          </cell>
          <cell r="F10577">
            <v>0</v>
          </cell>
          <cell r="DN10577">
            <v>0</v>
          </cell>
        </row>
        <row r="10578">
          <cell r="E10578">
            <v>0</v>
          </cell>
          <cell r="F10578">
            <v>0</v>
          </cell>
          <cell r="DN10578">
            <v>0</v>
          </cell>
        </row>
        <row r="10579">
          <cell r="E10579">
            <v>0</v>
          </cell>
          <cell r="F10579">
            <v>0</v>
          </cell>
          <cell r="DN10579">
            <v>0</v>
          </cell>
        </row>
        <row r="10580">
          <cell r="E10580">
            <v>0</v>
          </cell>
          <cell r="F10580">
            <v>0</v>
          </cell>
          <cell r="DN10580">
            <v>0</v>
          </cell>
        </row>
        <row r="10581">
          <cell r="E10581">
            <v>0</v>
          </cell>
          <cell r="F10581">
            <v>0</v>
          </cell>
          <cell r="DN10581">
            <v>0</v>
          </cell>
        </row>
        <row r="10582">
          <cell r="E10582">
            <v>0</v>
          </cell>
          <cell r="F10582">
            <v>0</v>
          </cell>
          <cell r="DN10582">
            <v>0</v>
          </cell>
        </row>
        <row r="10583">
          <cell r="E10583">
            <v>0</v>
          </cell>
          <cell r="F10583">
            <v>0</v>
          </cell>
          <cell r="DN10583">
            <v>0</v>
          </cell>
        </row>
        <row r="10584">
          <cell r="E10584">
            <v>0</v>
          </cell>
          <cell r="F10584">
            <v>0</v>
          </cell>
          <cell r="DN10584">
            <v>0</v>
          </cell>
        </row>
        <row r="10585">
          <cell r="E10585">
            <v>0</v>
          </cell>
          <cell r="F10585">
            <v>0</v>
          </cell>
          <cell r="DN10585">
            <v>0</v>
          </cell>
        </row>
        <row r="10586">
          <cell r="E10586">
            <v>0</v>
          </cell>
          <cell r="F10586">
            <v>0</v>
          </cell>
          <cell r="DN10586">
            <v>0</v>
          </cell>
        </row>
        <row r="10587">
          <cell r="E10587">
            <v>0</v>
          </cell>
          <cell r="F10587">
            <v>0</v>
          </cell>
          <cell r="DN10587">
            <v>0</v>
          </cell>
        </row>
        <row r="10588">
          <cell r="E10588">
            <v>0</v>
          </cell>
          <cell r="F10588">
            <v>0</v>
          </cell>
          <cell r="DN10588">
            <v>0</v>
          </cell>
        </row>
        <row r="10589">
          <cell r="E10589">
            <v>0</v>
          </cell>
          <cell r="F10589">
            <v>0</v>
          </cell>
          <cell r="DN10589">
            <v>0</v>
          </cell>
        </row>
        <row r="10590">
          <cell r="E10590">
            <v>0</v>
          </cell>
          <cell r="F10590">
            <v>0</v>
          </cell>
          <cell r="DN10590">
            <v>0</v>
          </cell>
        </row>
        <row r="10591">
          <cell r="E10591">
            <v>0</v>
          </cell>
          <cell r="F10591">
            <v>0</v>
          </cell>
          <cell r="DN10591">
            <v>0</v>
          </cell>
        </row>
        <row r="10592">
          <cell r="E10592">
            <v>0</v>
          </cell>
          <cell r="F10592">
            <v>0</v>
          </cell>
          <cell r="DN10592">
            <v>0</v>
          </cell>
        </row>
        <row r="10593">
          <cell r="E10593">
            <v>0</v>
          </cell>
          <cell r="F10593">
            <v>0</v>
          </cell>
          <cell r="DN10593">
            <v>0</v>
          </cell>
        </row>
        <row r="10594">
          <cell r="E10594">
            <v>0</v>
          </cell>
          <cell r="F10594">
            <v>0</v>
          </cell>
          <cell r="DN10594">
            <v>0</v>
          </cell>
        </row>
        <row r="10595">
          <cell r="E10595">
            <v>0</v>
          </cell>
          <cell r="F10595">
            <v>0</v>
          </cell>
          <cell r="DN10595">
            <v>0</v>
          </cell>
        </row>
        <row r="10596">
          <cell r="E10596">
            <v>0</v>
          </cell>
          <cell r="F10596">
            <v>0</v>
          </cell>
          <cell r="DN10596">
            <v>0</v>
          </cell>
        </row>
        <row r="10597">
          <cell r="E10597">
            <v>0</v>
          </cell>
          <cell r="F10597">
            <v>0</v>
          </cell>
          <cell r="DN10597">
            <v>0</v>
          </cell>
        </row>
        <row r="10598">
          <cell r="E10598">
            <v>0</v>
          </cell>
          <cell r="F10598">
            <v>0</v>
          </cell>
          <cell r="DN10598">
            <v>0</v>
          </cell>
        </row>
        <row r="10599">
          <cell r="E10599">
            <v>0</v>
          </cell>
          <cell r="F10599">
            <v>0</v>
          </cell>
          <cell r="DN10599">
            <v>0</v>
          </cell>
        </row>
        <row r="10600">
          <cell r="E10600">
            <v>0</v>
          </cell>
          <cell r="F10600">
            <v>0</v>
          </cell>
          <cell r="DN10600">
            <v>0</v>
          </cell>
        </row>
        <row r="10601">
          <cell r="E10601">
            <v>0</v>
          </cell>
          <cell r="F10601">
            <v>0</v>
          </cell>
          <cell r="DN10601">
            <v>0</v>
          </cell>
        </row>
        <row r="10602">
          <cell r="E10602">
            <v>0</v>
          </cell>
          <cell r="F10602">
            <v>0</v>
          </cell>
          <cell r="DN10602">
            <v>0</v>
          </cell>
        </row>
        <row r="10603">
          <cell r="E10603">
            <v>0</v>
          </cell>
          <cell r="F10603">
            <v>0</v>
          </cell>
          <cell r="DN10603">
            <v>0</v>
          </cell>
        </row>
        <row r="10604">
          <cell r="E10604">
            <v>0</v>
          </cell>
          <cell r="F10604">
            <v>0</v>
          </cell>
          <cell r="DN10604">
            <v>0</v>
          </cell>
        </row>
        <row r="10605">
          <cell r="E10605">
            <v>0</v>
          </cell>
          <cell r="F10605">
            <v>0</v>
          </cell>
          <cell r="DN10605">
            <v>0</v>
          </cell>
        </row>
        <row r="10606">
          <cell r="E10606">
            <v>0</v>
          </cell>
          <cell r="F10606">
            <v>0</v>
          </cell>
          <cell r="DN10606">
            <v>0</v>
          </cell>
        </row>
        <row r="10607">
          <cell r="E10607">
            <v>0</v>
          </cell>
          <cell r="F10607">
            <v>0</v>
          </cell>
          <cell r="DN10607">
            <v>0</v>
          </cell>
        </row>
        <row r="10608">
          <cell r="E10608">
            <v>0</v>
          </cell>
          <cell r="F10608">
            <v>0</v>
          </cell>
          <cell r="DN10608">
            <v>0</v>
          </cell>
        </row>
        <row r="10609">
          <cell r="E10609">
            <v>0</v>
          </cell>
          <cell r="F10609">
            <v>0</v>
          </cell>
          <cell r="DN10609">
            <v>0</v>
          </cell>
        </row>
        <row r="10610">
          <cell r="E10610">
            <v>0</v>
          </cell>
          <cell r="F10610">
            <v>0</v>
          </cell>
          <cell r="DN10610">
            <v>0</v>
          </cell>
        </row>
        <row r="10611">
          <cell r="E10611">
            <v>0</v>
          </cell>
          <cell r="F10611">
            <v>0</v>
          </cell>
          <cell r="DN10611">
            <v>0</v>
          </cell>
        </row>
        <row r="10612">
          <cell r="E10612">
            <v>0</v>
          </cell>
          <cell r="F10612">
            <v>0</v>
          </cell>
          <cell r="DN10612">
            <v>0</v>
          </cell>
        </row>
        <row r="10613">
          <cell r="E10613">
            <v>0</v>
          </cell>
          <cell r="F10613">
            <v>0</v>
          </cell>
          <cell r="DN10613">
            <v>0</v>
          </cell>
        </row>
        <row r="10614">
          <cell r="E10614">
            <v>0</v>
          </cell>
          <cell r="F10614">
            <v>0</v>
          </cell>
          <cell r="DN10614">
            <v>0</v>
          </cell>
        </row>
        <row r="10615">
          <cell r="E10615">
            <v>0</v>
          </cell>
          <cell r="F10615">
            <v>0</v>
          </cell>
          <cell r="DN10615">
            <v>0</v>
          </cell>
        </row>
        <row r="10616">
          <cell r="E10616">
            <v>0</v>
          </cell>
          <cell r="F10616">
            <v>0</v>
          </cell>
          <cell r="DN10616">
            <v>0</v>
          </cell>
        </row>
        <row r="10617">
          <cell r="E10617">
            <v>0</v>
          </cell>
          <cell r="F10617">
            <v>0</v>
          </cell>
          <cell r="DN10617">
            <v>0</v>
          </cell>
        </row>
        <row r="10618">
          <cell r="E10618">
            <v>0</v>
          </cell>
          <cell r="F10618">
            <v>0</v>
          </cell>
          <cell r="DN10618">
            <v>0</v>
          </cell>
        </row>
        <row r="10619">
          <cell r="E10619">
            <v>0</v>
          </cell>
          <cell r="F10619">
            <v>0</v>
          </cell>
          <cell r="DN10619">
            <v>0</v>
          </cell>
        </row>
        <row r="10620">
          <cell r="E10620">
            <v>0</v>
          </cell>
          <cell r="F10620">
            <v>0</v>
          </cell>
          <cell r="DN10620">
            <v>0</v>
          </cell>
        </row>
        <row r="10621">
          <cell r="E10621">
            <v>0</v>
          </cell>
          <cell r="F10621">
            <v>0</v>
          </cell>
          <cell r="DN10621">
            <v>0</v>
          </cell>
        </row>
        <row r="10622">
          <cell r="E10622">
            <v>0</v>
          </cell>
          <cell r="F10622">
            <v>0</v>
          </cell>
          <cell r="DN10622">
            <v>0</v>
          </cell>
        </row>
        <row r="10623">
          <cell r="E10623">
            <v>0</v>
          </cell>
          <cell r="F10623">
            <v>0</v>
          </cell>
          <cell r="DN10623">
            <v>0</v>
          </cell>
        </row>
        <row r="10624">
          <cell r="E10624">
            <v>0</v>
          </cell>
          <cell r="F10624">
            <v>0</v>
          </cell>
          <cell r="DN10624">
            <v>0</v>
          </cell>
        </row>
        <row r="10625">
          <cell r="E10625">
            <v>0</v>
          </cell>
          <cell r="F10625">
            <v>0</v>
          </cell>
          <cell r="DN10625">
            <v>0</v>
          </cell>
        </row>
        <row r="10626">
          <cell r="E10626">
            <v>0</v>
          </cell>
          <cell r="F10626">
            <v>0</v>
          </cell>
          <cell r="DN10626">
            <v>0</v>
          </cell>
        </row>
        <row r="10627">
          <cell r="E10627">
            <v>0</v>
          </cell>
          <cell r="F10627">
            <v>0</v>
          </cell>
          <cell r="DN10627">
            <v>0</v>
          </cell>
        </row>
        <row r="10628">
          <cell r="E10628">
            <v>0</v>
          </cell>
          <cell r="F10628">
            <v>0</v>
          </cell>
          <cell r="DN10628">
            <v>0</v>
          </cell>
        </row>
        <row r="10629">
          <cell r="E10629">
            <v>0</v>
          </cell>
          <cell r="F10629">
            <v>0</v>
          </cell>
          <cell r="DN10629">
            <v>0</v>
          </cell>
        </row>
        <row r="10630">
          <cell r="E10630">
            <v>0</v>
          </cell>
          <cell r="F10630">
            <v>0</v>
          </cell>
          <cell r="DN10630">
            <v>0</v>
          </cell>
        </row>
        <row r="10631">
          <cell r="E10631">
            <v>0</v>
          </cell>
          <cell r="F10631">
            <v>0</v>
          </cell>
          <cell r="DN10631">
            <v>0</v>
          </cell>
        </row>
        <row r="10632">
          <cell r="E10632">
            <v>0</v>
          </cell>
          <cell r="F10632">
            <v>0</v>
          </cell>
          <cell r="DN10632">
            <v>0</v>
          </cell>
        </row>
        <row r="10633">
          <cell r="E10633">
            <v>0</v>
          </cell>
          <cell r="F10633">
            <v>0</v>
          </cell>
          <cell r="DN10633">
            <v>0</v>
          </cell>
        </row>
        <row r="10634">
          <cell r="E10634">
            <v>0</v>
          </cell>
          <cell r="F10634">
            <v>0</v>
          </cell>
          <cell r="DN10634">
            <v>0</v>
          </cell>
        </row>
        <row r="10635">
          <cell r="E10635">
            <v>0</v>
          </cell>
          <cell r="F10635">
            <v>0</v>
          </cell>
          <cell r="DN10635">
            <v>0</v>
          </cell>
        </row>
        <row r="10636">
          <cell r="E10636">
            <v>0</v>
          </cell>
          <cell r="F10636">
            <v>0</v>
          </cell>
          <cell r="DN10636">
            <v>0</v>
          </cell>
        </row>
        <row r="10637">
          <cell r="E10637">
            <v>0</v>
          </cell>
          <cell r="F10637">
            <v>0</v>
          </cell>
          <cell r="DN10637">
            <v>0</v>
          </cell>
        </row>
        <row r="10638">
          <cell r="E10638">
            <v>0</v>
          </cell>
          <cell r="F10638">
            <v>0</v>
          </cell>
          <cell r="DN10638">
            <v>0</v>
          </cell>
        </row>
        <row r="10639">
          <cell r="E10639">
            <v>0</v>
          </cell>
          <cell r="F10639">
            <v>0</v>
          </cell>
          <cell r="DN10639">
            <v>0</v>
          </cell>
        </row>
        <row r="10640">
          <cell r="E10640">
            <v>0</v>
          </cell>
          <cell r="F10640">
            <v>0</v>
          </cell>
          <cell r="DN10640">
            <v>0</v>
          </cell>
        </row>
        <row r="10641">
          <cell r="E10641">
            <v>0</v>
          </cell>
          <cell r="F10641">
            <v>0</v>
          </cell>
          <cell r="DN10641">
            <v>0</v>
          </cell>
        </row>
        <row r="10642">
          <cell r="E10642">
            <v>0</v>
          </cell>
          <cell r="F10642">
            <v>0</v>
          </cell>
          <cell r="DN10642">
            <v>0</v>
          </cell>
        </row>
        <row r="10643">
          <cell r="E10643">
            <v>0</v>
          </cell>
          <cell r="F10643">
            <v>0</v>
          </cell>
          <cell r="DN10643">
            <v>0</v>
          </cell>
        </row>
        <row r="10644">
          <cell r="E10644">
            <v>0</v>
          </cell>
          <cell r="F10644">
            <v>0</v>
          </cell>
          <cell r="DN10644">
            <v>0</v>
          </cell>
        </row>
        <row r="10645">
          <cell r="E10645">
            <v>0</v>
          </cell>
          <cell r="F10645">
            <v>0</v>
          </cell>
          <cell r="DN10645">
            <v>0</v>
          </cell>
        </row>
        <row r="10646">
          <cell r="E10646">
            <v>0</v>
          </cell>
          <cell r="F10646">
            <v>0</v>
          </cell>
          <cell r="DN10646">
            <v>0</v>
          </cell>
        </row>
        <row r="10647">
          <cell r="E10647">
            <v>0</v>
          </cell>
          <cell r="F10647">
            <v>0</v>
          </cell>
          <cell r="DN10647">
            <v>0</v>
          </cell>
        </row>
        <row r="10648">
          <cell r="E10648">
            <v>0</v>
          </cell>
          <cell r="F10648">
            <v>0</v>
          </cell>
          <cell r="DN10648">
            <v>0</v>
          </cell>
        </row>
        <row r="10649">
          <cell r="E10649">
            <v>0</v>
          </cell>
          <cell r="F10649">
            <v>0</v>
          </cell>
          <cell r="DN10649">
            <v>0</v>
          </cell>
        </row>
        <row r="10650">
          <cell r="E10650">
            <v>0</v>
          </cell>
          <cell r="F10650">
            <v>0</v>
          </cell>
          <cell r="DN10650">
            <v>0</v>
          </cell>
        </row>
        <row r="10651">
          <cell r="E10651">
            <v>0</v>
          </cell>
          <cell r="F10651">
            <v>0</v>
          </cell>
          <cell r="DN10651">
            <v>0</v>
          </cell>
        </row>
        <row r="10652">
          <cell r="E10652">
            <v>0</v>
          </cell>
          <cell r="F10652">
            <v>0</v>
          </cell>
          <cell r="DN10652">
            <v>0</v>
          </cell>
        </row>
        <row r="10653">
          <cell r="E10653">
            <v>0</v>
          </cell>
          <cell r="F10653">
            <v>0</v>
          </cell>
          <cell r="DN10653">
            <v>0</v>
          </cell>
        </row>
        <row r="10654">
          <cell r="E10654">
            <v>0</v>
          </cell>
          <cell r="F10654">
            <v>0</v>
          </cell>
          <cell r="DN10654">
            <v>0</v>
          </cell>
        </row>
        <row r="10655">
          <cell r="E10655">
            <v>0</v>
          </cell>
          <cell r="F10655">
            <v>0</v>
          </cell>
          <cell r="DN10655">
            <v>0</v>
          </cell>
        </row>
        <row r="10656">
          <cell r="E10656">
            <v>0</v>
          </cell>
          <cell r="F10656">
            <v>0</v>
          </cell>
          <cell r="DN10656">
            <v>0</v>
          </cell>
        </row>
        <row r="10657">
          <cell r="E10657">
            <v>0</v>
          </cell>
          <cell r="F10657">
            <v>0</v>
          </cell>
          <cell r="DN10657">
            <v>0</v>
          </cell>
        </row>
        <row r="10658">
          <cell r="E10658">
            <v>0</v>
          </cell>
          <cell r="F10658">
            <v>0</v>
          </cell>
          <cell r="DN10658">
            <v>0</v>
          </cell>
        </row>
        <row r="10659">
          <cell r="E10659">
            <v>0</v>
          </cell>
          <cell r="F10659">
            <v>0</v>
          </cell>
          <cell r="DN10659">
            <v>0</v>
          </cell>
        </row>
        <row r="10660">
          <cell r="E10660">
            <v>0</v>
          </cell>
          <cell r="F10660">
            <v>0</v>
          </cell>
          <cell r="DN10660">
            <v>0</v>
          </cell>
        </row>
        <row r="10661">
          <cell r="E10661">
            <v>0</v>
          </cell>
          <cell r="F10661">
            <v>0</v>
          </cell>
          <cell r="DN10661">
            <v>0</v>
          </cell>
        </row>
        <row r="10662">
          <cell r="E10662">
            <v>0</v>
          </cell>
          <cell r="F10662">
            <v>0</v>
          </cell>
          <cell r="DN10662">
            <v>0</v>
          </cell>
        </row>
        <row r="10663">
          <cell r="E10663">
            <v>0</v>
          </cell>
          <cell r="F10663">
            <v>0</v>
          </cell>
          <cell r="DN10663">
            <v>0</v>
          </cell>
        </row>
        <row r="10664">
          <cell r="E10664">
            <v>0</v>
          </cell>
          <cell r="F10664">
            <v>0</v>
          </cell>
          <cell r="DN10664">
            <v>0</v>
          </cell>
        </row>
        <row r="10665">
          <cell r="E10665">
            <v>0</v>
          </cell>
          <cell r="F10665">
            <v>0</v>
          </cell>
          <cell r="DN10665">
            <v>0</v>
          </cell>
        </row>
        <row r="10666">
          <cell r="E10666">
            <v>0</v>
          </cell>
          <cell r="F10666">
            <v>0</v>
          </cell>
          <cell r="DN10666">
            <v>0</v>
          </cell>
        </row>
        <row r="10667">
          <cell r="E10667">
            <v>0</v>
          </cell>
          <cell r="F10667">
            <v>0</v>
          </cell>
          <cell r="DN10667">
            <v>0</v>
          </cell>
        </row>
        <row r="10668">
          <cell r="E10668">
            <v>0</v>
          </cell>
          <cell r="F10668">
            <v>0</v>
          </cell>
          <cell r="DN10668">
            <v>0</v>
          </cell>
        </row>
        <row r="10669">
          <cell r="E10669">
            <v>0</v>
          </cell>
          <cell r="F10669">
            <v>0</v>
          </cell>
          <cell r="DN10669">
            <v>0</v>
          </cell>
        </row>
        <row r="10670">
          <cell r="E10670">
            <v>0</v>
          </cell>
          <cell r="F10670">
            <v>0</v>
          </cell>
          <cell r="DN10670">
            <v>0</v>
          </cell>
        </row>
        <row r="10671">
          <cell r="E10671">
            <v>0</v>
          </cell>
          <cell r="F10671">
            <v>0</v>
          </cell>
          <cell r="DN10671">
            <v>0</v>
          </cell>
        </row>
        <row r="10672">
          <cell r="E10672">
            <v>0</v>
          </cell>
          <cell r="F10672">
            <v>0</v>
          </cell>
          <cell r="DN10672">
            <v>0</v>
          </cell>
        </row>
        <row r="10673">
          <cell r="E10673">
            <v>0</v>
          </cell>
          <cell r="F10673">
            <v>0</v>
          </cell>
          <cell r="DN10673">
            <v>0</v>
          </cell>
        </row>
        <row r="10674">
          <cell r="E10674">
            <v>0</v>
          </cell>
          <cell r="F10674">
            <v>0</v>
          </cell>
          <cell r="DN10674">
            <v>0</v>
          </cell>
        </row>
        <row r="10675">
          <cell r="E10675">
            <v>0</v>
          </cell>
          <cell r="F10675">
            <v>0</v>
          </cell>
          <cell r="DN10675">
            <v>0</v>
          </cell>
        </row>
        <row r="10676">
          <cell r="E10676">
            <v>0</v>
          </cell>
          <cell r="F10676">
            <v>0</v>
          </cell>
          <cell r="DN10676">
            <v>0</v>
          </cell>
        </row>
        <row r="10677">
          <cell r="E10677">
            <v>0</v>
          </cell>
          <cell r="F10677">
            <v>0</v>
          </cell>
          <cell r="DN10677">
            <v>0</v>
          </cell>
        </row>
        <row r="10678">
          <cell r="E10678">
            <v>0</v>
          </cell>
          <cell r="F10678">
            <v>0</v>
          </cell>
          <cell r="DN10678">
            <v>0</v>
          </cell>
        </row>
        <row r="10679">
          <cell r="E10679">
            <v>0</v>
          </cell>
          <cell r="F10679">
            <v>0</v>
          </cell>
          <cell r="DN10679">
            <v>0</v>
          </cell>
        </row>
        <row r="10680">
          <cell r="E10680">
            <v>0</v>
          </cell>
          <cell r="F10680">
            <v>0</v>
          </cell>
          <cell r="DN10680">
            <v>0</v>
          </cell>
        </row>
        <row r="10681">
          <cell r="E10681">
            <v>0</v>
          </cell>
          <cell r="F10681">
            <v>0</v>
          </cell>
          <cell r="DN10681">
            <v>0</v>
          </cell>
        </row>
        <row r="10682">
          <cell r="E10682">
            <v>0</v>
          </cell>
          <cell r="F10682">
            <v>0</v>
          </cell>
          <cell r="DN10682">
            <v>0</v>
          </cell>
        </row>
        <row r="10683">
          <cell r="E10683">
            <v>0</v>
          </cell>
          <cell r="F10683">
            <v>0</v>
          </cell>
          <cell r="DN10683">
            <v>0</v>
          </cell>
        </row>
        <row r="10684">
          <cell r="E10684">
            <v>0</v>
          </cell>
          <cell r="F10684">
            <v>0</v>
          </cell>
          <cell r="DN10684">
            <v>0</v>
          </cell>
        </row>
        <row r="10685">
          <cell r="E10685">
            <v>0</v>
          </cell>
          <cell r="F10685">
            <v>0</v>
          </cell>
          <cell r="DN10685">
            <v>0</v>
          </cell>
        </row>
        <row r="10686">
          <cell r="E10686">
            <v>0</v>
          </cell>
          <cell r="F10686">
            <v>0</v>
          </cell>
          <cell r="DN10686">
            <v>0</v>
          </cell>
        </row>
        <row r="10687">
          <cell r="E10687">
            <v>0</v>
          </cell>
          <cell r="F10687">
            <v>0</v>
          </cell>
          <cell r="DN10687">
            <v>0</v>
          </cell>
        </row>
        <row r="10688">
          <cell r="E10688">
            <v>0</v>
          </cell>
          <cell r="F10688">
            <v>0</v>
          </cell>
          <cell r="DN10688">
            <v>0</v>
          </cell>
        </row>
        <row r="10689">
          <cell r="E10689">
            <v>0</v>
          </cell>
          <cell r="F10689">
            <v>0</v>
          </cell>
          <cell r="DN10689">
            <v>0</v>
          </cell>
        </row>
        <row r="10690">
          <cell r="E10690">
            <v>0</v>
          </cell>
          <cell r="F10690">
            <v>0</v>
          </cell>
          <cell r="DN10690">
            <v>0</v>
          </cell>
        </row>
        <row r="10691">
          <cell r="E10691">
            <v>0</v>
          </cell>
          <cell r="F10691">
            <v>0</v>
          </cell>
          <cell r="DN10691">
            <v>0</v>
          </cell>
        </row>
        <row r="10692">
          <cell r="E10692">
            <v>0</v>
          </cell>
          <cell r="F10692">
            <v>0</v>
          </cell>
          <cell r="DN10692">
            <v>0</v>
          </cell>
        </row>
        <row r="10693">
          <cell r="E10693">
            <v>0</v>
          </cell>
          <cell r="F10693">
            <v>0</v>
          </cell>
          <cell r="DN10693">
            <v>0</v>
          </cell>
        </row>
        <row r="10694">
          <cell r="E10694">
            <v>0</v>
          </cell>
          <cell r="F10694">
            <v>0</v>
          </cell>
          <cell r="DN10694">
            <v>0</v>
          </cell>
        </row>
        <row r="10695">
          <cell r="E10695">
            <v>0</v>
          </cell>
          <cell r="F10695">
            <v>0</v>
          </cell>
          <cell r="DN10695">
            <v>0</v>
          </cell>
        </row>
        <row r="10696">
          <cell r="E10696">
            <v>0</v>
          </cell>
          <cell r="F10696">
            <v>0</v>
          </cell>
          <cell r="DN10696">
            <v>0</v>
          </cell>
        </row>
        <row r="10697">
          <cell r="E10697">
            <v>0</v>
          </cell>
          <cell r="F10697">
            <v>0</v>
          </cell>
          <cell r="DN10697">
            <v>0</v>
          </cell>
        </row>
        <row r="10698">
          <cell r="E10698">
            <v>0</v>
          </cell>
          <cell r="F10698">
            <v>0</v>
          </cell>
          <cell r="DN10698">
            <v>0</v>
          </cell>
        </row>
        <row r="10699">
          <cell r="E10699">
            <v>0</v>
          </cell>
          <cell r="F10699">
            <v>0</v>
          </cell>
          <cell r="DN10699">
            <v>0</v>
          </cell>
        </row>
        <row r="10700">
          <cell r="E10700">
            <v>0</v>
          </cell>
          <cell r="F10700">
            <v>0</v>
          </cell>
          <cell r="DN10700">
            <v>0</v>
          </cell>
        </row>
        <row r="10701">
          <cell r="E10701">
            <v>0</v>
          </cell>
          <cell r="F10701">
            <v>0</v>
          </cell>
          <cell r="DN10701">
            <v>0</v>
          </cell>
        </row>
        <row r="10702">
          <cell r="E10702">
            <v>0</v>
          </cell>
          <cell r="F10702">
            <v>0</v>
          </cell>
          <cell r="DN10702">
            <v>0</v>
          </cell>
        </row>
        <row r="10703">
          <cell r="E10703">
            <v>0</v>
          </cell>
          <cell r="F10703">
            <v>0</v>
          </cell>
          <cell r="DN10703">
            <v>0</v>
          </cell>
        </row>
        <row r="10704">
          <cell r="E10704">
            <v>0</v>
          </cell>
          <cell r="F10704">
            <v>0</v>
          </cell>
          <cell r="DN10704">
            <v>0</v>
          </cell>
        </row>
        <row r="10705">
          <cell r="E10705">
            <v>0</v>
          </cell>
          <cell r="F10705">
            <v>0</v>
          </cell>
          <cell r="DN10705">
            <v>0</v>
          </cell>
        </row>
        <row r="10706">
          <cell r="E10706">
            <v>0</v>
          </cell>
          <cell r="F10706">
            <v>0</v>
          </cell>
          <cell r="DN10706">
            <v>0</v>
          </cell>
        </row>
        <row r="10707">
          <cell r="E10707">
            <v>0</v>
          </cell>
          <cell r="F10707">
            <v>0</v>
          </cell>
          <cell r="DN10707">
            <v>0</v>
          </cell>
        </row>
        <row r="10708">
          <cell r="E10708">
            <v>0</v>
          </cell>
          <cell r="F10708">
            <v>0</v>
          </cell>
          <cell r="DN10708">
            <v>0</v>
          </cell>
        </row>
        <row r="10709">
          <cell r="E10709">
            <v>0</v>
          </cell>
          <cell r="F10709">
            <v>0</v>
          </cell>
          <cell r="DN10709">
            <v>0</v>
          </cell>
        </row>
        <row r="10710">
          <cell r="E10710">
            <v>0</v>
          </cell>
          <cell r="F10710">
            <v>0</v>
          </cell>
          <cell r="DN10710">
            <v>0</v>
          </cell>
        </row>
        <row r="10711">
          <cell r="E10711">
            <v>0</v>
          </cell>
          <cell r="F10711">
            <v>0</v>
          </cell>
          <cell r="DN10711">
            <v>0</v>
          </cell>
        </row>
        <row r="10712">
          <cell r="E10712">
            <v>0</v>
          </cell>
          <cell r="F10712">
            <v>0</v>
          </cell>
          <cell r="DN10712">
            <v>0</v>
          </cell>
        </row>
        <row r="10713">
          <cell r="E10713">
            <v>0</v>
          </cell>
          <cell r="F10713">
            <v>0</v>
          </cell>
          <cell r="DN10713">
            <v>0</v>
          </cell>
        </row>
        <row r="10714">
          <cell r="E10714">
            <v>0</v>
          </cell>
          <cell r="F10714">
            <v>0</v>
          </cell>
          <cell r="DN10714">
            <v>0</v>
          </cell>
        </row>
        <row r="10715">
          <cell r="E10715">
            <v>0</v>
          </cell>
          <cell r="F10715">
            <v>0</v>
          </cell>
          <cell r="DN10715">
            <v>0</v>
          </cell>
        </row>
        <row r="10716">
          <cell r="E10716">
            <v>0</v>
          </cell>
          <cell r="F10716">
            <v>0</v>
          </cell>
          <cell r="DN10716">
            <v>0</v>
          </cell>
        </row>
        <row r="10717">
          <cell r="E10717">
            <v>0</v>
          </cell>
          <cell r="F10717">
            <v>0</v>
          </cell>
          <cell r="DN10717">
            <v>0</v>
          </cell>
        </row>
        <row r="10718">
          <cell r="E10718">
            <v>0</v>
          </cell>
          <cell r="F10718">
            <v>0</v>
          </cell>
          <cell r="DN10718">
            <v>0</v>
          </cell>
        </row>
        <row r="10719">
          <cell r="E10719">
            <v>0</v>
          </cell>
          <cell r="F10719">
            <v>0</v>
          </cell>
          <cell r="DN10719">
            <v>0</v>
          </cell>
        </row>
        <row r="10720">
          <cell r="E10720">
            <v>0</v>
          </cell>
          <cell r="F10720">
            <v>0</v>
          </cell>
          <cell r="DN10720">
            <v>0</v>
          </cell>
        </row>
        <row r="10721">
          <cell r="E10721">
            <v>0</v>
          </cell>
          <cell r="F10721">
            <v>0</v>
          </cell>
          <cell r="DN10721">
            <v>0</v>
          </cell>
        </row>
        <row r="10722">
          <cell r="E10722">
            <v>0</v>
          </cell>
          <cell r="F10722">
            <v>0</v>
          </cell>
          <cell r="DN10722">
            <v>0</v>
          </cell>
        </row>
        <row r="10723">
          <cell r="E10723">
            <v>0</v>
          </cell>
          <cell r="F10723">
            <v>0</v>
          </cell>
          <cell r="DN10723">
            <v>0</v>
          </cell>
        </row>
        <row r="10724">
          <cell r="E10724">
            <v>0</v>
          </cell>
          <cell r="F10724">
            <v>0</v>
          </cell>
          <cell r="DN10724">
            <v>0</v>
          </cell>
        </row>
        <row r="10725">
          <cell r="E10725">
            <v>0</v>
          </cell>
          <cell r="F10725">
            <v>0</v>
          </cell>
          <cell r="DN10725">
            <v>0</v>
          </cell>
        </row>
        <row r="10726">
          <cell r="E10726">
            <v>0</v>
          </cell>
          <cell r="F10726">
            <v>0</v>
          </cell>
          <cell r="DN10726">
            <v>0</v>
          </cell>
        </row>
        <row r="10727">
          <cell r="E10727">
            <v>0</v>
          </cell>
          <cell r="F10727">
            <v>0</v>
          </cell>
          <cell r="DN10727">
            <v>0</v>
          </cell>
        </row>
        <row r="10728">
          <cell r="E10728">
            <v>0</v>
          </cell>
          <cell r="F10728">
            <v>0</v>
          </cell>
          <cell r="DN10728">
            <v>0</v>
          </cell>
        </row>
        <row r="10729">
          <cell r="E10729">
            <v>0</v>
          </cell>
          <cell r="F10729">
            <v>0</v>
          </cell>
          <cell r="DN10729">
            <v>0</v>
          </cell>
        </row>
        <row r="10730">
          <cell r="E10730">
            <v>0</v>
          </cell>
          <cell r="F10730">
            <v>0</v>
          </cell>
          <cell r="DN10730">
            <v>0</v>
          </cell>
        </row>
        <row r="10731">
          <cell r="E10731">
            <v>0</v>
          </cell>
          <cell r="F10731">
            <v>0</v>
          </cell>
          <cell r="DN10731">
            <v>0</v>
          </cell>
        </row>
        <row r="10732">
          <cell r="E10732">
            <v>0</v>
          </cell>
          <cell r="F10732">
            <v>0</v>
          </cell>
          <cell r="DN10732">
            <v>0</v>
          </cell>
        </row>
        <row r="10733">
          <cell r="E10733">
            <v>0</v>
          </cell>
          <cell r="F10733">
            <v>0</v>
          </cell>
          <cell r="DN10733">
            <v>0</v>
          </cell>
        </row>
        <row r="10734">
          <cell r="E10734">
            <v>0</v>
          </cell>
          <cell r="F10734">
            <v>0</v>
          </cell>
          <cell r="DN10734">
            <v>0</v>
          </cell>
        </row>
        <row r="10735">
          <cell r="E10735">
            <v>0</v>
          </cell>
          <cell r="F10735">
            <v>0</v>
          </cell>
          <cell r="DN10735">
            <v>0</v>
          </cell>
        </row>
        <row r="10736">
          <cell r="E10736">
            <v>0</v>
          </cell>
          <cell r="F10736">
            <v>0</v>
          </cell>
          <cell r="DN10736">
            <v>0</v>
          </cell>
        </row>
        <row r="10737">
          <cell r="E10737">
            <v>0</v>
          </cell>
          <cell r="F10737">
            <v>0</v>
          </cell>
          <cell r="DN10737">
            <v>0</v>
          </cell>
        </row>
        <row r="10738">
          <cell r="E10738">
            <v>0</v>
          </cell>
          <cell r="F10738">
            <v>0</v>
          </cell>
          <cell r="DN10738">
            <v>0</v>
          </cell>
        </row>
        <row r="10739">
          <cell r="E10739">
            <v>0</v>
          </cell>
          <cell r="F10739">
            <v>0</v>
          </cell>
          <cell r="DN10739">
            <v>0</v>
          </cell>
        </row>
        <row r="10740">
          <cell r="E10740">
            <v>0</v>
          </cell>
          <cell r="F10740">
            <v>0</v>
          </cell>
          <cell r="DN10740">
            <v>0</v>
          </cell>
        </row>
        <row r="10741">
          <cell r="E10741">
            <v>0</v>
          </cell>
          <cell r="F10741">
            <v>0</v>
          </cell>
          <cell r="DN10741">
            <v>0</v>
          </cell>
        </row>
        <row r="10742">
          <cell r="E10742">
            <v>0</v>
          </cell>
          <cell r="F10742">
            <v>0</v>
          </cell>
          <cell r="DN10742">
            <v>0</v>
          </cell>
        </row>
        <row r="10743">
          <cell r="E10743">
            <v>0</v>
          </cell>
          <cell r="F10743">
            <v>0</v>
          </cell>
          <cell r="DN10743">
            <v>0</v>
          </cell>
        </row>
        <row r="10744">
          <cell r="E10744">
            <v>0</v>
          </cell>
          <cell r="F10744">
            <v>0</v>
          </cell>
          <cell r="DN10744">
            <v>0</v>
          </cell>
        </row>
        <row r="10745">
          <cell r="E10745">
            <v>0</v>
          </cell>
          <cell r="F10745">
            <v>0</v>
          </cell>
          <cell r="DN10745">
            <v>0</v>
          </cell>
        </row>
        <row r="10746">
          <cell r="E10746">
            <v>0</v>
          </cell>
          <cell r="F10746">
            <v>0</v>
          </cell>
          <cell r="DN10746">
            <v>0</v>
          </cell>
        </row>
        <row r="10747">
          <cell r="E10747">
            <v>0</v>
          </cell>
          <cell r="F10747">
            <v>0</v>
          </cell>
          <cell r="DN10747">
            <v>0</v>
          </cell>
        </row>
        <row r="10748">
          <cell r="E10748">
            <v>0</v>
          </cell>
          <cell r="F10748">
            <v>0</v>
          </cell>
          <cell r="DN10748">
            <v>0</v>
          </cell>
        </row>
        <row r="10749">
          <cell r="E10749">
            <v>0</v>
          </cell>
          <cell r="F10749">
            <v>0</v>
          </cell>
          <cell r="DN10749">
            <v>0</v>
          </cell>
        </row>
        <row r="10750">
          <cell r="E10750">
            <v>0</v>
          </cell>
          <cell r="F10750">
            <v>0</v>
          </cell>
          <cell r="DN10750">
            <v>0</v>
          </cell>
        </row>
        <row r="10751">
          <cell r="E10751">
            <v>0</v>
          </cell>
          <cell r="F10751">
            <v>0</v>
          </cell>
          <cell r="DN10751">
            <v>0</v>
          </cell>
        </row>
        <row r="10752">
          <cell r="E10752">
            <v>0</v>
          </cell>
          <cell r="F10752">
            <v>0</v>
          </cell>
          <cell r="DN10752">
            <v>0</v>
          </cell>
        </row>
        <row r="10753">
          <cell r="E10753">
            <v>0</v>
          </cell>
          <cell r="F10753">
            <v>0</v>
          </cell>
          <cell r="DN10753">
            <v>0</v>
          </cell>
        </row>
        <row r="10754">
          <cell r="E10754">
            <v>0</v>
          </cell>
          <cell r="F10754">
            <v>0</v>
          </cell>
          <cell r="DN10754">
            <v>0</v>
          </cell>
        </row>
        <row r="10755">
          <cell r="E10755">
            <v>0</v>
          </cell>
          <cell r="F10755">
            <v>0</v>
          </cell>
          <cell r="DN10755">
            <v>0</v>
          </cell>
        </row>
        <row r="10756">
          <cell r="E10756">
            <v>0</v>
          </cell>
          <cell r="F10756">
            <v>0</v>
          </cell>
          <cell r="DN10756">
            <v>0</v>
          </cell>
        </row>
        <row r="10757">
          <cell r="E10757">
            <v>0</v>
          </cell>
          <cell r="F10757">
            <v>0</v>
          </cell>
          <cell r="DN10757">
            <v>0</v>
          </cell>
        </row>
        <row r="10758">
          <cell r="E10758">
            <v>0</v>
          </cell>
          <cell r="F10758">
            <v>0</v>
          </cell>
          <cell r="DN10758">
            <v>0</v>
          </cell>
        </row>
        <row r="10759">
          <cell r="E10759">
            <v>0</v>
          </cell>
          <cell r="F10759">
            <v>0</v>
          </cell>
          <cell r="DN10759">
            <v>0</v>
          </cell>
        </row>
        <row r="10760">
          <cell r="E10760">
            <v>0</v>
          </cell>
          <cell r="F10760">
            <v>0</v>
          </cell>
          <cell r="DN10760">
            <v>0</v>
          </cell>
        </row>
        <row r="10761">
          <cell r="E10761">
            <v>0</v>
          </cell>
          <cell r="F10761">
            <v>0</v>
          </cell>
          <cell r="DN10761">
            <v>0</v>
          </cell>
        </row>
        <row r="10762">
          <cell r="E10762">
            <v>0</v>
          </cell>
          <cell r="F10762">
            <v>0</v>
          </cell>
          <cell r="DN10762">
            <v>0</v>
          </cell>
        </row>
        <row r="10763">
          <cell r="E10763">
            <v>0</v>
          </cell>
          <cell r="F10763">
            <v>0</v>
          </cell>
          <cell r="DN10763">
            <v>0</v>
          </cell>
        </row>
        <row r="10764">
          <cell r="E10764">
            <v>0</v>
          </cell>
          <cell r="F10764">
            <v>0</v>
          </cell>
          <cell r="DN10764">
            <v>0</v>
          </cell>
        </row>
        <row r="10765">
          <cell r="E10765">
            <v>0</v>
          </cell>
          <cell r="F10765">
            <v>0</v>
          </cell>
          <cell r="DN10765">
            <v>0</v>
          </cell>
        </row>
        <row r="10766">
          <cell r="E10766">
            <v>0</v>
          </cell>
          <cell r="F10766">
            <v>0</v>
          </cell>
          <cell r="DN10766">
            <v>0</v>
          </cell>
        </row>
        <row r="10767">
          <cell r="E10767">
            <v>0</v>
          </cell>
          <cell r="F10767">
            <v>0</v>
          </cell>
          <cell r="DN10767">
            <v>0</v>
          </cell>
        </row>
        <row r="10768">
          <cell r="E10768">
            <v>0</v>
          </cell>
          <cell r="F10768">
            <v>0</v>
          </cell>
          <cell r="DN10768">
            <v>0</v>
          </cell>
        </row>
        <row r="10769">
          <cell r="E10769">
            <v>0</v>
          </cell>
          <cell r="F10769">
            <v>0</v>
          </cell>
          <cell r="DN10769">
            <v>0</v>
          </cell>
        </row>
        <row r="10770">
          <cell r="E10770">
            <v>0</v>
          </cell>
          <cell r="F10770">
            <v>0</v>
          </cell>
          <cell r="DN10770">
            <v>0</v>
          </cell>
        </row>
        <row r="10771">
          <cell r="E10771">
            <v>0</v>
          </cell>
          <cell r="F10771">
            <v>0</v>
          </cell>
          <cell r="DN10771">
            <v>0</v>
          </cell>
        </row>
        <row r="10772">
          <cell r="E10772">
            <v>0</v>
          </cell>
          <cell r="F10772">
            <v>0</v>
          </cell>
          <cell r="DN10772">
            <v>0</v>
          </cell>
        </row>
        <row r="10773">
          <cell r="E10773">
            <v>0</v>
          </cell>
          <cell r="F10773">
            <v>0</v>
          </cell>
          <cell r="DN10773">
            <v>0</v>
          </cell>
        </row>
        <row r="10774">
          <cell r="E10774">
            <v>0</v>
          </cell>
          <cell r="F10774">
            <v>0</v>
          </cell>
          <cell r="DN10774">
            <v>0</v>
          </cell>
        </row>
        <row r="10775">
          <cell r="E10775">
            <v>0</v>
          </cell>
          <cell r="F10775">
            <v>0</v>
          </cell>
          <cell r="DN10775">
            <v>0</v>
          </cell>
        </row>
        <row r="10776">
          <cell r="E10776">
            <v>0</v>
          </cell>
          <cell r="F10776">
            <v>0</v>
          </cell>
          <cell r="DN10776">
            <v>0</v>
          </cell>
        </row>
        <row r="10777">
          <cell r="E10777">
            <v>0</v>
          </cell>
          <cell r="F10777">
            <v>0</v>
          </cell>
          <cell r="DN10777">
            <v>0</v>
          </cell>
        </row>
        <row r="10778">
          <cell r="E10778">
            <v>0</v>
          </cell>
          <cell r="F10778">
            <v>0</v>
          </cell>
          <cell r="DN10778">
            <v>0</v>
          </cell>
        </row>
        <row r="10779">
          <cell r="E10779">
            <v>0</v>
          </cell>
          <cell r="F10779">
            <v>0</v>
          </cell>
          <cell r="DN10779">
            <v>0</v>
          </cell>
        </row>
        <row r="10780">
          <cell r="E10780">
            <v>0</v>
          </cell>
          <cell r="F10780">
            <v>0</v>
          </cell>
          <cell r="DN10780">
            <v>0</v>
          </cell>
        </row>
        <row r="10781">
          <cell r="E10781">
            <v>0</v>
          </cell>
          <cell r="F10781">
            <v>0</v>
          </cell>
          <cell r="DN10781">
            <v>0</v>
          </cell>
        </row>
        <row r="10782">
          <cell r="E10782">
            <v>0</v>
          </cell>
          <cell r="F10782">
            <v>0</v>
          </cell>
          <cell r="DN10782">
            <v>0</v>
          </cell>
        </row>
        <row r="10783">
          <cell r="E10783">
            <v>0</v>
          </cell>
          <cell r="F10783">
            <v>0</v>
          </cell>
          <cell r="DN10783">
            <v>0</v>
          </cell>
        </row>
        <row r="10784">
          <cell r="E10784">
            <v>0</v>
          </cell>
          <cell r="F10784">
            <v>0</v>
          </cell>
          <cell r="DN10784">
            <v>0</v>
          </cell>
        </row>
        <row r="10785">
          <cell r="E10785">
            <v>0</v>
          </cell>
          <cell r="F10785">
            <v>0</v>
          </cell>
          <cell r="DN10785">
            <v>0</v>
          </cell>
        </row>
        <row r="10786">
          <cell r="E10786">
            <v>0</v>
          </cell>
          <cell r="F10786">
            <v>0</v>
          </cell>
          <cell r="DN10786">
            <v>0</v>
          </cell>
        </row>
        <row r="10787">
          <cell r="E10787">
            <v>0</v>
          </cell>
          <cell r="F10787">
            <v>0</v>
          </cell>
          <cell r="DN10787">
            <v>0</v>
          </cell>
        </row>
        <row r="10788">
          <cell r="E10788">
            <v>0</v>
          </cell>
          <cell r="F10788">
            <v>0</v>
          </cell>
          <cell r="DN10788">
            <v>0</v>
          </cell>
        </row>
        <row r="10789">
          <cell r="E10789">
            <v>0</v>
          </cell>
          <cell r="F10789">
            <v>0</v>
          </cell>
          <cell r="DN10789">
            <v>0</v>
          </cell>
        </row>
        <row r="10790">
          <cell r="E10790">
            <v>0</v>
          </cell>
          <cell r="F10790">
            <v>0</v>
          </cell>
          <cell r="DN10790">
            <v>0</v>
          </cell>
        </row>
        <row r="10791">
          <cell r="E10791">
            <v>0</v>
          </cell>
          <cell r="F10791">
            <v>0</v>
          </cell>
          <cell r="DN10791">
            <v>0</v>
          </cell>
        </row>
        <row r="10792">
          <cell r="E10792">
            <v>0</v>
          </cell>
          <cell r="F10792">
            <v>0</v>
          </cell>
          <cell r="DN10792">
            <v>0</v>
          </cell>
        </row>
        <row r="10793">
          <cell r="E10793">
            <v>0</v>
          </cell>
          <cell r="F10793">
            <v>0</v>
          </cell>
          <cell r="DN10793">
            <v>0</v>
          </cell>
        </row>
        <row r="10794">
          <cell r="E10794">
            <v>0</v>
          </cell>
          <cell r="F10794">
            <v>0</v>
          </cell>
          <cell r="DN10794">
            <v>0</v>
          </cell>
        </row>
        <row r="10795">
          <cell r="E10795">
            <v>0</v>
          </cell>
          <cell r="F10795">
            <v>0</v>
          </cell>
          <cell r="DN10795">
            <v>0</v>
          </cell>
        </row>
        <row r="10796">
          <cell r="E10796">
            <v>0</v>
          </cell>
          <cell r="F10796">
            <v>0</v>
          </cell>
          <cell r="DN10796">
            <v>0</v>
          </cell>
        </row>
        <row r="10797">
          <cell r="E10797">
            <v>0</v>
          </cell>
          <cell r="F10797">
            <v>0</v>
          </cell>
          <cell r="DN10797">
            <v>0</v>
          </cell>
        </row>
        <row r="10798">
          <cell r="E10798">
            <v>0</v>
          </cell>
          <cell r="F10798">
            <v>0</v>
          </cell>
          <cell r="DN10798">
            <v>0</v>
          </cell>
        </row>
        <row r="10799">
          <cell r="E10799">
            <v>0</v>
          </cell>
          <cell r="F10799">
            <v>0</v>
          </cell>
          <cell r="DN10799">
            <v>0</v>
          </cell>
        </row>
        <row r="10800">
          <cell r="E10800">
            <v>0</v>
          </cell>
          <cell r="F10800">
            <v>0</v>
          </cell>
          <cell r="DN10800">
            <v>0</v>
          </cell>
        </row>
        <row r="10801">
          <cell r="E10801">
            <v>0</v>
          </cell>
          <cell r="F10801">
            <v>0</v>
          </cell>
          <cell r="DN10801">
            <v>0</v>
          </cell>
        </row>
        <row r="10802">
          <cell r="E10802">
            <v>0</v>
          </cell>
          <cell r="F10802">
            <v>0</v>
          </cell>
          <cell r="DN10802">
            <v>0</v>
          </cell>
        </row>
        <row r="10803">
          <cell r="E10803">
            <v>0</v>
          </cell>
          <cell r="F10803">
            <v>0</v>
          </cell>
          <cell r="DN10803">
            <v>0</v>
          </cell>
        </row>
        <row r="10804">
          <cell r="E10804">
            <v>0</v>
          </cell>
          <cell r="F10804">
            <v>0</v>
          </cell>
          <cell r="DN10804">
            <v>0</v>
          </cell>
        </row>
        <row r="10805">
          <cell r="E10805">
            <v>0</v>
          </cell>
          <cell r="F10805">
            <v>0</v>
          </cell>
          <cell r="DN10805">
            <v>0</v>
          </cell>
        </row>
        <row r="10806">
          <cell r="E10806">
            <v>0</v>
          </cell>
          <cell r="F10806">
            <v>0</v>
          </cell>
          <cell r="DN10806">
            <v>0</v>
          </cell>
        </row>
        <row r="10807">
          <cell r="E10807">
            <v>0</v>
          </cell>
          <cell r="F10807">
            <v>0</v>
          </cell>
          <cell r="DN10807">
            <v>0</v>
          </cell>
        </row>
        <row r="10808">
          <cell r="E10808">
            <v>0</v>
          </cell>
          <cell r="F10808">
            <v>0</v>
          </cell>
          <cell r="DN10808">
            <v>0</v>
          </cell>
        </row>
        <row r="10809">
          <cell r="E10809">
            <v>0</v>
          </cell>
          <cell r="F10809">
            <v>0</v>
          </cell>
          <cell r="DN10809">
            <v>0</v>
          </cell>
        </row>
        <row r="10810">
          <cell r="E10810">
            <v>0</v>
          </cell>
          <cell r="F10810">
            <v>0</v>
          </cell>
          <cell r="DN10810">
            <v>0</v>
          </cell>
        </row>
        <row r="10811">
          <cell r="E10811">
            <v>0</v>
          </cell>
          <cell r="F10811">
            <v>0</v>
          </cell>
          <cell r="DN10811">
            <v>0</v>
          </cell>
        </row>
        <row r="10812">
          <cell r="E10812">
            <v>0</v>
          </cell>
          <cell r="F10812">
            <v>0</v>
          </cell>
          <cell r="DN10812">
            <v>0</v>
          </cell>
        </row>
        <row r="10813">
          <cell r="E10813">
            <v>0</v>
          </cell>
          <cell r="F10813">
            <v>0</v>
          </cell>
          <cell r="DN10813">
            <v>0</v>
          </cell>
        </row>
        <row r="10814">
          <cell r="E10814">
            <v>0</v>
          </cell>
          <cell r="F10814">
            <v>0</v>
          </cell>
          <cell r="DN10814">
            <v>0</v>
          </cell>
        </row>
        <row r="10815">
          <cell r="E10815">
            <v>0</v>
          </cell>
          <cell r="F10815">
            <v>0</v>
          </cell>
          <cell r="DN10815">
            <v>0</v>
          </cell>
        </row>
        <row r="10816">
          <cell r="E10816">
            <v>0</v>
          </cell>
          <cell r="F10816">
            <v>0</v>
          </cell>
          <cell r="DN10816">
            <v>0</v>
          </cell>
        </row>
        <row r="10817">
          <cell r="E10817">
            <v>0</v>
          </cell>
          <cell r="F10817">
            <v>0</v>
          </cell>
          <cell r="DN10817">
            <v>0</v>
          </cell>
        </row>
        <row r="10818">
          <cell r="E10818">
            <v>0</v>
          </cell>
          <cell r="F10818">
            <v>0</v>
          </cell>
          <cell r="DN10818">
            <v>0</v>
          </cell>
        </row>
        <row r="10819">
          <cell r="E10819">
            <v>0</v>
          </cell>
          <cell r="F10819">
            <v>0</v>
          </cell>
          <cell r="DN10819">
            <v>0</v>
          </cell>
        </row>
        <row r="10820">
          <cell r="E10820">
            <v>0</v>
          </cell>
          <cell r="F10820">
            <v>0</v>
          </cell>
          <cell r="DN10820">
            <v>0</v>
          </cell>
        </row>
        <row r="10821">
          <cell r="E10821">
            <v>0</v>
          </cell>
          <cell r="F10821">
            <v>0</v>
          </cell>
          <cell r="DN10821">
            <v>0</v>
          </cell>
        </row>
        <row r="10822">
          <cell r="E10822">
            <v>0</v>
          </cell>
          <cell r="F10822">
            <v>0</v>
          </cell>
          <cell r="DN10822">
            <v>0</v>
          </cell>
        </row>
        <row r="10823">
          <cell r="E10823">
            <v>0</v>
          </cell>
          <cell r="F10823">
            <v>0</v>
          </cell>
          <cell r="DN10823">
            <v>0</v>
          </cell>
        </row>
        <row r="10824">
          <cell r="E10824">
            <v>0</v>
          </cell>
          <cell r="F10824">
            <v>0</v>
          </cell>
          <cell r="DN10824">
            <v>0</v>
          </cell>
        </row>
        <row r="10825">
          <cell r="E10825">
            <v>0</v>
          </cell>
          <cell r="F10825">
            <v>0</v>
          </cell>
          <cell r="DN10825">
            <v>0</v>
          </cell>
        </row>
        <row r="10826">
          <cell r="E10826">
            <v>0</v>
          </cell>
          <cell r="F10826">
            <v>0</v>
          </cell>
          <cell r="DN10826">
            <v>0</v>
          </cell>
        </row>
        <row r="10827">
          <cell r="E10827">
            <v>0</v>
          </cell>
          <cell r="F10827">
            <v>0</v>
          </cell>
          <cell r="DN10827">
            <v>0</v>
          </cell>
        </row>
        <row r="10828">
          <cell r="E10828">
            <v>0</v>
          </cell>
          <cell r="F10828">
            <v>0</v>
          </cell>
          <cell r="DN10828">
            <v>0</v>
          </cell>
        </row>
        <row r="10829">
          <cell r="E10829">
            <v>0</v>
          </cell>
          <cell r="F10829">
            <v>0</v>
          </cell>
          <cell r="DN10829">
            <v>0</v>
          </cell>
        </row>
        <row r="10830">
          <cell r="E10830">
            <v>0</v>
          </cell>
          <cell r="F10830">
            <v>0</v>
          </cell>
          <cell r="DN10830">
            <v>0</v>
          </cell>
        </row>
        <row r="10831">
          <cell r="E10831">
            <v>0</v>
          </cell>
          <cell r="F10831">
            <v>0</v>
          </cell>
          <cell r="DN10831">
            <v>0</v>
          </cell>
        </row>
        <row r="10832">
          <cell r="E10832">
            <v>0</v>
          </cell>
          <cell r="F10832">
            <v>0</v>
          </cell>
          <cell r="DN10832">
            <v>0</v>
          </cell>
        </row>
        <row r="10833">
          <cell r="E10833">
            <v>0</v>
          </cell>
          <cell r="F10833">
            <v>0</v>
          </cell>
          <cell r="DN10833">
            <v>0</v>
          </cell>
        </row>
        <row r="10834">
          <cell r="E10834">
            <v>0</v>
          </cell>
          <cell r="F10834">
            <v>0</v>
          </cell>
          <cell r="DN10834">
            <v>0</v>
          </cell>
        </row>
        <row r="10835">
          <cell r="E10835">
            <v>0</v>
          </cell>
          <cell r="F10835">
            <v>0</v>
          </cell>
          <cell r="DN10835">
            <v>0</v>
          </cell>
        </row>
        <row r="10836">
          <cell r="E10836">
            <v>0</v>
          </cell>
          <cell r="F10836">
            <v>0</v>
          </cell>
          <cell r="DN10836">
            <v>0</v>
          </cell>
        </row>
        <row r="10837">
          <cell r="E10837">
            <v>0</v>
          </cell>
          <cell r="F10837">
            <v>0</v>
          </cell>
          <cell r="DN10837">
            <v>0</v>
          </cell>
        </row>
        <row r="10838">
          <cell r="E10838">
            <v>0</v>
          </cell>
          <cell r="F10838">
            <v>0</v>
          </cell>
          <cell r="DN10838">
            <v>0</v>
          </cell>
        </row>
        <row r="10839">
          <cell r="E10839">
            <v>0</v>
          </cell>
          <cell r="F10839">
            <v>0</v>
          </cell>
          <cell r="DN10839">
            <v>0</v>
          </cell>
        </row>
        <row r="10840">
          <cell r="E10840">
            <v>0</v>
          </cell>
          <cell r="F10840">
            <v>0</v>
          </cell>
          <cell r="DN10840">
            <v>0</v>
          </cell>
        </row>
        <row r="10841">
          <cell r="E10841">
            <v>0</v>
          </cell>
          <cell r="F10841">
            <v>0</v>
          </cell>
          <cell r="DN10841">
            <v>0</v>
          </cell>
        </row>
        <row r="10842">
          <cell r="E10842">
            <v>0</v>
          </cell>
          <cell r="F10842">
            <v>0</v>
          </cell>
          <cell r="DN10842">
            <v>0</v>
          </cell>
        </row>
        <row r="10843">
          <cell r="E10843">
            <v>0</v>
          </cell>
          <cell r="F10843">
            <v>0</v>
          </cell>
          <cell r="DN10843">
            <v>0</v>
          </cell>
        </row>
        <row r="10844">
          <cell r="E10844">
            <v>0</v>
          </cell>
          <cell r="F10844">
            <v>0</v>
          </cell>
          <cell r="DN10844">
            <v>0</v>
          </cell>
        </row>
        <row r="10845">
          <cell r="E10845">
            <v>0</v>
          </cell>
          <cell r="F10845">
            <v>0</v>
          </cell>
          <cell r="DN10845">
            <v>0</v>
          </cell>
        </row>
        <row r="10846">
          <cell r="E10846">
            <v>0</v>
          </cell>
          <cell r="F10846">
            <v>0</v>
          </cell>
          <cell r="DN10846">
            <v>0</v>
          </cell>
        </row>
        <row r="10847">
          <cell r="E10847">
            <v>0</v>
          </cell>
          <cell r="F10847">
            <v>0</v>
          </cell>
          <cell r="DN10847">
            <v>0</v>
          </cell>
        </row>
        <row r="10848">
          <cell r="E10848">
            <v>0</v>
          </cell>
          <cell r="F10848">
            <v>0</v>
          </cell>
          <cell r="DN10848">
            <v>0</v>
          </cell>
        </row>
        <row r="10849">
          <cell r="E10849">
            <v>0</v>
          </cell>
          <cell r="F10849">
            <v>0</v>
          </cell>
          <cell r="DN10849">
            <v>0</v>
          </cell>
        </row>
        <row r="10850">
          <cell r="E10850">
            <v>0</v>
          </cell>
          <cell r="F10850">
            <v>0</v>
          </cell>
          <cell r="DN10850">
            <v>0</v>
          </cell>
        </row>
        <row r="10851">
          <cell r="E10851">
            <v>0</v>
          </cell>
          <cell r="F10851">
            <v>0</v>
          </cell>
          <cell r="DN10851">
            <v>0</v>
          </cell>
        </row>
        <row r="10852">
          <cell r="E10852">
            <v>0</v>
          </cell>
          <cell r="F10852">
            <v>0</v>
          </cell>
          <cell r="DN10852">
            <v>0</v>
          </cell>
        </row>
        <row r="10853">
          <cell r="E10853">
            <v>0</v>
          </cell>
          <cell r="F10853">
            <v>0</v>
          </cell>
          <cell r="DN10853">
            <v>0</v>
          </cell>
        </row>
        <row r="10854">
          <cell r="E10854">
            <v>0</v>
          </cell>
          <cell r="F10854">
            <v>0</v>
          </cell>
          <cell r="DN10854">
            <v>0</v>
          </cell>
        </row>
        <row r="10855">
          <cell r="E10855">
            <v>0</v>
          </cell>
          <cell r="F10855">
            <v>0</v>
          </cell>
          <cell r="DN10855">
            <v>0</v>
          </cell>
        </row>
        <row r="10856">
          <cell r="E10856">
            <v>0</v>
          </cell>
          <cell r="F10856">
            <v>0</v>
          </cell>
          <cell r="DN10856">
            <v>0</v>
          </cell>
        </row>
        <row r="10857">
          <cell r="E10857">
            <v>0</v>
          </cell>
          <cell r="F10857">
            <v>0</v>
          </cell>
          <cell r="DN10857">
            <v>0</v>
          </cell>
        </row>
        <row r="10858">
          <cell r="E10858">
            <v>0</v>
          </cell>
          <cell r="F10858">
            <v>0</v>
          </cell>
          <cell r="DN10858">
            <v>0</v>
          </cell>
        </row>
        <row r="10859">
          <cell r="E10859">
            <v>0</v>
          </cell>
          <cell r="F10859">
            <v>0</v>
          </cell>
          <cell r="DN10859">
            <v>0</v>
          </cell>
        </row>
        <row r="10860">
          <cell r="E10860">
            <v>0</v>
          </cell>
          <cell r="F10860">
            <v>0</v>
          </cell>
          <cell r="DN10860">
            <v>0</v>
          </cell>
        </row>
        <row r="10861">
          <cell r="E10861">
            <v>0</v>
          </cell>
          <cell r="F10861">
            <v>0</v>
          </cell>
          <cell r="DN10861">
            <v>0</v>
          </cell>
        </row>
        <row r="10862">
          <cell r="E10862">
            <v>0</v>
          </cell>
          <cell r="F10862">
            <v>0</v>
          </cell>
          <cell r="DN10862">
            <v>0</v>
          </cell>
        </row>
        <row r="10863">
          <cell r="E10863">
            <v>0</v>
          </cell>
          <cell r="F10863">
            <v>0</v>
          </cell>
          <cell r="DN10863">
            <v>0</v>
          </cell>
        </row>
        <row r="10864">
          <cell r="E10864">
            <v>0</v>
          </cell>
          <cell r="F10864">
            <v>0</v>
          </cell>
          <cell r="DN10864">
            <v>0</v>
          </cell>
        </row>
        <row r="10865">
          <cell r="E10865">
            <v>0</v>
          </cell>
          <cell r="F10865">
            <v>0</v>
          </cell>
          <cell r="DN10865">
            <v>0</v>
          </cell>
        </row>
        <row r="10866">
          <cell r="E10866">
            <v>0</v>
          </cell>
          <cell r="F10866">
            <v>0</v>
          </cell>
          <cell r="DN10866">
            <v>0</v>
          </cell>
        </row>
        <row r="10867">
          <cell r="E10867">
            <v>0</v>
          </cell>
          <cell r="F10867">
            <v>0</v>
          </cell>
          <cell r="DN10867">
            <v>0</v>
          </cell>
        </row>
        <row r="10868">
          <cell r="E10868">
            <v>0</v>
          </cell>
          <cell r="F10868">
            <v>0</v>
          </cell>
          <cell r="DN10868">
            <v>0</v>
          </cell>
        </row>
        <row r="10869">
          <cell r="E10869">
            <v>0</v>
          </cell>
          <cell r="F10869">
            <v>0</v>
          </cell>
          <cell r="DN10869">
            <v>0</v>
          </cell>
        </row>
        <row r="10870">
          <cell r="E10870">
            <v>0</v>
          </cell>
          <cell r="F10870">
            <v>0</v>
          </cell>
          <cell r="DN10870">
            <v>0</v>
          </cell>
        </row>
        <row r="10871">
          <cell r="E10871">
            <v>0</v>
          </cell>
          <cell r="F10871">
            <v>0</v>
          </cell>
          <cell r="DN10871">
            <v>0</v>
          </cell>
        </row>
        <row r="10872">
          <cell r="E10872">
            <v>0</v>
          </cell>
          <cell r="F10872">
            <v>0</v>
          </cell>
          <cell r="DN10872">
            <v>0</v>
          </cell>
        </row>
        <row r="10873">
          <cell r="E10873">
            <v>0</v>
          </cell>
          <cell r="F10873">
            <v>0</v>
          </cell>
          <cell r="DN10873">
            <v>0</v>
          </cell>
        </row>
        <row r="10874">
          <cell r="E10874">
            <v>0</v>
          </cell>
          <cell r="F10874">
            <v>0</v>
          </cell>
          <cell r="DN10874">
            <v>0</v>
          </cell>
        </row>
        <row r="10875">
          <cell r="E10875">
            <v>0</v>
          </cell>
          <cell r="F10875">
            <v>0</v>
          </cell>
          <cell r="DN10875">
            <v>0</v>
          </cell>
        </row>
        <row r="10876">
          <cell r="E10876">
            <v>0</v>
          </cell>
          <cell r="F10876">
            <v>0</v>
          </cell>
          <cell r="DN10876">
            <v>0</v>
          </cell>
        </row>
        <row r="10877">
          <cell r="E10877">
            <v>0</v>
          </cell>
          <cell r="F10877">
            <v>0</v>
          </cell>
          <cell r="DN10877">
            <v>0</v>
          </cell>
        </row>
        <row r="10878">
          <cell r="E10878">
            <v>0</v>
          </cell>
          <cell r="F10878">
            <v>0</v>
          </cell>
          <cell r="DN10878">
            <v>0</v>
          </cell>
        </row>
        <row r="10879">
          <cell r="E10879">
            <v>0</v>
          </cell>
          <cell r="F10879">
            <v>0</v>
          </cell>
          <cell r="DN10879">
            <v>0</v>
          </cell>
        </row>
        <row r="10880">
          <cell r="E10880">
            <v>0</v>
          </cell>
          <cell r="F10880">
            <v>0</v>
          </cell>
          <cell r="DN10880">
            <v>0</v>
          </cell>
        </row>
        <row r="10881">
          <cell r="E10881">
            <v>0</v>
          </cell>
          <cell r="F10881">
            <v>0</v>
          </cell>
          <cell r="DN10881">
            <v>0</v>
          </cell>
        </row>
        <row r="10882">
          <cell r="E10882">
            <v>0</v>
          </cell>
          <cell r="F10882">
            <v>0</v>
          </cell>
          <cell r="DN10882">
            <v>0</v>
          </cell>
        </row>
        <row r="10883">
          <cell r="E10883">
            <v>0</v>
          </cell>
          <cell r="F10883">
            <v>0</v>
          </cell>
          <cell r="DN10883">
            <v>0</v>
          </cell>
        </row>
        <row r="10884">
          <cell r="E10884">
            <v>0</v>
          </cell>
          <cell r="F10884">
            <v>0</v>
          </cell>
          <cell r="DN10884">
            <v>0</v>
          </cell>
        </row>
        <row r="10885">
          <cell r="E10885">
            <v>0</v>
          </cell>
          <cell r="F10885">
            <v>0</v>
          </cell>
          <cell r="DN10885">
            <v>0</v>
          </cell>
        </row>
        <row r="10886">
          <cell r="E10886">
            <v>0</v>
          </cell>
          <cell r="F10886">
            <v>0</v>
          </cell>
          <cell r="DN10886">
            <v>0</v>
          </cell>
        </row>
        <row r="10887">
          <cell r="E10887">
            <v>0</v>
          </cell>
          <cell r="F10887">
            <v>0</v>
          </cell>
          <cell r="DN10887">
            <v>0</v>
          </cell>
        </row>
        <row r="10888">
          <cell r="E10888">
            <v>0</v>
          </cell>
          <cell r="F10888">
            <v>0</v>
          </cell>
          <cell r="DN10888">
            <v>0</v>
          </cell>
        </row>
        <row r="10889">
          <cell r="E10889">
            <v>0</v>
          </cell>
          <cell r="F10889">
            <v>0</v>
          </cell>
          <cell r="DN10889">
            <v>0</v>
          </cell>
        </row>
        <row r="10890">
          <cell r="E10890">
            <v>0</v>
          </cell>
          <cell r="F10890">
            <v>0</v>
          </cell>
          <cell r="DN10890">
            <v>0</v>
          </cell>
        </row>
        <row r="10891">
          <cell r="E10891">
            <v>0</v>
          </cell>
          <cell r="F10891">
            <v>0</v>
          </cell>
          <cell r="DN10891">
            <v>0</v>
          </cell>
        </row>
        <row r="10892">
          <cell r="E10892">
            <v>0</v>
          </cell>
          <cell r="F10892">
            <v>0</v>
          </cell>
          <cell r="DN10892">
            <v>0</v>
          </cell>
        </row>
        <row r="10893">
          <cell r="E10893">
            <v>0</v>
          </cell>
          <cell r="F10893">
            <v>0</v>
          </cell>
          <cell r="DN10893">
            <v>0</v>
          </cell>
        </row>
        <row r="10894">
          <cell r="E10894">
            <v>0</v>
          </cell>
          <cell r="F10894">
            <v>0</v>
          </cell>
          <cell r="DN10894">
            <v>0</v>
          </cell>
        </row>
        <row r="10895">
          <cell r="E10895">
            <v>0</v>
          </cell>
          <cell r="F10895">
            <v>0</v>
          </cell>
          <cell r="DN10895">
            <v>0</v>
          </cell>
        </row>
        <row r="10896">
          <cell r="E10896">
            <v>0</v>
          </cell>
          <cell r="F10896">
            <v>0</v>
          </cell>
          <cell r="DN10896">
            <v>0</v>
          </cell>
        </row>
        <row r="10897">
          <cell r="E10897">
            <v>0</v>
          </cell>
          <cell r="F10897">
            <v>0</v>
          </cell>
          <cell r="DN10897">
            <v>0</v>
          </cell>
        </row>
        <row r="10898">
          <cell r="E10898">
            <v>0</v>
          </cell>
          <cell r="F10898">
            <v>0</v>
          </cell>
          <cell r="DN10898">
            <v>0</v>
          </cell>
        </row>
        <row r="10899">
          <cell r="E10899">
            <v>0</v>
          </cell>
          <cell r="F10899">
            <v>0</v>
          </cell>
          <cell r="DN10899">
            <v>0</v>
          </cell>
        </row>
        <row r="10900">
          <cell r="E10900">
            <v>0</v>
          </cell>
          <cell r="F10900">
            <v>0</v>
          </cell>
          <cell r="DN10900">
            <v>0</v>
          </cell>
        </row>
        <row r="10901">
          <cell r="E10901">
            <v>0</v>
          </cell>
          <cell r="F10901">
            <v>0</v>
          </cell>
          <cell r="DN10901">
            <v>0</v>
          </cell>
        </row>
        <row r="10902">
          <cell r="E10902">
            <v>0</v>
          </cell>
          <cell r="F10902">
            <v>0</v>
          </cell>
          <cell r="DN10902">
            <v>0</v>
          </cell>
        </row>
        <row r="10903">
          <cell r="E10903">
            <v>0</v>
          </cell>
          <cell r="F10903">
            <v>0</v>
          </cell>
          <cell r="DN10903">
            <v>0</v>
          </cell>
        </row>
        <row r="10904">
          <cell r="E10904">
            <v>0</v>
          </cell>
          <cell r="F10904">
            <v>0</v>
          </cell>
          <cell r="DN10904">
            <v>0</v>
          </cell>
        </row>
        <row r="10905">
          <cell r="E10905">
            <v>0</v>
          </cell>
          <cell r="F10905">
            <v>0</v>
          </cell>
          <cell r="DN10905">
            <v>0</v>
          </cell>
        </row>
        <row r="10906">
          <cell r="E10906">
            <v>0</v>
          </cell>
          <cell r="F10906">
            <v>0</v>
          </cell>
          <cell r="DN10906">
            <v>0</v>
          </cell>
        </row>
        <row r="10907">
          <cell r="E10907">
            <v>0</v>
          </cell>
          <cell r="F10907">
            <v>0</v>
          </cell>
          <cell r="DN10907">
            <v>0</v>
          </cell>
        </row>
        <row r="10908">
          <cell r="E10908">
            <v>0</v>
          </cell>
          <cell r="F10908">
            <v>0</v>
          </cell>
          <cell r="DN10908">
            <v>0</v>
          </cell>
        </row>
        <row r="10909">
          <cell r="E10909">
            <v>0</v>
          </cell>
          <cell r="F10909">
            <v>0</v>
          </cell>
          <cell r="DN10909">
            <v>0</v>
          </cell>
        </row>
        <row r="10910">
          <cell r="E10910">
            <v>0</v>
          </cell>
          <cell r="F10910">
            <v>0</v>
          </cell>
          <cell r="DN10910">
            <v>0</v>
          </cell>
        </row>
        <row r="10911">
          <cell r="E10911">
            <v>0</v>
          </cell>
          <cell r="F10911">
            <v>0</v>
          </cell>
          <cell r="DN10911">
            <v>0</v>
          </cell>
        </row>
        <row r="10912">
          <cell r="E10912">
            <v>0</v>
          </cell>
          <cell r="F10912">
            <v>0</v>
          </cell>
          <cell r="DN10912">
            <v>0</v>
          </cell>
        </row>
        <row r="10913">
          <cell r="E10913">
            <v>0</v>
          </cell>
          <cell r="F10913">
            <v>0</v>
          </cell>
          <cell r="DN10913">
            <v>0</v>
          </cell>
        </row>
        <row r="10914">
          <cell r="E10914">
            <v>0</v>
          </cell>
          <cell r="F10914">
            <v>0</v>
          </cell>
          <cell r="DN10914">
            <v>0</v>
          </cell>
        </row>
        <row r="10915">
          <cell r="E10915">
            <v>0</v>
          </cell>
          <cell r="F10915">
            <v>0</v>
          </cell>
          <cell r="DN10915">
            <v>0</v>
          </cell>
        </row>
        <row r="10916">
          <cell r="E10916">
            <v>0</v>
          </cell>
          <cell r="F10916">
            <v>0</v>
          </cell>
          <cell r="DN10916">
            <v>0</v>
          </cell>
        </row>
        <row r="10917">
          <cell r="E10917">
            <v>0</v>
          </cell>
          <cell r="F10917">
            <v>0</v>
          </cell>
          <cell r="DN10917">
            <v>0</v>
          </cell>
        </row>
        <row r="10918">
          <cell r="E10918">
            <v>0</v>
          </cell>
          <cell r="F10918">
            <v>0</v>
          </cell>
          <cell r="DN10918">
            <v>0</v>
          </cell>
        </row>
        <row r="10919">
          <cell r="E10919">
            <v>0</v>
          </cell>
          <cell r="F10919">
            <v>0</v>
          </cell>
          <cell r="DN10919">
            <v>0</v>
          </cell>
        </row>
        <row r="10920">
          <cell r="E10920">
            <v>0</v>
          </cell>
          <cell r="F10920">
            <v>0</v>
          </cell>
          <cell r="DN10920">
            <v>0</v>
          </cell>
        </row>
        <row r="10921">
          <cell r="E10921">
            <v>0</v>
          </cell>
          <cell r="F10921">
            <v>0</v>
          </cell>
          <cell r="DN10921">
            <v>0</v>
          </cell>
        </row>
        <row r="10922">
          <cell r="E10922">
            <v>0</v>
          </cell>
          <cell r="F10922">
            <v>0</v>
          </cell>
          <cell r="DN10922">
            <v>0</v>
          </cell>
        </row>
        <row r="10923">
          <cell r="E10923">
            <v>0</v>
          </cell>
          <cell r="F10923">
            <v>0</v>
          </cell>
          <cell r="DN10923">
            <v>0</v>
          </cell>
        </row>
        <row r="10924">
          <cell r="E10924">
            <v>0</v>
          </cell>
          <cell r="F10924">
            <v>0</v>
          </cell>
          <cell r="DN10924">
            <v>0</v>
          </cell>
        </row>
        <row r="10925">
          <cell r="E10925">
            <v>0</v>
          </cell>
          <cell r="F10925">
            <v>0</v>
          </cell>
          <cell r="DN10925">
            <v>0</v>
          </cell>
        </row>
        <row r="10926">
          <cell r="E10926">
            <v>0</v>
          </cell>
          <cell r="F10926">
            <v>0</v>
          </cell>
          <cell r="DN10926">
            <v>0</v>
          </cell>
        </row>
        <row r="10927">
          <cell r="E10927">
            <v>0</v>
          </cell>
          <cell r="F10927">
            <v>0</v>
          </cell>
          <cell r="DN10927">
            <v>0</v>
          </cell>
        </row>
        <row r="10928">
          <cell r="E10928">
            <v>0</v>
          </cell>
          <cell r="F10928">
            <v>0</v>
          </cell>
          <cell r="DN10928">
            <v>0</v>
          </cell>
        </row>
        <row r="10929">
          <cell r="E10929">
            <v>0</v>
          </cell>
          <cell r="F10929">
            <v>0</v>
          </cell>
          <cell r="DN10929">
            <v>0</v>
          </cell>
        </row>
        <row r="10930">
          <cell r="E10930">
            <v>0</v>
          </cell>
          <cell r="F10930">
            <v>0</v>
          </cell>
          <cell r="DN10930">
            <v>0</v>
          </cell>
        </row>
        <row r="10931">
          <cell r="E10931">
            <v>0</v>
          </cell>
          <cell r="F10931">
            <v>0</v>
          </cell>
          <cell r="DN10931">
            <v>0</v>
          </cell>
        </row>
        <row r="10932">
          <cell r="E10932">
            <v>0</v>
          </cell>
          <cell r="F10932">
            <v>0</v>
          </cell>
          <cell r="DN10932">
            <v>0</v>
          </cell>
        </row>
        <row r="10933">
          <cell r="E10933">
            <v>0</v>
          </cell>
          <cell r="F10933">
            <v>0</v>
          </cell>
          <cell r="DN10933">
            <v>0</v>
          </cell>
        </row>
        <row r="10934">
          <cell r="E10934">
            <v>0</v>
          </cell>
          <cell r="F10934">
            <v>0</v>
          </cell>
          <cell r="DN10934">
            <v>0</v>
          </cell>
        </row>
        <row r="10935">
          <cell r="E10935">
            <v>0</v>
          </cell>
          <cell r="F10935">
            <v>0</v>
          </cell>
          <cell r="DN10935">
            <v>0</v>
          </cell>
        </row>
        <row r="10936">
          <cell r="E10936">
            <v>0</v>
          </cell>
          <cell r="F10936">
            <v>0</v>
          </cell>
          <cell r="DN10936">
            <v>0</v>
          </cell>
        </row>
        <row r="10937">
          <cell r="E10937">
            <v>0</v>
          </cell>
          <cell r="F10937">
            <v>0</v>
          </cell>
          <cell r="DN10937">
            <v>0</v>
          </cell>
        </row>
        <row r="10938">
          <cell r="E10938">
            <v>0</v>
          </cell>
          <cell r="F10938">
            <v>0</v>
          </cell>
          <cell r="DN10938">
            <v>0</v>
          </cell>
        </row>
        <row r="10939">
          <cell r="E10939">
            <v>0</v>
          </cell>
          <cell r="F10939">
            <v>0</v>
          </cell>
          <cell r="DN10939">
            <v>0</v>
          </cell>
        </row>
        <row r="10940">
          <cell r="E10940">
            <v>0</v>
          </cell>
          <cell r="F10940">
            <v>0</v>
          </cell>
          <cell r="DN10940">
            <v>0</v>
          </cell>
        </row>
        <row r="10941">
          <cell r="E10941">
            <v>0</v>
          </cell>
          <cell r="F10941">
            <v>0</v>
          </cell>
          <cell r="DN10941">
            <v>0</v>
          </cell>
        </row>
        <row r="10942">
          <cell r="E10942">
            <v>0</v>
          </cell>
          <cell r="F10942">
            <v>0</v>
          </cell>
          <cell r="DN10942">
            <v>0</v>
          </cell>
        </row>
        <row r="10943">
          <cell r="E10943">
            <v>0</v>
          </cell>
          <cell r="F10943">
            <v>0</v>
          </cell>
          <cell r="DN10943">
            <v>0</v>
          </cell>
        </row>
        <row r="10944">
          <cell r="E10944">
            <v>0</v>
          </cell>
          <cell r="F10944">
            <v>0</v>
          </cell>
          <cell r="DN10944">
            <v>0</v>
          </cell>
        </row>
        <row r="10945">
          <cell r="E10945">
            <v>0</v>
          </cell>
          <cell r="F10945">
            <v>0</v>
          </cell>
          <cell r="DN10945">
            <v>0</v>
          </cell>
        </row>
        <row r="10946">
          <cell r="E10946">
            <v>0</v>
          </cell>
          <cell r="F10946">
            <v>0</v>
          </cell>
          <cell r="DN10946">
            <v>0</v>
          </cell>
        </row>
        <row r="10947">
          <cell r="E10947">
            <v>0</v>
          </cell>
          <cell r="F10947">
            <v>0</v>
          </cell>
          <cell r="DN10947">
            <v>0</v>
          </cell>
        </row>
        <row r="10948">
          <cell r="E10948">
            <v>0</v>
          </cell>
          <cell r="F10948">
            <v>0</v>
          </cell>
          <cell r="DN10948">
            <v>0</v>
          </cell>
        </row>
        <row r="10949">
          <cell r="E10949">
            <v>0</v>
          </cell>
          <cell r="F10949">
            <v>0</v>
          </cell>
          <cell r="DN10949">
            <v>0</v>
          </cell>
        </row>
        <row r="10950">
          <cell r="E10950">
            <v>0</v>
          </cell>
          <cell r="F10950">
            <v>0</v>
          </cell>
          <cell r="DN10950">
            <v>0</v>
          </cell>
        </row>
        <row r="10951">
          <cell r="E10951">
            <v>0</v>
          </cell>
          <cell r="F10951">
            <v>0</v>
          </cell>
          <cell r="DN10951">
            <v>0</v>
          </cell>
        </row>
        <row r="10952">
          <cell r="E10952">
            <v>0</v>
          </cell>
          <cell r="F10952">
            <v>0</v>
          </cell>
          <cell r="DN10952">
            <v>0</v>
          </cell>
        </row>
        <row r="10953">
          <cell r="E10953">
            <v>0</v>
          </cell>
          <cell r="F10953">
            <v>0</v>
          </cell>
          <cell r="DN10953">
            <v>0</v>
          </cell>
        </row>
        <row r="10954">
          <cell r="E10954">
            <v>0</v>
          </cell>
          <cell r="F10954">
            <v>0</v>
          </cell>
          <cell r="DN10954">
            <v>0</v>
          </cell>
        </row>
        <row r="10955">
          <cell r="E10955">
            <v>0</v>
          </cell>
          <cell r="F10955">
            <v>0</v>
          </cell>
          <cell r="DN10955">
            <v>0</v>
          </cell>
        </row>
        <row r="10956">
          <cell r="E10956">
            <v>0</v>
          </cell>
          <cell r="F10956">
            <v>0</v>
          </cell>
          <cell r="DN10956">
            <v>0</v>
          </cell>
        </row>
        <row r="10957">
          <cell r="E10957">
            <v>0</v>
          </cell>
          <cell r="F10957">
            <v>0</v>
          </cell>
          <cell r="DN10957">
            <v>0</v>
          </cell>
        </row>
        <row r="10958">
          <cell r="E10958">
            <v>0</v>
          </cell>
          <cell r="F10958">
            <v>0</v>
          </cell>
          <cell r="DN10958">
            <v>0</v>
          </cell>
        </row>
        <row r="10959">
          <cell r="E10959">
            <v>0</v>
          </cell>
          <cell r="F10959">
            <v>0</v>
          </cell>
          <cell r="DN10959">
            <v>0</v>
          </cell>
        </row>
        <row r="10960">
          <cell r="E10960">
            <v>0</v>
          </cell>
          <cell r="F10960">
            <v>0</v>
          </cell>
          <cell r="DN10960">
            <v>0</v>
          </cell>
        </row>
        <row r="10961">
          <cell r="E10961">
            <v>0</v>
          </cell>
          <cell r="F10961">
            <v>0</v>
          </cell>
          <cell r="DN10961">
            <v>0</v>
          </cell>
        </row>
        <row r="10962">
          <cell r="E10962">
            <v>0</v>
          </cell>
          <cell r="F10962">
            <v>0</v>
          </cell>
          <cell r="DN10962">
            <v>0</v>
          </cell>
        </row>
        <row r="10963">
          <cell r="E10963">
            <v>0</v>
          </cell>
          <cell r="F10963">
            <v>0</v>
          </cell>
          <cell r="DN10963">
            <v>0</v>
          </cell>
        </row>
        <row r="10964">
          <cell r="E10964">
            <v>0</v>
          </cell>
          <cell r="F10964">
            <v>0</v>
          </cell>
          <cell r="DN10964">
            <v>0</v>
          </cell>
        </row>
        <row r="10965">
          <cell r="E10965">
            <v>0</v>
          </cell>
          <cell r="F10965">
            <v>0</v>
          </cell>
          <cell r="DN10965">
            <v>0</v>
          </cell>
        </row>
        <row r="10966">
          <cell r="E10966">
            <v>0</v>
          </cell>
          <cell r="F10966">
            <v>0</v>
          </cell>
          <cell r="DN10966">
            <v>0</v>
          </cell>
        </row>
        <row r="10967">
          <cell r="E10967">
            <v>0</v>
          </cell>
          <cell r="F10967">
            <v>0</v>
          </cell>
          <cell r="DN10967">
            <v>0</v>
          </cell>
        </row>
        <row r="10968">
          <cell r="E10968">
            <v>0</v>
          </cell>
          <cell r="F10968">
            <v>0</v>
          </cell>
          <cell r="DN10968">
            <v>0</v>
          </cell>
        </row>
        <row r="10969">
          <cell r="E10969">
            <v>0</v>
          </cell>
          <cell r="F10969">
            <v>0</v>
          </cell>
          <cell r="DN10969">
            <v>0</v>
          </cell>
        </row>
        <row r="10970">
          <cell r="E10970">
            <v>0</v>
          </cell>
          <cell r="F10970">
            <v>0</v>
          </cell>
          <cell r="DN10970">
            <v>0</v>
          </cell>
        </row>
        <row r="10971">
          <cell r="E10971">
            <v>0</v>
          </cell>
          <cell r="F10971">
            <v>0</v>
          </cell>
          <cell r="DN10971">
            <v>0</v>
          </cell>
        </row>
        <row r="10972">
          <cell r="E10972">
            <v>0</v>
          </cell>
          <cell r="F10972">
            <v>0</v>
          </cell>
          <cell r="DN10972">
            <v>0</v>
          </cell>
        </row>
        <row r="10973">
          <cell r="E10973">
            <v>0</v>
          </cell>
          <cell r="F10973">
            <v>0</v>
          </cell>
          <cell r="DN10973">
            <v>0</v>
          </cell>
        </row>
        <row r="10974">
          <cell r="E10974">
            <v>0</v>
          </cell>
          <cell r="F10974">
            <v>0</v>
          </cell>
          <cell r="DN10974">
            <v>0</v>
          </cell>
        </row>
        <row r="10975">
          <cell r="E10975">
            <v>0</v>
          </cell>
          <cell r="F10975">
            <v>0</v>
          </cell>
          <cell r="DN10975">
            <v>0</v>
          </cell>
        </row>
        <row r="10976">
          <cell r="E10976">
            <v>0</v>
          </cell>
          <cell r="F10976">
            <v>0</v>
          </cell>
          <cell r="DN10976">
            <v>0</v>
          </cell>
        </row>
        <row r="10977">
          <cell r="E10977">
            <v>0</v>
          </cell>
          <cell r="F10977">
            <v>0</v>
          </cell>
          <cell r="DN10977">
            <v>0</v>
          </cell>
        </row>
        <row r="10978">
          <cell r="E10978">
            <v>0</v>
          </cell>
          <cell r="F10978">
            <v>0</v>
          </cell>
          <cell r="DN10978">
            <v>0</v>
          </cell>
        </row>
        <row r="10979">
          <cell r="E10979">
            <v>0</v>
          </cell>
          <cell r="F10979">
            <v>0</v>
          </cell>
          <cell r="DN10979">
            <v>0</v>
          </cell>
        </row>
        <row r="10980">
          <cell r="E10980">
            <v>0</v>
          </cell>
          <cell r="F10980">
            <v>0</v>
          </cell>
          <cell r="DN10980">
            <v>0</v>
          </cell>
        </row>
        <row r="10981">
          <cell r="E10981">
            <v>0</v>
          </cell>
          <cell r="F10981">
            <v>0</v>
          </cell>
          <cell r="DN10981">
            <v>0</v>
          </cell>
        </row>
        <row r="10982">
          <cell r="E10982">
            <v>0</v>
          </cell>
          <cell r="F10982">
            <v>0</v>
          </cell>
          <cell r="DN10982">
            <v>0</v>
          </cell>
        </row>
        <row r="10983">
          <cell r="E10983">
            <v>0</v>
          </cell>
          <cell r="F10983">
            <v>0</v>
          </cell>
          <cell r="DN10983">
            <v>0</v>
          </cell>
        </row>
        <row r="10984">
          <cell r="E10984">
            <v>0</v>
          </cell>
          <cell r="F10984">
            <v>0</v>
          </cell>
          <cell r="DN10984">
            <v>0</v>
          </cell>
        </row>
        <row r="10985">
          <cell r="E10985">
            <v>0</v>
          </cell>
          <cell r="F10985">
            <v>0</v>
          </cell>
          <cell r="DN10985">
            <v>0</v>
          </cell>
        </row>
        <row r="10986">
          <cell r="E10986">
            <v>0</v>
          </cell>
          <cell r="F10986">
            <v>0</v>
          </cell>
          <cell r="DN10986">
            <v>0</v>
          </cell>
        </row>
        <row r="10987">
          <cell r="E10987">
            <v>0</v>
          </cell>
          <cell r="F10987">
            <v>0</v>
          </cell>
          <cell r="DN10987">
            <v>0</v>
          </cell>
        </row>
        <row r="10988">
          <cell r="E10988">
            <v>0</v>
          </cell>
          <cell r="F10988">
            <v>0</v>
          </cell>
          <cell r="DN10988">
            <v>0</v>
          </cell>
        </row>
        <row r="10989">
          <cell r="E10989">
            <v>0</v>
          </cell>
          <cell r="F10989">
            <v>0</v>
          </cell>
          <cell r="DN10989">
            <v>0</v>
          </cell>
        </row>
        <row r="10990">
          <cell r="E10990">
            <v>0</v>
          </cell>
          <cell r="F10990">
            <v>0</v>
          </cell>
          <cell r="DN10990">
            <v>0</v>
          </cell>
        </row>
        <row r="10991">
          <cell r="E10991">
            <v>0</v>
          </cell>
          <cell r="F10991">
            <v>0</v>
          </cell>
          <cell r="DN10991">
            <v>0</v>
          </cell>
        </row>
        <row r="10992">
          <cell r="E10992">
            <v>0</v>
          </cell>
          <cell r="F10992">
            <v>0</v>
          </cell>
          <cell r="DN10992">
            <v>0</v>
          </cell>
        </row>
        <row r="10993">
          <cell r="E10993">
            <v>0</v>
          </cell>
          <cell r="F10993">
            <v>0</v>
          </cell>
          <cell r="DN10993">
            <v>0</v>
          </cell>
        </row>
        <row r="10994">
          <cell r="E10994">
            <v>0</v>
          </cell>
          <cell r="F10994">
            <v>0</v>
          </cell>
          <cell r="DN10994">
            <v>0</v>
          </cell>
        </row>
        <row r="10995">
          <cell r="E10995">
            <v>0</v>
          </cell>
          <cell r="F10995">
            <v>0</v>
          </cell>
          <cell r="DN10995">
            <v>0</v>
          </cell>
        </row>
        <row r="10996">
          <cell r="E10996">
            <v>0</v>
          </cell>
          <cell r="F10996">
            <v>0</v>
          </cell>
          <cell r="DN10996">
            <v>0</v>
          </cell>
        </row>
        <row r="10997">
          <cell r="E10997">
            <v>0</v>
          </cell>
          <cell r="F10997">
            <v>0</v>
          </cell>
          <cell r="DN10997">
            <v>0</v>
          </cell>
        </row>
        <row r="10998">
          <cell r="E10998">
            <v>0</v>
          </cell>
          <cell r="F10998">
            <v>0</v>
          </cell>
          <cell r="DN10998">
            <v>0</v>
          </cell>
        </row>
        <row r="10999">
          <cell r="E10999">
            <v>0</v>
          </cell>
          <cell r="F10999">
            <v>0</v>
          </cell>
          <cell r="DN10999">
            <v>0</v>
          </cell>
        </row>
        <row r="11000">
          <cell r="E11000">
            <v>0</v>
          </cell>
          <cell r="F11000">
            <v>0</v>
          </cell>
          <cell r="DN11000">
            <v>0</v>
          </cell>
        </row>
        <row r="11001">
          <cell r="E11001">
            <v>0</v>
          </cell>
          <cell r="F11001">
            <v>0</v>
          </cell>
          <cell r="DN11001">
            <v>0</v>
          </cell>
        </row>
        <row r="11002">
          <cell r="E11002">
            <v>0</v>
          </cell>
          <cell r="F11002">
            <v>0</v>
          </cell>
          <cell r="DN11002">
            <v>0</v>
          </cell>
        </row>
        <row r="11003">
          <cell r="E11003">
            <v>0</v>
          </cell>
          <cell r="F11003">
            <v>0</v>
          </cell>
          <cell r="DN11003">
            <v>0</v>
          </cell>
        </row>
        <row r="11004">
          <cell r="E11004">
            <v>0</v>
          </cell>
          <cell r="F11004">
            <v>0</v>
          </cell>
          <cell r="DN11004">
            <v>0</v>
          </cell>
        </row>
        <row r="11005">
          <cell r="E11005">
            <v>0</v>
          </cell>
          <cell r="F11005">
            <v>0</v>
          </cell>
          <cell r="DN11005">
            <v>0</v>
          </cell>
        </row>
        <row r="11006">
          <cell r="E11006">
            <v>0</v>
          </cell>
          <cell r="F11006">
            <v>0</v>
          </cell>
          <cell r="DN11006">
            <v>0</v>
          </cell>
        </row>
        <row r="11007">
          <cell r="E11007">
            <v>0</v>
          </cell>
          <cell r="F11007">
            <v>0</v>
          </cell>
          <cell r="DN11007">
            <v>0</v>
          </cell>
        </row>
        <row r="11008">
          <cell r="E11008">
            <v>0</v>
          </cell>
          <cell r="F11008">
            <v>0</v>
          </cell>
          <cell r="DN11008">
            <v>0</v>
          </cell>
        </row>
        <row r="11009">
          <cell r="E11009">
            <v>0</v>
          </cell>
          <cell r="F11009">
            <v>0</v>
          </cell>
          <cell r="DN11009">
            <v>0</v>
          </cell>
        </row>
        <row r="11010">
          <cell r="E11010">
            <v>0</v>
          </cell>
          <cell r="F11010">
            <v>0</v>
          </cell>
          <cell r="DN11010">
            <v>0</v>
          </cell>
        </row>
        <row r="11011">
          <cell r="E11011">
            <v>0</v>
          </cell>
          <cell r="F11011">
            <v>0</v>
          </cell>
          <cell r="DN11011">
            <v>0</v>
          </cell>
        </row>
        <row r="11012">
          <cell r="E11012">
            <v>0</v>
          </cell>
          <cell r="F11012">
            <v>0</v>
          </cell>
          <cell r="DN11012">
            <v>0</v>
          </cell>
        </row>
        <row r="11013">
          <cell r="E11013">
            <v>0</v>
          </cell>
          <cell r="F11013">
            <v>0</v>
          </cell>
          <cell r="DN11013">
            <v>0</v>
          </cell>
        </row>
        <row r="11014">
          <cell r="E11014">
            <v>0</v>
          </cell>
          <cell r="F11014">
            <v>0</v>
          </cell>
          <cell r="DN11014">
            <v>0</v>
          </cell>
        </row>
        <row r="11015">
          <cell r="E11015">
            <v>0</v>
          </cell>
          <cell r="F11015">
            <v>0</v>
          </cell>
          <cell r="DN11015">
            <v>0</v>
          </cell>
        </row>
        <row r="11016">
          <cell r="E11016">
            <v>0</v>
          </cell>
          <cell r="F11016">
            <v>0</v>
          </cell>
          <cell r="DN11016">
            <v>0</v>
          </cell>
        </row>
        <row r="11017">
          <cell r="E11017">
            <v>0</v>
          </cell>
          <cell r="F11017">
            <v>0</v>
          </cell>
          <cell r="DN11017">
            <v>0</v>
          </cell>
        </row>
        <row r="11018">
          <cell r="E11018">
            <v>0</v>
          </cell>
          <cell r="F11018">
            <v>0</v>
          </cell>
          <cell r="DN11018">
            <v>0</v>
          </cell>
        </row>
        <row r="11019">
          <cell r="E11019">
            <v>0</v>
          </cell>
          <cell r="F11019">
            <v>0</v>
          </cell>
          <cell r="DN11019">
            <v>0</v>
          </cell>
        </row>
        <row r="11020">
          <cell r="E11020">
            <v>0</v>
          </cell>
          <cell r="F11020">
            <v>0</v>
          </cell>
          <cell r="DN11020">
            <v>0</v>
          </cell>
        </row>
        <row r="11021">
          <cell r="E11021">
            <v>0</v>
          </cell>
          <cell r="F11021">
            <v>0</v>
          </cell>
          <cell r="DN11021">
            <v>0</v>
          </cell>
        </row>
        <row r="11022">
          <cell r="E11022">
            <v>0</v>
          </cell>
          <cell r="F11022">
            <v>0</v>
          </cell>
          <cell r="DN11022">
            <v>0</v>
          </cell>
        </row>
        <row r="11023">
          <cell r="E11023">
            <v>0</v>
          </cell>
          <cell r="F11023">
            <v>0</v>
          </cell>
          <cell r="DN11023">
            <v>0</v>
          </cell>
        </row>
        <row r="11024">
          <cell r="E11024">
            <v>0</v>
          </cell>
          <cell r="F11024">
            <v>0</v>
          </cell>
          <cell r="DN11024">
            <v>0</v>
          </cell>
        </row>
        <row r="11025">
          <cell r="E11025">
            <v>0</v>
          </cell>
          <cell r="F11025">
            <v>0</v>
          </cell>
          <cell r="DN11025">
            <v>0</v>
          </cell>
        </row>
        <row r="11026">
          <cell r="E11026">
            <v>0</v>
          </cell>
          <cell r="F11026">
            <v>0</v>
          </cell>
          <cell r="DN11026">
            <v>0</v>
          </cell>
        </row>
        <row r="11027">
          <cell r="E11027">
            <v>0</v>
          </cell>
          <cell r="F11027">
            <v>0</v>
          </cell>
          <cell r="DN11027">
            <v>0</v>
          </cell>
        </row>
        <row r="11028">
          <cell r="E11028">
            <v>0</v>
          </cell>
          <cell r="F11028">
            <v>0</v>
          </cell>
          <cell r="DN11028">
            <v>0</v>
          </cell>
        </row>
        <row r="11029">
          <cell r="E11029">
            <v>0</v>
          </cell>
          <cell r="F11029">
            <v>0</v>
          </cell>
          <cell r="DN11029">
            <v>0</v>
          </cell>
        </row>
        <row r="11030">
          <cell r="E11030">
            <v>0</v>
          </cell>
          <cell r="F11030">
            <v>0</v>
          </cell>
          <cell r="DN11030">
            <v>0</v>
          </cell>
        </row>
        <row r="11031">
          <cell r="E11031">
            <v>0</v>
          </cell>
          <cell r="F11031">
            <v>0</v>
          </cell>
          <cell r="DN11031">
            <v>0</v>
          </cell>
        </row>
        <row r="11032">
          <cell r="E11032">
            <v>0</v>
          </cell>
          <cell r="F11032">
            <v>0</v>
          </cell>
          <cell r="DN11032">
            <v>0</v>
          </cell>
        </row>
        <row r="11033">
          <cell r="E11033">
            <v>0</v>
          </cell>
          <cell r="F11033">
            <v>0</v>
          </cell>
          <cell r="DN11033">
            <v>0</v>
          </cell>
        </row>
        <row r="11034">
          <cell r="E11034">
            <v>0</v>
          </cell>
          <cell r="F11034">
            <v>0</v>
          </cell>
          <cell r="DN11034">
            <v>0</v>
          </cell>
        </row>
        <row r="11035">
          <cell r="E11035">
            <v>0</v>
          </cell>
          <cell r="F11035">
            <v>0</v>
          </cell>
          <cell r="DN11035">
            <v>0</v>
          </cell>
        </row>
        <row r="11036">
          <cell r="E11036">
            <v>0</v>
          </cell>
          <cell r="F11036">
            <v>0</v>
          </cell>
          <cell r="DN11036">
            <v>0</v>
          </cell>
        </row>
        <row r="11037">
          <cell r="E11037">
            <v>0</v>
          </cell>
          <cell r="F11037">
            <v>0</v>
          </cell>
          <cell r="DN11037">
            <v>0</v>
          </cell>
        </row>
        <row r="11038">
          <cell r="E11038">
            <v>0</v>
          </cell>
          <cell r="F11038">
            <v>0</v>
          </cell>
          <cell r="DN11038">
            <v>0</v>
          </cell>
        </row>
        <row r="11039">
          <cell r="E11039">
            <v>0</v>
          </cell>
          <cell r="F11039">
            <v>0</v>
          </cell>
          <cell r="DN11039">
            <v>0</v>
          </cell>
        </row>
        <row r="11040">
          <cell r="E11040">
            <v>0</v>
          </cell>
          <cell r="F11040">
            <v>0</v>
          </cell>
          <cell r="DN11040">
            <v>0</v>
          </cell>
        </row>
        <row r="11041">
          <cell r="E11041">
            <v>0</v>
          </cell>
          <cell r="F11041">
            <v>0</v>
          </cell>
          <cell r="DN11041">
            <v>0</v>
          </cell>
        </row>
        <row r="11042">
          <cell r="E11042">
            <v>0</v>
          </cell>
          <cell r="F11042">
            <v>0</v>
          </cell>
          <cell r="DN11042">
            <v>0</v>
          </cell>
        </row>
        <row r="11043">
          <cell r="E11043">
            <v>0</v>
          </cell>
          <cell r="F11043">
            <v>0</v>
          </cell>
          <cell r="DN11043">
            <v>0</v>
          </cell>
        </row>
        <row r="11044">
          <cell r="E11044">
            <v>0</v>
          </cell>
          <cell r="F11044">
            <v>0</v>
          </cell>
          <cell r="DN11044">
            <v>0</v>
          </cell>
        </row>
        <row r="11045">
          <cell r="E11045">
            <v>0</v>
          </cell>
          <cell r="F11045">
            <v>0</v>
          </cell>
          <cell r="DN11045">
            <v>0</v>
          </cell>
        </row>
        <row r="11046">
          <cell r="E11046">
            <v>0</v>
          </cell>
          <cell r="F11046">
            <v>0</v>
          </cell>
          <cell r="DN11046">
            <v>0</v>
          </cell>
        </row>
        <row r="11047">
          <cell r="E11047">
            <v>0</v>
          </cell>
          <cell r="F11047">
            <v>0</v>
          </cell>
          <cell r="DN11047">
            <v>0</v>
          </cell>
        </row>
        <row r="11048">
          <cell r="E11048">
            <v>0</v>
          </cell>
          <cell r="F11048">
            <v>0</v>
          </cell>
          <cell r="DN11048">
            <v>0</v>
          </cell>
        </row>
        <row r="11049">
          <cell r="E11049">
            <v>0</v>
          </cell>
          <cell r="F11049">
            <v>0</v>
          </cell>
          <cell r="DN11049">
            <v>0</v>
          </cell>
        </row>
        <row r="11050">
          <cell r="E11050">
            <v>0</v>
          </cell>
          <cell r="F11050">
            <v>0</v>
          </cell>
          <cell r="DN11050">
            <v>0</v>
          </cell>
        </row>
        <row r="11051">
          <cell r="E11051">
            <v>0</v>
          </cell>
          <cell r="F11051">
            <v>0</v>
          </cell>
          <cell r="DN11051">
            <v>0</v>
          </cell>
        </row>
        <row r="11052">
          <cell r="E11052">
            <v>0</v>
          </cell>
          <cell r="F11052">
            <v>0</v>
          </cell>
          <cell r="DN11052">
            <v>0</v>
          </cell>
        </row>
        <row r="11053">
          <cell r="E11053">
            <v>0</v>
          </cell>
          <cell r="F11053">
            <v>0</v>
          </cell>
          <cell r="DN11053">
            <v>0</v>
          </cell>
        </row>
        <row r="11054">
          <cell r="E11054">
            <v>0</v>
          </cell>
          <cell r="F11054">
            <v>0</v>
          </cell>
          <cell r="DN11054">
            <v>0</v>
          </cell>
        </row>
        <row r="11055">
          <cell r="E11055">
            <v>0</v>
          </cell>
          <cell r="F11055">
            <v>0</v>
          </cell>
          <cell r="DN11055">
            <v>0</v>
          </cell>
        </row>
        <row r="11056">
          <cell r="E11056">
            <v>0</v>
          </cell>
          <cell r="F11056">
            <v>0</v>
          </cell>
          <cell r="DN11056">
            <v>0</v>
          </cell>
        </row>
        <row r="11057">
          <cell r="E11057">
            <v>0</v>
          </cell>
          <cell r="F11057">
            <v>0</v>
          </cell>
          <cell r="DN11057">
            <v>0</v>
          </cell>
        </row>
        <row r="11058">
          <cell r="E11058">
            <v>0</v>
          </cell>
          <cell r="F11058">
            <v>0</v>
          </cell>
          <cell r="DN11058">
            <v>0</v>
          </cell>
        </row>
        <row r="11059">
          <cell r="E11059">
            <v>0</v>
          </cell>
          <cell r="F11059">
            <v>0</v>
          </cell>
          <cell r="DN11059">
            <v>0</v>
          </cell>
        </row>
        <row r="11060">
          <cell r="E11060">
            <v>0</v>
          </cell>
          <cell r="F11060">
            <v>0</v>
          </cell>
          <cell r="DN11060">
            <v>0</v>
          </cell>
        </row>
        <row r="11061">
          <cell r="E11061">
            <v>0</v>
          </cell>
          <cell r="F11061">
            <v>0</v>
          </cell>
          <cell r="DN11061">
            <v>0</v>
          </cell>
        </row>
        <row r="11062">
          <cell r="E11062">
            <v>0</v>
          </cell>
          <cell r="F11062">
            <v>0</v>
          </cell>
          <cell r="DN11062">
            <v>0</v>
          </cell>
        </row>
        <row r="11063">
          <cell r="E11063">
            <v>0</v>
          </cell>
          <cell r="F11063">
            <v>0</v>
          </cell>
          <cell r="DN11063">
            <v>0</v>
          </cell>
        </row>
        <row r="11064">
          <cell r="E11064">
            <v>0</v>
          </cell>
          <cell r="F11064">
            <v>0</v>
          </cell>
          <cell r="DN11064">
            <v>0</v>
          </cell>
        </row>
        <row r="11065">
          <cell r="E11065">
            <v>0</v>
          </cell>
          <cell r="F11065">
            <v>0</v>
          </cell>
          <cell r="DN11065">
            <v>0</v>
          </cell>
        </row>
        <row r="11066">
          <cell r="E11066">
            <v>0</v>
          </cell>
          <cell r="F11066">
            <v>0</v>
          </cell>
          <cell r="DN11066">
            <v>0</v>
          </cell>
        </row>
        <row r="11067">
          <cell r="E11067">
            <v>0</v>
          </cell>
          <cell r="F11067">
            <v>0</v>
          </cell>
          <cell r="DN11067">
            <v>0</v>
          </cell>
        </row>
        <row r="11068">
          <cell r="E11068">
            <v>0</v>
          </cell>
          <cell r="F11068">
            <v>0</v>
          </cell>
          <cell r="DN11068">
            <v>0</v>
          </cell>
        </row>
        <row r="11069">
          <cell r="E11069">
            <v>0</v>
          </cell>
          <cell r="F11069">
            <v>0</v>
          </cell>
          <cell r="DN11069">
            <v>0</v>
          </cell>
        </row>
        <row r="11070">
          <cell r="E11070">
            <v>0</v>
          </cell>
          <cell r="F11070">
            <v>0</v>
          </cell>
          <cell r="DN11070">
            <v>0</v>
          </cell>
        </row>
        <row r="11071">
          <cell r="E11071">
            <v>0</v>
          </cell>
          <cell r="F11071">
            <v>0</v>
          </cell>
          <cell r="DN11071">
            <v>0</v>
          </cell>
        </row>
        <row r="11072">
          <cell r="E11072">
            <v>0</v>
          </cell>
          <cell r="F11072">
            <v>0</v>
          </cell>
          <cell r="DN11072">
            <v>0</v>
          </cell>
        </row>
        <row r="11073">
          <cell r="E11073">
            <v>0</v>
          </cell>
          <cell r="F11073">
            <v>0</v>
          </cell>
          <cell r="DN11073">
            <v>0</v>
          </cell>
        </row>
        <row r="11074">
          <cell r="E11074">
            <v>0</v>
          </cell>
          <cell r="F11074">
            <v>0</v>
          </cell>
          <cell r="DN11074">
            <v>0</v>
          </cell>
        </row>
        <row r="11075">
          <cell r="E11075">
            <v>0</v>
          </cell>
          <cell r="F11075">
            <v>0</v>
          </cell>
          <cell r="DN11075">
            <v>0</v>
          </cell>
        </row>
        <row r="11076">
          <cell r="E11076">
            <v>0</v>
          </cell>
          <cell r="F11076">
            <v>0</v>
          </cell>
          <cell r="DN11076">
            <v>0</v>
          </cell>
        </row>
        <row r="11077">
          <cell r="E11077">
            <v>0</v>
          </cell>
          <cell r="F11077">
            <v>0</v>
          </cell>
          <cell r="DN11077">
            <v>0</v>
          </cell>
        </row>
        <row r="11078">
          <cell r="E11078">
            <v>0</v>
          </cell>
          <cell r="F11078">
            <v>0</v>
          </cell>
          <cell r="DN11078">
            <v>0</v>
          </cell>
        </row>
        <row r="11079">
          <cell r="E11079">
            <v>0</v>
          </cell>
          <cell r="F11079">
            <v>0</v>
          </cell>
          <cell r="DN11079">
            <v>0</v>
          </cell>
        </row>
        <row r="11080">
          <cell r="E11080">
            <v>0</v>
          </cell>
          <cell r="F11080">
            <v>0</v>
          </cell>
          <cell r="DN11080">
            <v>0</v>
          </cell>
        </row>
        <row r="11081">
          <cell r="E11081">
            <v>0</v>
          </cell>
          <cell r="F11081">
            <v>0</v>
          </cell>
          <cell r="DN11081">
            <v>0</v>
          </cell>
        </row>
        <row r="11082">
          <cell r="E11082">
            <v>0</v>
          </cell>
          <cell r="F11082">
            <v>0</v>
          </cell>
          <cell r="DN11082">
            <v>0</v>
          </cell>
        </row>
        <row r="11083">
          <cell r="E11083">
            <v>0</v>
          </cell>
          <cell r="F11083">
            <v>0</v>
          </cell>
          <cell r="DN11083">
            <v>0</v>
          </cell>
        </row>
        <row r="11084">
          <cell r="E11084">
            <v>0</v>
          </cell>
          <cell r="F11084">
            <v>0</v>
          </cell>
          <cell r="DN11084">
            <v>0</v>
          </cell>
        </row>
        <row r="11085">
          <cell r="E11085">
            <v>0</v>
          </cell>
          <cell r="F11085">
            <v>0</v>
          </cell>
          <cell r="DN11085">
            <v>0</v>
          </cell>
        </row>
        <row r="11086">
          <cell r="E11086">
            <v>0</v>
          </cell>
          <cell r="F11086">
            <v>0</v>
          </cell>
          <cell r="DN11086">
            <v>0</v>
          </cell>
        </row>
        <row r="11087">
          <cell r="E11087">
            <v>0</v>
          </cell>
          <cell r="F11087">
            <v>0</v>
          </cell>
          <cell r="DN11087">
            <v>0</v>
          </cell>
        </row>
        <row r="11088">
          <cell r="E11088">
            <v>0</v>
          </cell>
          <cell r="F11088">
            <v>0</v>
          </cell>
          <cell r="DN11088">
            <v>0</v>
          </cell>
        </row>
        <row r="11089">
          <cell r="E11089">
            <v>0</v>
          </cell>
          <cell r="F11089">
            <v>0</v>
          </cell>
          <cell r="DN11089">
            <v>0</v>
          </cell>
        </row>
        <row r="11090">
          <cell r="E11090">
            <v>0</v>
          </cell>
          <cell r="F11090">
            <v>0</v>
          </cell>
          <cell r="DN11090">
            <v>0</v>
          </cell>
        </row>
        <row r="11091">
          <cell r="E11091">
            <v>0</v>
          </cell>
          <cell r="F11091">
            <v>0</v>
          </cell>
          <cell r="DN11091">
            <v>0</v>
          </cell>
        </row>
        <row r="11092">
          <cell r="E11092">
            <v>0</v>
          </cell>
          <cell r="F11092">
            <v>0</v>
          </cell>
          <cell r="DN11092">
            <v>0</v>
          </cell>
        </row>
        <row r="11093">
          <cell r="E11093">
            <v>0</v>
          </cell>
          <cell r="F11093">
            <v>0</v>
          </cell>
          <cell r="DN11093">
            <v>0</v>
          </cell>
        </row>
        <row r="11094">
          <cell r="E11094">
            <v>0</v>
          </cell>
          <cell r="F11094">
            <v>0</v>
          </cell>
          <cell r="DN11094">
            <v>0</v>
          </cell>
        </row>
        <row r="11095">
          <cell r="E11095">
            <v>0</v>
          </cell>
          <cell r="F11095">
            <v>0</v>
          </cell>
          <cell r="DN11095">
            <v>0</v>
          </cell>
        </row>
        <row r="11096">
          <cell r="E11096">
            <v>0</v>
          </cell>
          <cell r="F11096">
            <v>0</v>
          </cell>
          <cell r="DN11096">
            <v>0</v>
          </cell>
        </row>
        <row r="11097">
          <cell r="E11097">
            <v>0</v>
          </cell>
          <cell r="F11097">
            <v>0</v>
          </cell>
          <cell r="DN11097">
            <v>0</v>
          </cell>
        </row>
        <row r="11098">
          <cell r="E11098">
            <v>0</v>
          </cell>
          <cell r="F11098">
            <v>0</v>
          </cell>
          <cell r="DN11098">
            <v>0</v>
          </cell>
        </row>
        <row r="11099">
          <cell r="E11099">
            <v>0</v>
          </cell>
          <cell r="F11099">
            <v>0</v>
          </cell>
          <cell r="DN11099">
            <v>0</v>
          </cell>
        </row>
        <row r="11100">
          <cell r="E11100">
            <v>0</v>
          </cell>
          <cell r="F11100">
            <v>0</v>
          </cell>
          <cell r="DN11100">
            <v>0</v>
          </cell>
        </row>
        <row r="11101">
          <cell r="E11101">
            <v>0</v>
          </cell>
          <cell r="F11101">
            <v>0</v>
          </cell>
          <cell r="DN11101">
            <v>0</v>
          </cell>
        </row>
        <row r="11102">
          <cell r="E11102">
            <v>0</v>
          </cell>
          <cell r="F11102">
            <v>0</v>
          </cell>
          <cell r="DN11102">
            <v>0</v>
          </cell>
        </row>
        <row r="11103">
          <cell r="E11103">
            <v>0</v>
          </cell>
          <cell r="F11103">
            <v>0</v>
          </cell>
          <cell r="DN11103">
            <v>0</v>
          </cell>
        </row>
        <row r="11104">
          <cell r="E11104">
            <v>0</v>
          </cell>
          <cell r="F11104">
            <v>0</v>
          </cell>
          <cell r="DN11104">
            <v>0</v>
          </cell>
        </row>
        <row r="11105">
          <cell r="E11105">
            <v>0</v>
          </cell>
          <cell r="F11105">
            <v>0</v>
          </cell>
          <cell r="DN11105">
            <v>0</v>
          </cell>
        </row>
        <row r="11106">
          <cell r="E11106">
            <v>0</v>
          </cell>
          <cell r="F11106">
            <v>0</v>
          </cell>
          <cell r="DN11106">
            <v>0</v>
          </cell>
        </row>
        <row r="11107">
          <cell r="E11107">
            <v>0</v>
          </cell>
          <cell r="F11107">
            <v>0</v>
          </cell>
          <cell r="DN11107">
            <v>0</v>
          </cell>
        </row>
        <row r="11108">
          <cell r="E11108">
            <v>0</v>
          </cell>
          <cell r="F11108">
            <v>0</v>
          </cell>
          <cell r="DN11108">
            <v>0</v>
          </cell>
        </row>
        <row r="11109">
          <cell r="E11109">
            <v>0</v>
          </cell>
          <cell r="F11109">
            <v>0</v>
          </cell>
          <cell r="DN11109">
            <v>0</v>
          </cell>
        </row>
        <row r="11110">
          <cell r="E11110">
            <v>0</v>
          </cell>
          <cell r="F11110">
            <v>0</v>
          </cell>
          <cell r="DN11110">
            <v>0</v>
          </cell>
        </row>
        <row r="11111">
          <cell r="E11111">
            <v>0</v>
          </cell>
          <cell r="F11111">
            <v>0</v>
          </cell>
          <cell r="DN11111">
            <v>0</v>
          </cell>
        </row>
        <row r="11112">
          <cell r="E11112">
            <v>0</v>
          </cell>
          <cell r="F11112">
            <v>0</v>
          </cell>
          <cell r="DN11112">
            <v>0</v>
          </cell>
        </row>
        <row r="11113">
          <cell r="E11113">
            <v>0</v>
          </cell>
          <cell r="F11113">
            <v>0</v>
          </cell>
          <cell r="DN11113">
            <v>0</v>
          </cell>
        </row>
        <row r="11114">
          <cell r="E11114">
            <v>0</v>
          </cell>
          <cell r="F11114">
            <v>0</v>
          </cell>
          <cell r="DN11114">
            <v>0</v>
          </cell>
        </row>
        <row r="11115">
          <cell r="E11115">
            <v>0</v>
          </cell>
          <cell r="F11115">
            <v>0</v>
          </cell>
          <cell r="DN11115">
            <v>0</v>
          </cell>
        </row>
        <row r="11116">
          <cell r="E11116">
            <v>0</v>
          </cell>
          <cell r="F11116">
            <v>0</v>
          </cell>
          <cell r="DN11116">
            <v>0</v>
          </cell>
        </row>
        <row r="11117">
          <cell r="E11117">
            <v>0</v>
          </cell>
          <cell r="F11117">
            <v>0</v>
          </cell>
          <cell r="DN11117">
            <v>0</v>
          </cell>
        </row>
        <row r="11118">
          <cell r="E11118">
            <v>0</v>
          </cell>
          <cell r="F11118">
            <v>0</v>
          </cell>
          <cell r="DN11118">
            <v>0</v>
          </cell>
        </row>
        <row r="11119">
          <cell r="E11119">
            <v>0</v>
          </cell>
          <cell r="F11119">
            <v>0</v>
          </cell>
          <cell r="DN11119">
            <v>0</v>
          </cell>
        </row>
        <row r="11120">
          <cell r="E11120">
            <v>0</v>
          </cell>
          <cell r="F11120">
            <v>0</v>
          </cell>
          <cell r="DN11120">
            <v>0</v>
          </cell>
        </row>
        <row r="11121">
          <cell r="E11121">
            <v>0</v>
          </cell>
          <cell r="F11121">
            <v>0</v>
          </cell>
          <cell r="DN11121">
            <v>0</v>
          </cell>
        </row>
        <row r="11122">
          <cell r="E11122">
            <v>0</v>
          </cell>
          <cell r="F11122">
            <v>0</v>
          </cell>
          <cell r="DN11122">
            <v>0</v>
          </cell>
        </row>
        <row r="11123">
          <cell r="E11123">
            <v>0</v>
          </cell>
          <cell r="F11123">
            <v>0</v>
          </cell>
          <cell r="DN11123">
            <v>0</v>
          </cell>
        </row>
        <row r="11124">
          <cell r="E11124">
            <v>0</v>
          </cell>
          <cell r="F11124">
            <v>0</v>
          </cell>
          <cell r="DN11124">
            <v>0</v>
          </cell>
        </row>
        <row r="11125">
          <cell r="E11125">
            <v>0</v>
          </cell>
          <cell r="F11125">
            <v>0</v>
          </cell>
          <cell r="DN11125">
            <v>0</v>
          </cell>
        </row>
        <row r="11126">
          <cell r="E11126">
            <v>0</v>
          </cell>
          <cell r="F11126">
            <v>0</v>
          </cell>
          <cell r="DN11126">
            <v>0</v>
          </cell>
        </row>
        <row r="11127">
          <cell r="E11127">
            <v>0</v>
          </cell>
          <cell r="F11127">
            <v>0</v>
          </cell>
          <cell r="DN11127">
            <v>0</v>
          </cell>
        </row>
        <row r="11128">
          <cell r="E11128">
            <v>0</v>
          </cell>
          <cell r="F11128">
            <v>0</v>
          </cell>
          <cell r="DN11128">
            <v>0</v>
          </cell>
        </row>
        <row r="11129">
          <cell r="E11129">
            <v>0</v>
          </cell>
          <cell r="F11129">
            <v>0</v>
          </cell>
          <cell r="DN11129">
            <v>0</v>
          </cell>
        </row>
        <row r="11130">
          <cell r="E11130">
            <v>0</v>
          </cell>
          <cell r="F11130">
            <v>0</v>
          </cell>
          <cell r="DN11130">
            <v>0</v>
          </cell>
        </row>
        <row r="11131">
          <cell r="E11131">
            <v>0</v>
          </cell>
          <cell r="F11131">
            <v>0</v>
          </cell>
          <cell r="DN11131">
            <v>0</v>
          </cell>
        </row>
        <row r="11132">
          <cell r="E11132">
            <v>0</v>
          </cell>
          <cell r="F11132">
            <v>0</v>
          </cell>
          <cell r="DN11132">
            <v>0</v>
          </cell>
        </row>
        <row r="11133">
          <cell r="E11133">
            <v>0</v>
          </cell>
          <cell r="F11133">
            <v>0</v>
          </cell>
          <cell r="DN11133">
            <v>0</v>
          </cell>
        </row>
        <row r="11134">
          <cell r="E11134">
            <v>0</v>
          </cell>
          <cell r="F11134">
            <v>0</v>
          </cell>
          <cell r="DN11134">
            <v>0</v>
          </cell>
        </row>
        <row r="11135">
          <cell r="E11135">
            <v>0</v>
          </cell>
          <cell r="F11135">
            <v>0</v>
          </cell>
          <cell r="DN11135">
            <v>0</v>
          </cell>
        </row>
        <row r="11136">
          <cell r="E11136">
            <v>0</v>
          </cell>
          <cell r="F11136">
            <v>0</v>
          </cell>
          <cell r="DN11136">
            <v>0</v>
          </cell>
        </row>
        <row r="11137">
          <cell r="E11137">
            <v>0</v>
          </cell>
          <cell r="F11137">
            <v>0</v>
          </cell>
          <cell r="DN11137">
            <v>0</v>
          </cell>
        </row>
        <row r="11138">
          <cell r="E11138">
            <v>0</v>
          </cell>
          <cell r="F11138">
            <v>0</v>
          </cell>
          <cell r="DN11138">
            <v>0</v>
          </cell>
        </row>
        <row r="11139">
          <cell r="E11139">
            <v>0</v>
          </cell>
          <cell r="F11139">
            <v>0</v>
          </cell>
          <cell r="DN11139">
            <v>0</v>
          </cell>
        </row>
        <row r="11140">
          <cell r="E11140">
            <v>0</v>
          </cell>
          <cell r="F11140">
            <v>0</v>
          </cell>
          <cell r="DN11140">
            <v>0</v>
          </cell>
        </row>
        <row r="11141">
          <cell r="E11141">
            <v>0</v>
          </cell>
          <cell r="F11141">
            <v>0</v>
          </cell>
          <cell r="DN11141">
            <v>0</v>
          </cell>
        </row>
        <row r="11142">
          <cell r="E11142">
            <v>0</v>
          </cell>
          <cell r="F11142">
            <v>0</v>
          </cell>
          <cell r="DN11142">
            <v>0</v>
          </cell>
        </row>
        <row r="11143">
          <cell r="E11143">
            <v>0</v>
          </cell>
          <cell r="F11143">
            <v>0</v>
          </cell>
          <cell r="DN11143">
            <v>0</v>
          </cell>
        </row>
        <row r="11144">
          <cell r="E11144">
            <v>0</v>
          </cell>
          <cell r="F11144">
            <v>0</v>
          </cell>
          <cell r="DN11144">
            <v>0</v>
          </cell>
        </row>
        <row r="11145">
          <cell r="E11145">
            <v>0</v>
          </cell>
          <cell r="F11145">
            <v>0</v>
          </cell>
          <cell r="DN11145">
            <v>0</v>
          </cell>
        </row>
        <row r="11146">
          <cell r="E11146">
            <v>0</v>
          </cell>
          <cell r="F11146">
            <v>0</v>
          </cell>
          <cell r="DN11146">
            <v>0</v>
          </cell>
        </row>
        <row r="11147">
          <cell r="E11147">
            <v>0</v>
          </cell>
          <cell r="F11147">
            <v>0</v>
          </cell>
          <cell r="DN11147">
            <v>0</v>
          </cell>
        </row>
        <row r="11148">
          <cell r="E11148">
            <v>0</v>
          </cell>
          <cell r="F11148">
            <v>0</v>
          </cell>
          <cell r="DN11148">
            <v>0</v>
          </cell>
        </row>
        <row r="11149">
          <cell r="E11149">
            <v>0</v>
          </cell>
          <cell r="F11149">
            <v>0</v>
          </cell>
          <cell r="DN11149">
            <v>0</v>
          </cell>
        </row>
        <row r="11150">
          <cell r="E11150">
            <v>0</v>
          </cell>
          <cell r="F11150">
            <v>0</v>
          </cell>
          <cell r="DN11150">
            <v>0</v>
          </cell>
        </row>
        <row r="11151">
          <cell r="E11151">
            <v>0</v>
          </cell>
          <cell r="F11151">
            <v>0</v>
          </cell>
          <cell r="DN11151">
            <v>0</v>
          </cell>
        </row>
        <row r="11152">
          <cell r="E11152">
            <v>0</v>
          </cell>
          <cell r="F11152">
            <v>0</v>
          </cell>
          <cell r="DN11152">
            <v>0</v>
          </cell>
        </row>
        <row r="11153">
          <cell r="E11153">
            <v>0</v>
          </cell>
          <cell r="F11153">
            <v>0</v>
          </cell>
          <cell r="DN11153">
            <v>0</v>
          </cell>
        </row>
        <row r="11154">
          <cell r="E11154">
            <v>0</v>
          </cell>
          <cell r="F11154">
            <v>0</v>
          </cell>
          <cell r="DN11154">
            <v>0</v>
          </cell>
        </row>
        <row r="11155">
          <cell r="E11155">
            <v>0</v>
          </cell>
          <cell r="F11155">
            <v>0</v>
          </cell>
          <cell r="DN11155">
            <v>0</v>
          </cell>
        </row>
        <row r="11156">
          <cell r="E11156">
            <v>0</v>
          </cell>
          <cell r="F11156">
            <v>0</v>
          </cell>
          <cell r="DN11156">
            <v>0</v>
          </cell>
        </row>
        <row r="11157">
          <cell r="E11157">
            <v>0</v>
          </cell>
          <cell r="F11157">
            <v>0</v>
          </cell>
          <cell r="DN11157">
            <v>0</v>
          </cell>
        </row>
        <row r="11158">
          <cell r="E11158">
            <v>0</v>
          </cell>
          <cell r="F11158">
            <v>0</v>
          </cell>
          <cell r="DN11158">
            <v>0</v>
          </cell>
        </row>
        <row r="11159">
          <cell r="E11159">
            <v>0</v>
          </cell>
          <cell r="F11159">
            <v>0</v>
          </cell>
          <cell r="DN11159">
            <v>0</v>
          </cell>
        </row>
        <row r="11160">
          <cell r="E11160">
            <v>0</v>
          </cell>
          <cell r="F11160">
            <v>0</v>
          </cell>
          <cell r="DN11160">
            <v>0</v>
          </cell>
        </row>
        <row r="11161">
          <cell r="E11161">
            <v>0</v>
          </cell>
          <cell r="F11161">
            <v>0</v>
          </cell>
          <cell r="DN11161">
            <v>0</v>
          </cell>
        </row>
        <row r="11162">
          <cell r="E11162">
            <v>0</v>
          </cell>
          <cell r="F11162">
            <v>0</v>
          </cell>
          <cell r="DN11162">
            <v>0</v>
          </cell>
        </row>
        <row r="11163">
          <cell r="E11163">
            <v>0</v>
          </cell>
          <cell r="F11163">
            <v>0</v>
          </cell>
          <cell r="DN11163">
            <v>0</v>
          </cell>
        </row>
        <row r="11164">
          <cell r="E11164">
            <v>0</v>
          </cell>
          <cell r="F11164">
            <v>0</v>
          </cell>
          <cell r="DN11164">
            <v>0</v>
          </cell>
        </row>
        <row r="11165">
          <cell r="E11165">
            <v>0</v>
          </cell>
          <cell r="F11165">
            <v>0</v>
          </cell>
          <cell r="DN11165">
            <v>0</v>
          </cell>
        </row>
        <row r="11166">
          <cell r="E11166">
            <v>0</v>
          </cell>
          <cell r="F11166">
            <v>0</v>
          </cell>
          <cell r="DN11166">
            <v>0</v>
          </cell>
        </row>
        <row r="11167">
          <cell r="E11167">
            <v>0</v>
          </cell>
          <cell r="F11167">
            <v>0</v>
          </cell>
          <cell r="DN11167">
            <v>0</v>
          </cell>
        </row>
        <row r="11168">
          <cell r="E11168">
            <v>0</v>
          </cell>
          <cell r="F11168">
            <v>0</v>
          </cell>
          <cell r="DN11168">
            <v>0</v>
          </cell>
        </row>
        <row r="11169">
          <cell r="E11169">
            <v>0</v>
          </cell>
          <cell r="F11169">
            <v>0</v>
          </cell>
          <cell r="DN11169">
            <v>0</v>
          </cell>
        </row>
        <row r="11170">
          <cell r="E11170">
            <v>0</v>
          </cell>
          <cell r="F11170">
            <v>0</v>
          </cell>
          <cell r="DN11170">
            <v>0</v>
          </cell>
        </row>
        <row r="11171">
          <cell r="E11171">
            <v>0</v>
          </cell>
          <cell r="F11171">
            <v>0</v>
          </cell>
          <cell r="DN11171">
            <v>0</v>
          </cell>
        </row>
        <row r="11172">
          <cell r="E11172">
            <v>0</v>
          </cell>
          <cell r="F11172">
            <v>0</v>
          </cell>
          <cell r="DN11172">
            <v>0</v>
          </cell>
        </row>
        <row r="11173">
          <cell r="E11173">
            <v>0</v>
          </cell>
          <cell r="F11173">
            <v>0</v>
          </cell>
          <cell r="DN11173">
            <v>0</v>
          </cell>
        </row>
        <row r="11174">
          <cell r="E11174">
            <v>0</v>
          </cell>
          <cell r="F11174">
            <v>0</v>
          </cell>
          <cell r="DN11174">
            <v>0</v>
          </cell>
        </row>
        <row r="11175">
          <cell r="E11175">
            <v>0</v>
          </cell>
          <cell r="F11175">
            <v>0</v>
          </cell>
          <cell r="DN11175">
            <v>0</v>
          </cell>
        </row>
        <row r="11176">
          <cell r="E11176">
            <v>0</v>
          </cell>
          <cell r="F11176">
            <v>0</v>
          </cell>
          <cell r="DN11176">
            <v>0</v>
          </cell>
        </row>
        <row r="11177">
          <cell r="E11177">
            <v>0</v>
          </cell>
          <cell r="F11177">
            <v>0</v>
          </cell>
          <cell r="DN11177">
            <v>0</v>
          </cell>
        </row>
        <row r="11178">
          <cell r="E11178">
            <v>0</v>
          </cell>
          <cell r="F11178">
            <v>0</v>
          </cell>
          <cell r="DN11178">
            <v>0</v>
          </cell>
        </row>
        <row r="11179">
          <cell r="E11179">
            <v>0</v>
          </cell>
          <cell r="F11179">
            <v>0</v>
          </cell>
          <cell r="DN11179">
            <v>0</v>
          </cell>
        </row>
        <row r="11180">
          <cell r="E11180">
            <v>0</v>
          </cell>
          <cell r="F11180">
            <v>0</v>
          </cell>
          <cell r="DN11180">
            <v>0</v>
          </cell>
        </row>
        <row r="11181">
          <cell r="E11181">
            <v>0</v>
          </cell>
          <cell r="F11181">
            <v>0</v>
          </cell>
          <cell r="DN11181">
            <v>0</v>
          </cell>
        </row>
        <row r="11182">
          <cell r="E11182">
            <v>0</v>
          </cell>
          <cell r="F11182">
            <v>0</v>
          </cell>
          <cell r="DN11182">
            <v>0</v>
          </cell>
        </row>
        <row r="11183">
          <cell r="E11183">
            <v>0</v>
          </cell>
          <cell r="F11183">
            <v>0</v>
          </cell>
          <cell r="DN11183">
            <v>0</v>
          </cell>
        </row>
        <row r="11184">
          <cell r="E11184">
            <v>0</v>
          </cell>
          <cell r="F11184">
            <v>0</v>
          </cell>
          <cell r="DN11184">
            <v>0</v>
          </cell>
        </row>
        <row r="11185">
          <cell r="E11185">
            <v>0</v>
          </cell>
          <cell r="F11185">
            <v>0</v>
          </cell>
          <cell r="DN11185">
            <v>0</v>
          </cell>
        </row>
        <row r="11186">
          <cell r="E11186">
            <v>0</v>
          </cell>
          <cell r="F11186">
            <v>0</v>
          </cell>
          <cell r="DN11186">
            <v>0</v>
          </cell>
        </row>
        <row r="11187">
          <cell r="E11187">
            <v>0</v>
          </cell>
          <cell r="F11187">
            <v>0</v>
          </cell>
          <cell r="DN11187">
            <v>0</v>
          </cell>
        </row>
        <row r="11188">
          <cell r="E11188">
            <v>0</v>
          </cell>
          <cell r="F11188">
            <v>0</v>
          </cell>
          <cell r="DN11188">
            <v>0</v>
          </cell>
        </row>
        <row r="11189">
          <cell r="E11189">
            <v>0</v>
          </cell>
          <cell r="F11189">
            <v>0</v>
          </cell>
          <cell r="DN11189">
            <v>0</v>
          </cell>
        </row>
        <row r="11190">
          <cell r="E11190">
            <v>0</v>
          </cell>
          <cell r="F11190">
            <v>0</v>
          </cell>
          <cell r="DN11190">
            <v>0</v>
          </cell>
        </row>
        <row r="11191">
          <cell r="E11191">
            <v>0</v>
          </cell>
          <cell r="F11191">
            <v>0</v>
          </cell>
          <cell r="DN11191">
            <v>0</v>
          </cell>
        </row>
        <row r="11192">
          <cell r="E11192">
            <v>0</v>
          </cell>
          <cell r="F11192">
            <v>0</v>
          </cell>
          <cell r="DN11192">
            <v>0</v>
          </cell>
        </row>
        <row r="11193">
          <cell r="E11193">
            <v>0</v>
          </cell>
          <cell r="F11193">
            <v>0</v>
          </cell>
          <cell r="DN11193">
            <v>0</v>
          </cell>
        </row>
        <row r="11194">
          <cell r="E11194">
            <v>0</v>
          </cell>
          <cell r="F11194">
            <v>0</v>
          </cell>
          <cell r="DN11194">
            <v>0</v>
          </cell>
        </row>
        <row r="11195">
          <cell r="E11195">
            <v>0</v>
          </cell>
          <cell r="F11195">
            <v>0</v>
          </cell>
          <cell r="DN11195">
            <v>0</v>
          </cell>
        </row>
        <row r="11196">
          <cell r="E11196">
            <v>0</v>
          </cell>
          <cell r="F11196">
            <v>0</v>
          </cell>
          <cell r="DN11196">
            <v>0</v>
          </cell>
        </row>
        <row r="11197">
          <cell r="E11197">
            <v>0</v>
          </cell>
          <cell r="F11197">
            <v>0</v>
          </cell>
          <cell r="DN11197">
            <v>0</v>
          </cell>
        </row>
        <row r="11198">
          <cell r="E11198">
            <v>0</v>
          </cell>
          <cell r="F11198">
            <v>0</v>
          </cell>
          <cell r="DN11198">
            <v>0</v>
          </cell>
        </row>
        <row r="11199">
          <cell r="E11199">
            <v>0</v>
          </cell>
          <cell r="F11199">
            <v>0</v>
          </cell>
          <cell r="DN11199">
            <v>0</v>
          </cell>
        </row>
        <row r="11200">
          <cell r="E11200">
            <v>0</v>
          </cell>
          <cell r="F11200">
            <v>0</v>
          </cell>
          <cell r="DN11200">
            <v>0</v>
          </cell>
        </row>
        <row r="11201">
          <cell r="E11201">
            <v>0</v>
          </cell>
          <cell r="F11201">
            <v>0</v>
          </cell>
          <cell r="DN11201">
            <v>0</v>
          </cell>
        </row>
        <row r="11202">
          <cell r="E11202">
            <v>0</v>
          </cell>
          <cell r="F11202">
            <v>0</v>
          </cell>
          <cell r="DN11202">
            <v>0</v>
          </cell>
        </row>
        <row r="11203">
          <cell r="E11203">
            <v>0</v>
          </cell>
          <cell r="F11203">
            <v>0</v>
          </cell>
          <cell r="DN11203">
            <v>0</v>
          </cell>
        </row>
        <row r="11204">
          <cell r="E11204">
            <v>0</v>
          </cell>
          <cell r="F11204">
            <v>0</v>
          </cell>
          <cell r="DN11204">
            <v>0</v>
          </cell>
        </row>
        <row r="11205">
          <cell r="E11205">
            <v>0</v>
          </cell>
          <cell r="F11205">
            <v>0</v>
          </cell>
          <cell r="DN11205">
            <v>0</v>
          </cell>
        </row>
        <row r="11206">
          <cell r="E11206">
            <v>0</v>
          </cell>
          <cell r="F11206">
            <v>0</v>
          </cell>
          <cell r="DN11206">
            <v>0</v>
          </cell>
        </row>
        <row r="11207">
          <cell r="E11207">
            <v>0</v>
          </cell>
          <cell r="F11207">
            <v>0</v>
          </cell>
          <cell r="DN11207">
            <v>0</v>
          </cell>
        </row>
        <row r="11208">
          <cell r="E11208">
            <v>0</v>
          </cell>
          <cell r="F11208">
            <v>0</v>
          </cell>
          <cell r="DN11208">
            <v>0</v>
          </cell>
        </row>
        <row r="11209">
          <cell r="E11209">
            <v>0</v>
          </cell>
          <cell r="F11209">
            <v>0</v>
          </cell>
          <cell r="DN11209">
            <v>0</v>
          </cell>
        </row>
        <row r="11210">
          <cell r="E11210">
            <v>0</v>
          </cell>
          <cell r="F11210">
            <v>0</v>
          </cell>
          <cell r="DN11210">
            <v>0</v>
          </cell>
        </row>
        <row r="11211">
          <cell r="E11211">
            <v>0</v>
          </cell>
          <cell r="F11211">
            <v>0</v>
          </cell>
          <cell r="DN11211">
            <v>0</v>
          </cell>
        </row>
        <row r="11212">
          <cell r="E11212">
            <v>0</v>
          </cell>
          <cell r="F11212">
            <v>0</v>
          </cell>
          <cell r="DN11212">
            <v>0</v>
          </cell>
        </row>
        <row r="11213">
          <cell r="E11213">
            <v>0</v>
          </cell>
          <cell r="F11213">
            <v>0</v>
          </cell>
          <cell r="DN11213">
            <v>0</v>
          </cell>
        </row>
        <row r="11214">
          <cell r="E11214">
            <v>0</v>
          </cell>
          <cell r="F11214">
            <v>0</v>
          </cell>
          <cell r="DN11214">
            <v>0</v>
          </cell>
        </row>
        <row r="11215">
          <cell r="E11215">
            <v>0</v>
          </cell>
          <cell r="F11215">
            <v>0</v>
          </cell>
          <cell r="DN11215">
            <v>0</v>
          </cell>
        </row>
        <row r="11216">
          <cell r="E11216">
            <v>0</v>
          </cell>
          <cell r="F11216">
            <v>0</v>
          </cell>
          <cell r="DN11216">
            <v>0</v>
          </cell>
        </row>
        <row r="11217">
          <cell r="E11217">
            <v>0</v>
          </cell>
          <cell r="F11217">
            <v>0</v>
          </cell>
          <cell r="DN11217">
            <v>0</v>
          </cell>
        </row>
        <row r="11218">
          <cell r="E11218">
            <v>0</v>
          </cell>
          <cell r="F11218">
            <v>0</v>
          </cell>
          <cell r="DN11218">
            <v>0</v>
          </cell>
        </row>
        <row r="11219">
          <cell r="E11219">
            <v>0</v>
          </cell>
          <cell r="F11219">
            <v>0</v>
          </cell>
          <cell r="DN11219">
            <v>0</v>
          </cell>
        </row>
        <row r="11220">
          <cell r="E11220">
            <v>0</v>
          </cell>
          <cell r="F11220">
            <v>0</v>
          </cell>
          <cell r="DN11220">
            <v>0</v>
          </cell>
        </row>
        <row r="11221">
          <cell r="E11221">
            <v>0</v>
          </cell>
          <cell r="F11221">
            <v>0</v>
          </cell>
          <cell r="DN11221">
            <v>0</v>
          </cell>
        </row>
        <row r="11222">
          <cell r="E11222">
            <v>0</v>
          </cell>
          <cell r="F11222">
            <v>0</v>
          </cell>
          <cell r="DN11222">
            <v>0</v>
          </cell>
        </row>
        <row r="11223">
          <cell r="E11223">
            <v>0</v>
          </cell>
          <cell r="F11223">
            <v>0</v>
          </cell>
          <cell r="DN11223">
            <v>0</v>
          </cell>
        </row>
        <row r="11224">
          <cell r="E11224">
            <v>0</v>
          </cell>
          <cell r="F11224">
            <v>0</v>
          </cell>
          <cell r="DN11224">
            <v>0</v>
          </cell>
        </row>
        <row r="11225">
          <cell r="E11225">
            <v>0</v>
          </cell>
          <cell r="F11225">
            <v>0</v>
          </cell>
          <cell r="DN11225">
            <v>0</v>
          </cell>
        </row>
        <row r="11226">
          <cell r="E11226">
            <v>0</v>
          </cell>
          <cell r="F11226">
            <v>0</v>
          </cell>
          <cell r="DN11226">
            <v>0</v>
          </cell>
        </row>
        <row r="11227">
          <cell r="E11227">
            <v>0</v>
          </cell>
          <cell r="F11227">
            <v>0</v>
          </cell>
          <cell r="DN11227">
            <v>0</v>
          </cell>
        </row>
        <row r="11228">
          <cell r="E11228">
            <v>0</v>
          </cell>
          <cell r="F11228">
            <v>0</v>
          </cell>
          <cell r="DN11228">
            <v>0</v>
          </cell>
        </row>
        <row r="11229">
          <cell r="E11229">
            <v>0</v>
          </cell>
          <cell r="F11229">
            <v>0</v>
          </cell>
          <cell r="DN11229">
            <v>0</v>
          </cell>
        </row>
        <row r="11230">
          <cell r="E11230">
            <v>0</v>
          </cell>
          <cell r="F11230">
            <v>0</v>
          </cell>
          <cell r="DN11230">
            <v>0</v>
          </cell>
        </row>
        <row r="11231">
          <cell r="E11231">
            <v>0</v>
          </cell>
          <cell r="F11231">
            <v>0</v>
          </cell>
          <cell r="DN11231">
            <v>0</v>
          </cell>
        </row>
        <row r="11232">
          <cell r="E11232">
            <v>0</v>
          </cell>
          <cell r="F11232">
            <v>0</v>
          </cell>
          <cell r="DN11232">
            <v>0</v>
          </cell>
        </row>
        <row r="11233">
          <cell r="E11233">
            <v>0</v>
          </cell>
          <cell r="F11233">
            <v>0</v>
          </cell>
          <cell r="DN11233">
            <v>0</v>
          </cell>
        </row>
        <row r="11234">
          <cell r="E11234">
            <v>0</v>
          </cell>
          <cell r="F11234">
            <v>0</v>
          </cell>
          <cell r="DN11234">
            <v>0</v>
          </cell>
        </row>
        <row r="11235">
          <cell r="E11235">
            <v>0</v>
          </cell>
          <cell r="F11235">
            <v>0</v>
          </cell>
          <cell r="DN11235">
            <v>0</v>
          </cell>
        </row>
        <row r="11236">
          <cell r="E11236">
            <v>0</v>
          </cell>
          <cell r="F11236">
            <v>0</v>
          </cell>
          <cell r="DN11236">
            <v>0</v>
          </cell>
        </row>
        <row r="11237">
          <cell r="E11237">
            <v>0</v>
          </cell>
          <cell r="F11237">
            <v>0</v>
          </cell>
          <cell r="DN11237">
            <v>0</v>
          </cell>
        </row>
        <row r="11238">
          <cell r="E11238">
            <v>0</v>
          </cell>
          <cell r="F11238">
            <v>0</v>
          </cell>
          <cell r="DN11238">
            <v>0</v>
          </cell>
        </row>
        <row r="11239">
          <cell r="E11239">
            <v>0</v>
          </cell>
          <cell r="F11239">
            <v>0</v>
          </cell>
          <cell r="DN11239">
            <v>0</v>
          </cell>
        </row>
        <row r="11240">
          <cell r="E11240">
            <v>0</v>
          </cell>
          <cell r="F11240">
            <v>0</v>
          </cell>
          <cell r="DN11240">
            <v>0</v>
          </cell>
        </row>
        <row r="11241">
          <cell r="E11241">
            <v>0</v>
          </cell>
          <cell r="F11241">
            <v>0</v>
          </cell>
          <cell r="DN11241">
            <v>0</v>
          </cell>
        </row>
        <row r="11242">
          <cell r="E11242">
            <v>0</v>
          </cell>
          <cell r="F11242">
            <v>0</v>
          </cell>
          <cell r="DN11242">
            <v>0</v>
          </cell>
        </row>
        <row r="11243">
          <cell r="E11243">
            <v>0</v>
          </cell>
          <cell r="F11243">
            <v>0</v>
          </cell>
          <cell r="DN11243">
            <v>0</v>
          </cell>
        </row>
        <row r="11244">
          <cell r="E11244">
            <v>0</v>
          </cell>
          <cell r="F11244">
            <v>0</v>
          </cell>
          <cell r="DN11244">
            <v>0</v>
          </cell>
        </row>
        <row r="11245">
          <cell r="E11245">
            <v>0</v>
          </cell>
          <cell r="F11245">
            <v>0</v>
          </cell>
          <cell r="DN11245">
            <v>0</v>
          </cell>
        </row>
        <row r="11246">
          <cell r="E11246">
            <v>0</v>
          </cell>
          <cell r="F11246">
            <v>0</v>
          </cell>
          <cell r="DN11246">
            <v>0</v>
          </cell>
        </row>
        <row r="11247">
          <cell r="E11247">
            <v>0</v>
          </cell>
          <cell r="F11247">
            <v>0</v>
          </cell>
          <cell r="DN11247">
            <v>0</v>
          </cell>
        </row>
        <row r="11248">
          <cell r="E11248">
            <v>0</v>
          </cell>
          <cell r="F11248">
            <v>0</v>
          </cell>
          <cell r="DN11248">
            <v>0</v>
          </cell>
        </row>
        <row r="11249">
          <cell r="E11249">
            <v>0</v>
          </cell>
          <cell r="F11249">
            <v>0</v>
          </cell>
          <cell r="DN11249">
            <v>0</v>
          </cell>
        </row>
        <row r="11250">
          <cell r="E11250">
            <v>0</v>
          </cell>
          <cell r="F11250">
            <v>0</v>
          </cell>
          <cell r="DN11250">
            <v>0</v>
          </cell>
        </row>
        <row r="11251">
          <cell r="E11251">
            <v>0</v>
          </cell>
          <cell r="F11251">
            <v>0</v>
          </cell>
          <cell r="DN11251">
            <v>0</v>
          </cell>
        </row>
        <row r="11252">
          <cell r="E11252">
            <v>0</v>
          </cell>
          <cell r="F11252">
            <v>0</v>
          </cell>
          <cell r="DN11252">
            <v>0</v>
          </cell>
        </row>
        <row r="11253">
          <cell r="E11253">
            <v>0</v>
          </cell>
          <cell r="F11253">
            <v>0</v>
          </cell>
          <cell r="DN11253">
            <v>0</v>
          </cell>
        </row>
        <row r="11254">
          <cell r="E11254">
            <v>0</v>
          </cell>
          <cell r="F11254">
            <v>0</v>
          </cell>
          <cell r="DN11254">
            <v>0</v>
          </cell>
        </row>
        <row r="11255">
          <cell r="E11255">
            <v>0</v>
          </cell>
          <cell r="F11255">
            <v>0</v>
          </cell>
          <cell r="DN11255">
            <v>0</v>
          </cell>
        </row>
        <row r="11256">
          <cell r="E11256">
            <v>0</v>
          </cell>
          <cell r="F11256">
            <v>0</v>
          </cell>
          <cell r="DN11256">
            <v>0</v>
          </cell>
        </row>
        <row r="11257">
          <cell r="E11257">
            <v>0</v>
          </cell>
          <cell r="F11257">
            <v>0</v>
          </cell>
          <cell r="DN11257">
            <v>0</v>
          </cell>
        </row>
        <row r="11258">
          <cell r="E11258">
            <v>0</v>
          </cell>
          <cell r="F11258">
            <v>0</v>
          </cell>
          <cell r="DN11258">
            <v>0</v>
          </cell>
        </row>
        <row r="11259">
          <cell r="E11259">
            <v>0</v>
          </cell>
          <cell r="F11259">
            <v>0</v>
          </cell>
          <cell r="DN11259">
            <v>0</v>
          </cell>
        </row>
        <row r="11260">
          <cell r="E11260">
            <v>0</v>
          </cell>
          <cell r="F11260">
            <v>0</v>
          </cell>
          <cell r="DN11260">
            <v>0</v>
          </cell>
        </row>
        <row r="11261">
          <cell r="E11261">
            <v>0</v>
          </cell>
          <cell r="F11261">
            <v>0</v>
          </cell>
          <cell r="DN11261">
            <v>0</v>
          </cell>
        </row>
        <row r="11262">
          <cell r="E11262">
            <v>0</v>
          </cell>
          <cell r="F11262">
            <v>0</v>
          </cell>
          <cell r="DN11262">
            <v>0</v>
          </cell>
        </row>
        <row r="11263">
          <cell r="E11263">
            <v>0</v>
          </cell>
          <cell r="F11263">
            <v>0</v>
          </cell>
          <cell r="DN11263">
            <v>0</v>
          </cell>
        </row>
        <row r="11264">
          <cell r="E11264">
            <v>0</v>
          </cell>
          <cell r="F11264">
            <v>0</v>
          </cell>
          <cell r="DN11264">
            <v>0</v>
          </cell>
        </row>
        <row r="11265">
          <cell r="E11265">
            <v>0</v>
          </cell>
          <cell r="F11265">
            <v>0</v>
          </cell>
          <cell r="DN11265">
            <v>0</v>
          </cell>
        </row>
        <row r="11266">
          <cell r="E11266">
            <v>0</v>
          </cell>
          <cell r="F11266">
            <v>0</v>
          </cell>
          <cell r="DN11266">
            <v>0</v>
          </cell>
        </row>
        <row r="11267">
          <cell r="E11267">
            <v>0</v>
          </cell>
          <cell r="F11267">
            <v>0</v>
          </cell>
          <cell r="DN11267">
            <v>0</v>
          </cell>
        </row>
        <row r="11268">
          <cell r="E11268">
            <v>0</v>
          </cell>
          <cell r="F11268">
            <v>0</v>
          </cell>
          <cell r="DN11268">
            <v>0</v>
          </cell>
        </row>
        <row r="11269">
          <cell r="E11269">
            <v>0</v>
          </cell>
          <cell r="F11269">
            <v>0</v>
          </cell>
          <cell r="DN11269">
            <v>0</v>
          </cell>
        </row>
        <row r="11270">
          <cell r="E11270">
            <v>0</v>
          </cell>
          <cell r="F11270">
            <v>0</v>
          </cell>
          <cell r="DN11270">
            <v>0</v>
          </cell>
        </row>
        <row r="11271">
          <cell r="E11271">
            <v>0</v>
          </cell>
          <cell r="F11271">
            <v>0</v>
          </cell>
          <cell r="DN11271">
            <v>0</v>
          </cell>
        </row>
        <row r="11272">
          <cell r="E11272">
            <v>0</v>
          </cell>
          <cell r="F11272">
            <v>0</v>
          </cell>
          <cell r="DN11272">
            <v>0</v>
          </cell>
        </row>
        <row r="11273">
          <cell r="E11273">
            <v>0</v>
          </cell>
          <cell r="F11273">
            <v>0</v>
          </cell>
          <cell r="DN11273">
            <v>0</v>
          </cell>
        </row>
        <row r="11274">
          <cell r="E11274">
            <v>0</v>
          </cell>
          <cell r="F11274">
            <v>0</v>
          </cell>
          <cell r="DN11274">
            <v>0</v>
          </cell>
        </row>
        <row r="11275">
          <cell r="E11275">
            <v>0</v>
          </cell>
          <cell r="F11275">
            <v>0</v>
          </cell>
          <cell r="DN11275">
            <v>0</v>
          </cell>
        </row>
        <row r="11276">
          <cell r="E11276">
            <v>0</v>
          </cell>
          <cell r="F11276">
            <v>0</v>
          </cell>
          <cell r="DN11276">
            <v>0</v>
          </cell>
        </row>
        <row r="11277">
          <cell r="E11277">
            <v>0</v>
          </cell>
          <cell r="F11277">
            <v>0</v>
          </cell>
          <cell r="DN11277">
            <v>0</v>
          </cell>
        </row>
        <row r="11278">
          <cell r="E11278">
            <v>0</v>
          </cell>
          <cell r="F11278">
            <v>0</v>
          </cell>
          <cell r="DN11278">
            <v>0</v>
          </cell>
        </row>
        <row r="11279">
          <cell r="E11279">
            <v>0</v>
          </cell>
          <cell r="F11279">
            <v>0</v>
          </cell>
          <cell r="DN11279">
            <v>0</v>
          </cell>
        </row>
        <row r="11280">
          <cell r="E11280">
            <v>0</v>
          </cell>
          <cell r="F11280">
            <v>0</v>
          </cell>
          <cell r="DN11280">
            <v>0</v>
          </cell>
        </row>
        <row r="11281">
          <cell r="E11281">
            <v>0</v>
          </cell>
          <cell r="F11281">
            <v>0</v>
          </cell>
          <cell r="DN11281">
            <v>0</v>
          </cell>
        </row>
        <row r="11282">
          <cell r="E11282">
            <v>0</v>
          </cell>
          <cell r="F11282">
            <v>0</v>
          </cell>
          <cell r="DN11282">
            <v>0</v>
          </cell>
        </row>
        <row r="11283">
          <cell r="E11283">
            <v>0</v>
          </cell>
          <cell r="F11283">
            <v>0</v>
          </cell>
          <cell r="DN11283">
            <v>0</v>
          </cell>
        </row>
        <row r="11284">
          <cell r="E11284">
            <v>0</v>
          </cell>
          <cell r="F11284">
            <v>0</v>
          </cell>
          <cell r="DN11284">
            <v>0</v>
          </cell>
        </row>
        <row r="11285">
          <cell r="E11285">
            <v>0</v>
          </cell>
          <cell r="F11285">
            <v>0</v>
          </cell>
          <cell r="DN11285">
            <v>0</v>
          </cell>
        </row>
        <row r="11286">
          <cell r="E11286">
            <v>0</v>
          </cell>
          <cell r="F11286">
            <v>0</v>
          </cell>
          <cell r="DN11286">
            <v>0</v>
          </cell>
        </row>
        <row r="11287">
          <cell r="E11287">
            <v>0</v>
          </cell>
          <cell r="F11287">
            <v>0</v>
          </cell>
          <cell r="DN11287">
            <v>0</v>
          </cell>
        </row>
        <row r="11288">
          <cell r="E11288">
            <v>0</v>
          </cell>
          <cell r="F11288">
            <v>0</v>
          </cell>
          <cell r="DN11288">
            <v>0</v>
          </cell>
        </row>
        <row r="11289">
          <cell r="E11289">
            <v>0</v>
          </cell>
          <cell r="F11289">
            <v>0</v>
          </cell>
          <cell r="DN11289">
            <v>0</v>
          </cell>
        </row>
        <row r="11290">
          <cell r="E11290">
            <v>0</v>
          </cell>
          <cell r="F11290">
            <v>0</v>
          </cell>
          <cell r="DN11290">
            <v>0</v>
          </cell>
        </row>
        <row r="11291">
          <cell r="E11291">
            <v>0</v>
          </cell>
          <cell r="F11291">
            <v>0</v>
          </cell>
          <cell r="DN11291">
            <v>0</v>
          </cell>
        </row>
        <row r="11292">
          <cell r="E11292">
            <v>0</v>
          </cell>
          <cell r="F11292">
            <v>0</v>
          </cell>
          <cell r="DN11292">
            <v>0</v>
          </cell>
        </row>
        <row r="11293">
          <cell r="E11293">
            <v>0</v>
          </cell>
          <cell r="F11293">
            <v>0</v>
          </cell>
          <cell r="DN11293">
            <v>0</v>
          </cell>
        </row>
        <row r="11294">
          <cell r="E11294">
            <v>0</v>
          </cell>
          <cell r="F11294">
            <v>0</v>
          </cell>
          <cell r="DN11294">
            <v>0</v>
          </cell>
        </row>
        <row r="11295">
          <cell r="E11295">
            <v>0</v>
          </cell>
          <cell r="F11295">
            <v>0</v>
          </cell>
          <cell r="DN11295">
            <v>0</v>
          </cell>
        </row>
        <row r="11296">
          <cell r="E11296">
            <v>0</v>
          </cell>
          <cell r="F11296">
            <v>0</v>
          </cell>
          <cell r="DN11296">
            <v>0</v>
          </cell>
        </row>
        <row r="11297">
          <cell r="E11297">
            <v>0</v>
          </cell>
          <cell r="F11297">
            <v>0</v>
          </cell>
          <cell r="DN11297">
            <v>0</v>
          </cell>
        </row>
        <row r="11298">
          <cell r="E11298">
            <v>0</v>
          </cell>
          <cell r="F11298">
            <v>0</v>
          </cell>
          <cell r="DN11298">
            <v>0</v>
          </cell>
        </row>
        <row r="11299">
          <cell r="E11299">
            <v>0</v>
          </cell>
          <cell r="F11299">
            <v>0</v>
          </cell>
          <cell r="DN11299">
            <v>0</v>
          </cell>
        </row>
        <row r="11300">
          <cell r="E11300">
            <v>0</v>
          </cell>
          <cell r="F11300">
            <v>0</v>
          </cell>
          <cell r="DN11300">
            <v>0</v>
          </cell>
        </row>
        <row r="11301">
          <cell r="E11301">
            <v>0</v>
          </cell>
          <cell r="F11301">
            <v>0</v>
          </cell>
          <cell r="DN11301">
            <v>0</v>
          </cell>
        </row>
        <row r="11302">
          <cell r="E11302">
            <v>0</v>
          </cell>
          <cell r="F11302">
            <v>0</v>
          </cell>
          <cell r="DN11302">
            <v>0</v>
          </cell>
        </row>
        <row r="11303">
          <cell r="E11303">
            <v>0</v>
          </cell>
          <cell r="F11303">
            <v>0</v>
          </cell>
          <cell r="DN11303">
            <v>0</v>
          </cell>
        </row>
        <row r="11304">
          <cell r="E11304">
            <v>0</v>
          </cell>
          <cell r="F11304">
            <v>0</v>
          </cell>
          <cell r="DN11304">
            <v>0</v>
          </cell>
        </row>
        <row r="11305">
          <cell r="E11305">
            <v>0</v>
          </cell>
          <cell r="F11305">
            <v>0</v>
          </cell>
          <cell r="DN11305">
            <v>0</v>
          </cell>
        </row>
        <row r="11306">
          <cell r="E11306">
            <v>0</v>
          </cell>
          <cell r="F11306">
            <v>0</v>
          </cell>
          <cell r="DN11306">
            <v>0</v>
          </cell>
        </row>
        <row r="11307">
          <cell r="E11307">
            <v>0</v>
          </cell>
          <cell r="F11307">
            <v>0</v>
          </cell>
          <cell r="DN11307">
            <v>0</v>
          </cell>
        </row>
        <row r="11308">
          <cell r="E11308">
            <v>0</v>
          </cell>
          <cell r="F11308">
            <v>0</v>
          </cell>
          <cell r="DN11308">
            <v>0</v>
          </cell>
        </row>
        <row r="11309">
          <cell r="E11309">
            <v>0</v>
          </cell>
          <cell r="F11309">
            <v>0</v>
          </cell>
          <cell r="DN11309">
            <v>0</v>
          </cell>
        </row>
        <row r="11310">
          <cell r="E11310">
            <v>0</v>
          </cell>
          <cell r="F11310">
            <v>0</v>
          </cell>
          <cell r="DN11310">
            <v>0</v>
          </cell>
        </row>
        <row r="11311">
          <cell r="E11311">
            <v>0</v>
          </cell>
          <cell r="F11311">
            <v>0</v>
          </cell>
          <cell r="DN11311">
            <v>0</v>
          </cell>
        </row>
        <row r="11312">
          <cell r="E11312">
            <v>0</v>
          </cell>
          <cell r="F11312">
            <v>0</v>
          </cell>
          <cell r="DN11312">
            <v>0</v>
          </cell>
        </row>
        <row r="11313">
          <cell r="E11313">
            <v>0</v>
          </cell>
          <cell r="F11313">
            <v>0</v>
          </cell>
          <cell r="DN11313">
            <v>0</v>
          </cell>
        </row>
        <row r="11314">
          <cell r="E11314">
            <v>0</v>
          </cell>
          <cell r="F11314">
            <v>0</v>
          </cell>
          <cell r="DN11314">
            <v>0</v>
          </cell>
        </row>
        <row r="11315">
          <cell r="E11315">
            <v>0</v>
          </cell>
          <cell r="F11315">
            <v>0</v>
          </cell>
          <cell r="DN11315">
            <v>0</v>
          </cell>
        </row>
        <row r="11316">
          <cell r="E11316">
            <v>0</v>
          </cell>
          <cell r="F11316">
            <v>0</v>
          </cell>
          <cell r="DN11316">
            <v>0</v>
          </cell>
        </row>
        <row r="11317">
          <cell r="E11317">
            <v>0</v>
          </cell>
          <cell r="F11317">
            <v>0</v>
          </cell>
          <cell r="DN11317">
            <v>0</v>
          </cell>
        </row>
        <row r="11318">
          <cell r="E11318">
            <v>0</v>
          </cell>
          <cell r="F11318">
            <v>0</v>
          </cell>
          <cell r="DN11318">
            <v>0</v>
          </cell>
        </row>
        <row r="11319">
          <cell r="E11319">
            <v>0</v>
          </cell>
          <cell r="F11319">
            <v>0</v>
          </cell>
          <cell r="DN11319">
            <v>0</v>
          </cell>
        </row>
        <row r="11320">
          <cell r="E11320">
            <v>0</v>
          </cell>
          <cell r="F11320">
            <v>0</v>
          </cell>
          <cell r="DN11320">
            <v>0</v>
          </cell>
        </row>
        <row r="11321">
          <cell r="E11321">
            <v>0</v>
          </cell>
          <cell r="F11321">
            <v>0</v>
          </cell>
          <cell r="DN11321">
            <v>0</v>
          </cell>
        </row>
        <row r="11322">
          <cell r="E11322">
            <v>0</v>
          </cell>
          <cell r="F11322">
            <v>0</v>
          </cell>
          <cell r="DN11322">
            <v>0</v>
          </cell>
        </row>
        <row r="11323">
          <cell r="E11323">
            <v>0</v>
          </cell>
          <cell r="F11323">
            <v>0</v>
          </cell>
          <cell r="DN11323">
            <v>0</v>
          </cell>
        </row>
        <row r="11324">
          <cell r="E11324">
            <v>0</v>
          </cell>
          <cell r="F11324">
            <v>0</v>
          </cell>
          <cell r="DN11324">
            <v>0</v>
          </cell>
        </row>
        <row r="11325">
          <cell r="E11325">
            <v>0</v>
          </cell>
          <cell r="F11325">
            <v>0</v>
          </cell>
          <cell r="DN11325">
            <v>0</v>
          </cell>
        </row>
        <row r="11326">
          <cell r="E11326">
            <v>0</v>
          </cell>
          <cell r="F11326">
            <v>0</v>
          </cell>
          <cell r="DN11326">
            <v>0</v>
          </cell>
        </row>
        <row r="11327">
          <cell r="E11327">
            <v>0</v>
          </cell>
          <cell r="F11327">
            <v>0</v>
          </cell>
          <cell r="DN11327">
            <v>0</v>
          </cell>
        </row>
        <row r="11328">
          <cell r="E11328">
            <v>0</v>
          </cell>
          <cell r="F11328">
            <v>0</v>
          </cell>
          <cell r="DN11328">
            <v>0</v>
          </cell>
        </row>
        <row r="11329">
          <cell r="E11329">
            <v>0</v>
          </cell>
          <cell r="F11329">
            <v>0</v>
          </cell>
          <cell r="DN11329">
            <v>0</v>
          </cell>
        </row>
        <row r="11330">
          <cell r="E11330">
            <v>0</v>
          </cell>
          <cell r="F11330">
            <v>0</v>
          </cell>
          <cell r="DN11330">
            <v>0</v>
          </cell>
        </row>
        <row r="11331">
          <cell r="E11331">
            <v>0</v>
          </cell>
          <cell r="F11331">
            <v>0</v>
          </cell>
          <cell r="DN11331">
            <v>0</v>
          </cell>
        </row>
        <row r="11332">
          <cell r="E11332">
            <v>0</v>
          </cell>
          <cell r="F11332">
            <v>0</v>
          </cell>
          <cell r="DN11332">
            <v>0</v>
          </cell>
        </row>
        <row r="11333">
          <cell r="E11333">
            <v>0</v>
          </cell>
          <cell r="F11333">
            <v>0</v>
          </cell>
          <cell r="DN11333">
            <v>0</v>
          </cell>
        </row>
        <row r="11334">
          <cell r="E11334">
            <v>0</v>
          </cell>
          <cell r="F11334">
            <v>0</v>
          </cell>
          <cell r="DN11334">
            <v>0</v>
          </cell>
        </row>
        <row r="11335">
          <cell r="E11335">
            <v>0</v>
          </cell>
          <cell r="F11335">
            <v>0</v>
          </cell>
          <cell r="DN11335">
            <v>0</v>
          </cell>
        </row>
        <row r="11336">
          <cell r="E11336">
            <v>0</v>
          </cell>
          <cell r="F11336">
            <v>0</v>
          </cell>
          <cell r="DN11336">
            <v>0</v>
          </cell>
        </row>
        <row r="11337">
          <cell r="E11337">
            <v>0</v>
          </cell>
          <cell r="F11337">
            <v>0</v>
          </cell>
          <cell r="DN11337">
            <v>0</v>
          </cell>
        </row>
        <row r="11338">
          <cell r="E11338">
            <v>0</v>
          </cell>
          <cell r="F11338">
            <v>0</v>
          </cell>
          <cell r="DN11338">
            <v>0</v>
          </cell>
        </row>
        <row r="11339">
          <cell r="E11339">
            <v>0</v>
          </cell>
          <cell r="F11339">
            <v>0</v>
          </cell>
          <cell r="DN11339">
            <v>0</v>
          </cell>
        </row>
        <row r="11340">
          <cell r="E11340">
            <v>0</v>
          </cell>
          <cell r="F11340">
            <v>0</v>
          </cell>
          <cell r="DN11340">
            <v>0</v>
          </cell>
        </row>
        <row r="11341">
          <cell r="E11341">
            <v>0</v>
          </cell>
          <cell r="F11341">
            <v>0</v>
          </cell>
          <cell r="DN11341">
            <v>0</v>
          </cell>
        </row>
        <row r="11342">
          <cell r="E11342">
            <v>0</v>
          </cell>
          <cell r="F11342">
            <v>0</v>
          </cell>
          <cell r="DN11342">
            <v>0</v>
          </cell>
        </row>
        <row r="11343">
          <cell r="E11343">
            <v>0</v>
          </cell>
          <cell r="F11343">
            <v>0</v>
          </cell>
          <cell r="DN11343">
            <v>0</v>
          </cell>
        </row>
        <row r="11344">
          <cell r="E11344">
            <v>0</v>
          </cell>
          <cell r="F11344">
            <v>0</v>
          </cell>
          <cell r="DN11344">
            <v>0</v>
          </cell>
        </row>
        <row r="11345">
          <cell r="E11345">
            <v>0</v>
          </cell>
          <cell r="F11345">
            <v>0</v>
          </cell>
          <cell r="DN11345">
            <v>0</v>
          </cell>
        </row>
        <row r="11346">
          <cell r="E11346">
            <v>0</v>
          </cell>
          <cell r="F11346">
            <v>0</v>
          </cell>
          <cell r="DN11346">
            <v>0</v>
          </cell>
        </row>
        <row r="11347">
          <cell r="E11347">
            <v>0</v>
          </cell>
          <cell r="F11347">
            <v>0</v>
          </cell>
          <cell r="DN11347">
            <v>0</v>
          </cell>
        </row>
        <row r="11348">
          <cell r="E11348">
            <v>0</v>
          </cell>
          <cell r="F11348">
            <v>0</v>
          </cell>
          <cell r="DN11348">
            <v>0</v>
          </cell>
        </row>
        <row r="11349">
          <cell r="E11349">
            <v>0</v>
          </cell>
          <cell r="F11349">
            <v>0</v>
          </cell>
          <cell r="DN11349">
            <v>0</v>
          </cell>
        </row>
        <row r="11350">
          <cell r="E11350">
            <v>0</v>
          </cell>
          <cell r="F11350">
            <v>0</v>
          </cell>
          <cell r="DN11350">
            <v>0</v>
          </cell>
        </row>
        <row r="11351">
          <cell r="E11351">
            <v>0</v>
          </cell>
          <cell r="F11351">
            <v>0</v>
          </cell>
          <cell r="DN11351">
            <v>0</v>
          </cell>
        </row>
        <row r="11352">
          <cell r="E11352">
            <v>0</v>
          </cell>
          <cell r="F11352">
            <v>0</v>
          </cell>
          <cell r="DN11352">
            <v>0</v>
          </cell>
        </row>
        <row r="11353">
          <cell r="E11353">
            <v>0</v>
          </cell>
          <cell r="F11353">
            <v>0</v>
          </cell>
          <cell r="DN11353">
            <v>0</v>
          </cell>
        </row>
        <row r="11354">
          <cell r="E11354">
            <v>0</v>
          </cell>
          <cell r="F11354">
            <v>0</v>
          </cell>
          <cell r="DN11354">
            <v>0</v>
          </cell>
        </row>
        <row r="11355">
          <cell r="E11355">
            <v>0</v>
          </cell>
          <cell r="F11355">
            <v>0</v>
          </cell>
          <cell r="DN11355">
            <v>0</v>
          </cell>
        </row>
        <row r="11356">
          <cell r="E11356">
            <v>0</v>
          </cell>
          <cell r="F11356">
            <v>0</v>
          </cell>
          <cell r="DN11356">
            <v>0</v>
          </cell>
        </row>
        <row r="11357">
          <cell r="E11357">
            <v>0</v>
          </cell>
          <cell r="F11357">
            <v>0</v>
          </cell>
          <cell r="DN11357">
            <v>0</v>
          </cell>
        </row>
        <row r="11358">
          <cell r="E11358">
            <v>0</v>
          </cell>
          <cell r="F11358">
            <v>0</v>
          </cell>
          <cell r="DN11358">
            <v>0</v>
          </cell>
        </row>
        <row r="11359">
          <cell r="E11359">
            <v>0</v>
          </cell>
          <cell r="F11359">
            <v>0</v>
          </cell>
          <cell r="DN11359">
            <v>0</v>
          </cell>
        </row>
        <row r="11360">
          <cell r="E11360">
            <v>0</v>
          </cell>
          <cell r="F11360">
            <v>0</v>
          </cell>
          <cell r="DN11360">
            <v>0</v>
          </cell>
        </row>
        <row r="11361">
          <cell r="E11361">
            <v>0</v>
          </cell>
          <cell r="F11361">
            <v>0</v>
          </cell>
          <cell r="DN11361">
            <v>0</v>
          </cell>
        </row>
        <row r="11362">
          <cell r="E11362">
            <v>0</v>
          </cell>
          <cell r="F11362">
            <v>0</v>
          </cell>
          <cell r="DN11362">
            <v>0</v>
          </cell>
        </row>
        <row r="11363">
          <cell r="E11363">
            <v>0</v>
          </cell>
          <cell r="F11363">
            <v>0</v>
          </cell>
          <cell r="DN11363">
            <v>0</v>
          </cell>
        </row>
        <row r="11364">
          <cell r="E11364">
            <v>0</v>
          </cell>
          <cell r="F11364">
            <v>0</v>
          </cell>
          <cell r="DN11364">
            <v>0</v>
          </cell>
        </row>
        <row r="11365">
          <cell r="E11365">
            <v>0</v>
          </cell>
          <cell r="F11365">
            <v>0</v>
          </cell>
          <cell r="DN11365">
            <v>0</v>
          </cell>
        </row>
        <row r="11366">
          <cell r="E11366">
            <v>0</v>
          </cell>
          <cell r="F11366">
            <v>0</v>
          </cell>
          <cell r="DN11366">
            <v>0</v>
          </cell>
        </row>
        <row r="11367">
          <cell r="E11367">
            <v>0</v>
          </cell>
          <cell r="F11367">
            <v>0</v>
          </cell>
          <cell r="DN11367">
            <v>0</v>
          </cell>
        </row>
        <row r="11368">
          <cell r="E11368">
            <v>0</v>
          </cell>
          <cell r="F11368">
            <v>0</v>
          </cell>
          <cell r="DN11368">
            <v>0</v>
          </cell>
        </row>
        <row r="11369">
          <cell r="E11369">
            <v>0</v>
          </cell>
          <cell r="F11369">
            <v>0</v>
          </cell>
          <cell r="DN11369">
            <v>0</v>
          </cell>
        </row>
        <row r="11370">
          <cell r="E11370">
            <v>0</v>
          </cell>
          <cell r="F11370">
            <v>0</v>
          </cell>
          <cell r="DN11370">
            <v>0</v>
          </cell>
        </row>
        <row r="11371">
          <cell r="E11371">
            <v>0</v>
          </cell>
          <cell r="F11371">
            <v>0</v>
          </cell>
          <cell r="DN11371">
            <v>0</v>
          </cell>
        </row>
        <row r="11372">
          <cell r="E11372">
            <v>0</v>
          </cell>
          <cell r="F11372">
            <v>0</v>
          </cell>
          <cell r="DN11372">
            <v>0</v>
          </cell>
        </row>
        <row r="11373">
          <cell r="E11373">
            <v>0</v>
          </cell>
          <cell r="F11373">
            <v>0</v>
          </cell>
          <cell r="DN11373">
            <v>0</v>
          </cell>
        </row>
        <row r="11374">
          <cell r="E11374">
            <v>0</v>
          </cell>
          <cell r="F11374">
            <v>0</v>
          </cell>
          <cell r="DN11374">
            <v>0</v>
          </cell>
        </row>
        <row r="11375">
          <cell r="E11375">
            <v>0</v>
          </cell>
          <cell r="F11375">
            <v>0</v>
          </cell>
          <cell r="DN11375">
            <v>0</v>
          </cell>
        </row>
        <row r="11376">
          <cell r="E11376">
            <v>0</v>
          </cell>
          <cell r="F11376">
            <v>0</v>
          </cell>
          <cell r="DN11376">
            <v>0</v>
          </cell>
        </row>
        <row r="11377">
          <cell r="E11377">
            <v>0</v>
          </cell>
          <cell r="F11377">
            <v>0</v>
          </cell>
          <cell r="DN11377">
            <v>0</v>
          </cell>
        </row>
        <row r="11378">
          <cell r="E11378">
            <v>0</v>
          </cell>
          <cell r="F11378">
            <v>0</v>
          </cell>
          <cell r="DN11378">
            <v>0</v>
          </cell>
        </row>
        <row r="11379">
          <cell r="E11379">
            <v>0</v>
          </cell>
          <cell r="F11379">
            <v>0</v>
          </cell>
          <cell r="DN11379">
            <v>0</v>
          </cell>
        </row>
        <row r="11380">
          <cell r="E11380">
            <v>0</v>
          </cell>
          <cell r="F11380">
            <v>0</v>
          </cell>
          <cell r="DN11380">
            <v>0</v>
          </cell>
        </row>
        <row r="11381">
          <cell r="E11381">
            <v>0</v>
          </cell>
          <cell r="F11381">
            <v>0</v>
          </cell>
          <cell r="DN11381">
            <v>0</v>
          </cell>
        </row>
        <row r="11382">
          <cell r="E11382">
            <v>0</v>
          </cell>
          <cell r="F11382">
            <v>0</v>
          </cell>
          <cell r="DN11382">
            <v>0</v>
          </cell>
        </row>
        <row r="11383">
          <cell r="E11383">
            <v>0</v>
          </cell>
          <cell r="F11383">
            <v>0</v>
          </cell>
          <cell r="DN11383">
            <v>0</v>
          </cell>
        </row>
        <row r="11384">
          <cell r="E11384">
            <v>0</v>
          </cell>
          <cell r="F11384">
            <v>0</v>
          </cell>
          <cell r="DN11384">
            <v>0</v>
          </cell>
        </row>
        <row r="11385">
          <cell r="E11385">
            <v>0</v>
          </cell>
          <cell r="F11385">
            <v>0</v>
          </cell>
          <cell r="DN11385">
            <v>0</v>
          </cell>
        </row>
        <row r="11386">
          <cell r="E11386">
            <v>0</v>
          </cell>
          <cell r="F11386">
            <v>0</v>
          </cell>
          <cell r="DN11386">
            <v>0</v>
          </cell>
        </row>
        <row r="11387">
          <cell r="E11387">
            <v>0</v>
          </cell>
          <cell r="F11387">
            <v>0</v>
          </cell>
          <cell r="DN11387">
            <v>0</v>
          </cell>
        </row>
        <row r="11388">
          <cell r="E11388">
            <v>0</v>
          </cell>
          <cell r="F11388">
            <v>0</v>
          </cell>
          <cell r="DN11388">
            <v>0</v>
          </cell>
        </row>
        <row r="11389">
          <cell r="E11389">
            <v>0</v>
          </cell>
          <cell r="F11389">
            <v>0</v>
          </cell>
          <cell r="DN11389">
            <v>0</v>
          </cell>
        </row>
        <row r="11390">
          <cell r="E11390">
            <v>0</v>
          </cell>
          <cell r="F11390">
            <v>0</v>
          </cell>
          <cell r="DN11390">
            <v>0</v>
          </cell>
        </row>
        <row r="11391">
          <cell r="E11391">
            <v>0</v>
          </cell>
          <cell r="F11391">
            <v>0</v>
          </cell>
          <cell r="DN11391">
            <v>0</v>
          </cell>
        </row>
        <row r="11392">
          <cell r="E11392">
            <v>0</v>
          </cell>
          <cell r="F11392">
            <v>0</v>
          </cell>
          <cell r="DN11392">
            <v>0</v>
          </cell>
        </row>
        <row r="11393">
          <cell r="E11393">
            <v>0</v>
          </cell>
          <cell r="F11393">
            <v>0</v>
          </cell>
          <cell r="DN11393">
            <v>0</v>
          </cell>
        </row>
        <row r="11394">
          <cell r="E11394">
            <v>0</v>
          </cell>
          <cell r="F11394">
            <v>0</v>
          </cell>
          <cell r="DN11394">
            <v>0</v>
          </cell>
        </row>
        <row r="11395">
          <cell r="E11395">
            <v>0</v>
          </cell>
          <cell r="F11395">
            <v>0</v>
          </cell>
          <cell r="DN11395">
            <v>0</v>
          </cell>
        </row>
        <row r="11396">
          <cell r="E11396">
            <v>0</v>
          </cell>
          <cell r="F11396">
            <v>0</v>
          </cell>
          <cell r="DN11396">
            <v>0</v>
          </cell>
        </row>
        <row r="11397">
          <cell r="E11397">
            <v>0</v>
          </cell>
          <cell r="F11397">
            <v>0</v>
          </cell>
          <cell r="DN11397">
            <v>0</v>
          </cell>
        </row>
        <row r="11398">
          <cell r="E11398">
            <v>0</v>
          </cell>
          <cell r="F11398">
            <v>0</v>
          </cell>
          <cell r="DN11398">
            <v>0</v>
          </cell>
        </row>
        <row r="11399">
          <cell r="E11399">
            <v>0</v>
          </cell>
          <cell r="F11399">
            <v>0</v>
          </cell>
          <cell r="DN11399">
            <v>0</v>
          </cell>
        </row>
        <row r="11400">
          <cell r="E11400">
            <v>0</v>
          </cell>
          <cell r="F11400">
            <v>0</v>
          </cell>
          <cell r="DN11400">
            <v>0</v>
          </cell>
        </row>
        <row r="11401">
          <cell r="E11401">
            <v>0</v>
          </cell>
          <cell r="F11401">
            <v>0</v>
          </cell>
          <cell r="DN11401">
            <v>0</v>
          </cell>
        </row>
        <row r="11402">
          <cell r="E11402">
            <v>0</v>
          </cell>
          <cell r="F11402">
            <v>0</v>
          </cell>
          <cell r="DN11402">
            <v>0</v>
          </cell>
        </row>
        <row r="11403">
          <cell r="E11403">
            <v>0</v>
          </cell>
          <cell r="F11403">
            <v>0</v>
          </cell>
          <cell r="DN11403">
            <v>0</v>
          </cell>
        </row>
        <row r="11404">
          <cell r="E11404">
            <v>0</v>
          </cell>
          <cell r="F11404">
            <v>0</v>
          </cell>
          <cell r="DN11404">
            <v>0</v>
          </cell>
        </row>
        <row r="11405">
          <cell r="E11405">
            <v>0</v>
          </cell>
          <cell r="F11405">
            <v>0</v>
          </cell>
          <cell r="DN11405">
            <v>0</v>
          </cell>
        </row>
        <row r="11406">
          <cell r="E11406">
            <v>0</v>
          </cell>
          <cell r="F11406">
            <v>0</v>
          </cell>
          <cell r="DN11406">
            <v>0</v>
          </cell>
        </row>
        <row r="11407">
          <cell r="E11407">
            <v>0</v>
          </cell>
          <cell r="F11407">
            <v>0</v>
          </cell>
          <cell r="DN11407">
            <v>0</v>
          </cell>
        </row>
        <row r="11408">
          <cell r="E11408">
            <v>0</v>
          </cell>
          <cell r="F11408">
            <v>0</v>
          </cell>
          <cell r="DN11408">
            <v>0</v>
          </cell>
        </row>
        <row r="11409">
          <cell r="E11409">
            <v>0</v>
          </cell>
          <cell r="F11409">
            <v>0</v>
          </cell>
          <cell r="DN11409">
            <v>0</v>
          </cell>
        </row>
        <row r="11410">
          <cell r="E11410">
            <v>0</v>
          </cell>
          <cell r="F11410">
            <v>0</v>
          </cell>
          <cell r="DN11410">
            <v>0</v>
          </cell>
        </row>
        <row r="11411">
          <cell r="E11411">
            <v>0</v>
          </cell>
          <cell r="F11411">
            <v>0</v>
          </cell>
          <cell r="DN11411">
            <v>0</v>
          </cell>
        </row>
        <row r="11412">
          <cell r="E11412">
            <v>0</v>
          </cell>
          <cell r="F11412">
            <v>0</v>
          </cell>
          <cell r="DN11412">
            <v>0</v>
          </cell>
        </row>
        <row r="11413">
          <cell r="E11413">
            <v>0</v>
          </cell>
          <cell r="F11413">
            <v>0</v>
          </cell>
          <cell r="DN11413">
            <v>0</v>
          </cell>
        </row>
        <row r="11414">
          <cell r="E11414">
            <v>0</v>
          </cell>
          <cell r="F11414">
            <v>0</v>
          </cell>
          <cell r="DN11414">
            <v>0</v>
          </cell>
        </row>
        <row r="11415">
          <cell r="E11415">
            <v>0</v>
          </cell>
          <cell r="F11415">
            <v>0</v>
          </cell>
          <cell r="DN11415">
            <v>0</v>
          </cell>
        </row>
        <row r="11416">
          <cell r="E11416">
            <v>0</v>
          </cell>
          <cell r="F11416">
            <v>0</v>
          </cell>
          <cell r="DN11416">
            <v>0</v>
          </cell>
        </row>
        <row r="11417">
          <cell r="E11417">
            <v>0</v>
          </cell>
          <cell r="F11417">
            <v>0</v>
          </cell>
          <cell r="DN11417">
            <v>0</v>
          </cell>
        </row>
        <row r="11418">
          <cell r="E11418">
            <v>0</v>
          </cell>
          <cell r="F11418">
            <v>0</v>
          </cell>
          <cell r="DN11418">
            <v>0</v>
          </cell>
        </row>
        <row r="11419">
          <cell r="E11419">
            <v>0</v>
          </cell>
          <cell r="F11419">
            <v>0</v>
          </cell>
          <cell r="DN11419">
            <v>0</v>
          </cell>
        </row>
        <row r="11420">
          <cell r="E11420">
            <v>0</v>
          </cell>
          <cell r="F11420">
            <v>0</v>
          </cell>
          <cell r="DN11420">
            <v>0</v>
          </cell>
        </row>
        <row r="11421">
          <cell r="E11421">
            <v>0</v>
          </cell>
          <cell r="F11421">
            <v>0</v>
          </cell>
          <cell r="DN11421">
            <v>0</v>
          </cell>
        </row>
        <row r="11422">
          <cell r="E11422">
            <v>0</v>
          </cell>
          <cell r="F11422">
            <v>0</v>
          </cell>
          <cell r="DN11422">
            <v>0</v>
          </cell>
        </row>
        <row r="11423">
          <cell r="E11423">
            <v>0</v>
          </cell>
          <cell r="F11423">
            <v>0</v>
          </cell>
          <cell r="DN11423">
            <v>0</v>
          </cell>
        </row>
        <row r="11424">
          <cell r="E11424">
            <v>0</v>
          </cell>
          <cell r="F11424">
            <v>0</v>
          </cell>
          <cell r="DN11424">
            <v>0</v>
          </cell>
        </row>
        <row r="11425">
          <cell r="E11425">
            <v>0</v>
          </cell>
          <cell r="F11425">
            <v>0</v>
          </cell>
          <cell r="DN11425">
            <v>0</v>
          </cell>
        </row>
        <row r="11426">
          <cell r="E11426">
            <v>0</v>
          </cell>
          <cell r="F11426">
            <v>0</v>
          </cell>
          <cell r="DN11426">
            <v>0</v>
          </cell>
        </row>
        <row r="11427">
          <cell r="E11427">
            <v>0</v>
          </cell>
          <cell r="F11427">
            <v>0</v>
          </cell>
          <cell r="DN11427">
            <v>0</v>
          </cell>
        </row>
        <row r="11428">
          <cell r="E11428">
            <v>0</v>
          </cell>
          <cell r="F11428">
            <v>0</v>
          </cell>
          <cell r="DN11428">
            <v>0</v>
          </cell>
        </row>
        <row r="11429">
          <cell r="E11429">
            <v>0</v>
          </cell>
          <cell r="F11429">
            <v>0</v>
          </cell>
          <cell r="DN11429">
            <v>0</v>
          </cell>
        </row>
        <row r="11430">
          <cell r="E11430">
            <v>0</v>
          </cell>
          <cell r="F11430">
            <v>0</v>
          </cell>
          <cell r="DN11430">
            <v>0</v>
          </cell>
        </row>
        <row r="11431">
          <cell r="E11431">
            <v>0</v>
          </cell>
          <cell r="F11431">
            <v>0</v>
          </cell>
          <cell r="DN11431">
            <v>0</v>
          </cell>
        </row>
        <row r="11432">
          <cell r="E11432">
            <v>0</v>
          </cell>
          <cell r="F11432">
            <v>0</v>
          </cell>
          <cell r="DN11432">
            <v>0</v>
          </cell>
        </row>
        <row r="11433">
          <cell r="E11433">
            <v>0</v>
          </cell>
          <cell r="F11433">
            <v>0</v>
          </cell>
          <cell r="DN11433">
            <v>0</v>
          </cell>
        </row>
        <row r="11434">
          <cell r="E11434">
            <v>0</v>
          </cell>
          <cell r="F11434">
            <v>0</v>
          </cell>
          <cell r="DN11434">
            <v>0</v>
          </cell>
        </row>
        <row r="11435">
          <cell r="E11435">
            <v>0</v>
          </cell>
          <cell r="F11435">
            <v>0</v>
          </cell>
          <cell r="DN11435">
            <v>0</v>
          </cell>
        </row>
        <row r="11436">
          <cell r="E11436">
            <v>0</v>
          </cell>
          <cell r="F11436">
            <v>0</v>
          </cell>
          <cell r="DN11436">
            <v>0</v>
          </cell>
        </row>
        <row r="11437">
          <cell r="E11437">
            <v>0</v>
          </cell>
          <cell r="F11437">
            <v>0</v>
          </cell>
          <cell r="DN11437">
            <v>0</v>
          </cell>
        </row>
        <row r="11438">
          <cell r="E11438">
            <v>0</v>
          </cell>
          <cell r="F11438">
            <v>0</v>
          </cell>
          <cell r="DN11438">
            <v>0</v>
          </cell>
        </row>
        <row r="11439">
          <cell r="E11439">
            <v>0</v>
          </cell>
          <cell r="F11439">
            <v>0</v>
          </cell>
          <cell r="DN11439">
            <v>0</v>
          </cell>
        </row>
        <row r="11440">
          <cell r="E11440">
            <v>0</v>
          </cell>
          <cell r="F11440">
            <v>0</v>
          </cell>
          <cell r="DN11440">
            <v>0</v>
          </cell>
        </row>
        <row r="11441">
          <cell r="E11441">
            <v>0</v>
          </cell>
          <cell r="F11441">
            <v>0</v>
          </cell>
          <cell r="DN11441">
            <v>0</v>
          </cell>
        </row>
        <row r="11442">
          <cell r="E11442">
            <v>0</v>
          </cell>
          <cell r="F11442">
            <v>0</v>
          </cell>
          <cell r="DN11442">
            <v>0</v>
          </cell>
        </row>
        <row r="11443">
          <cell r="E11443">
            <v>0</v>
          </cell>
          <cell r="F11443">
            <v>0</v>
          </cell>
          <cell r="DN11443">
            <v>0</v>
          </cell>
        </row>
        <row r="11444">
          <cell r="E11444">
            <v>0</v>
          </cell>
          <cell r="F11444">
            <v>0</v>
          </cell>
          <cell r="DN11444">
            <v>0</v>
          </cell>
        </row>
        <row r="11445">
          <cell r="E11445">
            <v>0</v>
          </cell>
          <cell r="F11445">
            <v>0</v>
          </cell>
          <cell r="DN11445">
            <v>0</v>
          </cell>
        </row>
        <row r="11446">
          <cell r="E11446">
            <v>0</v>
          </cell>
          <cell r="F11446">
            <v>0</v>
          </cell>
          <cell r="DN11446">
            <v>0</v>
          </cell>
        </row>
        <row r="11447">
          <cell r="E11447">
            <v>0</v>
          </cell>
          <cell r="F11447">
            <v>0</v>
          </cell>
          <cell r="DN11447">
            <v>0</v>
          </cell>
        </row>
        <row r="11448">
          <cell r="E11448">
            <v>0</v>
          </cell>
          <cell r="F11448">
            <v>0</v>
          </cell>
          <cell r="DN11448">
            <v>0</v>
          </cell>
        </row>
        <row r="11449">
          <cell r="E11449">
            <v>0</v>
          </cell>
          <cell r="F11449">
            <v>0</v>
          </cell>
          <cell r="DN11449">
            <v>0</v>
          </cell>
        </row>
        <row r="11450">
          <cell r="E11450">
            <v>0</v>
          </cell>
          <cell r="F11450">
            <v>0</v>
          </cell>
          <cell r="DN11450">
            <v>0</v>
          </cell>
        </row>
        <row r="11451">
          <cell r="E11451">
            <v>0</v>
          </cell>
          <cell r="F11451">
            <v>0</v>
          </cell>
          <cell r="DN11451">
            <v>0</v>
          </cell>
        </row>
        <row r="11452">
          <cell r="E11452">
            <v>0</v>
          </cell>
          <cell r="F11452">
            <v>0</v>
          </cell>
          <cell r="DN11452">
            <v>0</v>
          </cell>
        </row>
        <row r="11453">
          <cell r="E11453">
            <v>0</v>
          </cell>
          <cell r="F11453">
            <v>0</v>
          </cell>
          <cell r="DN11453">
            <v>0</v>
          </cell>
        </row>
        <row r="11454">
          <cell r="E11454">
            <v>0</v>
          </cell>
          <cell r="F11454">
            <v>0</v>
          </cell>
          <cell r="DN11454">
            <v>0</v>
          </cell>
        </row>
        <row r="11455">
          <cell r="E11455">
            <v>0</v>
          </cell>
          <cell r="F11455">
            <v>0</v>
          </cell>
          <cell r="DN11455">
            <v>0</v>
          </cell>
        </row>
        <row r="11456">
          <cell r="E11456">
            <v>0</v>
          </cell>
          <cell r="F11456">
            <v>0</v>
          </cell>
          <cell r="DN11456">
            <v>0</v>
          </cell>
        </row>
        <row r="11457">
          <cell r="E11457">
            <v>0</v>
          </cell>
          <cell r="F11457">
            <v>0</v>
          </cell>
          <cell r="DN11457">
            <v>0</v>
          </cell>
        </row>
        <row r="11458">
          <cell r="E11458">
            <v>0</v>
          </cell>
          <cell r="F11458">
            <v>0</v>
          </cell>
          <cell r="DN11458">
            <v>0</v>
          </cell>
        </row>
        <row r="11459">
          <cell r="E11459">
            <v>0</v>
          </cell>
          <cell r="F11459">
            <v>0</v>
          </cell>
          <cell r="DN11459">
            <v>0</v>
          </cell>
        </row>
        <row r="11460">
          <cell r="E11460">
            <v>0</v>
          </cell>
          <cell r="F11460">
            <v>0</v>
          </cell>
          <cell r="DN11460">
            <v>0</v>
          </cell>
        </row>
        <row r="11461">
          <cell r="E11461">
            <v>0</v>
          </cell>
          <cell r="F11461">
            <v>0</v>
          </cell>
          <cell r="DN11461">
            <v>0</v>
          </cell>
        </row>
        <row r="11462">
          <cell r="E11462">
            <v>0</v>
          </cell>
          <cell r="F11462">
            <v>0</v>
          </cell>
          <cell r="DN11462">
            <v>0</v>
          </cell>
        </row>
        <row r="11463">
          <cell r="E11463">
            <v>0</v>
          </cell>
          <cell r="F11463">
            <v>0</v>
          </cell>
          <cell r="DN11463">
            <v>0</v>
          </cell>
        </row>
        <row r="11464">
          <cell r="E11464">
            <v>0</v>
          </cell>
          <cell r="F11464">
            <v>0</v>
          </cell>
          <cell r="DN11464">
            <v>0</v>
          </cell>
        </row>
        <row r="11465">
          <cell r="E11465">
            <v>0</v>
          </cell>
          <cell r="F11465">
            <v>0</v>
          </cell>
          <cell r="DN11465">
            <v>0</v>
          </cell>
        </row>
        <row r="11466">
          <cell r="E11466">
            <v>0</v>
          </cell>
          <cell r="F11466">
            <v>0</v>
          </cell>
          <cell r="DN11466">
            <v>0</v>
          </cell>
        </row>
        <row r="11467">
          <cell r="E11467">
            <v>0</v>
          </cell>
          <cell r="F11467">
            <v>0</v>
          </cell>
          <cell r="DN11467">
            <v>0</v>
          </cell>
        </row>
        <row r="11468">
          <cell r="E11468">
            <v>0</v>
          </cell>
          <cell r="F11468">
            <v>0</v>
          </cell>
          <cell r="DN11468">
            <v>0</v>
          </cell>
        </row>
        <row r="11469">
          <cell r="E11469">
            <v>0</v>
          </cell>
          <cell r="F11469">
            <v>0</v>
          </cell>
          <cell r="DN11469">
            <v>0</v>
          </cell>
        </row>
        <row r="11470">
          <cell r="E11470">
            <v>0</v>
          </cell>
          <cell r="F11470">
            <v>0</v>
          </cell>
          <cell r="DN11470">
            <v>0</v>
          </cell>
        </row>
        <row r="11471">
          <cell r="E11471">
            <v>0</v>
          </cell>
          <cell r="F11471">
            <v>0</v>
          </cell>
          <cell r="DN11471">
            <v>0</v>
          </cell>
        </row>
        <row r="11472">
          <cell r="E11472">
            <v>0</v>
          </cell>
          <cell r="F11472">
            <v>0</v>
          </cell>
          <cell r="DN11472">
            <v>0</v>
          </cell>
        </row>
        <row r="11473">
          <cell r="E11473">
            <v>0</v>
          </cell>
          <cell r="F11473">
            <v>0</v>
          </cell>
          <cell r="DN11473">
            <v>0</v>
          </cell>
        </row>
        <row r="11474">
          <cell r="E11474">
            <v>0</v>
          </cell>
          <cell r="F11474">
            <v>0</v>
          </cell>
          <cell r="DN11474">
            <v>0</v>
          </cell>
        </row>
        <row r="11475">
          <cell r="E11475">
            <v>0</v>
          </cell>
          <cell r="F11475">
            <v>0</v>
          </cell>
          <cell r="DN11475">
            <v>0</v>
          </cell>
        </row>
        <row r="11476">
          <cell r="E11476">
            <v>0</v>
          </cell>
          <cell r="F11476">
            <v>0</v>
          </cell>
          <cell r="DN11476">
            <v>0</v>
          </cell>
        </row>
        <row r="11477">
          <cell r="E11477">
            <v>0</v>
          </cell>
          <cell r="F11477">
            <v>0</v>
          </cell>
          <cell r="DN11477">
            <v>0</v>
          </cell>
        </row>
        <row r="11478">
          <cell r="E11478">
            <v>0</v>
          </cell>
          <cell r="F11478">
            <v>0</v>
          </cell>
          <cell r="DN11478">
            <v>0</v>
          </cell>
        </row>
        <row r="11479">
          <cell r="E11479">
            <v>0</v>
          </cell>
          <cell r="F11479">
            <v>0</v>
          </cell>
          <cell r="DN11479">
            <v>0</v>
          </cell>
        </row>
        <row r="11480">
          <cell r="E11480">
            <v>0</v>
          </cell>
          <cell r="F11480">
            <v>0</v>
          </cell>
          <cell r="DN11480">
            <v>0</v>
          </cell>
        </row>
        <row r="11481">
          <cell r="E11481">
            <v>0</v>
          </cell>
          <cell r="F11481">
            <v>0</v>
          </cell>
          <cell r="DN11481">
            <v>0</v>
          </cell>
        </row>
        <row r="11482">
          <cell r="E11482">
            <v>0</v>
          </cell>
          <cell r="F11482">
            <v>0</v>
          </cell>
          <cell r="DN11482">
            <v>0</v>
          </cell>
        </row>
        <row r="11483">
          <cell r="E11483">
            <v>0</v>
          </cell>
          <cell r="F11483">
            <v>0</v>
          </cell>
          <cell r="DN11483">
            <v>0</v>
          </cell>
        </row>
        <row r="11484">
          <cell r="E11484">
            <v>0</v>
          </cell>
          <cell r="F11484">
            <v>0</v>
          </cell>
          <cell r="DN11484">
            <v>0</v>
          </cell>
        </row>
        <row r="11485">
          <cell r="E11485">
            <v>0</v>
          </cell>
          <cell r="F11485">
            <v>0</v>
          </cell>
          <cell r="DN11485">
            <v>0</v>
          </cell>
        </row>
        <row r="11486">
          <cell r="E11486">
            <v>0</v>
          </cell>
          <cell r="F11486">
            <v>0</v>
          </cell>
          <cell r="DN11486">
            <v>0</v>
          </cell>
        </row>
        <row r="11487">
          <cell r="E11487">
            <v>0</v>
          </cell>
          <cell r="F11487">
            <v>0</v>
          </cell>
          <cell r="DN11487">
            <v>0</v>
          </cell>
        </row>
        <row r="11488">
          <cell r="E11488">
            <v>0</v>
          </cell>
          <cell r="F11488">
            <v>0</v>
          </cell>
          <cell r="DN11488">
            <v>0</v>
          </cell>
        </row>
        <row r="11489">
          <cell r="E11489">
            <v>0</v>
          </cell>
          <cell r="F11489">
            <v>0</v>
          </cell>
          <cell r="DN11489">
            <v>0</v>
          </cell>
        </row>
        <row r="11490">
          <cell r="E11490">
            <v>0</v>
          </cell>
          <cell r="F11490">
            <v>0</v>
          </cell>
          <cell r="DN11490">
            <v>0</v>
          </cell>
        </row>
        <row r="11491">
          <cell r="E11491">
            <v>0</v>
          </cell>
          <cell r="F11491">
            <v>0</v>
          </cell>
          <cell r="DN11491">
            <v>0</v>
          </cell>
        </row>
        <row r="11492">
          <cell r="E11492">
            <v>0</v>
          </cell>
          <cell r="F11492">
            <v>0</v>
          </cell>
          <cell r="DN11492">
            <v>0</v>
          </cell>
        </row>
        <row r="11493">
          <cell r="E11493">
            <v>0</v>
          </cell>
          <cell r="F11493">
            <v>0</v>
          </cell>
          <cell r="DN11493">
            <v>0</v>
          </cell>
        </row>
        <row r="11494">
          <cell r="E11494">
            <v>0</v>
          </cell>
          <cell r="F11494">
            <v>0</v>
          </cell>
          <cell r="DN11494">
            <v>0</v>
          </cell>
        </row>
        <row r="11495">
          <cell r="E11495">
            <v>0</v>
          </cell>
          <cell r="F11495">
            <v>0</v>
          </cell>
          <cell r="DN11495">
            <v>0</v>
          </cell>
        </row>
        <row r="11496">
          <cell r="E11496">
            <v>0</v>
          </cell>
          <cell r="F11496">
            <v>0</v>
          </cell>
          <cell r="DN11496">
            <v>0</v>
          </cell>
        </row>
        <row r="11497">
          <cell r="E11497">
            <v>0</v>
          </cell>
          <cell r="F11497">
            <v>0</v>
          </cell>
          <cell r="DN11497">
            <v>0</v>
          </cell>
        </row>
        <row r="11498">
          <cell r="E11498">
            <v>0</v>
          </cell>
          <cell r="F11498">
            <v>0</v>
          </cell>
          <cell r="DN11498">
            <v>0</v>
          </cell>
        </row>
        <row r="11499">
          <cell r="E11499">
            <v>0</v>
          </cell>
          <cell r="F11499">
            <v>0</v>
          </cell>
          <cell r="DN11499">
            <v>0</v>
          </cell>
        </row>
        <row r="11500">
          <cell r="E11500">
            <v>0</v>
          </cell>
          <cell r="F11500">
            <v>0</v>
          </cell>
          <cell r="DN11500">
            <v>0</v>
          </cell>
        </row>
        <row r="11501">
          <cell r="E11501">
            <v>0</v>
          </cell>
          <cell r="F11501">
            <v>0</v>
          </cell>
          <cell r="DN11501">
            <v>0</v>
          </cell>
        </row>
        <row r="11502">
          <cell r="E11502">
            <v>0</v>
          </cell>
          <cell r="F11502">
            <v>0</v>
          </cell>
          <cell r="DN11502">
            <v>0</v>
          </cell>
        </row>
        <row r="11503">
          <cell r="E11503">
            <v>0</v>
          </cell>
          <cell r="F11503">
            <v>0</v>
          </cell>
          <cell r="DN11503">
            <v>0</v>
          </cell>
        </row>
        <row r="11504">
          <cell r="E11504">
            <v>0</v>
          </cell>
          <cell r="F11504">
            <v>0</v>
          </cell>
          <cell r="DN11504">
            <v>0</v>
          </cell>
        </row>
        <row r="11505">
          <cell r="E11505">
            <v>0</v>
          </cell>
          <cell r="F11505">
            <v>0</v>
          </cell>
          <cell r="DN11505">
            <v>0</v>
          </cell>
        </row>
        <row r="11506">
          <cell r="E11506">
            <v>0</v>
          </cell>
          <cell r="F11506">
            <v>0</v>
          </cell>
          <cell r="DN11506">
            <v>0</v>
          </cell>
        </row>
        <row r="11507">
          <cell r="E11507">
            <v>0</v>
          </cell>
          <cell r="F11507">
            <v>0</v>
          </cell>
          <cell r="DN11507">
            <v>0</v>
          </cell>
        </row>
        <row r="11508">
          <cell r="E11508">
            <v>0</v>
          </cell>
          <cell r="F11508">
            <v>0</v>
          </cell>
          <cell r="DN11508">
            <v>0</v>
          </cell>
        </row>
        <row r="11509">
          <cell r="E11509">
            <v>0</v>
          </cell>
          <cell r="F11509">
            <v>0</v>
          </cell>
          <cell r="DN11509">
            <v>0</v>
          </cell>
        </row>
        <row r="11510">
          <cell r="E11510">
            <v>0</v>
          </cell>
          <cell r="F11510">
            <v>0</v>
          </cell>
          <cell r="DN11510">
            <v>0</v>
          </cell>
        </row>
        <row r="11511">
          <cell r="E11511">
            <v>0</v>
          </cell>
          <cell r="F11511">
            <v>0</v>
          </cell>
          <cell r="DN11511">
            <v>0</v>
          </cell>
        </row>
        <row r="11512">
          <cell r="E11512">
            <v>0</v>
          </cell>
          <cell r="F11512">
            <v>0</v>
          </cell>
          <cell r="DN11512">
            <v>0</v>
          </cell>
        </row>
        <row r="11513">
          <cell r="E11513">
            <v>0</v>
          </cell>
          <cell r="F11513">
            <v>0</v>
          </cell>
          <cell r="DN11513">
            <v>0</v>
          </cell>
        </row>
        <row r="11514">
          <cell r="E11514">
            <v>0</v>
          </cell>
          <cell r="F11514">
            <v>0</v>
          </cell>
          <cell r="DN11514">
            <v>0</v>
          </cell>
        </row>
        <row r="11515">
          <cell r="E11515">
            <v>0</v>
          </cell>
          <cell r="F11515">
            <v>0</v>
          </cell>
          <cell r="DN11515">
            <v>0</v>
          </cell>
        </row>
        <row r="11516">
          <cell r="E11516">
            <v>0</v>
          </cell>
          <cell r="F11516">
            <v>0</v>
          </cell>
          <cell r="DN11516">
            <v>0</v>
          </cell>
        </row>
        <row r="11517">
          <cell r="E11517">
            <v>0</v>
          </cell>
          <cell r="F11517">
            <v>0</v>
          </cell>
          <cell r="DN11517">
            <v>0</v>
          </cell>
        </row>
        <row r="11518">
          <cell r="E11518">
            <v>0</v>
          </cell>
          <cell r="F11518">
            <v>0</v>
          </cell>
          <cell r="DN11518">
            <v>0</v>
          </cell>
        </row>
        <row r="11519">
          <cell r="E11519">
            <v>0</v>
          </cell>
          <cell r="F11519">
            <v>0</v>
          </cell>
          <cell r="DN11519">
            <v>0</v>
          </cell>
        </row>
        <row r="11520">
          <cell r="E11520">
            <v>0</v>
          </cell>
          <cell r="F11520">
            <v>0</v>
          </cell>
          <cell r="DN11520">
            <v>0</v>
          </cell>
        </row>
        <row r="11521">
          <cell r="E11521">
            <v>0</v>
          </cell>
          <cell r="F11521">
            <v>0</v>
          </cell>
          <cell r="DN11521">
            <v>0</v>
          </cell>
        </row>
        <row r="11522">
          <cell r="E11522">
            <v>0</v>
          </cell>
          <cell r="F11522">
            <v>0</v>
          </cell>
          <cell r="DN11522">
            <v>0</v>
          </cell>
        </row>
        <row r="11523">
          <cell r="E11523">
            <v>0</v>
          </cell>
          <cell r="F11523">
            <v>0</v>
          </cell>
          <cell r="DN11523">
            <v>0</v>
          </cell>
        </row>
        <row r="11524">
          <cell r="E11524">
            <v>0</v>
          </cell>
          <cell r="F11524">
            <v>0</v>
          </cell>
          <cell r="DN11524">
            <v>0</v>
          </cell>
        </row>
        <row r="11525">
          <cell r="E11525">
            <v>0</v>
          </cell>
          <cell r="F11525">
            <v>0</v>
          </cell>
          <cell r="DN11525">
            <v>0</v>
          </cell>
        </row>
        <row r="11526">
          <cell r="E11526">
            <v>0</v>
          </cell>
          <cell r="F11526">
            <v>0</v>
          </cell>
          <cell r="DN11526">
            <v>0</v>
          </cell>
        </row>
        <row r="11527">
          <cell r="E11527">
            <v>0</v>
          </cell>
          <cell r="F11527">
            <v>0</v>
          </cell>
          <cell r="DN11527">
            <v>0</v>
          </cell>
        </row>
        <row r="11528">
          <cell r="E11528">
            <v>0</v>
          </cell>
          <cell r="F11528">
            <v>0</v>
          </cell>
          <cell r="DN11528">
            <v>0</v>
          </cell>
        </row>
        <row r="11529">
          <cell r="E11529">
            <v>0</v>
          </cell>
          <cell r="F11529">
            <v>0</v>
          </cell>
          <cell r="DN11529">
            <v>0</v>
          </cell>
        </row>
        <row r="11530">
          <cell r="E11530">
            <v>0</v>
          </cell>
          <cell r="F11530">
            <v>0</v>
          </cell>
          <cell r="DN11530">
            <v>0</v>
          </cell>
        </row>
        <row r="11531">
          <cell r="E11531">
            <v>0</v>
          </cell>
          <cell r="F11531">
            <v>0</v>
          </cell>
          <cell r="DN11531">
            <v>0</v>
          </cell>
        </row>
        <row r="11532">
          <cell r="E11532">
            <v>0</v>
          </cell>
          <cell r="F11532">
            <v>0</v>
          </cell>
          <cell r="DN11532">
            <v>0</v>
          </cell>
        </row>
        <row r="11533">
          <cell r="E11533">
            <v>0</v>
          </cell>
          <cell r="F11533">
            <v>0</v>
          </cell>
          <cell r="DN11533">
            <v>0</v>
          </cell>
        </row>
        <row r="11534">
          <cell r="E11534">
            <v>0</v>
          </cell>
          <cell r="F11534">
            <v>0</v>
          </cell>
          <cell r="DN11534">
            <v>0</v>
          </cell>
        </row>
        <row r="11535">
          <cell r="E11535">
            <v>0</v>
          </cell>
          <cell r="F11535">
            <v>0</v>
          </cell>
          <cell r="DN11535">
            <v>0</v>
          </cell>
        </row>
        <row r="11536">
          <cell r="E11536">
            <v>0</v>
          </cell>
          <cell r="F11536">
            <v>0</v>
          </cell>
          <cell r="DN11536">
            <v>0</v>
          </cell>
        </row>
        <row r="11537">
          <cell r="E11537">
            <v>0</v>
          </cell>
          <cell r="F11537">
            <v>0</v>
          </cell>
          <cell r="DN11537">
            <v>0</v>
          </cell>
        </row>
        <row r="11538">
          <cell r="E11538">
            <v>0</v>
          </cell>
          <cell r="F11538">
            <v>0</v>
          </cell>
          <cell r="DN11538">
            <v>0</v>
          </cell>
        </row>
        <row r="11539">
          <cell r="E11539">
            <v>0</v>
          </cell>
          <cell r="F11539">
            <v>0</v>
          </cell>
          <cell r="DN11539">
            <v>0</v>
          </cell>
        </row>
        <row r="11540">
          <cell r="E11540">
            <v>0</v>
          </cell>
          <cell r="F11540">
            <v>0</v>
          </cell>
          <cell r="DN11540">
            <v>0</v>
          </cell>
        </row>
        <row r="11541">
          <cell r="E11541">
            <v>0</v>
          </cell>
          <cell r="F11541">
            <v>0</v>
          </cell>
          <cell r="DN11541">
            <v>0</v>
          </cell>
        </row>
        <row r="11542">
          <cell r="E11542">
            <v>0</v>
          </cell>
          <cell r="F11542">
            <v>0</v>
          </cell>
          <cell r="DN11542">
            <v>0</v>
          </cell>
        </row>
        <row r="11543">
          <cell r="E11543">
            <v>0</v>
          </cell>
          <cell r="F11543">
            <v>0</v>
          </cell>
          <cell r="DN11543">
            <v>0</v>
          </cell>
        </row>
        <row r="11544">
          <cell r="E11544">
            <v>0</v>
          </cell>
          <cell r="F11544">
            <v>0</v>
          </cell>
          <cell r="DN11544">
            <v>0</v>
          </cell>
        </row>
        <row r="11545">
          <cell r="E11545">
            <v>0</v>
          </cell>
          <cell r="F11545">
            <v>0</v>
          </cell>
          <cell r="DN11545">
            <v>0</v>
          </cell>
        </row>
        <row r="11546">
          <cell r="E11546">
            <v>0</v>
          </cell>
          <cell r="F11546">
            <v>0</v>
          </cell>
          <cell r="DN11546">
            <v>0</v>
          </cell>
        </row>
        <row r="11547">
          <cell r="E11547">
            <v>0</v>
          </cell>
          <cell r="F11547">
            <v>0</v>
          </cell>
          <cell r="DN11547">
            <v>0</v>
          </cell>
        </row>
        <row r="11548">
          <cell r="E11548">
            <v>0</v>
          </cell>
          <cell r="F11548">
            <v>0</v>
          </cell>
          <cell r="DN11548">
            <v>0</v>
          </cell>
        </row>
        <row r="11549">
          <cell r="E11549">
            <v>0</v>
          </cell>
          <cell r="F11549">
            <v>0</v>
          </cell>
          <cell r="DN11549">
            <v>0</v>
          </cell>
        </row>
        <row r="11550">
          <cell r="E11550">
            <v>0</v>
          </cell>
          <cell r="F11550">
            <v>0</v>
          </cell>
          <cell r="DN11550">
            <v>0</v>
          </cell>
        </row>
        <row r="11551">
          <cell r="E11551">
            <v>0</v>
          </cell>
          <cell r="F11551">
            <v>0</v>
          </cell>
          <cell r="DN11551">
            <v>0</v>
          </cell>
        </row>
        <row r="11552">
          <cell r="E11552">
            <v>0</v>
          </cell>
          <cell r="F11552">
            <v>0</v>
          </cell>
          <cell r="DN11552">
            <v>0</v>
          </cell>
        </row>
        <row r="11553">
          <cell r="E11553">
            <v>0</v>
          </cell>
          <cell r="F11553">
            <v>0</v>
          </cell>
          <cell r="DN11553">
            <v>0</v>
          </cell>
        </row>
        <row r="11554">
          <cell r="E11554">
            <v>0</v>
          </cell>
          <cell r="F11554">
            <v>0</v>
          </cell>
          <cell r="DN11554">
            <v>0</v>
          </cell>
        </row>
        <row r="11555">
          <cell r="E11555">
            <v>0</v>
          </cell>
          <cell r="F11555">
            <v>0</v>
          </cell>
          <cell r="DN11555">
            <v>0</v>
          </cell>
        </row>
        <row r="11556">
          <cell r="E11556">
            <v>0</v>
          </cell>
          <cell r="F11556">
            <v>0</v>
          </cell>
          <cell r="DN11556">
            <v>0</v>
          </cell>
        </row>
        <row r="11557">
          <cell r="E11557">
            <v>0</v>
          </cell>
          <cell r="F11557">
            <v>0</v>
          </cell>
          <cell r="DN11557">
            <v>0</v>
          </cell>
        </row>
        <row r="11558">
          <cell r="E11558">
            <v>0</v>
          </cell>
          <cell r="F11558">
            <v>0</v>
          </cell>
          <cell r="DN11558">
            <v>0</v>
          </cell>
        </row>
        <row r="11559">
          <cell r="E11559">
            <v>0</v>
          </cell>
          <cell r="F11559">
            <v>0</v>
          </cell>
          <cell r="DN11559">
            <v>0</v>
          </cell>
        </row>
        <row r="11560">
          <cell r="E11560">
            <v>0</v>
          </cell>
          <cell r="F11560">
            <v>0</v>
          </cell>
          <cell r="DN11560">
            <v>0</v>
          </cell>
        </row>
        <row r="11561">
          <cell r="E11561">
            <v>0</v>
          </cell>
          <cell r="F11561">
            <v>0</v>
          </cell>
          <cell r="DN11561">
            <v>0</v>
          </cell>
        </row>
        <row r="11562">
          <cell r="E11562">
            <v>0</v>
          </cell>
          <cell r="F11562">
            <v>0</v>
          </cell>
          <cell r="DN11562">
            <v>0</v>
          </cell>
        </row>
        <row r="11563">
          <cell r="E11563">
            <v>0</v>
          </cell>
          <cell r="F11563">
            <v>0</v>
          </cell>
          <cell r="DN11563">
            <v>0</v>
          </cell>
        </row>
        <row r="11564">
          <cell r="E11564">
            <v>0</v>
          </cell>
          <cell r="F11564">
            <v>0</v>
          </cell>
          <cell r="DN11564">
            <v>0</v>
          </cell>
        </row>
        <row r="11565">
          <cell r="E11565">
            <v>0</v>
          </cell>
          <cell r="F11565">
            <v>0</v>
          </cell>
          <cell r="DN11565">
            <v>0</v>
          </cell>
        </row>
        <row r="11566">
          <cell r="E11566">
            <v>0</v>
          </cell>
          <cell r="F11566">
            <v>0</v>
          </cell>
          <cell r="DN11566">
            <v>0</v>
          </cell>
        </row>
        <row r="11567">
          <cell r="E11567">
            <v>0</v>
          </cell>
          <cell r="F11567">
            <v>0</v>
          </cell>
          <cell r="DN11567">
            <v>0</v>
          </cell>
        </row>
        <row r="11568">
          <cell r="E11568">
            <v>0</v>
          </cell>
          <cell r="F11568">
            <v>0</v>
          </cell>
          <cell r="DN11568">
            <v>0</v>
          </cell>
        </row>
        <row r="11569">
          <cell r="E11569">
            <v>0</v>
          </cell>
          <cell r="F11569">
            <v>0</v>
          </cell>
          <cell r="DN11569">
            <v>0</v>
          </cell>
        </row>
        <row r="11570">
          <cell r="E11570">
            <v>0</v>
          </cell>
          <cell r="F11570">
            <v>0</v>
          </cell>
          <cell r="DN11570">
            <v>0</v>
          </cell>
        </row>
        <row r="11571">
          <cell r="E11571">
            <v>0</v>
          </cell>
          <cell r="F11571">
            <v>0</v>
          </cell>
          <cell r="DN11571">
            <v>0</v>
          </cell>
        </row>
        <row r="11572">
          <cell r="E11572">
            <v>0</v>
          </cell>
          <cell r="F11572">
            <v>0</v>
          </cell>
          <cell r="DN11572">
            <v>0</v>
          </cell>
        </row>
        <row r="11573">
          <cell r="E11573">
            <v>0</v>
          </cell>
          <cell r="F11573">
            <v>0</v>
          </cell>
          <cell r="DN11573">
            <v>0</v>
          </cell>
        </row>
        <row r="11574">
          <cell r="E11574">
            <v>0</v>
          </cell>
          <cell r="F11574">
            <v>0</v>
          </cell>
          <cell r="DN11574">
            <v>0</v>
          </cell>
        </row>
        <row r="11575">
          <cell r="E11575">
            <v>0</v>
          </cell>
          <cell r="F11575">
            <v>0</v>
          </cell>
          <cell r="DN11575">
            <v>0</v>
          </cell>
        </row>
        <row r="11576">
          <cell r="E11576">
            <v>0</v>
          </cell>
          <cell r="F11576">
            <v>0</v>
          </cell>
          <cell r="DN11576">
            <v>0</v>
          </cell>
        </row>
        <row r="11577">
          <cell r="E11577">
            <v>0</v>
          </cell>
          <cell r="F11577">
            <v>0</v>
          </cell>
          <cell r="DN11577">
            <v>0</v>
          </cell>
        </row>
        <row r="11578">
          <cell r="E11578">
            <v>0</v>
          </cell>
          <cell r="F11578">
            <v>0</v>
          </cell>
          <cell r="DN11578">
            <v>0</v>
          </cell>
        </row>
        <row r="11579">
          <cell r="E11579">
            <v>0</v>
          </cell>
          <cell r="F11579">
            <v>0</v>
          </cell>
          <cell r="DN11579">
            <v>0</v>
          </cell>
        </row>
        <row r="11580">
          <cell r="E11580">
            <v>0</v>
          </cell>
          <cell r="F11580">
            <v>0</v>
          </cell>
          <cell r="DN11580">
            <v>0</v>
          </cell>
        </row>
        <row r="11581">
          <cell r="E11581">
            <v>0</v>
          </cell>
          <cell r="F11581">
            <v>0</v>
          </cell>
          <cell r="DN11581">
            <v>0</v>
          </cell>
        </row>
        <row r="11582">
          <cell r="E11582">
            <v>0</v>
          </cell>
          <cell r="F11582">
            <v>0</v>
          </cell>
          <cell r="DN11582">
            <v>0</v>
          </cell>
        </row>
        <row r="11583">
          <cell r="E11583">
            <v>0</v>
          </cell>
          <cell r="F11583">
            <v>0</v>
          </cell>
          <cell r="DN11583">
            <v>0</v>
          </cell>
        </row>
        <row r="11584">
          <cell r="E11584">
            <v>0</v>
          </cell>
          <cell r="F11584">
            <v>0</v>
          </cell>
          <cell r="DN11584">
            <v>0</v>
          </cell>
        </row>
        <row r="11585">
          <cell r="E11585">
            <v>0</v>
          </cell>
          <cell r="F11585">
            <v>0</v>
          </cell>
          <cell r="DN11585">
            <v>0</v>
          </cell>
        </row>
        <row r="11586">
          <cell r="E11586">
            <v>0</v>
          </cell>
          <cell r="F11586">
            <v>0</v>
          </cell>
          <cell r="DN11586">
            <v>0</v>
          </cell>
        </row>
        <row r="11587">
          <cell r="E11587">
            <v>0</v>
          </cell>
          <cell r="F11587">
            <v>0</v>
          </cell>
          <cell r="DN11587">
            <v>0</v>
          </cell>
        </row>
        <row r="11588">
          <cell r="E11588">
            <v>0</v>
          </cell>
          <cell r="F11588">
            <v>0</v>
          </cell>
          <cell r="DN11588">
            <v>0</v>
          </cell>
        </row>
        <row r="11589">
          <cell r="E11589">
            <v>0</v>
          </cell>
          <cell r="F11589">
            <v>0</v>
          </cell>
          <cell r="DN11589">
            <v>0</v>
          </cell>
        </row>
        <row r="11590">
          <cell r="E11590">
            <v>0</v>
          </cell>
          <cell r="F11590">
            <v>0</v>
          </cell>
          <cell r="DN11590">
            <v>0</v>
          </cell>
        </row>
        <row r="11591">
          <cell r="E11591">
            <v>0</v>
          </cell>
          <cell r="F11591">
            <v>0</v>
          </cell>
          <cell r="DN11591">
            <v>0</v>
          </cell>
        </row>
        <row r="11592">
          <cell r="E11592">
            <v>0</v>
          </cell>
          <cell r="F11592">
            <v>0</v>
          </cell>
          <cell r="DN11592">
            <v>0</v>
          </cell>
        </row>
        <row r="11593">
          <cell r="E11593">
            <v>0</v>
          </cell>
          <cell r="F11593">
            <v>0</v>
          </cell>
          <cell r="DN11593">
            <v>0</v>
          </cell>
        </row>
        <row r="11594">
          <cell r="E11594">
            <v>0</v>
          </cell>
          <cell r="F11594">
            <v>0</v>
          </cell>
          <cell r="DN11594">
            <v>0</v>
          </cell>
        </row>
        <row r="11595">
          <cell r="E11595">
            <v>0</v>
          </cell>
          <cell r="F11595">
            <v>0</v>
          </cell>
          <cell r="DN11595">
            <v>0</v>
          </cell>
        </row>
        <row r="11596">
          <cell r="E11596">
            <v>0</v>
          </cell>
          <cell r="F11596">
            <v>0</v>
          </cell>
          <cell r="DN11596">
            <v>0</v>
          </cell>
        </row>
        <row r="11597">
          <cell r="E11597">
            <v>0</v>
          </cell>
          <cell r="F11597">
            <v>0</v>
          </cell>
          <cell r="DN11597">
            <v>0</v>
          </cell>
        </row>
        <row r="11598">
          <cell r="E11598">
            <v>0</v>
          </cell>
          <cell r="F11598">
            <v>0</v>
          </cell>
          <cell r="DN11598">
            <v>0</v>
          </cell>
        </row>
        <row r="11599">
          <cell r="E11599">
            <v>0</v>
          </cell>
          <cell r="F11599">
            <v>0</v>
          </cell>
          <cell r="DN11599">
            <v>0</v>
          </cell>
        </row>
        <row r="11600">
          <cell r="E11600">
            <v>0</v>
          </cell>
          <cell r="F11600">
            <v>0</v>
          </cell>
          <cell r="DN11600">
            <v>0</v>
          </cell>
        </row>
        <row r="11601">
          <cell r="E11601">
            <v>0</v>
          </cell>
          <cell r="F11601">
            <v>0</v>
          </cell>
          <cell r="DN11601">
            <v>0</v>
          </cell>
        </row>
        <row r="11602">
          <cell r="E11602">
            <v>0</v>
          </cell>
          <cell r="F11602">
            <v>0</v>
          </cell>
          <cell r="DN11602">
            <v>0</v>
          </cell>
        </row>
        <row r="11603">
          <cell r="E11603">
            <v>0</v>
          </cell>
          <cell r="F11603">
            <v>0</v>
          </cell>
          <cell r="DN11603">
            <v>0</v>
          </cell>
        </row>
        <row r="11604">
          <cell r="E11604">
            <v>0</v>
          </cell>
          <cell r="F11604">
            <v>0</v>
          </cell>
          <cell r="DN11604">
            <v>0</v>
          </cell>
        </row>
        <row r="11605">
          <cell r="E11605">
            <v>0</v>
          </cell>
          <cell r="F11605">
            <v>0</v>
          </cell>
          <cell r="DN11605">
            <v>0</v>
          </cell>
        </row>
        <row r="11606">
          <cell r="E11606">
            <v>0</v>
          </cell>
          <cell r="F11606">
            <v>0</v>
          </cell>
          <cell r="DN11606">
            <v>0</v>
          </cell>
        </row>
        <row r="11607">
          <cell r="E11607">
            <v>0</v>
          </cell>
          <cell r="F11607">
            <v>0</v>
          </cell>
          <cell r="DN11607">
            <v>0</v>
          </cell>
        </row>
        <row r="11608">
          <cell r="E11608">
            <v>0</v>
          </cell>
          <cell r="F11608">
            <v>0</v>
          </cell>
          <cell r="DN11608">
            <v>0</v>
          </cell>
        </row>
        <row r="11609">
          <cell r="E11609">
            <v>0</v>
          </cell>
          <cell r="F11609">
            <v>0</v>
          </cell>
          <cell r="DN11609">
            <v>0</v>
          </cell>
        </row>
        <row r="11610">
          <cell r="E11610">
            <v>0</v>
          </cell>
          <cell r="F11610">
            <v>0</v>
          </cell>
          <cell r="DN11610">
            <v>0</v>
          </cell>
        </row>
        <row r="11611">
          <cell r="E11611">
            <v>0</v>
          </cell>
          <cell r="F11611">
            <v>0</v>
          </cell>
          <cell r="DN11611">
            <v>0</v>
          </cell>
        </row>
        <row r="11612">
          <cell r="E11612">
            <v>0</v>
          </cell>
          <cell r="F11612">
            <v>0</v>
          </cell>
          <cell r="DN11612">
            <v>0</v>
          </cell>
        </row>
        <row r="11613">
          <cell r="E11613">
            <v>0</v>
          </cell>
          <cell r="F11613">
            <v>0</v>
          </cell>
          <cell r="DN11613">
            <v>0</v>
          </cell>
        </row>
        <row r="11614">
          <cell r="E11614">
            <v>0</v>
          </cell>
          <cell r="F11614">
            <v>0</v>
          </cell>
          <cell r="DN11614">
            <v>0</v>
          </cell>
        </row>
        <row r="11615">
          <cell r="E11615">
            <v>0</v>
          </cell>
          <cell r="F11615">
            <v>0</v>
          </cell>
          <cell r="DN11615">
            <v>0</v>
          </cell>
        </row>
        <row r="11616">
          <cell r="E11616">
            <v>0</v>
          </cell>
          <cell r="F11616">
            <v>0</v>
          </cell>
          <cell r="DN11616">
            <v>0</v>
          </cell>
        </row>
        <row r="11617">
          <cell r="E11617">
            <v>0</v>
          </cell>
          <cell r="F11617">
            <v>0</v>
          </cell>
          <cell r="DN11617">
            <v>0</v>
          </cell>
        </row>
        <row r="11618">
          <cell r="E11618">
            <v>0</v>
          </cell>
          <cell r="F11618">
            <v>0</v>
          </cell>
          <cell r="DN11618">
            <v>0</v>
          </cell>
        </row>
        <row r="11619">
          <cell r="E11619">
            <v>0</v>
          </cell>
          <cell r="F11619">
            <v>0</v>
          </cell>
          <cell r="DN11619">
            <v>0</v>
          </cell>
        </row>
        <row r="11620">
          <cell r="E11620">
            <v>0</v>
          </cell>
          <cell r="F11620">
            <v>0</v>
          </cell>
          <cell r="DN11620">
            <v>0</v>
          </cell>
        </row>
        <row r="11621">
          <cell r="E11621">
            <v>0</v>
          </cell>
          <cell r="F11621">
            <v>0</v>
          </cell>
          <cell r="DN11621">
            <v>0</v>
          </cell>
        </row>
        <row r="11622">
          <cell r="E11622">
            <v>0</v>
          </cell>
          <cell r="F11622">
            <v>0</v>
          </cell>
          <cell r="DN11622">
            <v>0</v>
          </cell>
        </row>
        <row r="11623">
          <cell r="E11623">
            <v>0</v>
          </cell>
          <cell r="F11623">
            <v>0</v>
          </cell>
          <cell r="DN11623">
            <v>0</v>
          </cell>
        </row>
        <row r="11624">
          <cell r="E11624">
            <v>0</v>
          </cell>
          <cell r="F11624">
            <v>0</v>
          </cell>
          <cell r="DN11624">
            <v>0</v>
          </cell>
        </row>
        <row r="11625">
          <cell r="E11625">
            <v>0</v>
          </cell>
          <cell r="F11625">
            <v>0</v>
          </cell>
          <cell r="DN11625">
            <v>0</v>
          </cell>
        </row>
        <row r="11626">
          <cell r="E11626">
            <v>0</v>
          </cell>
          <cell r="F11626">
            <v>0</v>
          </cell>
          <cell r="DN11626">
            <v>0</v>
          </cell>
        </row>
        <row r="11627">
          <cell r="E11627">
            <v>0</v>
          </cell>
          <cell r="F11627">
            <v>0</v>
          </cell>
          <cell r="DN11627">
            <v>0</v>
          </cell>
        </row>
        <row r="11628">
          <cell r="E11628">
            <v>0</v>
          </cell>
          <cell r="F11628">
            <v>0</v>
          </cell>
          <cell r="DN11628">
            <v>0</v>
          </cell>
        </row>
        <row r="11629">
          <cell r="E11629">
            <v>0</v>
          </cell>
          <cell r="F11629">
            <v>0</v>
          </cell>
          <cell r="DN11629">
            <v>0</v>
          </cell>
        </row>
        <row r="11630">
          <cell r="E11630">
            <v>0</v>
          </cell>
          <cell r="F11630">
            <v>0</v>
          </cell>
          <cell r="DN11630">
            <v>0</v>
          </cell>
        </row>
        <row r="11631">
          <cell r="E11631">
            <v>0</v>
          </cell>
          <cell r="F11631">
            <v>0</v>
          </cell>
          <cell r="DN11631">
            <v>0</v>
          </cell>
        </row>
        <row r="11632">
          <cell r="E11632">
            <v>0</v>
          </cell>
          <cell r="F11632">
            <v>0</v>
          </cell>
          <cell r="DN11632">
            <v>0</v>
          </cell>
        </row>
        <row r="11633">
          <cell r="E11633">
            <v>0</v>
          </cell>
          <cell r="F11633">
            <v>0</v>
          </cell>
          <cell r="DN11633">
            <v>0</v>
          </cell>
        </row>
        <row r="11634">
          <cell r="E11634">
            <v>0</v>
          </cell>
          <cell r="F11634">
            <v>0</v>
          </cell>
          <cell r="DN11634">
            <v>0</v>
          </cell>
        </row>
        <row r="11635">
          <cell r="E11635">
            <v>0</v>
          </cell>
          <cell r="F11635">
            <v>0</v>
          </cell>
          <cell r="DN11635">
            <v>0</v>
          </cell>
        </row>
        <row r="11636">
          <cell r="E11636">
            <v>0</v>
          </cell>
          <cell r="F11636">
            <v>0</v>
          </cell>
          <cell r="DN11636">
            <v>0</v>
          </cell>
        </row>
        <row r="11637">
          <cell r="E11637">
            <v>0</v>
          </cell>
          <cell r="F11637">
            <v>0</v>
          </cell>
          <cell r="DN11637">
            <v>0</v>
          </cell>
        </row>
        <row r="11638">
          <cell r="E11638">
            <v>0</v>
          </cell>
          <cell r="F11638">
            <v>0</v>
          </cell>
          <cell r="DN11638">
            <v>0</v>
          </cell>
        </row>
        <row r="11639">
          <cell r="E11639">
            <v>0</v>
          </cell>
          <cell r="F11639">
            <v>0</v>
          </cell>
          <cell r="DN11639">
            <v>0</v>
          </cell>
        </row>
        <row r="11640">
          <cell r="E11640">
            <v>0</v>
          </cell>
          <cell r="F11640">
            <v>0</v>
          </cell>
          <cell r="DN11640">
            <v>0</v>
          </cell>
        </row>
        <row r="11641">
          <cell r="E11641">
            <v>0</v>
          </cell>
          <cell r="F11641">
            <v>0</v>
          </cell>
          <cell r="DN11641">
            <v>0</v>
          </cell>
        </row>
        <row r="11642">
          <cell r="E11642">
            <v>0</v>
          </cell>
          <cell r="F11642">
            <v>0</v>
          </cell>
          <cell r="DN11642">
            <v>0</v>
          </cell>
        </row>
        <row r="11643">
          <cell r="E11643">
            <v>0</v>
          </cell>
          <cell r="F11643">
            <v>0</v>
          </cell>
          <cell r="DN11643">
            <v>0</v>
          </cell>
        </row>
        <row r="11644">
          <cell r="E11644">
            <v>0</v>
          </cell>
          <cell r="F11644">
            <v>0</v>
          </cell>
          <cell r="DN11644">
            <v>0</v>
          </cell>
        </row>
        <row r="11645">
          <cell r="E11645">
            <v>0</v>
          </cell>
          <cell r="F11645">
            <v>0</v>
          </cell>
          <cell r="DN11645">
            <v>0</v>
          </cell>
        </row>
        <row r="11646">
          <cell r="E11646">
            <v>0</v>
          </cell>
          <cell r="F11646">
            <v>0</v>
          </cell>
          <cell r="DN11646">
            <v>0</v>
          </cell>
        </row>
        <row r="11647">
          <cell r="E11647">
            <v>0</v>
          </cell>
          <cell r="F11647">
            <v>0</v>
          </cell>
          <cell r="DN11647">
            <v>0</v>
          </cell>
        </row>
        <row r="11648">
          <cell r="E11648">
            <v>0</v>
          </cell>
          <cell r="F11648">
            <v>0</v>
          </cell>
          <cell r="DN11648">
            <v>0</v>
          </cell>
        </row>
        <row r="11649">
          <cell r="E11649">
            <v>0</v>
          </cell>
          <cell r="F11649">
            <v>0</v>
          </cell>
          <cell r="DN11649">
            <v>0</v>
          </cell>
        </row>
        <row r="11650">
          <cell r="E11650">
            <v>0</v>
          </cell>
          <cell r="F11650">
            <v>0</v>
          </cell>
          <cell r="DN11650">
            <v>0</v>
          </cell>
        </row>
        <row r="11651">
          <cell r="E11651">
            <v>0</v>
          </cell>
          <cell r="F11651">
            <v>0</v>
          </cell>
          <cell r="DN11651">
            <v>0</v>
          </cell>
        </row>
        <row r="11652">
          <cell r="E11652">
            <v>0</v>
          </cell>
          <cell r="F11652">
            <v>0</v>
          </cell>
          <cell r="DN11652">
            <v>0</v>
          </cell>
        </row>
        <row r="11653">
          <cell r="E11653">
            <v>0</v>
          </cell>
          <cell r="F11653">
            <v>0</v>
          </cell>
          <cell r="DN11653">
            <v>0</v>
          </cell>
        </row>
        <row r="11654">
          <cell r="E11654">
            <v>0</v>
          </cell>
          <cell r="F11654">
            <v>0</v>
          </cell>
          <cell r="DN11654">
            <v>0</v>
          </cell>
        </row>
        <row r="11655">
          <cell r="E11655">
            <v>0</v>
          </cell>
          <cell r="F11655">
            <v>0</v>
          </cell>
          <cell r="DN11655">
            <v>0</v>
          </cell>
        </row>
        <row r="11656">
          <cell r="E11656">
            <v>0</v>
          </cell>
          <cell r="F11656">
            <v>0</v>
          </cell>
          <cell r="DN11656">
            <v>0</v>
          </cell>
        </row>
        <row r="11657">
          <cell r="E11657">
            <v>0</v>
          </cell>
          <cell r="F11657">
            <v>0</v>
          </cell>
          <cell r="DN11657">
            <v>0</v>
          </cell>
        </row>
        <row r="11658">
          <cell r="E11658">
            <v>0</v>
          </cell>
          <cell r="F11658">
            <v>0</v>
          </cell>
          <cell r="DN11658">
            <v>0</v>
          </cell>
        </row>
        <row r="11659">
          <cell r="E11659">
            <v>0</v>
          </cell>
          <cell r="F11659">
            <v>0</v>
          </cell>
          <cell r="DN11659">
            <v>0</v>
          </cell>
        </row>
        <row r="11660">
          <cell r="E11660">
            <v>0</v>
          </cell>
          <cell r="F11660">
            <v>0</v>
          </cell>
          <cell r="DN11660">
            <v>0</v>
          </cell>
        </row>
        <row r="11661">
          <cell r="E11661">
            <v>0</v>
          </cell>
          <cell r="F11661">
            <v>0</v>
          </cell>
          <cell r="DN11661">
            <v>0</v>
          </cell>
        </row>
        <row r="11662">
          <cell r="E11662">
            <v>0</v>
          </cell>
          <cell r="F11662">
            <v>0</v>
          </cell>
          <cell r="DN11662">
            <v>0</v>
          </cell>
        </row>
        <row r="11663">
          <cell r="E11663">
            <v>0</v>
          </cell>
          <cell r="F11663">
            <v>0</v>
          </cell>
          <cell r="DN11663">
            <v>0</v>
          </cell>
        </row>
        <row r="11664">
          <cell r="E11664">
            <v>0</v>
          </cell>
          <cell r="F11664">
            <v>0</v>
          </cell>
          <cell r="DN11664">
            <v>0</v>
          </cell>
        </row>
        <row r="11665">
          <cell r="E11665">
            <v>0</v>
          </cell>
          <cell r="F11665">
            <v>0</v>
          </cell>
          <cell r="DN11665">
            <v>0</v>
          </cell>
        </row>
        <row r="11666">
          <cell r="E11666">
            <v>0</v>
          </cell>
          <cell r="F11666">
            <v>0</v>
          </cell>
          <cell r="DN11666">
            <v>0</v>
          </cell>
        </row>
        <row r="11667">
          <cell r="E11667">
            <v>0</v>
          </cell>
          <cell r="F11667">
            <v>0</v>
          </cell>
          <cell r="DN11667">
            <v>0</v>
          </cell>
        </row>
        <row r="11668">
          <cell r="E11668">
            <v>0</v>
          </cell>
          <cell r="F11668">
            <v>0</v>
          </cell>
          <cell r="DN11668">
            <v>0</v>
          </cell>
        </row>
        <row r="11669">
          <cell r="E11669">
            <v>0</v>
          </cell>
          <cell r="F11669">
            <v>0</v>
          </cell>
          <cell r="DN11669">
            <v>0</v>
          </cell>
        </row>
        <row r="11670">
          <cell r="E11670">
            <v>0</v>
          </cell>
          <cell r="F11670">
            <v>0</v>
          </cell>
          <cell r="DN11670">
            <v>0</v>
          </cell>
        </row>
        <row r="11671">
          <cell r="E11671">
            <v>0</v>
          </cell>
          <cell r="F11671">
            <v>0</v>
          </cell>
          <cell r="DN11671">
            <v>0</v>
          </cell>
        </row>
        <row r="11672">
          <cell r="E11672">
            <v>0</v>
          </cell>
          <cell r="F11672">
            <v>0</v>
          </cell>
          <cell r="DN11672">
            <v>0</v>
          </cell>
        </row>
        <row r="11673">
          <cell r="E11673">
            <v>0</v>
          </cell>
          <cell r="F11673">
            <v>0</v>
          </cell>
          <cell r="DN11673">
            <v>0</v>
          </cell>
        </row>
        <row r="11674">
          <cell r="E11674">
            <v>0</v>
          </cell>
          <cell r="F11674">
            <v>0</v>
          </cell>
          <cell r="DN11674">
            <v>0</v>
          </cell>
        </row>
        <row r="11675">
          <cell r="E11675">
            <v>0</v>
          </cell>
          <cell r="F11675">
            <v>0</v>
          </cell>
          <cell r="DN11675">
            <v>0</v>
          </cell>
        </row>
        <row r="11676">
          <cell r="E11676">
            <v>0</v>
          </cell>
          <cell r="F11676">
            <v>0</v>
          </cell>
          <cell r="DN11676">
            <v>0</v>
          </cell>
        </row>
        <row r="11677">
          <cell r="E11677">
            <v>0</v>
          </cell>
          <cell r="F11677">
            <v>0</v>
          </cell>
          <cell r="DN11677">
            <v>0</v>
          </cell>
        </row>
        <row r="11678">
          <cell r="E11678">
            <v>0</v>
          </cell>
          <cell r="F11678">
            <v>0</v>
          </cell>
          <cell r="DN11678">
            <v>0</v>
          </cell>
        </row>
        <row r="11679">
          <cell r="E11679">
            <v>0</v>
          </cell>
          <cell r="F11679">
            <v>0</v>
          </cell>
          <cell r="DN11679">
            <v>0</v>
          </cell>
        </row>
        <row r="11680">
          <cell r="E11680">
            <v>0</v>
          </cell>
          <cell r="F11680">
            <v>0</v>
          </cell>
          <cell r="DN11680">
            <v>0</v>
          </cell>
        </row>
        <row r="11681">
          <cell r="E11681">
            <v>0</v>
          </cell>
          <cell r="F11681">
            <v>0</v>
          </cell>
          <cell r="DN11681">
            <v>0</v>
          </cell>
        </row>
        <row r="11682">
          <cell r="E11682">
            <v>0</v>
          </cell>
          <cell r="F11682">
            <v>0</v>
          </cell>
          <cell r="DN11682">
            <v>0</v>
          </cell>
        </row>
        <row r="11683">
          <cell r="E11683">
            <v>0</v>
          </cell>
          <cell r="F11683">
            <v>0</v>
          </cell>
          <cell r="DN11683">
            <v>0</v>
          </cell>
        </row>
        <row r="11684">
          <cell r="E11684">
            <v>0</v>
          </cell>
          <cell r="F11684">
            <v>0</v>
          </cell>
          <cell r="DN11684">
            <v>0</v>
          </cell>
        </row>
        <row r="11685">
          <cell r="E11685">
            <v>0</v>
          </cell>
          <cell r="F11685">
            <v>0</v>
          </cell>
          <cell r="DN11685">
            <v>0</v>
          </cell>
        </row>
        <row r="11686">
          <cell r="E11686">
            <v>0</v>
          </cell>
          <cell r="F11686">
            <v>0</v>
          </cell>
          <cell r="DN11686">
            <v>0</v>
          </cell>
        </row>
        <row r="11687">
          <cell r="E11687">
            <v>0</v>
          </cell>
          <cell r="F11687">
            <v>0</v>
          </cell>
          <cell r="DN11687">
            <v>0</v>
          </cell>
        </row>
        <row r="11688">
          <cell r="E11688">
            <v>0</v>
          </cell>
          <cell r="F11688">
            <v>0</v>
          </cell>
          <cell r="DN11688">
            <v>0</v>
          </cell>
        </row>
        <row r="11689">
          <cell r="E11689">
            <v>0</v>
          </cell>
          <cell r="F11689">
            <v>0</v>
          </cell>
          <cell r="DN11689">
            <v>0</v>
          </cell>
        </row>
        <row r="11690">
          <cell r="E11690">
            <v>0</v>
          </cell>
          <cell r="F11690">
            <v>0</v>
          </cell>
          <cell r="DN11690">
            <v>0</v>
          </cell>
        </row>
        <row r="11691">
          <cell r="E11691">
            <v>0</v>
          </cell>
          <cell r="F11691">
            <v>0</v>
          </cell>
          <cell r="DN11691">
            <v>0</v>
          </cell>
        </row>
        <row r="11692">
          <cell r="E11692">
            <v>0</v>
          </cell>
          <cell r="F11692">
            <v>0</v>
          </cell>
          <cell r="DN11692">
            <v>0</v>
          </cell>
        </row>
        <row r="11693">
          <cell r="E11693">
            <v>0</v>
          </cell>
          <cell r="F11693">
            <v>0</v>
          </cell>
          <cell r="DN11693">
            <v>0</v>
          </cell>
        </row>
        <row r="11694">
          <cell r="E11694">
            <v>0</v>
          </cell>
          <cell r="F11694">
            <v>0</v>
          </cell>
          <cell r="DN11694">
            <v>0</v>
          </cell>
        </row>
        <row r="11695">
          <cell r="E11695">
            <v>0</v>
          </cell>
          <cell r="F11695">
            <v>0</v>
          </cell>
          <cell r="DN11695">
            <v>0</v>
          </cell>
        </row>
        <row r="11696">
          <cell r="E11696">
            <v>0</v>
          </cell>
          <cell r="F11696">
            <v>0</v>
          </cell>
          <cell r="DN11696">
            <v>0</v>
          </cell>
        </row>
        <row r="11697">
          <cell r="E11697">
            <v>0</v>
          </cell>
          <cell r="F11697">
            <v>0</v>
          </cell>
          <cell r="DN11697">
            <v>0</v>
          </cell>
        </row>
        <row r="11698">
          <cell r="E11698">
            <v>0</v>
          </cell>
          <cell r="F11698">
            <v>0</v>
          </cell>
          <cell r="DN11698">
            <v>0</v>
          </cell>
        </row>
        <row r="11699">
          <cell r="E11699">
            <v>0</v>
          </cell>
          <cell r="F11699">
            <v>0</v>
          </cell>
          <cell r="DN11699">
            <v>0</v>
          </cell>
        </row>
        <row r="11700">
          <cell r="E11700">
            <v>0</v>
          </cell>
          <cell r="F11700">
            <v>0</v>
          </cell>
          <cell r="DN11700">
            <v>0</v>
          </cell>
        </row>
        <row r="11701">
          <cell r="E11701">
            <v>0</v>
          </cell>
          <cell r="F11701">
            <v>0</v>
          </cell>
          <cell r="DN11701">
            <v>0</v>
          </cell>
        </row>
        <row r="11702">
          <cell r="E11702">
            <v>0</v>
          </cell>
          <cell r="F11702">
            <v>0</v>
          </cell>
          <cell r="DN11702">
            <v>0</v>
          </cell>
        </row>
        <row r="11703">
          <cell r="E11703">
            <v>0</v>
          </cell>
          <cell r="F11703">
            <v>0</v>
          </cell>
          <cell r="DN11703">
            <v>0</v>
          </cell>
        </row>
        <row r="11704">
          <cell r="E11704">
            <v>0</v>
          </cell>
          <cell r="F11704">
            <v>0</v>
          </cell>
          <cell r="DN11704">
            <v>0</v>
          </cell>
        </row>
        <row r="11705">
          <cell r="E11705">
            <v>0</v>
          </cell>
          <cell r="F11705">
            <v>0</v>
          </cell>
          <cell r="DN11705">
            <v>0</v>
          </cell>
        </row>
        <row r="11706">
          <cell r="E11706">
            <v>0</v>
          </cell>
          <cell r="F11706">
            <v>0</v>
          </cell>
          <cell r="DN11706">
            <v>0</v>
          </cell>
        </row>
        <row r="11707">
          <cell r="E11707">
            <v>0</v>
          </cell>
          <cell r="F11707">
            <v>0</v>
          </cell>
          <cell r="DN11707">
            <v>0</v>
          </cell>
        </row>
        <row r="11708">
          <cell r="E11708">
            <v>0</v>
          </cell>
          <cell r="F11708">
            <v>0</v>
          </cell>
          <cell r="DN11708">
            <v>0</v>
          </cell>
        </row>
        <row r="11709">
          <cell r="E11709">
            <v>0</v>
          </cell>
          <cell r="F11709">
            <v>0</v>
          </cell>
          <cell r="DN11709">
            <v>0</v>
          </cell>
        </row>
        <row r="11710">
          <cell r="E11710">
            <v>0</v>
          </cell>
          <cell r="F11710">
            <v>0</v>
          </cell>
          <cell r="DN11710">
            <v>0</v>
          </cell>
        </row>
        <row r="11711">
          <cell r="E11711">
            <v>0</v>
          </cell>
          <cell r="F11711">
            <v>0</v>
          </cell>
          <cell r="DN11711">
            <v>0</v>
          </cell>
        </row>
        <row r="11712">
          <cell r="E11712">
            <v>0</v>
          </cell>
          <cell r="F11712">
            <v>0</v>
          </cell>
          <cell r="DN11712">
            <v>0</v>
          </cell>
        </row>
        <row r="11713">
          <cell r="E11713">
            <v>0</v>
          </cell>
          <cell r="F11713">
            <v>0</v>
          </cell>
          <cell r="DN11713">
            <v>0</v>
          </cell>
        </row>
        <row r="11714">
          <cell r="E11714">
            <v>0</v>
          </cell>
          <cell r="F11714">
            <v>0</v>
          </cell>
          <cell r="DN11714">
            <v>0</v>
          </cell>
        </row>
        <row r="11715">
          <cell r="E11715">
            <v>0</v>
          </cell>
          <cell r="F11715">
            <v>0</v>
          </cell>
          <cell r="DN11715">
            <v>0</v>
          </cell>
        </row>
        <row r="11716">
          <cell r="E11716">
            <v>0</v>
          </cell>
          <cell r="F11716">
            <v>0</v>
          </cell>
          <cell r="DN11716">
            <v>0</v>
          </cell>
        </row>
        <row r="11717">
          <cell r="E11717">
            <v>0</v>
          </cell>
          <cell r="F11717">
            <v>0</v>
          </cell>
          <cell r="DN11717">
            <v>0</v>
          </cell>
        </row>
        <row r="11718">
          <cell r="E11718">
            <v>0</v>
          </cell>
          <cell r="F11718">
            <v>0</v>
          </cell>
          <cell r="DN11718">
            <v>0</v>
          </cell>
        </row>
        <row r="11719">
          <cell r="E11719">
            <v>0</v>
          </cell>
          <cell r="F11719">
            <v>0</v>
          </cell>
          <cell r="DN11719">
            <v>0</v>
          </cell>
        </row>
        <row r="11720">
          <cell r="E11720">
            <v>0</v>
          </cell>
          <cell r="F11720">
            <v>0</v>
          </cell>
          <cell r="DN11720">
            <v>0</v>
          </cell>
        </row>
        <row r="11721">
          <cell r="E11721">
            <v>0</v>
          </cell>
          <cell r="F11721">
            <v>0</v>
          </cell>
          <cell r="DN11721">
            <v>0</v>
          </cell>
        </row>
        <row r="11722">
          <cell r="E11722">
            <v>0</v>
          </cell>
          <cell r="F11722">
            <v>0</v>
          </cell>
          <cell r="DN11722">
            <v>0</v>
          </cell>
        </row>
        <row r="11723">
          <cell r="E11723">
            <v>0</v>
          </cell>
          <cell r="F11723">
            <v>0</v>
          </cell>
          <cell r="DN11723">
            <v>0</v>
          </cell>
        </row>
        <row r="11724">
          <cell r="E11724">
            <v>0</v>
          </cell>
          <cell r="F11724">
            <v>0</v>
          </cell>
          <cell r="DN11724">
            <v>0</v>
          </cell>
        </row>
        <row r="11725">
          <cell r="E11725">
            <v>0</v>
          </cell>
          <cell r="F11725">
            <v>0</v>
          </cell>
          <cell r="DN11725">
            <v>0</v>
          </cell>
        </row>
        <row r="11726">
          <cell r="E11726">
            <v>0</v>
          </cell>
          <cell r="F11726">
            <v>0</v>
          </cell>
          <cell r="DN11726">
            <v>0</v>
          </cell>
        </row>
        <row r="11727">
          <cell r="E11727">
            <v>0</v>
          </cell>
          <cell r="F11727">
            <v>0</v>
          </cell>
          <cell r="DN11727">
            <v>0</v>
          </cell>
        </row>
        <row r="11728">
          <cell r="E11728">
            <v>0</v>
          </cell>
          <cell r="F11728">
            <v>0</v>
          </cell>
          <cell r="DN11728">
            <v>0</v>
          </cell>
        </row>
        <row r="11729">
          <cell r="E11729">
            <v>0</v>
          </cell>
          <cell r="F11729">
            <v>0</v>
          </cell>
          <cell r="DN11729">
            <v>0</v>
          </cell>
        </row>
        <row r="11730">
          <cell r="E11730">
            <v>0</v>
          </cell>
          <cell r="F11730">
            <v>0</v>
          </cell>
          <cell r="DN11730">
            <v>0</v>
          </cell>
        </row>
        <row r="11731">
          <cell r="E11731">
            <v>0</v>
          </cell>
          <cell r="F11731">
            <v>0</v>
          </cell>
          <cell r="DN11731">
            <v>0</v>
          </cell>
        </row>
        <row r="11732">
          <cell r="E11732">
            <v>0</v>
          </cell>
          <cell r="F11732">
            <v>0</v>
          </cell>
          <cell r="DN11732">
            <v>0</v>
          </cell>
        </row>
        <row r="11733">
          <cell r="E11733">
            <v>0</v>
          </cell>
          <cell r="F11733">
            <v>0</v>
          </cell>
          <cell r="DN11733">
            <v>0</v>
          </cell>
        </row>
        <row r="11734">
          <cell r="E11734">
            <v>0</v>
          </cell>
          <cell r="F11734">
            <v>0</v>
          </cell>
          <cell r="DN11734">
            <v>0</v>
          </cell>
        </row>
        <row r="11735">
          <cell r="E11735">
            <v>0</v>
          </cell>
          <cell r="F11735">
            <v>0</v>
          </cell>
          <cell r="DN11735">
            <v>0</v>
          </cell>
        </row>
        <row r="11736">
          <cell r="E11736">
            <v>0</v>
          </cell>
          <cell r="F11736">
            <v>0</v>
          </cell>
          <cell r="DN11736">
            <v>0</v>
          </cell>
        </row>
        <row r="11737">
          <cell r="E11737">
            <v>0</v>
          </cell>
          <cell r="F11737">
            <v>0</v>
          </cell>
          <cell r="DN11737">
            <v>0</v>
          </cell>
        </row>
        <row r="11738">
          <cell r="E11738">
            <v>0</v>
          </cell>
          <cell r="F11738">
            <v>0</v>
          </cell>
          <cell r="DN11738">
            <v>0</v>
          </cell>
        </row>
        <row r="11739">
          <cell r="E11739">
            <v>0</v>
          </cell>
          <cell r="F11739">
            <v>0</v>
          </cell>
          <cell r="DN11739">
            <v>0</v>
          </cell>
        </row>
        <row r="11740">
          <cell r="E11740">
            <v>0</v>
          </cell>
          <cell r="F11740">
            <v>0</v>
          </cell>
          <cell r="DN11740">
            <v>0</v>
          </cell>
        </row>
        <row r="11741">
          <cell r="E11741">
            <v>0</v>
          </cell>
          <cell r="F11741">
            <v>0</v>
          </cell>
          <cell r="DN11741">
            <v>0</v>
          </cell>
        </row>
        <row r="11742">
          <cell r="E11742">
            <v>0</v>
          </cell>
          <cell r="F11742">
            <v>0</v>
          </cell>
          <cell r="DN11742">
            <v>0</v>
          </cell>
        </row>
        <row r="11743">
          <cell r="E11743">
            <v>0</v>
          </cell>
          <cell r="F11743">
            <v>0</v>
          </cell>
          <cell r="DN11743">
            <v>0</v>
          </cell>
        </row>
        <row r="11744">
          <cell r="E11744">
            <v>0</v>
          </cell>
          <cell r="F11744">
            <v>0</v>
          </cell>
          <cell r="DN11744">
            <v>0</v>
          </cell>
        </row>
        <row r="11745">
          <cell r="E11745">
            <v>0</v>
          </cell>
          <cell r="F11745">
            <v>0</v>
          </cell>
          <cell r="DN11745">
            <v>0</v>
          </cell>
        </row>
        <row r="11746">
          <cell r="E11746">
            <v>0</v>
          </cell>
          <cell r="F11746">
            <v>0</v>
          </cell>
          <cell r="DN11746">
            <v>0</v>
          </cell>
        </row>
        <row r="11747">
          <cell r="E11747">
            <v>0</v>
          </cell>
          <cell r="F11747">
            <v>0</v>
          </cell>
          <cell r="DN11747">
            <v>0</v>
          </cell>
        </row>
        <row r="11748">
          <cell r="E11748">
            <v>0</v>
          </cell>
          <cell r="F11748">
            <v>0</v>
          </cell>
          <cell r="DN11748">
            <v>0</v>
          </cell>
        </row>
        <row r="11749">
          <cell r="E11749">
            <v>0</v>
          </cell>
          <cell r="F11749">
            <v>0</v>
          </cell>
          <cell r="DN11749">
            <v>0</v>
          </cell>
        </row>
        <row r="11750">
          <cell r="E11750">
            <v>0</v>
          </cell>
          <cell r="F11750">
            <v>0</v>
          </cell>
          <cell r="DN11750">
            <v>0</v>
          </cell>
        </row>
        <row r="11751">
          <cell r="E11751">
            <v>0</v>
          </cell>
          <cell r="F11751">
            <v>0</v>
          </cell>
          <cell r="DN11751">
            <v>0</v>
          </cell>
        </row>
        <row r="11752">
          <cell r="E11752">
            <v>0</v>
          </cell>
          <cell r="F11752">
            <v>0</v>
          </cell>
          <cell r="DN11752">
            <v>0</v>
          </cell>
        </row>
        <row r="11753">
          <cell r="E11753">
            <v>0</v>
          </cell>
          <cell r="F11753">
            <v>0</v>
          </cell>
          <cell r="DN11753">
            <v>0</v>
          </cell>
        </row>
        <row r="11754">
          <cell r="E11754">
            <v>0</v>
          </cell>
          <cell r="F11754">
            <v>0</v>
          </cell>
          <cell r="DN11754">
            <v>0</v>
          </cell>
        </row>
        <row r="11755">
          <cell r="E11755">
            <v>0</v>
          </cell>
          <cell r="F11755">
            <v>0</v>
          </cell>
          <cell r="DN11755">
            <v>0</v>
          </cell>
        </row>
        <row r="11756">
          <cell r="E11756">
            <v>0</v>
          </cell>
          <cell r="F11756">
            <v>0</v>
          </cell>
          <cell r="DN11756">
            <v>0</v>
          </cell>
        </row>
        <row r="11757">
          <cell r="E11757">
            <v>0</v>
          </cell>
          <cell r="F11757">
            <v>0</v>
          </cell>
          <cell r="DN11757">
            <v>0</v>
          </cell>
        </row>
        <row r="11758">
          <cell r="E11758">
            <v>0</v>
          </cell>
          <cell r="F11758">
            <v>0</v>
          </cell>
          <cell r="DN11758">
            <v>0</v>
          </cell>
        </row>
        <row r="11759">
          <cell r="E11759">
            <v>0</v>
          </cell>
          <cell r="F11759">
            <v>0</v>
          </cell>
          <cell r="DN11759">
            <v>0</v>
          </cell>
        </row>
        <row r="11760">
          <cell r="E11760">
            <v>0</v>
          </cell>
          <cell r="F11760">
            <v>0</v>
          </cell>
          <cell r="DN11760">
            <v>0</v>
          </cell>
        </row>
        <row r="11761">
          <cell r="E11761">
            <v>0</v>
          </cell>
          <cell r="F11761">
            <v>0</v>
          </cell>
          <cell r="DN11761">
            <v>0</v>
          </cell>
        </row>
        <row r="11762">
          <cell r="E11762">
            <v>0</v>
          </cell>
          <cell r="F11762">
            <v>0</v>
          </cell>
          <cell r="DN11762">
            <v>0</v>
          </cell>
        </row>
        <row r="11763">
          <cell r="E11763">
            <v>0</v>
          </cell>
          <cell r="F11763">
            <v>0</v>
          </cell>
          <cell r="DN11763">
            <v>0</v>
          </cell>
        </row>
        <row r="11764">
          <cell r="E11764">
            <v>0</v>
          </cell>
          <cell r="F11764">
            <v>0</v>
          </cell>
          <cell r="DN11764">
            <v>0</v>
          </cell>
        </row>
        <row r="11765">
          <cell r="E11765">
            <v>0</v>
          </cell>
          <cell r="F11765">
            <v>0</v>
          </cell>
          <cell r="DN11765">
            <v>0</v>
          </cell>
        </row>
        <row r="11766">
          <cell r="E11766">
            <v>0</v>
          </cell>
          <cell r="F11766">
            <v>0</v>
          </cell>
          <cell r="DN11766">
            <v>0</v>
          </cell>
        </row>
        <row r="11767">
          <cell r="E11767">
            <v>0</v>
          </cell>
          <cell r="F11767">
            <v>0</v>
          </cell>
          <cell r="DN11767">
            <v>0</v>
          </cell>
        </row>
        <row r="11768">
          <cell r="E11768">
            <v>0</v>
          </cell>
          <cell r="F11768">
            <v>0</v>
          </cell>
          <cell r="DN11768">
            <v>0</v>
          </cell>
        </row>
        <row r="11769">
          <cell r="E11769">
            <v>0</v>
          </cell>
          <cell r="F11769">
            <v>0</v>
          </cell>
          <cell r="DN11769">
            <v>0</v>
          </cell>
        </row>
        <row r="11770">
          <cell r="E11770">
            <v>0</v>
          </cell>
          <cell r="F11770">
            <v>0</v>
          </cell>
          <cell r="DN11770">
            <v>0</v>
          </cell>
        </row>
        <row r="11771">
          <cell r="E11771">
            <v>0</v>
          </cell>
          <cell r="F11771">
            <v>0</v>
          </cell>
          <cell r="DN11771">
            <v>0</v>
          </cell>
        </row>
        <row r="11772">
          <cell r="E11772">
            <v>0</v>
          </cell>
          <cell r="F11772">
            <v>0</v>
          </cell>
          <cell r="DN11772">
            <v>0</v>
          </cell>
        </row>
        <row r="11773">
          <cell r="E11773">
            <v>0</v>
          </cell>
          <cell r="F11773">
            <v>0</v>
          </cell>
          <cell r="DN11773">
            <v>0</v>
          </cell>
        </row>
        <row r="11774">
          <cell r="E11774">
            <v>0</v>
          </cell>
          <cell r="F11774">
            <v>0</v>
          </cell>
          <cell r="DN11774">
            <v>0</v>
          </cell>
        </row>
        <row r="11775">
          <cell r="E11775">
            <v>0</v>
          </cell>
          <cell r="F11775">
            <v>0</v>
          </cell>
          <cell r="DN11775">
            <v>0</v>
          </cell>
        </row>
        <row r="11776">
          <cell r="E11776">
            <v>0</v>
          </cell>
          <cell r="F11776">
            <v>0</v>
          </cell>
          <cell r="DN11776">
            <v>0</v>
          </cell>
        </row>
        <row r="11777">
          <cell r="E11777">
            <v>0</v>
          </cell>
          <cell r="F11777">
            <v>0</v>
          </cell>
          <cell r="DN11777">
            <v>0</v>
          </cell>
        </row>
        <row r="11778">
          <cell r="E11778">
            <v>0</v>
          </cell>
          <cell r="F11778">
            <v>0</v>
          </cell>
          <cell r="DN11778">
            <v>0</v>
          </cell>
        </row>
        <row r="11779">
          <cell r="E11779">
            <v>0</v>
          </cell>
          <cell r="F11779">
            <v>0</v>
          </cell>
          <cell r="DN11779">
            <v>0</v>
          </cell>
        </row>
        <row r="11780">
          <cell r="E11780">
            <v>0</v>
          </cell>
          <cell r="F11780">
            <v>0</v>
          </cell>
          <cell r="DN11780">
            <v>0</v>
          </cell>
        </row>
        <row r="11781">
          <cell r="E11781">
            <v>0</v>
          </cell>
          <cell r="F11781">
            <v>0</v>
          </cell>
          <cell r="DN11781">
            <v>0</v>
          </cell>
        </row>
        <row r="11782">
          <cell r="E11782">
            <v>0</v>
          </cell>
          <cell r="F11782">
            <v>0</v>
          </cell>
          <cell r="DN11782">
            <v>0</v>
          </cell>
        </row>
        <row r="11783">
          <cell r="E11783">
            <v>0</v>
          </cell>
          <cell r="F11783">
            <v>0</v>
          </cell>
          <cell r="DN11783">
            <v>0</v>
          </cell>
        </row>
        <row r="11784">
          <cell r="E11784">
            <v>0</v>
          </cell>
          <cell r="F11784">
            <v>0</v>
          </cell>
          <cell r="DN11784">
            <v>0</v>
          </cell>
        </row>
        <row r="11785">
          <cell r="E11785">
            <v>0</v>
          </cell>
          <cell r="F11785">
            <v>0</v>
          </cell>
          <cell r="DN11785">
            <v>0</v>
          </cell>
        </row>
        <row r="11786">
          <cell r="E11786">
            <v>0</v>
          </cell>
          <cell r="F11786">
            <v>0</v>
          </cell>
          <cell r="DN11786">
            <v>0</v>
          </cell>
        </row>
        <row r="11787">
          <cell r="E11787">
            <v>0</v>
          </cell>
          <cell r="F11787">
            <v>0</v>
          </cell>
          <cell r="DN11787">
            <v>0</v>
          </cell>
        </row>
        <row r="11788">
          <cell r="E11788">
            <v>0</v>
          </cell>
          <cell r="F11788">
            <v>0</v>
          </cell>
          <cell r="DN11788">
            <v>0</v>
          </cell>
        </row>
        <row r="11789">
          <cell r="E11789">
            <v>0</v>
          </cell>
          <cell r="F11789">
            <v>0</v>
          </cell>
          <cell r="DN11789">
            <v>0</v>
          </cell>
        </row>
        <row r="11790">
          <cell r="E11790">
            <v>0</v>
          </cell>
          <cell r="F11790">
            <v>0</v>
          </cell>
          <cell r="DN11790">
            <v>0</v>
          </cell>
        </row>
        <row r="11791">
          <cell r="E11791">
            <v>0</v>
          </cell>
          <cell r="F11791">
            <v>0</v>
          </cell>
          <cell r="DN11791">
            <v>0</v>
          </cell>
        </row>
        <row r="11792">
          <cell r="E11792">
            <v>0</v>
          </cell>
          <cell r="F11792">
            <v>0</v>
          </cell>
          <cell r="DN11792">
            <v>0</v>
          </cell>
        </row>
        <row r="11793">
          <cell r="E11793">
            <v>0</v>
          </cell>
          <cell r="F11793">
            <v>0</v>
          </cell>
          <cell r="DN11793">
            <v>0</v>
          </cell>
        </row>
        <row r="11794">
          <cell r="E11794">
            <v>0</v>
          </cell>
          <cell r="F11794">
            <v>0</v>
          </cell>
          <cell r="DN11794">
            <v>0</v>
          </cell>
        </row>
        <row r="11795">
          <cell r="E11795">
            <v>0</v>
          </cell>
          <cell r="F11795">
            <v>0</v>
          </cell>
          <cell r="DN11795">
            <v>0</v>
          </cell>
        </row>
        <row r="11796">
          <cell r="E11796">
            <v>0</v>
          </cell>
          <cell r="F11796">
            <v>0</v>
          </cell>
          <cell r="DN11796">
            <v>0</v>
          </cell>
        </row>
        <row r="11797">
          <cell r="E11797">
            <v>0</v>
          </cell>
          <cell r="F11797">
            <v>0</v>
          </cell>
          <cell r="DN11797">
            <v>0</v>
          </cell>
        </row>
        <row r="11798">
          <cell r="E11798">
            <v>0</v>
          </cell>
          <cell r="F11798">
            <v>0</v>
          </cell>
          <cell r="DN11798">
            <v>0</v>
          </cell>
        </row>
        <row r="11799">
          <cell r="E11799">
            <v>0</v>
          </cell>
          <cell r="F11799">
            <v>0</v>
          </cell>
          <cell r="DN11799">
            <v>0</v>
          </cell>
        </row>
        <row r="11800">
          <cell r="E11800">
            <v>0</v>
          </cell>
          <cell r="F11800">
            <v>0</v>
          </cell>
          <cell r="DN11800">
            <v>0</v>
          </cell>
        </row>
        <row r="11801">
          <cell r="E11801">
            <v>0</v>
          </cell>
          <cell r="F11801">
            <v>0</v>
          </cell>
          <cell r="DN11801">
            <v>0</v>
          </cell>
        </row>
        <row r="11802">
          <cell r="E11802">
            <v>0</v>
          </cell>
          <cell r="F11802">
            <v>0</v>
          </cell>
          <cell r="DN11802">
            <v>0</v>
          </cell>
        </row>
        <row r="11803">
          <cell r="E11803">
            <v>0</v>
          </cell>
          <cell r="F11803">
            <v>0</v>
          </cell>
          <cell r="DN11803">
            <v>0</v>
          </cell>
        </row>
        <row r="11804">
          <cell r="E11804">
            <v>0</v>
          </cell>
          <cell r="F11804">
            <v>0</v>
          </cell>
          <cell r="DN11804">
            <v>0</v>
          </cell>
        </row>
        <row r="11805">
          <cell r="E11805">
            <v>0</v>
          </cell>
          <cell r="F11805">
            <v>0</v>
          </cell>
          <cell r="DN11805">
            <v>0</v>
          </cell>
        </row>
        <row r="11806">
          <cell r="E11806">
            <v>0</v>
          </cell>
          <cell r="F11806">
            <v>0</v>
          </cell>
          <cell r="DN11806">
            <v>0</v>
          </cell>
        </row>
        <row r="11807">
          <cell r="E11807">
            <v>0</v>
          </cell>
          <cell r="F11807">
            <v>0</v>
          </cell>
          <cell r="DN11807">
            <v>0</v>
          </cell>
        </row>
        <row r="11808">
          <cell r="E11808">
            <v>0</v>
          </cell>
          <cell r="F11808">
            <v>0</v>
          </cell>
          <cell r="DN11808">
            <v>0</v>
          </cell>
        </row>
        <row r="11809">
          <cell r="E11809">
            <v>0</v>
          </cell>
          <cell r="F11809">
            <v>0</v>
          </cell>
          <cell r="DN11809">
            <v>0</v>
          </cell>
        </row>
        <row r="11810">
          <cell r="E11810">
            <v>0</v>
          </cell>
          <cell r="F11810">
            <v>0</v>
          </cell>
          <cell r="DN11810">
            <v>0</v>
          </cell>
        </row>
        <row r="11811">
          <cell r="E11811">
            <v>0</v>
          </cell>
          <cell r="F11811">
            <v>0</v>
          </cell>
          <cell r="DN11811">
            <v>0</v>
          </cell>
        </row>
        <row r="11812">
          <cell r="E11812">
            <v>0</v>
          </cell>
          <cell r="F11812">
            <v>0</v>
          </cell>
          <cell r="DN11812">
            <v>0</v>
          </cell>
        </row>
        <row r="11813">
          <cell r="E11813">
            <v>0</v>
          </cell>
          <cell r="F11813">
            <v>0</v>
          </cell>
          <cell r="DN11813">
            <v>0</v>
          </cell>
        </row>
        <row r="11814">
          <cell r="E11814">
            <v>0</v>
          </cell>
          <cell r="F11814">
            <v>0</v>
          </cell>
          <cell r="DN11814">
            <v>0</v>
          </cell>
        </row>
        <row r="11815">
          <cell r="E11815">
            <v>0</v>
          </cell>
          <cell r="F11815">
            <v>0</v>
          </cell>
          <cell r="DN11815">
            <v>0</v>
          </cell>
        </row>
        <row r="11816">
          <cell r="E11816">
            <v>0</v>
          </cell>
          <cell r="F11816">
            <v>0</v>
          </cell>
          <cell r="DN11816">
            <v>0</v>
          </cell>
        </row>
        <row r="11817">
          <cell r="E11817">
            <v>0</v>
          </cell>
          <cell r="F11817">
            <v>0</v>
          </cell>
          <cell r="DN11817">
            <v>0</v>
          </cell>
        </row>
        <row r="11818">
          <cell r="E11818">
            <v>0</v>
          </cell>
          <cell r="F11818">
            <v>0</v>
          </cell>
          <cell r="DN11818">
            <v>0</v>
          </cell>
        </row>
        <row r="11819">
          <cell r="E11819">
            <v>0</v>
          </cell>
          <cell r="F11819">
            <v>0</v>
          </cell>
          <cell r="DN11819">
            <v>0</v>
          </cell>
        </row>
        <row r="11820">
          <cell r="E11820">
            <v>0</v>
          </cell>
          <cell r="F11820">
            <v>0</v>
          </cell>
          <cell r="DN11820">
            <v>0</v>
          </cell>
        </row>
        <row r="11821">
          <cell r="E11821">
            <v>0</v>
          </cell>
          <cell r="F11821">
            <v>0</v>
          </cell>
          <cell r="DN11821">
            <v>0</v>
          </cell>
        </row>
        <row r="11822">
          <cell r="E11822">
            <v>0</v>
          </cell>
          <cell r="F11822">
            <v>0</v>
          </cell>
          <cell r="DN11822">
            <v>0</v>
          </cell>
        </row>
        <row r="11823">
          <cell r="E11823">
            <v>0</v>
          </cell>
          <cell r="F11823">
            <v>0</v>
          </cell>
          <cell r="DN11823">
            <v>0</v>
          </cell>
        </row>
        <row r="11824">
          <cell r="E11824">
            <v>0</v>
          </cell>
          <cell r="F11824">
            <v>0</v>
          </cell>
          <cell r="DN11824">
            <v>0</v>
          </cell>
        </row>
        <row r="11825">
          <cell r="E11825">
            <v>0</v>
          </cell>
          <cell r="F11825">
            <v>0</v>
          </cell>
          <cell r="DN11825">
            <v>0</v>
          </cell>
        </row>
        <row r="11826">
          <cell r="E11826">
            <v>0</v>
          </cell>
          <cell r="F11826">
            <v>0</v>
          </cell>
          <cell r="DN11826">
            <v>0</v>
          </cell>
        </row>
        <row r="11827">
          <cell r="E11827">
            <v>0</v>
          </cell>
          <cell r="F11827">
            <v>0</v>
          </cell>
          <cell r="DN11827">
            <v>0</v>
          </cell>
        </row>
        <row r="11828">
          <cell r="E11828">
            <v>0</v>
          </cell>
          <cell r="F11828">
            <v>0</v>
          </cell>
          <cell r="DN11828">
            <v>0</v>
          </cell>
        </row>
        <row r="11829">
          <cell r="E11829">
            <v>0</v>
          </cell>
          <cell r="F11829">
            <v>0</v>
          </cell>
          <cell r="DN11829">
            <v>0</v>
          </cell>
        </row>
        <row r="11830">
          <cell r="E11830">
            <v>0</v>
          </cell>
          <cell r="F11830">
            <v>0</v>
          </cell>
          <cell r="DN11830">
            <v>0</v>
          </cell>
        </row>
        <row r="11831">
          <cell r="E11831">
            <v>0</v>
          </cell>
          <cell r="F11831">
            <v>0</v>
          </cell>
          <cell r="DN11831">
            <v>0</v>
          </cell>
        </row>
        <row r="11832">
          <cell r="E11832">
            <v>0</v>
          </cell>
          <cell r="F11832">
            <v>0</v>
          </cell>
          <cell r="DN11832">
            <v>0</v>
          </cell>
        </row>
        <row r="11833">
          <cell r="E11833">
            <v>0</v>
          </cell>
          <cell r="F11833">
            <v>0</v>
          </cell>
          <cell r="DN11833">
            <v>0</v>
          </cell>
        </row>
        <row r="11834">
          <cell r="E11834">
            <v>0</v>
          </cell>
          <cell r="F11834">
            <v>0</v>
          </cell>
          <cell r="DN11834">
            <v>0</v>
          </cell>
        </row>
        <row r="11835">
          <cell r="E11835">
            <v>0</v>
          </cell>
          <cell r="F11835">
            <v>0</v>
          </cell>
          <cell r="DN11835">
            <v>0</v>
          </cell>
        </row>
        <row r="11836">
          <cell r="E11836">
            <v>0</v>
          </cell>
          <cell r="F11836">
            <v>0</v>
          </cell>
          <cell r="DN11836">
            <v>0</v>
          </cell>
        </row>
        <row r="11837">
          <cell r="E11837">
            <v>0</v>
          </cell>
          <cell r="F11837">
            <v>0</v>
          </cell>
          <cell r="DN11837">
            <v>0</v>
          </cell>
        </row>
        <row r="11838">
          <cell r="E11838">
            <v>0</v>
          </cell>
          <cell r="F11838">
            <v>0</v>
          </cell>
          <cell r="DN11838">
            <v>0</v>
          </cell>
        </row>
        <row r="11839">
          <cell r="E11839">
            <v>0</v>
          </cell>
          <cell r="F11839">
            <v>0</v>
          </cell>
          <cell r="DN11839">
            <v>0</v>
          </cell>
        </row>
        <row r="11840">
          <cell r="E11840">
            <v>0</v>
          </cell>
          <cell r="F11840">
            <v>0</v>
          </cell>
          <cell r="DN11840">
            <v>0</v>
          </cell>
        </row>
        <row r="11841">
          <cell r="E11841">
            <v>0</v>
          </cell>
          <cell r="F11841">
            <v>0</v>
          </cell>
          <cell r="DN11841">
            <v>0</v>
          </cell>
        </row>
        <row r="11842">
          <cell r="E11842">
            <v>0</v>
          </cell>
          <cell r="F11842">
            <v>0</v>
          </cell>
          <cell r="DN11842">
            <v>0</v>
          </cell>
        </row>
        <row r="11843">
          <cell r="E11843">
            <v>0</v>
          </cell>
          <cell r="F11843">
            <v>0</v>
          </cell>
          <cell r="DN11843">
            <v>0</v>
          </cell>
        </row>
        <row r="11844">
          <cell r="E11844">
            <v>0</v>
          </cell>
          <cell r="F11844">
            <v>0</v>
          </cell>
          <cell r="DN11844">
            <v>0</v>
          </cell>
        </row>
        <row r="11845">
          <cell r="E11845">
            <v>0</v>
          </cell>
          <cell r="F11845">
            <v>0</v>
          </cell>
          <cell r="DN11845">
            <v>0</v>
          </cell>
        </row>
        <row r="11846">
          <cell r="E11846">
            <v>0</v>
          </cell>
          <cell r="F11846">
            <v>0</v>
          </cell>
          <cell r="DN11846">
            <v>0</v>
          </cell>
        </row>
        <row r="11847">
          <cell r="E11847">
            <v>0</v>
          </cell>
          <cell r="F11847">
            <v>0</v>
          </cell>
          <cell r="DN11847">
            <v>0</v>
          </cell>
        </row>
        <row r="11848">
          <cell r="E11848">
            <v>0</v>
          </cell>
          <cell r="F11848">
            <v>0</v>
          </cell>
          <cell r="DN11848">
            <v>0</v>
          </cell>
        </row>
        <row r="11849">
          <cell r="E11849">
            <v>0</v>
          </cell>
          <cell r="F11849">
            <v>0</v>
          </cell>
          <cell r="DN11849">
            <v>0</v>
          </cell>
        </row>
        <row r="11850">
          <cell r="E11850">
            <v>0</v>
          </cell>
          <cell r="F11850">
            <v>0</v>
          </cell>
          <cell r="DN11850">
            <v>0</v>
          </cell>
        </row>
        <row r="11851">
          <cell r="E11851">
            <v>0</v>
          </cell>
          <cell r="F11851">
            <v>0</v>
          </cell>
          <cell r="DN11851">
            <v>0</v>
          </cell>
        </row>
        <row r="11852">
          <cell r="E11852">
            <v>0</v>
          </cell>
          <cell r="F11852">
            <v>0</v>
          </cell>
          <cell r="DN11852">
            <v>0</v>
          </cell>
        </row>
        <row r="11853">
          <cell r="E11853">
            <v>0</v>
          </cell>
          <cell r="F11853">
            <v>0</v>
          </cell>
          <cell r="DN11853">
            <v>0</v>
          </cell>
        </row>
        <row r="11854">
          <cell r="E11854">
            <v>0</v>
          </cell>
          <cell r="F11854">
            <v>0</v>
          </cell>
          <cell r="DN11854">
            <v>0</v>
          </cell>
        </row>
        <row r="11855">
          <cell r="E11855">
            <v>0</v>
          </cell>
          <cell r="F11855">
            <v>0</v>
          </cell>
          <cell r="DN11855">
            <v>0</v>
          </cell>
        </row>
        <row r="11856">
          <cell r="E11856">
            <v>0</v>
          </cell>
          <cell r="F11856">
            <v>0</v>
          </cell>
          <cell r="DN11856">
            <v>0</v>
          </cell>
        </row>
        <row r="11857">
          <cell r="E11857">
            <v>0</v>
          </cell>
          <cell r="F11857">
            <v>0</v>
          </cell>
          <cell r="DN11857">
            <v>0</v>
          </cell>
        </row>
        <row r="11858">
          <cell r="E11858">
            <v>0</v>
          </cell>
          <cell r="F11858">
            <v>0</v>
          </cell>
          <cell r="DN11858">
            <v>0</v>
          </cell>
        </row>
        <row r="11859">
          <cell r="E11859">
            <v>0</v>
          </cell>
          <cell r="F11859">
            <v>0</v>
          </cell>
          <cell r="DN11859">
            <v>0</v>
          </cell>
        </row>
        <row r="11860">
          <cell r="E11860">
            <v>0</v>
          </cell>
          <cell r="F11860">
            <v>0</v>
          </cell>
          <cell r="DN11860">
            <v>0</v>
          </cell>
        </row>
        <row r="11861">
          <cell r="E11861">
            <v>0</v>
          </cell>
          <cell r="F11861">
            <v>0</v>
          </cell>
          <cell r="DN11861">
            <v>0</v>
          </cell>
        </row>
        <row r="11862">
          <cell r="E11862">
            <v>0</v>
          </cell>
          <cell r="F11862">
            <v>0</v>
          </cell>
          <cell r="DN11862">
            <v>0</v>
          </cell>
        </row>
        <row r="11863">
          <cell r="E11863">
            <v>0</v>
          </cell>
          <cell r="F11863">
            <v>0</v>
          </cell>
          <cell r="DN11863">
            <v>0</v>
          </cell>
        </row>
        <row r="11864">
          <cell r="E11864">
            <v>0</v>
          </cell>
          <cell r="F11864">
            <v>0</v>
          </cell>
          <cell r="DN11864">
            <v>0</v>
          </cell>
        </row>
        <row r="11865">
          <cell r="E11865">
            <v>0</v>
          </cell>
          <cell r="F11865">
            <v>0</v>
          </cell>
          <cell r="DN11865">
            <v>0</v>
          </cell>
        </row>
        <row r="11866">
          <cell r="E11866">
            <v>0</v>
          </cell>
          <cell r="F11866">
            <v>0</v>
          </cell>
          <cell r="DN11866">
            <v>0</v>
          </cell>
        </row>
        <row r="11867">
          <cell r="E11867">
            <v>0</v>
          </cell>
          <cell r="F11867">
            <v>0</v>
          </cell>
          <cell r="DN11867">
            <v>0</v>
          </cell>
        </row>
        <row r="11868">
          <cell r="E11868">
            <v>0</v>
          </cell>
          <cell r="F11868">
            <v>0</v>
          </cell>
          <cell r="DN11868">
            <v>0</v>
          </cell>
        </row>
        <row r="11869">
          <cell r="E11869">
            <v>0</v>
          </cell>
          <cell r="F11869">
            <v>0</v>
          </cell>
          <cell r="DN11869">
            <v>0</v>
          </cell>
        </row>
        <row r="11870">
          <cell r="E11870">
            <v>0</v>
          </cell>
          <cell r="F11870">
            <v>0</v>
          </cell>
          <cell r="DN11870">
            <v>0</v>
          </cell>
        </row>
        <row r="11871">
          <cell r="E11871">
            <v>0</v>
          </cell>
          <cell r="F11871">
            <v>0</v>
          </cell>
          <cell r="DN11871">
            <v>0</v>
          </cell>
        </row>
        <row r="11872">
          <cell r="E11872">
            <v>0</v>
          </cell>
          <cell r="F11872">
            <v>0</v>
          </cell>
          <cell r="DN11872">
            <v>0</v>
          </cell>
        </row>
        <row r="11873">
          <cell r="E11873">
            <v>0</v>
          </cell>
          <cell r="F11873">
            <v>0</v>
          </cell>
          <cell r="DN11873">
            <v>0</v>
          </cell>
        </row>
        <row r="11874">
          <cell r="E11874">
            <v>0</v>
          </cell>
          <cell r="F11874">
            <v>0</v>
          </cell>
          <cell r="DN11874">
            <v>0</v>
          </cell>
        </row>
        <row r="11875">
          <cell r="E11875">
            <v>0</v>
          </cell>
          <cell r="F11875">
            <v>0</v>
          </cell>
          <cell r="DN11875">
            <v>0</v>
          </cell>
        </row>
        <row r="11876">
          <cell r="E11876">
            <v>0</v>
          </cell>
          <cell r="F11876">
            <v>0</v>
          </cell>
          <cell r="DN11876">
            <v>0</v>
          </cell>
        </row>
        <row r="11877">
          <cell r="E11877">
            <v>0</v>
          </cell>
          <cell r="F11877">
            <v>0</v>
          </cell>
          <cell r="DN11877">
            <v>0</v>
          </cell>
        </row>
        <row r="11878">
          <cell r="E11878">
            <v>0</v>
          </cell>
          <cell r="F11878">
            <v>0</v>
          </cell>
          <cell r="DN11878">
            <v>0</v>
          </cell>
        </row>
        <row r="11879">
          <cell r="E11879">
            <v>0</v>
          </cell>
          <cell r="F11879">
            <v>0</v>
          </cell>
          <cell r="DN11879">
            <v>0</v>
          </cell>
        </row>
        <row r="11880">
          <cell r="E11880">
            <v>0</v>
          </cell>
          <cell r="F11880">
            <v>0</v>
          </cell>
          <cell r="DN11880">
            <v>0</v>
          </cell>
        </row>
        <row r="11881">
          <cell r="E11881">
            <v>0</v>
          </cell>
          <cell r="F11881">
            <v>0</v>
          </cell>
          <cell r="DN11881">
            <v>0</v>
          </cell>
        </row>
        <row r="11882">
          <cell r="E11882">
            <v>0</v>
          </cell>
          <cell r="F11882">
            <v>0</v>
          </cell>
          <cell r="DN11882">
            <v>0</v>
          </cell>
        </row>
        <row r="11883">
          <cell r="E11883">
            <v>0</v>
          </cell>
          <cell r="F11883">
            <v>0</v>
          </cell>
          <cell r="DN11883">
            <v>0</v>
          </cell>
        </row>
        <row r="11884">
          <cell r="E11884">
            <v>0</v>
          </cell>
          <cell r="F11884">
            <v>0</v>
          </cell>
          <cell r="DN11884">
            <v>0</v>
          </cell>
        </row>
        <row r="11885">
          <cell r="E11885">
            <v>0</v>
          </cell>
          <cell r="F11885">
            <v>0</v>
          </cell>
          <cell r="DN11885">
            <v>0</v>
          </cell>
        </row>
        <row r="11886">
          <cell r="E11886">
            <v>0</v>
          </cell>
          <cell r="F11886">
            <v>0</v>
          </cell>
          <cell r="DN11886">
            <v>0</v>
          </cell>
        </row>
        <row r="11887">
          <cell r="E11887">
            <v>0</v>
          </cell>
          <cell r="F11887">
            <v>0</v>
          </cell>
          <cell r="DN11887">
            <v>0</v>
          </cell>
        </row>
        <row r="11888">
          <cell r="E11888">
            <v>0</v>
          </cell>
          <cell r="F11888">
            <v>0</v>
          </cell>
          <cell r="DN11888">
            <v>0</v>
          </cell>
        </row>
        <row r="11889">
          <cell r="E11889">
            <v>0</v>
          </cell>
          <cell r="F11889">
            <v>0</v>
          </cell>
          <cell r="DN11889">
            <v>0</v>
          </cell>
        </row>
        <row r="11890">
          <cell r="E11890">
            <v>0</v>
          </cell>
          <cell r="F11890">
            <v>0</v>
          </cell>
          <cell r="DN11890">
            <v>0</v>
          </cell>
        </row>
        <row r="11891">
          <cell r="E11891">
            <v>0</v>
          </cell>
          <cell r="F11891">
            <v>0</v>
          </cell>
          <cell r="DN11891">
            <v>0</v>
          </cell>
        </row>
        <row r="11892">
          <cell r="E11892">
            <v>0</v>
          </cell>
          <cell r="F11892">
            <v>0</v>
          </cell>
          <cell r="DN11892">
            <v>0</v>
          </cell>
        </row>
        <row r="11893">
          <cell r="E11893">
            <v>0</v>
          </cell>
          <cell r="F11893">
            <v>0</v>
          </cell>
          <cell r="DN11893">
            <v>0</v>
          </cell>
        </row>
        <row r="11894">
          <cell r="E11894">
            <v>0</v>
          </cell>
          <cell r="F11894">
            <v>0</v>
          </cell>
          <cell r="DN11894">
            <v>0</v>
          </cell>
        </row>
        <row r="11895">
          <cell r="E11895">
            <v>0</v>
          </cell>
          <cell r="F11895">
            <v>0</v>
          </cell>
          <cell r="DN11895">
            <v>0</v>
          </cell>
        </row>
        <row r="11896">
          <cell r="E11896">
            <v>0</v>
          </cell>
          <cell r="F11896">
            <v>0</v>
          </cell>
          <cell r="DN11896">
            <v>0</v>
          </cell>
        </row>
        <row r="11897">
          <cell r="E11897">
            <v>0</v>
          </cell>
          <cell r="F11897">
            <v>0</v>
          </cell>
          <cell r="DN11897">
            <v>0</v>
          </cell>
        </row>
        <row r="11898">
          <cell r="E11898">
            <v>0</v>
          </cell>
          <cell r="F11898">
            <v>0</v>
          </cell>
          <cell r="DN11898">
            <v>0</v>
          </cell>
        </row>
        <row r="11899">
          <cell r="E11899">
            <v>0</v>
          </cell>
          <cell r="F11899">
            <v>0</v>
          </cell>
          <cell r="DN11899">
            <v>0</v>
          </cell>
        </row>
        <row r="11900">
          <cell r="E11900">
            <v>0</v>
          </cell>
          <cell r="F11900">
            <v>0</v>
          </cell>
          <cell r="DN11900">
            <v>0</v>
          </cell>
        </row>
        <row r="11901">
          <cell r="E11901">
            <v>0</v>
          </cell>
          <cell r="F11901">
            <v>0</v>
          </cell>
          <cell r="DN11901">
            <v>0</v>
          </cell>
        </row>
        <row r="11902">
          <cell r="E11902">
            <v>0</v>
          </cell>
          <cell r="F11902">
            <v>0</v>
          </cell>
          <cell r="DN11902">
            <v>0</v>
          </cell>
        </row>
        <row r="11903">
          <cell r="E11903">
            <v>0</v>
          </cell>
          <cell r="F11903">
            <v>0</v>
          </cell>
          <cell r="DN11903">
            <v>0</v>
          </cell>
        </row>
        <row r="11904">
          <cell r="E11904">
            <v>0</v>
          </cell>
          <cell r="F11904">
            <v>0</v>
          </cell>
          <cell r="DN11904">
            <v>0</v>
          </cell>
        </row>
        <row r="11905">
          <cell r="E11905">
            <v>0</v>
          </cell>
          <cell r="F11905">
            <v>0</v>
          </cell>
          <cell r="DN11905">
            <v>0</v>
          </cell>
        </row>
        <row r="11906">
          <cell r="E11906">
            <v>0</v>
          </cell>
          <cell r="F11906">
            <v>0</v>
          </cell>
          <cell r="DN11906">
            <v>0</v>
          </cell>
        </row>
        <row r="11907">
          <cell r="E11907">
            <v>0</v>
          </cell>
          <cell r="F11907">
            <v>0</v>
          </cell>
          <cell r="DN11907">
            <v>0</v>
          </cell>
        </row>
        <row r="11908">
          <cell r="E11908">
            <v>0</v>
          </cell>
          <cell r="F11908">
            <v>0</v>
          </cell>
          <cell r="DN11908">
            <v>0</v>
          </cell>
        </row>
        <row r="11909">
          <cell r="E11909">
            <v>0</v>
          </cell>
          <cell r="F11909">
            <v>0</v>
          </cell>
          <cell r="DN11909">
            <v>0</v>
          </cell>
        </row>
        <row r="11910">
          <cell r="E11910">
            <v>0</v>
          </cell>
          <cell r="F11910">
            <v>0</v>
          </cell>
          <cell r="DN11910">
            <v>0</v>
          </cell>
        </row>
        <row r="11911">
          <cell r="E11911">
            <v>0</v>
          </cell>
          <cell r="F11911">
            <v>0</v>
          </cell>
          <cell r="DN11911">
            <v>0</v>
          </cell>
        </row>
        <row r="11912">
          <cell r="E11912">
            <v>0</v>
          </cell>
          <cell r="F11912">
            <v>0</v>
          </cell>
          <cell r="DN11912">
            <v>0</v>
          </cell>
        </row>
        <row r="11913">
          <cell r="E11913">
            <v>0</v>
          </cell>
          <cell r="F11913">
            <v>0</v>
          </cell>
          <cell r="DN11913">
            <v>0</v>
          </cell>
        </row>
        <row r="11914">
          <cell r="E11914">
            <v>0</v>
          </cell>
          <cell r="F11914">
            <v>0</v>
          </cell>
          <cell r="DN11914">
            <v>0</v>
          </cell>
        </row>
        <row r="11915">
          <cell r="E11915">
            <v>0</v>
          </cell>
          <cell r="F11915">
            <v>0</v>
          </cell>
          <cell r="DN11915">
            <v>0</v>
          </cell>
        </row>
        <row r="11916">
          <cell r="E11916">
            <v>0</v>
          </cell>
          <cell r="F11916">
            <v>0</v>
          </cell>
          <cell r="DN11916">
            <v>0</v>
          </cell>
        </row>
        <row r="11917">
          <cell r="E11917">
            <v>0</v>
          </cell>
          <cell r="F11917">
            <v>0</v>
          </cell>
          <cell r="DN11917">
            <v>0</v>
          </cell>
        </row>
        <row r="11918">
          <cell r="E11918">
            <v>0</v>
          </cell>
          <cell r="F11918">
            <v>0</v>
          </cell>
          <cell r="DN11918">
            <v>0</v>
          </cell>
        </row>
        <row r="11919">
          <cell r="E11919">
            <v>0</v>
          </cell>
          <cell r="F11919">
            <v>0</v>
          </cell>
          <cell r="DN11919">
            <v>0</v>
          </cell>
        </row>
        <row r="11920">
          <cell r="E11920">
            <v>0</v>
          </cell>
          <cell r="F11920">
            <v>0</v>
          </cell>
          <cell r="DN11920">
            <v>0</v>
          </cell>
        </row>
        <row r="11921">
          <cell r="E11921">
            <v>0</v>
          </cell>
          <cell r="F11921">
            <v>0</v>
          </cell>
          <cell r="DN11921">
            <v>0</v>
          </cell>
        </row>
        <row r="11922">
          <cell r="E11922">
            <v>0</v>
          </cell>
          <cell r="F11922">
            <v>0</v>
          </cell>
          <cell r="DN11922">
            <v>0</v>
          </cell>
        </row>
        <row r="11923">
          <cell r="E11923">
            <v>0</v>
          </cell>
          <cell r="F11923">
            <v>0</v>
          </cell>
          <cell r="DN11923">
            <v>0</v>
          </cell>
        </row>
        <row r="11924">
          <cell r="E11924">
            <v>0</v>
          </cell>
          <cell r="F11924">
            <v>0</v>
          </cell>
          <cell r="DN11924">
            <v>0</v>
          </cell>
        </row>
        <row r="11925">
          <cell r="E11925">
            <v>0</v>
          </cell>
          <cell r="F11925">
            <v>0</v>
          </cell>
          <cell r="DN11925">
            <v>0</v>
          </cell>
        </row>
        <row r="11926">
          <cell r="E11926">
            <v>0</v>
          </cell>
          <cell r="F11926">
            <v>0</v>
          </cell>
          <cell r="DN11926">
            <v>0</v>
          </cell>
        </row>
        <row r="11927">
          <cell r="E11927">
            <v>0</v>
          </cell>
          <cell r="F11927">
            <v>0</v>
          </cell>
          <cell r="DN11927">
            <v>0</v>
          </cell>
        </row>
        <row r="11928">
          <cell r="E11928">
            <v>0</v>
          </cell>
          <cell r="F11928">
            <v>0</v>
          </cell>
          <cell r="DN11928">
            <v>0</v>
          </cell>
        </row>
        <row r="11929">
          <cell r="E11929">
            <v>0</v>
          </cell>
          <cell r="F11929">
            <v>0</v>
          </cell>
          <cell r="DN11929">
            <v>0</v>
          </cell>
        </row>
        <row r="11930">
          <cell r="E11930">
            <v>0</v>
          </cell>
          <cell r="F11930">
            <v>0</v>
          </cell>
          <cell r="DN11930">
            <v>0</v>
          </cell>
        </row>
        <row r="11931">
          <cell r="E11931">
            <v>0</v>
          </cell>
          <cell r="F11931">
            <v>0</v>
          </cell>
          <cell r="DN11931">
            <v>0</v>
          </cell>
        </row>
        <row r="11932">
          <cell r="E11932">
            <v>0</v>
          </cell>
          <cell r="F11932">
            <v>0</v>
          </cell>
          <cell r="DN11932">
            <v>0</v>
          </cell>
        </row>
        <row r="11933">
          <cell r="E11933">
            <v>0</v>
          </cell>
          <cell r="F11933">
            <v>0</v>
          </cell>
          <cell r="DN11933">
            <v>0</v>
          </cell>
        </row>
        <row r="11934">
          <cell r="E11934">
            <v>0</v>
          </cell>
          <cell r="F11934">
            <v>0</v>
          </cell>
          <cell r="DN11934">
            <v>0</v>
          </cell>
        </row>
        <row r="11935">
          <cell r="E11935">
            <v>0</v>
          </cell>
          <cell r="F11935">
            <v>0</v>
          </cell>
          <cell r="DN11935">
            <v>0</v>
          </cell>
        </row>
        <row r="11936">
          <cell r="E11936">
            <v>0</v>
          </cell>
          <cell r="F11936">
            <v>0</v>
          </cell>
          <cell r="DN11936">
            <v>0</v>
          </cell>
        </row>
        <row r="11937">
          <cell r="E11937">
            <v>0</v>
          </cell>
          <cell r="F11937">
            <v>0</v>
          </cell>
          <cell r="DN11937">
            <v>0</v>
          </cell>
        </row>
        <row r="11938">
          <cell r="E11938">
            <v>0</v>
          </cell>
          <cell r="F11938">
            <v>0</v>
          </cell>
          <cell r="DN11938">
            <v>0</v>
          </cell>
        </row>
        <row r="11939">
          <cell r="E11939">
            <v>0</v>
          </cell>
          <cell r="F11939">
            <v>0</v>
          </cell>
          <cell r="DN11939">
            <v>0</v>
          </cell>
        </row>
        <row r="11940">
          <cell r="E11940">
            <v>0</v>
          </cell>
          <cell r="F11940">
            <v>0</v>
          </cell>
          <cell r="DN11940">
            <v>0</v>
          </cell>
        </row>
        <row r="11941">
          <cell r="E11941">
            <v>0</v>
          </cell>
          <cell r="F11941">
            <v>0</v>
          </cell>
          <cell r="DN11941">
            <v>0</v>
          </cell>
        </row>
        <row r="11942">
          <cell r="E11942">
            <v>0</v>
          </cell>
          <cell r="F11942">
            <v>0</v>
          </cell>
          <cell r="DN11942">
            <v>0</v>
          </cell>
        </row>
        <row r="11943">
          <cell r="E11943">
            <v>0</v>
          </cell>
          <cell r="F11943">
            <v>0</v>
          </cell>
          <cell r="DN11943">
            <v>0</v>
          </cell>
        </row>
        <row r="11944">
          <cell r="E11944">
            <v>0</v>
          </cell>
          <cell r="F11944">
            <v>0</v>
          </cell>
          <cell r="DN11944">
            <v>0</v>
          </cell>
        </row>
        <row r="11945">
          <cell r="E11945">
            <v>0</v>
          </cell>
          <cell r="F11945">
            <v>0</v>
          </cell>
          <cell r="DN11945">
            <v>0</v>
          </cell>
        </row>
        <row r="11946">
          <cell r="E11946">
            <v>0</v>
          </cell>
          <cell r="F11946">
            <v>0</v>
          </cell>
          <cell r="DN11946">
            <v>0</v>
          </cell>
        </row>
        <row r="11947">
          <cell r="E11947">
            <v>0</v>
          </cell>
          <cell r="F11947">
            <v>0</v>
          </cell>
          <cell r="DN11947">
            <v>0</v>
          </cell>
        </row>
        <row r="11948">
          <cell r="E11948">
            <v>0</v>
          </cell>
          <cell r="F11948">
            <v>0</v>
          </cell>
          <cell r="DN11948">
            <v>0</v>
          </cell>
        </row>
        <row r="11949">
          <cell r="E11949">
            <v>0</v>
          </cell>
          <cell r="F11949">
            <v>0</v>
          </cell>
          <cell r="DN11949">
            <v>0</v>
          </cell>
        </row>
        <row r="11950">
          <cell r="E11950">
            <v>0</v>
          </cell>
          <cell r="F11950">
            <v>0</v>
          </cell>
          <cell r="DN11950">
            <v>0</v>
          </cell>
        </row>
        <row r="11951">
          <cell r="E11951">
            <v>0</v>
          </cell>
          <cell r="F11951">
            <v>0</v>
          </cell>
          <cell r="DN11951">
            <v>0</v>
          </cell>
        </row>
        <row r="11952">
          <cell r="E11952">
            <v>0</v>
          </cell>
          <cell r="F11952">
            <v>0</v>
          </cell>
          <cell r="DN11952">
            <v>0</v>
          </cell>
        </row>
        <row r="11953">
          <cell r="E11953">
            <v>0</v>
          </cell>
          <cell r="F11953">
            <v>0</v>
          </cell>
          <cell r="DN11953">
            <v>0</v>
          </cell>
        </row>
        <row r="11954">
          <cell r="E11954">
            <v>0</v>
          </cell>
          <cell r="F11954">
            <v>0</v>
          </cell>
          <cell r="DN11954">
            <v>0</v>
          </cell>
        </row>
        <row r="11955">
          <cell r="E11955">
            <v>0</v>
          </cell>
          <cell r="F11955">
            <v>0</v>
          </cell>
          <cell r="DN11955">
            <v>0</v>
          </cell>
        </row>
        <row r="11956">
          <cell r="E11956">
            <v>0</v>
          </cell>
          <cell r="F11956">
            <v>0</v>
          </cell>
          <cell r="DN11956">
            <v>0</v>
          </cell>
        </row>
        <row r="11957">
          <cell r="E11957">
            <v>0</v>
          </cell>
          <cell r="F11957">
            <v>0</v>
          </cell>
          <cell r="DN11957">
            <v>0</v>
          </cell>
        </row>
        <row r="11958">
          <cell r="E11958">
            <v>0</v>
          </cell>
          <cell r="F11958">
            <v>0</v>
          </cell>
          <cell r="DN11958">
            <v>0</v>
          </cell>
        </row>
        <row r="11959">
          <cell r="E11959">
            <v>0</v>
          </cell>
          <cell r="F11959">
            <v>0</v>
          </cell>
          <cell r="DN11959">
            <v>0</v>
          </cell>
        </row>
        <row r="11960">
          <cell r="E11960">
            <v>0</v>
          </cell>
          <cell r="F11960">
            <v>0</v>
          </cell>
          <cell r="DN11960">
            <v>0</v>
          </cell>
        </row>
        <row r="11961">
          <cell r="E11961">
            <v>0</v>
          </cell>
          <cell r="F11961">
            <v>0</v>
          </cell>
          <cell r="DN11961">
            <v>0</v>
          </cell>
        </row>
        <row r="11962">
          <cell r="E11962">
            <v>0</v>
          </cell>
          <cell r="F11962">
            <v>0</v>
          </cell>
          <cell r="DN11962">
            <v>0</v>
          </cell>
        </row>
        <row r="11963">
          <cell r="E11963">
            <v>0</v>
          </cell>
          <cell r="F11963">
            <v>0</v>
          </cell>
          <cell r="DN11963">
            <v>0</v>
          </cell>
        </row>
        <row r="11964">
          <cell r="E11964">
            <v>0</v>
          </cell>
          <cell r="F11964">
            <v>0</v>
          </cell>
          <cell r="DN11964">
            <v>0</v>
          </cell>
        </row>
        <row r="11965">
          <cell r="E11965">
            <v>0</v>
          </cell>
          <cell r="F11965">
            <v>0</v>
          </cell>
          <cell r="DN11965">
            <v>0</v>
          </cell>
        </row>
        <row r="11966">
          <cell r="E11966">
            <v>0</v>
          </cell>
          <cell r="F11966">
            <v>0</v>
          </cell>
          <cell r="DN11966">
            <v>0</v>
          </cell>
        </row>
        <row r="11967">
          <cell r="E11967">
            <v>0</v>
          </cell>
          <cell r="F11967">
            <v>0</v>
          </cell>
          <cell r="DN11967">
            <v>0</v>
          </cell>
        </row>
        <row r="11968">
          <cell r="E11968">
            <v>0</v>
          </cell>
          <cell r="F11968">
            <v>0</v>
          </cell>
          <cell r="DN11968">
            <v>0</v>
          </cell>
        </row>
        <row r="11969">
          <cell r="E11969">
            <v>0</v>
          </cell>
          <cell r="F11969">
            <v>0</v>
          </cell>
          <cell r="DN11969">
            <v>0</v>
          </cell>
        </row>
        <row r="11970">
          <cell r="E11970">
            <v>0</v>
          </cell>
          <cell r="F11970">
            <v>0</v>
          </cell>
          <cell r="DN11970">
            <v>0</v>
          </cell>
        </row>
        <row r="11971">
          <cell r="E11971">
            <v>0</v>
          </cell>
          <cell r="F11971">
            <v>0</v>
          </cell>
          <cell r="DN11971">
            <v>0</v>
          </cell>
        </row>
        <row r="11972">
          <cell r="E11972">
            <v>0</v>
          </cell>
          <cell r="F11972">
            <v>0</v>
          </cell>
          <cell r="DN11972">
            <v>0</v>
          </cell>
        </row>
        <row r="11973">
          <cell r="E11973">
            <v>0</v>
          </cell>
          <cell r="F11973">
            <v>0</v>
          </cell>
          <cell r="DN11973">
            <v>0</v>
          </cell>
        </row>
        <row r="11974">
          <cell r="E11974">
            <v>0</v>
          </cell>
          <cell r="F11974">
            <v>0</v>
          </cell>
          <cell r="DN11974">
            <v>0</v>
          </cell>
        </row>
        <row r="11975">
          <cell r="E11975">
            <v>0</v>
          </cell>
          <cell r="F11975">
            <v>0</v>
          </cell>
          <cell r="DN11975">
            <v>0</v>
          </cell>
        </row>
        <row r="11976">
          <cell r="E11976">
            <v>0</v>
          </cell>
          <cell r="F11976">
            <v>0</v>
          </cell>
          <cell r="DN11976">
            <v>0</v>
          </cell>
        </row>
        <row r="11977">
          <cell r="E11977">
            <v>0</v>
          </cell>
          <cell r="F11977">
            <v>0</v>
          </cell>
          <cell r="DN11977">
            <v>0</v>
          </cell>
        </row>
        <row r="11978">
          <cell r="E11978">
            <v>0</v>
          </cell>
          <cell r="F11978">
            <v>0</v>
          </cell>
          <cell r="DN11978">
            <v>0</v>
          </cell>
        </row>
        <row r="11979">
          <cell r="E11979">
            <v>0</v>
          </cell>
          <cell r="F11979">
            <v>0</v>
          </cell>
          <cell r="DN11979">
            <v>0</v>
          </cell>
        </row>
        <row r="11980">
          <cell r="E11980">
            <v>0</v>
          </cell>
          <cell r="F11980">
            <v>0</v>
          </cell>
          <cell r="DN11980">
            <v>0</v>
          </cell>
        </row>
        <row r="11981">
          <cell r="E11981">
            <v>0</v>
          </cell>
          <cell r="F11981">
            <v>0</v>
          </cell>
          <cell r="DN11981">
            <v>0</v>
          </cell>
        </row>
        <row r="11982">
          <cell r="E11982">
            <v>0</v>
          </cell>
          <cell r="F11982">
            <v>0</v>
          </cell>
          <cell r="DN11982">
            <v>0</v>
          </cell>
        </row>
        <row r="11983">
          <cell r="E11983">
            <v>0</v>
          </cell>
          <cell r="F11983">
            <v>0</v>
          </cell>
          <cell r="DN11983">
            <v>0</v>
          </cell>
        </row>
        <row r="11984">
          <cell r="E11984">
            <v>0</v>
          </cell>
          <cell r="F11984">
            <v>0</v>
          </cell>
          <cell r="DN11984">
            <v>0</v>
          </cell>
        </row>
        <row r="11985">
          <cell r="E11985">
            <v>0</v>
          </cell>
          <cell r="F11985">
            <v>0</v>
          </cell>
          <cell r="DN11985">
            <v>0</v>
          </cell>
        </row>
        <row r="11986">
          <cell r="E11986">
            <v>0</v>
          </cell>
          <cell r="F11986">
            <v>0</v>
          </cell>
          <cell r="DN11986">
            <v>0</v>
          </cell>
        </row>
        <row r="11987">
          <cell r="E11987">
            <v>0</v>
          </cell>
          <cell r="F11987">
            <v>0</v>
          </cell>
          <cell r="DN11987">
            <v>0</v>
          </cell>
        </row>
        <row r="11988">
          <cell r="E11988">
            <v>0</v>
          </cell>
          <cell r="F11988">
            <v>0</v>
          </cell>
          <cell r="DN11988">
            <v>0</v>
          </cell>
        </row>
        <row r="11989">
          <cell r="E11989">
            <v>0</v>
          </cell>
          <cell r="F11989">
            <v>0</v>
          </cell>
          <cell r="DN11989">
            <v>0</v>
          </cell>
        </row>
        <row r="11990">
          <cell r="E11990">
            <v>0</v>
          </cell>
          <cell r="F11990">
            <v>0</v>
          </cell>
          <cell r="DN11990">
            <v>0</v>
          </cell>
        </row>
        <row r="11991">
          <cell r="E11991">
            <v>0</v>
          </cell>
          <cell r="F11991">
            <v>0</v>
          </cell>
          <cell r="DN11991">
            <v>0</v>
          </cell>
        </row>
        <row r="11992">
          <cell r="E11992">
            <v>0</v>
          </cell>
          <cell r="F11992">
            <v>0</v>
          </cell>
          <cell r="DN11992">
            <v>0</v>
          </cell>
        </row>
        <row r="11993">
          <cell r="E11993">
            <v>0</v>
          </cell>
          <cell r="F11993">
            <v>0</v>
          </cell>
          <cell r="DN11993">
            <v>0</v>
          </cell>
        </row>
        <row r="11994">
          <cell r="E11994">
            <v>0</v>
          </cell>
          <cell r="F11994">
            <v>0</v>
          </cell>
          <cell r="DN11994">
            <v>0</v>
          </cell>
        </row>
        <row r="11995">
          <cell r="E11995">
            <v>0</v>
          </cell>
          <cell r="F11995">
            <v>0</v>
          </cell>
          <cell r="DN11995">
            <v>0</v>
          </cell>
        </row>
        <row r="11996">
          <cell r="E11996">
            <v>0</v>
          </cell>
          <cell r="F11996">
            <v>0</v>
          </cell>
          <cell r="DN11996">
            <v>0</v>
          </cell>
        </row>
        <row r="11997">
          <cell r="E11997">
            <v>0</v>
          </cell>
          <cell r="F11997">
            <v>0</v>
          </cell>
          <cell r="DN11997">
            <v>0</v>
          </cell>
        </row>
        <row r="11998">
          <cell r="E11998">
            <v>0</v>
          </cell>
          <cell r="F11998">
            <v>0</v>
          </cell>
          <cell r="DN11998">
            <v>0</v>
          </cell>
        </row>
        <row r="11999">
          <cell r="E11999">
            <v>0</v>
          </cell>
          <cell r="F11999">
            <v>0</v>
          </cell>
          <cell r="DN11999">
            <v>0</v>
          </cell>
        </row>
        <row r="12000">
          <cell r="E12000">
            <v>0</v>
          </cell>
          <cell r="F12000">
            <v>0</v>
          </cell>
          <cell r="DN12000">
            <v>0</v>
          </cell>
        </row>
        <row r="12001">
          <cell r="E12001">
            <v>0</v>
          </cell>
          <cell r="F12001">
            <v>0</v>
          </cell>
          <cell r="DN12001">
            <v>0</v>
          </cell>
        </row>
        <row r="12002">
          <cell r="E12002">
            <v>0</v>
          </cell>
          <cell r="F12002">
            <v>0</v>
          </cell>
          <cell r="DN12002">
            <v>0</v>
          </cell>
        </row>
        <row r="12003">
          <cell r="E12003">
            <v>0</v>
          </cell>
          <cell r="F12003">
            <v>0</v>
          </cell>
          <cell r="DN12003">
            <v>0</v>
          </cell>
        </row>
        <row r="12004">
          <cell r="E12004">
            <v>0</v>
          </cell>
          <cell r="F12004">
            <v>0</v>
          </cell>
          <cell r="DN12004">
            <v>0</v>
          </cell>
        </row>
        <row r="12005">
          <cell r="E12005">
            <v>0</v>
          </cell>
          <cell r="F12005">
            <v>0</v>
          </cell>
          <cell r="DN12005">
            <v>0</v>
          </cell>
        </row>
        <row r="12006">
          <cell r="E12006">
            <v>0</v>
          </cell>
          <cell r="F12006">
            <v>0</v>
          </cell>
          <cell r="DN12006">
            <v>0</v>
          </cell>
        </row>
        <row r="12007">
          <cell r="E12007">
            <v>0</v>
          </cell>
          <cell r="F12007">
            <v>0</v>
          </cell>
          <cell r="DN12007">
            <v>0</v>
          </cell>
        </row>
        <row r="12008">
          <cell r="E12008">
            <v>0</v>
          </cell>
          <cell r="F12008">
            <v>0</v>
          </cell>
          <cell r="DN12008">
            <v>0</v>
          </cell>
        </row>
        <row r="12009">
          <cell r="E12009">
            <v>0</v>
          </cell>
          <cell r="F12009">
            <v>0</v>
          </cell>
          <cell r="DN12009">
            <v>0</v>
          </cell>
        </row>
        <row r="12010">
          <cell r="E12010">
            <v>0</v>
          </cell>
          <cell r="F12010">
            <v>0</v>
          </cell>
          <cell r="DN12010">
            <v>0</v>
          </cell>
        </row>
        <row r="12011">
          <cell r="E12011">
            <v>0</v>
          </cell>
          <cell r="F12011">
            <v>0</v>
          </cell>
          <cell r="DN12011">
            <v>0</v>
          </cell>
        </row>
        <row r="12012">
          <cell r="E12012">
            <v>0</v>
          </cell>
          <cell r="F12012">
            <v>0</v>
          </cell>
          <cell r="DN12012">
            <v>0</v>
          </cell>
        </row>
        <row r="12013">
          <cell r="E12013">
            <v>0</v>
          </cell>
          <cell r="F12013">
            <v>0</v>
          </cell>
          <cell r="DN12013">
            <v>0</v>
          </cell>
        </row>
        <row r="12014">
          <cell r="E12014">
            <v>0</v>
          </cell>
          <cell r="F12014">
            <v>0</v>
          </cell>
          <cell r="DN12014">
            <v>0</v>
          </cell>
        </row>
        <row r="12015">
          <cell r="E12015">
            <v>0</v>
          </cell>
          <cell r="F12015">
            <v>0</v>
          </cell>
          <cell r="DN12015">
            <v>0</v>
          </cell>
        </row>
        <row r="12016">
          <cell r="E12016">
            <v>0</v>
          </cell>
          <cell r="F12016">
            <v>0</v>
          </cell>
          <cell r="DN12016">
            <v>0</v>
          </cell>
        </row>
        <row r="12017">
          <cell r="E12017">
            <v>0</v>
          </cell>
          <cell r="F12017">
            <v>0</v>
          </cell>
          <cell r="DN12017">
            <v>0</v>
          </cell>
        </row>
        <row r="12018">
          <cell r="E12018">
            <v>0</v>
          </cell>
          <cell r="F12018">
            <v>0</v>
          </cell>
          <cell r="DN12018">
            <v>0</v>
          </cell>
        </row>
        <row r="12019">
          <cell r="E12019">
            <v>0</v>
          </cell>
          <cell r="F12019">
            <v>0</v>
          </cell>
          <cell r="DN12019">
            <v>0</v>
          </cell>
        </row>
        <row r="12020">
          <cell r="E12020">
            <v>0</v>
          </cell>
          <cell r="F12020">
            <v>0</v>
          </cell>
          <cell r="DN12020">
            <v>0</v>
          </cell>
        </row>
        <row r="12021">
          <cell r="E12021">
            <v>0</v>
          </cell>
          <cell r="F12021">
            <v>0</v>
          </cell>
          <cell r="DN12021">
            <v>0</v>
          </cell>
        </row>
        <row r="12022">
          <cell r="E12022">
            <v>0</v>
          </cell>
          <cell r="F12022">
            <v>0</v>
          </cell>
          <cell r="DN12022">
            <v>0</v>
          </cell>
        </row>
        <row r="12023">
          <cell r="E12023">
            <v>0</v>
          </cell>
          <cell r="F12023">
            <v>0</v>
          </cell>
          <cell r="DN12023">
            <v>0</v>
          </cell>
        </row>
        <row r="12024">
          <cell r="E12024">
            <v>0</v>
          </cell>
          <cell r="F12024">
            <v>0</v>
          </cell>
          <cell r="DN12024">
            <v>0</v>
          </cell>
        </row>
        <row r="12025">
          <cell r="E12025">
            <v>0</v>
          </cell>
          <cell r="F12025">
            <v>0</v>
          </cell>
          <cell r="DN12025">
            <v>0</v>
          </cell>
        </row>
        <row r="12026">
          <cell r="E12026">
            <v>0</v>
          </cell>
          <cell r="F12026">
            <v>0</v>
          </cell>
          <cell r="DN12026">
            <v>0</v>
          </cell>
        </row>
        <row r="12027">
          <cell r="E12027">
            <v>0</v>
          </cell>
          <cell r="F12027">
            <v>0</v>
          </cell>
          <cell r="DN12027">
            <v>0</v>
          </cell>
        </row>
        <row r="12028">
          <cell r="E12028">
            <v>0</v>
          </cell>
          <cell r="F12028">
            <v>0</v>
          </cell>
          <cell r="DN12028">
            <v>0</v>
          </cell>
        </row>
        <row r="12029">
          <cell r="E12029">
            <v>0</v>
          </cell>
          <cell r="F12029">
            <v>0</v>
          </cell>
          <cell r="DN12029">
            <v>0</v>
          </cell>
        </row>
        <row r="12030">
          <cell r="E12030">
            <v>0</v>
          </cell>
          <cell r="F12030">
            <v>0</v>
          </cell>
          <cell r="DN12030">
            <v>0</v>
          </cell>
        </row>
        <row r="12031">
          <cell r="E12031">
            <v>0</v>
          </cell>
          <cell r="F12031">
            <v>0</v>
          </cell>
          <cell r="DN12031">
            <v>0</v>
          </cell>
        </row>
        <row r="12032">
          <cell r="E12032">
            <v>0</v>
          </cell>
          <cell r="F12032">
            <v>0</v>
          </cell>
          <cell r="DN12032">
            <v>0</v>
          </cell>
        </row>
        <row r="12033">
          <cell r="E12033">
            <v>0</v>
          </cell>
          <cell r="F12033">
            <v>0</v>
          </cell>
          <cell r="DN12033">
            <v>0</v>
          </cell>
        </row>
        <row r="12034">
          <cell r="E12034">
            <v>0</v>
          </cell>
          <cell r="F12034">
            <v>0</v>
          </cell>
          <cell r="DN12034">
            <v>0</v>
          </cell>
        </row>
        <row r="12035">
          <cell r="E12035">
            <v>0</v>
          </cell>
          <cell r="F12035">
            <v>0</v>
          </cell>
          <cell r="DN12035">
            <v>0</v>
          </cell>
        </row>
        <row r="12036">
          <cell r="E12036">
            <v>0</v>
          </cell>
          <cell r="F12036">
            <v>0</v>
          </cell>
          <cell r="DN12036">
            <v>0</v>
          </cell>
        </row>
        <row r="12037">
          <cell r="E12037">
            <v>0</v>
          </cell>
          <cell r="F12037">
            <v>0</v>
          </cell>
          <cell r="DN12037">
            <v>0</v>
          </cell>
        </row>
        <row r="12038">
          <cell r="E12038">
            <v>0</v>
          </cell>
          <cell r="F12038">
            <v>0</v>
          </cell>
          <cell r="DN12038">
            <v>0</v>
          </cell>
        </row>
        <row r="12039">
          <cell r="E12039">
            <v>0</v>
          </cell>
          <cell r="F12039">
            <v>0</v>
          </cell>
          <cell r="DN12039">
            <v>0</v>
          </cell>
        </row>
        <row r="12040">
          <cell r="E12040">
            <v>0</v>
          </cell>
          <cell r="F12040">
            <v>0</v>
          </cell>
          <cell r="DN12040">
            <v>0</v>
          </cell>
        </row>
        <row r="12041">
          <cell r="E12041">
            <v>0</v>
          </cell>
          <cell r="F12041">
            <v>0</v>
          </cell>
          <cell r="DN12041">
            <v>0</v>
          </cell>
        </row>
        <row r="12042">
          <cell r="E12042">
            <v>0</v>
          </cell>
          <cell r="F12042">
            <v>0</v>
          </cell>
          <cell r="DN12042">
            <v>0</v>
          </cell>
        </row>
        <row r="12043">
          <cell r="E12043">
            <v>0</v>
          </cell>
          <cell r="F12043">
            <v>0</v>
          </cell>
          <cell r="DN12043">
            <v>0</v>
          </cell>
        </row>
        <row r="12044">
          <cell r="E12044">
            <v>0</v>
          </cell>
          <cell r="F12044">
            <v>0</v>
          </cell>
          <cell r="DN12044">
            <v>0</v>
          </cell>
        </row>
        <row r="12045">
          <cell r="E12045">
            <v>0</v>
          </cell>
          <cell r="F12045">
            <v>0</v>
          </cell>
          <cell r="DN12045">
            <v>0</v>
          </cell>
        </row>
        <row r="12046">
          <cell r="E12046">
            <v>0</v>
          </cell>
          <cell r="F12046">
            <v>0</v>
          </cell>
          <cell r="DN12046">
            <v>0</v>
          </cell>
        </row>
        <row r="12047">
          <cell r="E12047">
            <v>0</v>
          </cell>
          <cell r="F12047">
            <v>0</v>
          </cell>
          <cell r="DN12047">
            <v>0</v>
          </cell>
        </row>
        <row r="12048">
          <cell r="E12048">
            <v>0</v>
          </cell>
          <cell r="F12048">
            <v>0</v>
          </cell>
          <cell r="DN12048">
            <v>0</v>
          </cell>
        </row>
        <row r="12049">
          <cell r="E12049">
            <v>0</v>
          </cell>
          <cell r="F12049">
            <v>0</v>
          </cell>
          <cell r="DN12049">
            <v>0</v>
          </cell>
        </row>
        <row r="12050">
          <cell r="E12050">
            <v>0</v>
          </cell>
          <cell r="F12050">
            <v>0</v>
          </cell>
          <cell r="DN12050">
            <v>0</v>
          </cell>
        </row>
        <row r="12051">
          <cell r="E12051">
            <v>0</v>
          </cell>
          <cell r="F12051">
            <v>0</v>
          </cell>
          <cell r="DN12051">
            <v>0</v>
          </cell>
        </row>
        <row r="12052">
          <cell r="E12052">
            <v>0</v>
          </cell>
          <cell r="F12052">
            <v>0</v>
          </cell>
          <cell r="DN12052">
            <v>0</v>
          </cell>
        </row>
        <row r="12053">
          <cell r="E12053">
            <v>0</v>
          </cell>
          <cell r="F12053">
            <v>0</v>
          </cell>
          <cell r="DN12053">
            <v>0</v>
          </cell>
        </row>
        <row r="12054">
          <cell r="E12054">
            <v>0</v>
          </cell>
          <cell r="F12054">
            <v>0</v>
          </cell>
          <cell r="DN12054">
            <v>0</v>
          </cell>
        </row>
        <row r="12055">
          <cell r="E12055">
            <v>0</v>
          </cell>
          <cell r="F12055">
            <v>0</v>
          </cell>
          <cell r="DN12055">
            <v>0</v>
          </cell>
        </row>
        <row r="12056">
          <cell r="E12056">
            <v>0</v>
          </cell>
          <cell r="F12056">
            <v>0</v>
          </cell>
          <cell r="DN12056">
            <v>0</v>
          </cell>
        </row>
        <row r="12057">
          <cell r="E12057">
            <v>0</v>
          </cell>
          <cell r="F12057">
            <v>0</v>
          </cell>
          <cell r="DN12057">
            <v>0</v>
          </cell>
        </row>
        <row r="12058">
          <cell r="E12058">
            <v>0</v>
          </cell>
          <cell r="F12058">
            <v>0</v>
          </cell>
          <cell r="DN12058">
            <v>0</v>
          </cell>
        </row>
        <row r="12059">
          <cell r="E12059">
            <v>0</v>
          </cell>
          <cell r="F12059">
            <v>0</v>
          </cell>
          <cell r="DN12059">
            <v>0</v>
          </cell>
        </row>
        <row r="12060">
          <cell r="E12060">
            <v>0</v>
          </cell>
          <cell r="F12060">
            <v>0</v>
          </cell>
          <cell r="DN12060">
            <v>0</v>
          </cell>
        </row>
        <row r="12061">
          <cell r="E12061">
            <v>0</v>
          </cell>
          <cell r="F12061">
            <v>0</v>
          </cell>
          <cell r="DN12061">
            <v>0</v>
          </cell>
        </row>
        <row r="12062">
          <cell r="E12062">
            <v>0</v>
          </cell>
          <cell r="F12062">
            <v>0</v>
          </cell>
          <cell r="DN12062">
            <v>0</v>
          </cell>
        </row>
        <row r="12063">
          <cell r="E12063">
            <v>0</v>
          </cell>
          <cell r="F12063">
            <v>0</v>
          </cell>
          <cell r="DN12063">
            <v>0</v>
          </cell>
        </row>
        <row r="12064">
          <cell r="E12064">
            <v>0</v>
          </cell>
          <cell r="F12064">
            <v>0</v>
          </cell>
          <cell r="DN12064">
            <v>0</v>
          </cell>
        </row>
        <row r="12065">
          <cell r="E12065">
            <v>0</v>
          </cell>
          <cell r="F12065">
            <v>0</v>
          </cell>
          <cell r="DN12065">
            <v>0</v>
          </cell>
        </row>
        <row r="12066">
          <cell r="E12066">
            <v>0</v>
          </cell>
          <cell r="F12066">
            <v>0</v>
          </cell>
          <cell r="DN12066">
            <v>0</v>
          </cell>
        </row>
        <row r="12067">
          <cell r="E12067">
            <v>0</v>
          </cell>
          <cell r="F12067">
            <v>0</v>
          </cell>
          <cell r="DN12067">
            <v>0</v>
          </cell>
        </row>
        <row r="12068">
          <cell r="E12068">
            <v>0</v>
          </cell>
          <cell r="F12068">
            <v>0</v>
          </cell>
          <cell r="DN12068">
            <v>0</v>
          </cell>
        </row>
        <row r="12069">
          <cell r="E12069">
            <v>0</v>
          </cell>
          <cell r="F12069">
            <v>0</v>
          </cell>
          <cell r="DN12069">
            <v>0</v>
          </cell>
        </row>
        <row r="12070">
          <cell r="E12070">
            <v>0</v>
          </cell>
          <cell r="F12070">
            <v>0</v>
          </cell>
          <cell r="DN12070">
            <v>0</v>
          </cell>
        </row>
        <row r="12071">
          <cell r="E12071">
            <v>0</v>
          </cell>
          <cell r="F12071">
            <v>0</v>
          </cell>
          <cell r="DN12071">
            <v>0</v>
          </cell>
        </row>
        <row r="12072">
          <cell r="E12072">
            <v>0</v>
          </cell>
          <cell r="F12072">
            <v>0</v>
          </cell>
          <cell r="DN12072">
            <v>0</v>
          </cell>
        </row>
        <row r="12073">
          <cell r="E12073">
            <v>0</v>
          </cell>
          <cell r="F12073">
            <v>0</v>
          </cell>
          <cell r="DN12073">
            <v>0</v>
          </cell>
        </row>
        <row r="12074">
          <cell r="E12074">
            <v>0</v>
          </cell>
          <cell r="F12074">
            <v>0</v>
          </cell>
          <cell r="DN12074">
            <v>0</v>
          </cell>
        </row>
        <row r="12075">
          <cell r="E12075">
            <v>0</v>
          </cell>
          <cell r="F12075">
            <v>0</v>
          </cell>
          <cell r="DN12075">
            <v>0</v>
          </cell>
        </row>
        <row r="12076">
          <cell r="E12076">
            <v>0</v>
          </cell>
          <cell r="F12076">
            <v>0</v>
          </cell>
          <cell r="DN12076">
            <v>0</v>
          </cell>
        </row>
        <row r="12077">
          <cell r="E12077">
            <v>0</v>
          </cell>
          <cell r="F12077">
            <v>0</v>
          </cell>
          <cell r="DN12077">
            <v>0</v>
          </cell>
        </row>
        <row r="12078">
          <cell r="E12078">
            <v>0</v>
          </cell>
          <cell r="F12078">
            <v>0</v>
          </cell>
          <cell r="DN12078">
            <v>0</v>
          </cell>
        </row>
        <row r="12079">
          <cell r="E12079">
            <v>0</v>
          </cell>
          <cell r="F12079">
            <v>0</v>
          </cell>
          <cell r="DN12079">
            <v>0</v>
          </cell>
        </row>
        <row r="12080">
          <cell r="E12080">
            <v>0</v>
          </cell>
          <cell r="F12080">
            <v>0</v>
          </cell>
          <cell r="DN12080">
            <v>0</v>
          </cell>
        </row>
        <row r="12081">
          <cell r="E12081">
            <v>0</v>
          </cell>
          <cell r="F12081">
            <v>0</v>
          </cell>
          <cell r="DN12081">
            <v>0</v>
          </cell>
        </row>
        <row r="12082">
          <cell r="E12082">
            <v>0</v>
          </cell>
          <cell r="F12082">
            <v>0</v>
          </cell>
          <cell r="DN12082">
            <v>0</v>
          </cell>
        </row>
        <row r="12083">
          <cell r="E12083">
            <v>0</v>
          </cell>
          <cell r="F12083">
            <v>0</v>
          </cell>
          <cell r="DN12083">
            <v>0</v>
          </cell>
        </row>
        <row r="12084">
          <cell r="E12084">
            <v>0</v>
          </cell>
          <cell r="F12084">
            <v>0</v>
          </cell>
          <cell r="DN12084">
            <v>0</v>
          </cell>
        </row>
        <row r="12085">
          <cell r="E12085">
            <v>0</v>
          </cell>
          <cell r="F12085">
            <v>0</v>
          </cell>
          <cell r="DN12085">
            <v>0</v>
          </cell>
        </row>
        <row r="12086">
          <cell r="E12086">
            <v>0</v>
          </cell>
          <cell r="F12086">
            <v>0</v>
          </cell>
          <cell r="DN12086">
            <v>0</v>
          </cell>
        </row>
        <row r="12087">
          <cell r="E12087">
            <v>0</v>
          </cell>
          <cell r="F12087">
            <v>0</v>
          </cell>
          <cell r="DN12087">
            <v>0</v>
          </cell>
        </row>
        <row r="12088">
          <cell r="E12088">
            <v>0</v>
          </cell>
          <cell r="F12088">
            <v>0</v>
          </cell>
          <cell r="DN12088">
            <v>0</v>
          </cell>
        </row>
        <row r="12089">
          <cell r="E12089">
            <v>0</v>
          </cell>
          <cell r="F12089">
            <v>0</v>
          </cell>
          <cell r="DN12089">
            <v>0</v>
          </cell>
        </row>
        <row r="12090">
          <cell r="E12090">
            <v>0</v>
          </cell>
          <cell r="F12090">
            <v>0</v>
          </cell>
          <cell r="DN12090">
            <v>0</v>
          </cell>
        </row>
        <row r="12091">
          <cell r="E12091">
            <v>0</v>
          </cell>
          <cell r="F12091">
            <v>0</v>
          </cell>
          <cell r="DN12091">
            <v>0</v>
          </cell>
        </row>
        <row r="12092">
          <cell r="E12092">
            <v>0</v>
          </cell>
          <cell r="F12092">
            <v>0</v>
          </cell>
          <cell r="DN12092">
            <v>0</v>
          </cell>
        </row>
        <row r="12093">
          <cell r="E12093">
            <v>0</v>
          </cell>
          <cell r="F12093">
            <v>0</v>
          </cell>
          <cell r="DN12093">
            <v>0</v>
          </cell>
        </row>
        <row r="12094">
          <cell r="E12094">
            <v>0</v>
          </cell>
          <cell r="F12094">
            <v>0</v>
          </cell>
          <cell r="DN12094">
            <v>0</v>
          </cell>
        </row>
        <row r="12095">
          <cell r="E12095">
            <v>0</v>
          </cell>
          <cell r="F12095">
            <v>0</v>
          </cell>
          <cell r="DN12095">
            <v>0</v>
          </cell>
        </row>
        <row r="12096">
          <cell r="E12096">
            <v>0</v>
          </cell>
          <cell r="F12096">
            <v>0</v>
          </cell>
          <cell r="DN12096">
            <v>0</v>
          </cell>
        </row>
        <row r="12097">
          <cell r="E12097">
            <v>0</v>
          </cell>
          <cell r="F12097">
            <v>0</v>
          </cell>
          <cell r="DN12097">
            <v>0</v>
          </cell>
        </row>
        <row r="12098">
          <cell r="E12098">
            <v>0</v>
          </cell>
          <cell r="F12098">
            <v>0</v>
          </cell>
          <cell r="DN12098">
            <v>0</v>
          </cell>
        </row>
        <row r="12099">
          <cell r="E12099">
            <v>0</v>
          </cell>
          <cell r="F12099">
            <v>0</v>
          </cell>
          <cell r="DN12099">
            <v>0</v>
          </cell>
        </row>
        <row r="12100">
          <cell r="E12100">
            <v>0</v>
          </cell>
          <cell r="F12100">
            <v>0</v>
          </cell>
          <cell r="DN12100">
            <v>0</v>
          </cell>
        </row>
        <row r="12101">
          <cell r="E12101">
            <v>0</v>
          </cell>
          <cell r="F12101">
            <v>0</v>
          </cell>
          <cell r="DN12101">
            <v>0</v>
          </cell>
        </row>
        <row r="12102">
          <cell r="E12102">
            <v>0</v>
          </cell>
          <cell r="F12102">
            <v>0</v>
          </cell>
          <cell r="DN12102">
            <v>0</v>
          </cell>
        </row>
        <row r="12103">
          <cell r="E12103">
            <v>0</v>
          </cell>
          <cell r="F12103">
            <v>0</v>
          </cell>
          <cell r="DN12103">
            <v>0</v>
          </cell>
        </row>
        <row r="12104">
          <cell r="E12104">
            <v>0</v>
          </cell>
          <cell r="F12104">
            <v>0</v>
          </cell>
          <cell r="DN12104">
            <v>0</v>
          </cell>
        </row>
        <row r="12105">
          <cell r="E12105">
            <v>0</v>
          </cell>
          <cell r="F12105">
            <v>0</v>
          </cell>
          <cell r="DN12105">
            <v>0</v>
          </cell>
        </row>
        <row r="12106">
          <cell r="E12106">
            <v>0</v>
          </cell>
          <cell r="F12106">
            <v>0</v>
          </cell>
          <cell r="DN12106">
            <v>0</v>
          </cell>
        </row>
        <row r="12107">
          <cell r="E12107">
            <v>0</v>
          </cell>
          <cell r="F12107">
            <v>0</v>
          </cell>
          <cell r="DN12107">
            <v>0</v>
          </cell>
        </row>
        <row r="12108">
          <cell r="E12108">
            <v>0</v>
          </cell>
          <cell r="F12108">
            <v>0</v>
          </cell>
          <cell r="DN12108">
            <v>0</v>
          </cell>
        </row>
        <row r="12109">
          <cell r="E12109">
            <v>0</v>
          </cell>
          <cell r="F12109">
            <v>0</v>
          </cell>
          <cell r="DN12109">
            <v>0</v>
          </cell>
        </row>
        <row r="12110">
          <cell r="E12110">
            <v>0</v>
          </cell>
          <cell r="F12110">
            <v>0</v>
          </cell>
          <cell r="DN12110">
            <v>0</v>
          </cell>
        </row>
        <row r="12111">
          <cell r="E12111">
            <v>0</v>
          </cell>
          <cell r="F12111">
            <v>0</v>
          </cell>
          <cell r="DN12111">
            <v>0</v>
          </cell>
        </row>
        <row r="12112">
          <cell r="E12112">
            <v>0</v>
          </cell>
          <cell r="F12112">
            <v>0</v>
          </cell>
          <cell r="DN12112">
            <v>0</v>
          </cell>
        </row>
        <row r="12113">
          <cell r="E12113">
            <v>0</v>
          </cell>
          <cell r="F12113">
            <v>0</v>
          </cell>
          <cell r="DN12113">
            <v>0</v>
          </cell>
        </row>
        <row r="12114">
          <cell r="E12114">
            <v>0</v>
          </cell>
          <cell r="F12114">
            <v>0</v>
          </cell>
          <cell r="DN12114">
            <v>0</v>
          </cell>
        </row>
        <row r="12115">
          <cell r="E12115">
            <v>0</v>
          </cell>
          <cell r="F12115">
            <v>0</v>
          </cell>
          <cell r="DN12115">
            <v>0</v>
          </cell>
        </row>
        <row r="12116">
          <cell r="E12116">
            <v>0</v>
          </cell>
          <cell r="F12116">
            <v>0</v>
          </cell>
          <cell r="DN12116">
            <v>0</v>
          </cell>
        </row>
        <row r="12117">
          <cell r="E12117">
            <v>0</v>
          </cell>
          <cell r="F12117">
            <v>0</v>
          </cell>
          <cell r="DN12117">
            <v>0</v>
          </cell>
        </row>
        <row r="12118">
          <cell r="E12118">
            <v>0</v>
          </cell>
          <cell r="F12118">
            <v>0</v>
          </cell>
          <cell r="DN12118">
            <v>0</v>
          </cell>
        </row>
        <row r="12119">
          <cell r="E12119">
            <v>0</v>
          </cell>
          <cell r="F12119">
            <v>0</v>
          </cell>
          <cell r="DN12119">
            <v>0</v>
          </cell>
        </row>
        <row r="12120">
          <cell r="E12120">
            <v>0</v>
          </cell>
          <cell r="F12120">
            <v>0</v>
          </cell>
          <cell r="DN12120">
            <v>0</v>
          </cell>
        </row>
        <row r="12121">
          <cell r="E12121">
            <v>0</v>
          </cell>
          <cell r="F12121">
            <v>0</v>
          </cell>
          <cell r="DN12121">
            <v>0</v>
          </cell>
        </row>
        <row r="12122">
          <cell r="E12122">
            <v>0</v>
          </cell>
          <cell r="F12122">
            <v>0</v>
          </cell>
          <cell r="DN12122">
            <v>0</v>
          </cell>
        </row>
        <row r="12123">
          <cell r="E12123">
            <v>0</v>
          </cell>
          <cell r="F12123">
            <v>0</v>
          </cell>
          <cell r="DN12123">
            <v>0</v>
          </cell>
        </row>
        <row r="12124">
          <cell r="E12124">
            <v>0</v>
          </cell>
          <cell r="F12124">
            <v>0</v>
          </cell>
          <cell r="DN12124">
            <v>0</v>
          </cell>
        </row>
        <row r="12125">
          <cell r="E12125">
            <v>0</v>
          </cell>
          <cell r="F12125">
            <v>0</v>
          </cell>
          <cell r="DN12125">
            <v>0</v>
          </cell>
        </row>
        <row r="12126">
          <cell r="E12126">
            <v>0</v>
          </cell>
          <cell r="F12126">
            <v>0</v>
          </cell>
          <cell r="DN12126">
            <v>0</v>
          </cell>
        </row>
        <row r="12127">
          <cell r="E12127">
            <v>0</v>
          </cell>
          <cell r="F12127">
            <v>0</v>
          </cell>
          <cell r="DN12127">
            <v>0</v>
          </cell>
        </row>
        <row r="12128">
          <cell r="E12128">
            <v>0</v>
          </cell>
          <cell r="F12128">
            <v>0</v>
          </cell>
          <cell r="DN12128">
            <v>0</v>
          </cell>
        </row>
        <row r="12129">
          <cell r="E12129">
            <v>0</v>
          </cell>
          <cell r="F12129">
            <v>0</v>
          </cell>
          <cell r="DN12129">
            <v>0</v>
          </cell>
        </row>
        <row r="12130">
          <cell r="E12130">
            <v>0</v>
          </cell>
          <cell r="F12130">
            <v>0</v>
          </cell>
          <cell r="DN12130">
            <v>0</v>
          </cell>
        </row>
        <row r="12131">
          <cell r="E12131">
            <v>0</v>
          </cell>
          <cell r="F12131">
            <v>0</v>
          </cell>
          <cell r="DN12131">
            <v>0</v>
          </cell>
        </row>
        <row r="12132">
          <cell r="E12132">
            <v>0</v>
          </cell>
          <cell r="F12132">
            <v>0</v>
          </cell>
          <cell r="DN12132">
            <v>0</v>
          </cell>
        </row>
        <row r="12133">
          <cell r="E12133">
            <v>0</v>
          </cell>
          <cell r="F12133">
            <v>0</v>
          </cell>
          <cell r="DN12133">
            <v>0</v>
          </cell>
        </row>
        <row r="12134">
          <cell r="E12134">
            <v>0</v>
          </cell>
          <cell r="F12134">
            <v>0</v>
          </cell>
          <cell r="DN12134">
            <v>0</v>
          </cell>
        </row>
        <row r="12135">
          <cell r="E12135">
            <v>0</v>
          </cell>
          <cell r="F12135">
            <v>0</v>
          </cell>
          <cell r="DN12135">
            <v>0</v>
          </cell>
        </row>
        <row r="12136">
          <cell r="E12136">
            <v>0</v>
          </cell>
          <cell r="F12136">
            <v>0</v>
          </cell>
          <cell r="DN12136">
            <v>0</v>
          </cell>
        </row>
        <row r="12137">
          <cell r="E12137">
            <v>0</v>
          </cell>
          <cell r="F12137">
            <v>0</v>
          </cell>
          <cell r="DN12137">
            <v>0</v>
          </cell>
        </row>
        <row r="12138">
          <cell r="E12138">
            <v>0</v>
          </cell>
          <cell r="F12138">
            <v>0</v>
          </cell>
          <cell r="DN12138">
            <v>0</v>
          </cell>
        </row>
        <row r="12139">
          <cell r="E12139">
            <v>0</v>
          </cell>
          <cell r="F12139">
            <v>0</v>
          </cell>
          <cell r="DN12139">
            <v>0</v>
          </cell>
        </row>
        <row r="12140">
          <cell r="E12140">
            <v>0</v>
          </cell>
          <cell r="F12140">
            <v>0</v>
          </cell>
          <cell r="DN12140">
            <v>0</v>
          </cell>
        </row>
        <row r="12141">
          <cell r="E12141">
            <v>0</v>
          </cell>
          <cell r="F12141">
            <v>0</v>
          </cell>
          <cell r="DN12141">
            <v>0</v>
          </cell>
        </row>
        <row r="12142">
          <cell r="E12142">
            <v>0</v>
          </cell>
          <cell r="F12142">
            <v>0</v>
          </cell>
          <cell r="DN12142">
            <v>0</v>
          </cell>
        </row>
        <row r="12143">
          <cell r="E12143">
            <v>0</v>
          </cell>
          <cell r="F12143">
            <v>0</v>
          </cell>
          <cell r="DN12143">
            <v>0</v>
          </cell>
        </row>
        <row r="12144">
          <cell r="E12144">
            <v>0</v>
          </cell>
          <cell r="F12144">
            <v>0</v>
          </cell>
          <cell r="DN12144">
            <v>0</v>
          </cell>
        </row>
        <row r="12145">
          <cell r="E12145">
            <v>0</v>
          </cell>
          <cell r="F12145">
            <v>0</v>
          </cell>
          <cell r="DN12145">
            <v>0</v>
          </cell>
        </row>
        <row r="12146">
          <cell r="E12146">
            <v>0</v>
          </cell>
          <cell r="F12146">
            <v>0</v>
          </cell>
          <cell r="DN12146">
            <v>0</v>
          </cell>
        </row>
        <row r="12147">
          <cell r="E12147">
            <v>0</v>
          </cell>
          <cell r="F12147">
            <v>0</v>
          </cell>
          <cell r="DN12147">
            <v>0</v>
          </cell>
        </row>
        <row r="12148">
          <cell r="E12148">
            <v>0</v>
          </cell>
          <cell r="F12148">
            <v>0</v>
          </cell>
          <cell r="DN12148">
            <v>0</v>
          </cell>
        </row>
        <row r="12149">
          <cell r="E12149">
            <v>0</v>
          </cell>
          <cell r="F12149">
            <v>0</v>
          </cell>
          <cell r="DN12149">
            <v>0</v>
          </cell>
        </row>
        <row r="12150">
          <cell r="E12150">
            <v>0</v>
          </cell>
          <cell r="F12150">
            <v>0</v>
          </cell>
          <cell r="DN12150">
            <v>0</v>
          </cell>
        </row>
        <row r="12151">
          <cell r="E12151">
            <v>0</v>
          </cell>
          <cell r="F12151">
            <v>0</v>
          </cell>
          <cell r="DN12151">
            <v>0</v>
          </cell>
        </row>
        <row r="12152">
          <cell r="E12152">
            <v>0</v>
          </cell>
          <cell r="F12152">
            <v>0</v>
          </cell>
          <cell r="DN12152">
            <v>0</v>
          </cell>
        </row>
        <row r="12153">
          <cell r="E12153">
            <v>0</v>
          </cell>
          <cell r="F12153">
            <v>0</v>
          </cell>
          <cell r="DN12153">
            <v>0</v>
          </cell>
        </row>
        <row r="12154">
          <cell r="E12154">
            <v>0</v>
          </cell>
          <cell r="F12154">
            <v>0</v>
          </cell>
          <cell r="DN12154">
            <v>0</v>
          </cell>
        </row>
        <row r="12155">
          <cell r="E12155">
            <v>0</v>
          </cell>
          <cell r="F12155">
            <v>0</v>
          </cell>
          <cell r="DN12155">
            <v>0</v>
          </cell>
        </row>
        <row r="12156">
          <cell r="E12156">
            <v>0</v>
          </cell>
          <cell r="F12156">
            <v>0</v>
          </cell>
          <cell r="DN12156">
            <v>0</v>
          </cell>
        </row>
        <row r="12157">
          <cell r="E12157">
            <v>0</v>
          </cell>
          <cell r="F12157">
            <v>0</v>
          </cell>
          <cell r="DN12157">
            <v>0</v>
          </cell>
        </row>
        <row r="12158">
          <cell r="E12158">
            <v>0</v>
          </cell>
          <cell r="F12158">
            <v>0</v>
          </cell>
          <cell r="DN12158">
            <v>0</v>
          </cell>
        </row>
        <row r="12159">
          <cell r="E12159">
            <v>0</v>
          </cell>
          <cell r="F12159">
            <v>0</v>
          </cell>
          <cell r="DN12159">
            <v>0</v>
          </cell>
        </row>
        <row r="12160">
          <cell r="E12160">
            <v>0</v>
          </cell>
          <cell r="F12160">
            <v>0</v>
          </cell>
          <cell r="DN12160">
            <v>0</v>
          </cell>
        </row>
        <row r="12161">
          <cell r="E12161">
            <v>0</v>
          </cell>
          <cell r="F12161">
            <v>0</v>
          </cell>
          <cell r="DN12161">
            <v>0</v>
          </cell>
        </row>
        <row r="12162">
          <cell r="E12162">
            <v>0</v>
          </cell>
          <cell r="F12162">
            <v>0</v>
          </cell>
          <cell r="DN12162">
            <v>0</v>
          </cell>
        </row>
        <row r="12163">
          <cell r="E12163">
            <v>0</v>
          </cell>
          <cell r="F12163">
            <v>0</v>
          </cell>
          <cell r="DN12163">
            <v>0</v>
          </cell>
        </row>
        <row r="12164">
          <cell r="E12164">
            <v>0</v>
          </cell>
          <cell r="F12164">
            <v>0</v>
          </cell>
          <cell r="DN12164">
            <v>0</v>
          </cell>
        </row>
        <row r="12165">
          <cell r="E12165">
            <v>0</v>
          </cell>
          <cell r="F12165">
            <v>0</v>
          </cell>
          <cell r="DN12165">
            <v>0</v>
          </cell>
        </row>
        <row r="12166">
          <cell r="E12166">
            <v>0</v>
          </cell>
          <cell r="F12166">
            <v>0</v>
          </cell>
          <cell r="DN12166">
            <v>0</v>
          </cell>
        </row>
        <row r="12167">
          <cell r="E12167">
            <v>0</v>
          </cell>
          <cell r="F12167">
            <v>0</v>
          </cell>
          <cell r="DN12167">
            <v>0</v>
          </cell>
        </row>
        <row r="12168">
          <cell r="E12168">
            <v>0</v>
          </cell>
          <cell r="F12168">
            <v>0</v>
          </cell>
          <cell r="DN12168">
            <v>0</v>
          </cell>
        </row>
        <row r="12169">
          <cell r="E12169">
            <v>0</v>
          </cell>
          <cell r="F12169">
            <v>0</v>
          </cell>
          <cell r="DN12169">
            <v>0</v>
          </cell>
        </row>
        <row r="12170">
          <cell r="E12170">
            <v>0</v>
          </cell>
          <cell r="F12170">
            <v>0</v>
          </cell>
          <cell r="DN12170">
            <v>0</v>
          </cell>
        </row>
        <row r="12171">
          <cell r="E12171">
            <v>0</v>
          </cell>
          <cell r="F12171">
            <v>0</v>
          </cell>
          <cell r="DN12171">
            <v>0</v>
          </cell>
        </row>
        <row r="12172">
          <cell r="E12172">
            <v>0</v>
          </cell>
          <cell r="F12172">
            <v>0</v>
          </cell>
          <cell r="DN12172">
            <v>0</v>
          </cell>
        </row>
        <row r="12173">
          <cell r="E12173">
            <v>0</v>
          </cell>
          <cell r="F12173">
            <v>0</v>
          </cell>
          <cell r="DN12173">
            <v>0</v>
          </cell>
        </row>
        <row r="12174">
          <cell r="E12174">
            <v>0</v>
          </cell>
          <cell r="F12174">
            <v>0</v>
          </cell>
          <cell r="DN12174">
            <v>0</v>
          </cell>
        </row>
        <row r="12175">
          <cell r="E12175">
            <v>0</v>
          </cell>
          <cell r="F12175">
            <v>0</v>
          </cell>
          <cell r="DN12175">
            <v>0</v>
          </cell>
        </row>
        <row r="12176">
          <cell r="E12176">
            <v>0</v>
          </cell>
          <cell r="F12176">
            <v>0</v>
          </cell>
          <cell r="DN12176">
            <v>0</v>
          </cell>
        </row>
        <row r="12177">
          <cell r="E12177">
            <v>0</v>
          </cell>
          <cell r="F12177">
            <v>0</v>
          </cell>
          <cell r="DN12177">
            <v>0</v>
          </cell>
        </row>
        <row r="12178">
          <cell r="E12178">
            <v>0</v>
          </cell>
          <cell r="F12178">
            <v>0</v>
          </cell>
          <cell r="DN12178">
            <v>0</v>
          </cell>
        </row>
        <row r="12179">
          <cell r="E12179">
            <v>0</v>
          </cell>
          <cell r="F12179">
            <v>0</v>
          </cell>
          <cell r="DN12179">
            <v>0</v>
          </cell>
        </row>
        <row r="12180">
          <cell r="E12180">
            <v>0</v>
          </cell>
          <cell r="F12180">
            <v>0</v>
          </cell>
          <cell r="DN12180">
            <v>0</v>
          </cell>
        </row>
        <row r="12181">
          <cell r="E12181">
            <v>0</v>
          </cell>
          <cell r="F12181">
            <v>0</v>
          </cell>
          <cell r="DN12181">
            <v>0</v>
          </cell>
        </row>
        <row r="12182">
          <cell r="E12182">
            <v>0</v>
          </cell>
          <cell r="F12182">
            <v>0</v>
          </cell>
          <cell r="DN12182">
            <v>0</v>
          </cell>
        </row>
        <row r="12183">
          <cell r="E12183">
            <v>0</v>
          </cell>
          <cell r="F12183">
            <v>0</v>
          </cell>
          <cell r="DN12183">
            <v>0</v>
          </cell>
        </row>
        <row r="12184">
          <cell r="E12184">
            <v>0</v>
          </cell>
          <cell r="F12184">
            <v>0</v>
          </cell>
          <cell r="DN12184">
            <v>0</v>
          </cell>
        </row>
        <row r="12185">
          <cell r="E12185">
            <v>0</v>
          </cell>
          <cell r="F12185">
            <v>0</v>
          </cell>
          <cell r="DN12185">
            <v>0</v>
          </cell>
        </row>
        <row r="12186">
          <cell r="E12186">
            <v>0</v>
          </cell>
          <cell r="F12186">
            <v>0</v>
          </cell>
          <cell r="DN12186">
            <v>0</v>
          </cell>
        </row>
        <row r="12187">
          <cell r="E12187">
            <v>0</v>
          </cell>
          <cell r="F12187">
            <v>0</v>
          </cell>
          <cell r="DN12187">
            <v>0</v>
          </cell>
        </row>
        <row r="12188">
          <cell r="E12188">
            <v>0</v>
          </cell>
          <cell r="F12188">
            <v>0</v>
          </cell>
          <cell r="DN12188">
            <v>0</v>
          </cell>
        </row>
        <row r="12189">
          <cell r="E12189">
            <v>0</v>
          </cell>
          <cell r="F12189">
            <v>0</v>
          </cell>
          <cell r="DN12189">
            <v>0</v>
          </cell>
        </row>
        <row r="12190">
          <cell r="E12190">
            <v>0</v>
          </cell>
          <cell r="F12190">
            <v>0</v>
          </cell>
          <cell r="DN12190">
            <v>0</v>
          </cell>
        </row>
        <row r="12191">
          <cell r="E12191">
            <v>0</v>
          </cell>
          <cell r="F12191">
            <v>0</v>
          </cell>
          <cell r="DN12191">
            <v>0</v>
          </cell>
        </row>
        <row r="12192">
          <cell r="E12192">
            <v>0</v>
          </cell>
          <cell r="F12192">
            <v>0</v>
          </cell>
          <cell r="DN12192">
            <v>0</v>
          </cell>
        </row>
        <row r="12193">
          <cell r="E12193">
            <v>0</v>
          </cell>
          <cell r="F12193">
            <v>0</v>
          </cell>
          <cell r="DN12193">
            <v>0</v>
          </cell>
        </row>
        <row r="12194">
          <cell r="E12194">
            <v>0</v>
          </cell>
          <cell r="F12194">
            <v>0</v>
          </cell>
          <cell r="DN12194">
            <v>0</v>
          </cell>
        </row>
        <row r="12195">
          <cell r="E12195">
            <v>0</v>
          </cell>
          <cell r="F12195">
            <v>0</v>
          </cell>
          <cell r="DN12195">
            <v>0</v>
          </cell>
        </row>
        <row r="12196">
          <cell r="E12196">
            <v>0</v>
          </cell>
          <cell r="F12196">
            <v>0</v>
          </cell>
          <cell r="DN12196">
            <v>0</v>
          </cell>
        </row>
        <row r="12197">
          <cell r="E12197">
            <v>0</v>
          </cell>
          <cell r="F12197">
            <v>0</v>
          </cell>
          <cell r="DN12197">
            <v>0</v>
          </cell>
        </row>
        <row r="12198">
          <cell r="E12198">
            <v>0</v>
          </cell>
          <cell r="F12198">
            <v>0</v>
          </cell>
          <cell r="DN12198">
            <v>0</v>
          </cell>
        </row>
        <row r="12199">
          <cell r="E12199">
            <v>0</v>
          </cell>
          <cell r="F12199">
            <v>0</v>
          </cell>
          <cell r="DN12199">
            <v>0</v>
          </cell>
        </row>
        <row r="12200">
          <cell r="E12200">
            <v>0</v>
          </cell>
          <cell r="F12200">
            <v>0</v>
          </cell>
          <cell r="DN12200">
            <v>0</v>
          </cell>
        </row>
        <row r="12201">
          <cell r="E12201">
            <v>0</v>
          </cell>
          <cell r="F12201">
            <v>0</v>
          </cell>
          <cell r="DN12201">
            <v>0</v>
          </cell>
        </row>
        <row r="12202">
          <cell r="E12202">
            <v>0</v>
          </cell>
          <cell r="F12202">
            <v>0</v>
          </cell>
          <cell r="DN12202">
            <v>0</v>
          </cell>
        </row>
        <row r="12203">
          <cell r="E12203">
            <v>0</v>
          </cell>
          <cell r="F12203">
            <v>0</v>
          </cell>
          <cell r="DN12203">
            <v>0</v>
          </cell>
        </row>
        <row r="12204">
          <cell r="E12204">
            <v>0</v>
          </cell>
          <cell r="F12204">
            <v>0</v>
          </cell>
          <cell r="DN12204">
            <v>0</v>
          </cell>
        </row>
        <row r="12205">
          <cell r="E12205">
            <v>0</v>
          </cell>
          <cell r="F12205">
            <v>0</v>
          </cell>
          <cell r="DN12205">
            <v>0</v>
          </cell>
        </row>
        <row r="12206">
          <cell r="E12206">
            <v>0</v>
          </cell>
          <cell r="F12206">
            <v>0</v>
          </cell>
          <cell r="DN12206">
            <v>0</v>
          </cell>
        </row>
        <row r="12207">
          <cell r="E12207">
            <v>0</v>
          </cell>
          <cell r="F12207">
            <v>0</v>
          </cell>
          <cell r="DN12207">
            <v>0</v>
          </cell>
        </row>
        <row r="12208">
          <cell r="E12208">
            <v>0</v>
          </cell>
          <cell r="F12208">
            <v>0</v>
          </cell>
          <cell r="DN12208">
            <v>0</v>
          </cell>
        </row>
        <row r="12209">
          <cell r="E12209">
            <v>0</v>
          </cell>
          <cell r="F12209">
            <v>0</v>
          </cell>
          <cell r="DN12209">
            <v>0</v>
          </cell>
        </row>
        <row r="12210">
          <cell r="E12210">
            <v>0</v>
          </cell>
          <cell r="F12210">
            <v>0</v>
          </cell>
          <cell r="DN12210">
            <v>0</v>
          </cell>
        </row>
        <row r="12211">
          <cell r="E12211">
            <v>0</v>
          </cell>
          <cell r="F12211">
            <v>0</v>
          </cell>
          <cell r="DN12211">
            <v>0</v>
          </cell>
        </row>
        <row r="12212">
          <cell r="E12212">
            <v>0</v>
          </cell>
          <cell r="F12212">
            <v>0</v>
          </cell>
          <cell r="DN12212">
            <v>0</v>
          </cell>
        </row>
        <row r="12213">
          <cell r="E12213">
            <v>0</v>
          </cell>
          <cell r="F12213">
            <v>0</v>
          </cell>
          <cell r="DN12213">
            <v>0</v>
          </cell>
        </row>
        <row r="12214">
          <cell r="E12214">
            <v>0</v>
          </cell>
          <cell r="F12214">
            <v>0</v>
          </cell>
          <cell r="DN12214">
            <v>0</v>
          </cell>
        </row>
        <row r="12215">
          <cell r="E12215">
            <v>0</v>
          </cell>
          <cell r="F12215">
            <v>0</v>
          </cell>
          <cell r="DN12215">
            <v>0</v>
          </cell>
        </row>
        <row r="12216">
          <cell r="E12216">
            <v>0</v>
          </cell>
          <cell r="F12216">
            <v>0</v>
          </cell>
          <cell r="DN12216">
            <v>0</v>
          </cell>
        </row>
        <row r="12217">
          <cell r="E12217">
            <v>0</v>
          </cell>
          <cell r="F12217">
            <v>0</v>
          </cell>
          <cell r="DN12217">
            <v>0</v>
          </cell>
        </row>
        <row r="12218">
          <cell r="E12218">
            <v>0</v>
          </cell>
          <cell r="F12218">
            <v>0</v>
          </cell>
          <cell r="DN12218">
            <v>0</v>
          </cell>
        </row>
        <row r="12219">
          <cell r="E12219">
            <v>0</v>
          </cell>
          <cell r="F12219">
            <v>0</v>
          </cell>
          <cell r="DN12219">
            <v>0</v>
          </cell>
        </row>
        <row r="12220">
          <cell r="E12220">
            <v>0</v>
          </cell>
          <cell r="F12220">
            <v>0</v>
          </cell>
          <cell r="DN12220">
            <v>0</v>
          </cell>
        </row>
        <row r="12221">
          <cell r="E12221">
            <v>0</v>
          </cell>
          <cell r="F12221">
            <v>0</v>
          </cell>
          <cell r="DN12221">
            <v>0</v>
          </cell>
        </row>
        <row r="12222">
          <cell r="E12222">
            <v>0</v>
          </cell>
          <cell r="F12222">
            <v>0</v>
          </cell>
          <cell r="DN12222">
            <v>0</v>
          </cell>
        </row>
        <row r="12223">
          <cell r="E12223">
            <v>0</v>
          </cell>
          <cell r="F12223">
            <v>0</v>
          </cell>
          <cell r="DN12223">
            <v>0</v>
          </cell>
        </row>
        <row r="12224">
          <cell r="E12224">
            <v>0</v>
          </cell>
          <cell r="F12224">
            <v>0</v>
          </cell>
          <cell r="DN12224">
            <v>0</v>
          </cell>
        </row>
        <row r="12225">
          <cell r="E12225">
            <v>0</v>
          </cell>
          <cell r="F12225">
            <v>0</v>
          </cell>
          <cell r="DN12225">
            <v>0</v>
          </cell>
        </row>
        <row r="12226">
          <cell r="E12226">
            <v>0</v>
          </cell>
          <cell r="F12226">
            <v>0</v>
          </cell>
          <cell r="DN12226">
            <v>0</v>
          </cell>
        </row>
        <row r="12227">
          <cell r="E12227">
            <v>0</v>
          </cell>
          <cell r="F12227">
            <v>0</v>
          </cell>
          <cell r="DN12227">
            <v>0</v>
          </cell>
        </row>
        <row r="12228">
          <cell r="E12228">
            <v>0</v>
          </cell>
          <cell r="F12228">
            <v>0</v>
          </cell>
          <cell r="DN12228">
            <v>0</v>
          </cell>
        </row>
        <row r="12229">
          <cell r="E12229">
            <v>0</v>
          </cell>
          <cell r="F12229">
            <v>0</v>
          </cell>
          <cell r="DN12229">
            <v>0</v>
          </cell>
        </row>
        <row r="12230">
          <cell r="E12230">
            <v>0</v>
          </cell>
          <cell r="F12230">
            <v>0</v>
          </cell>
          <cell r="DN12230">
            <v>0</v>
          </cell>
        </row>
        <row r="12231">
          <cell r="E12231">
            <v>0</v>
          </cell>
          <cell r="F12231">
            <v>0</v>
          </cell>
          <cell r="DN12231">
            <v>0</v>
          </cell>
        </row>
        <row r="12232">
          <cell r="E12232">
            <v>0</v>
          </cell>
          <cell r="F12232">
            <v>0</v>
          </cell>
          <cell r="DN12232">
            <v>0</v>
          </cell>
        </row>
        <row r="12233">
          <cell r="E12233">
            <v>0</v>
          </cell>
          <cell r="F12233">
            <v>0</v>
          </cell>
          <cell r="DN12233">
            <v>0</v>
          </cell>
        </row>
        <row r="12234">
          <cell r="E12234">
            <v>0</v>
          </cell>
          <cell r="F12234">
            <v>0</v>
          </cell>
          <cell r="DN12234">
            <v>0</v>
          </cell>
        </row>
        <row r="12235">
          <cell r="E12235">
            <v>0</v>
          </cell>
          <cell r="F12235">
            <v>0</v>
          </cell>
          <cell r="DN12235">
            <v>0</v>
          </cell>
        </row>
        <row r="12236">
          <cell r="E12236">
            <v>0</v>
          </cell>
          <cell r="F12236">
            <v>0</v>
          </cell>
          <cell r="DN12236">
            <v>0</v>
          </cell>
        </row>
        <row r="12237">
          <cell r="E12237">
            <v>0</v>
          </cell>
          <cell r="F12237">
            <v>0</v>
          </cell>
          <cell r="DN12237">
            <v>0</v>
          </cell>
        </row>
        <row r="12238">
          <cell r="E12238">
            <v>0</v>
          </cell>
          <cell r="F12238">
            <v>0</v>
          </cell>
          <cell r="DN12238">
            <v>0</v>
          </cell>
        </row>
        <row r="12239">
          <cell r="E12239">
            <v>0</v>
          </cell>
          <cell r="F12239">
            <v>0</v>
          </cell>
          <cell r="DN12239">
            <v>0</v>
          </cell>
        </row>
        <row r="12240">
          <cell r="E12240">
            <v>0</v>
          </cell>
          <cell r="F12240">
            <v>0</v>
          </cell>
          <cell r="DN12240">
            <v>0</v>
          </cell>
        </row>
        <row r="12241">
          <cell r="E12241">
            <v>0</v>
          </cell>
          <cell r="F12241">
            <v>0</v>
          </cell>
          <cell r="DN12241">
            <v>0</v>
          </cell>
        </row>
        <row r="12242">
          <cell r="E12242">
            <v>0</v>
          </cell>
          <cell r="F12242">
            <v>0</v>
          </cell>
          <cell r="DN12242">
            <v>0</v>
          </cell>
        </row>
        <row r="12243">
          <cell r="E12243">
            <v>0</v>
          </cell>
          <cell r="F12243">
            <v>0</v>
          </cell>
          <cell r="DN12243">
            <v>0</v>
          </cell>
        </row>
        <row r="12244">
          <cell r="E12244">
            <v>0</v>
          </cell>
          <cell r="F12244">
            <v>0</v>
          </cell>
          <cell r="DN12244">
            <v>0</v>
          </cell>
        </row>
        <row r="12245">
          <cell r="E12245">
            <v>0</v>
          </cell>
          <cell r="F12245">
            <v>0</v>
          </cell>
          <cell r="DN12245">
            <v>0</v>
          </cell>
        </row>
        <row r="12246">
          <cell r="E12246">
            <v>0</v>
          </cell>
          <cell r="F12246">
            <v>0</v>
          </cell>
          <cell r="DN12246">
            <v>0</v>
          </cell>
        </row>
        <row r="12247">
          <cell r="E12247">
            <v>0</v>
          </cell>
          <cell r="F12247">
            <v>0</v>
          </cell>
          <cell r="DN12247">
            <v>0</v>
          </cell>
        </row>
        <row r="12248">
          <cell r="E12248">
            <v>0</v>
          </cell>
          <cell r="F12248">
            <v>0</v>
          </cell>
          <cell r="DN12248">
            <v>0</v>
          </cell>
        </row>
        <row r="12249">
          <cell r="E12249">
            <v>0</v>
          </cell>
          <cell r="F12249">
            <v>0</v>
          </cell>
          <cell r="DN12249">
            <v>0</v>
          </cell>
        </row>
        <row r="12250">
          <cell r="E12250">
            <v>0</v>
          </cell>
          <cell r="F12250">
            <v>0</v>
          </cell>
          <cell r="DN12250">
            <v>0</v>
          </cell>
        </row>
        <row r="12251">
          <cell r="E12251">
            <v>0</v>
          </cell>
          <cell r="F12251">
            <v>0</v>
          </cell>
          <cell r="DN12251">
            <v>0</v>
          </cell>
        </row>
        <row r="12252">
          <cell r="E12252">
            <v>0</v>
          </cell>
          <cell r="F12252">
            <v>0</v>
          </cell>
          <cell r="DN12252">
            <v>0</v>
          </cell>
        </row>
        <row r="12253">
          <cell r="E12253">
            <v>0</v>
          </cell>
          <cell r="F12253">
            <v>0</v>
          </cell>
          <cell r="DN12253">
            <v>0</v>
          </cell>
        </row>
        <row r="12254">
          <cell r="E12254">
            <v>0</v>
          </cell>
          <cell r="F12254">
            <v>0</v>
          </cell>
          <cell r="DN12254">
            <v>0</v>
          </cell>
        </row>
        <row r="12255">
          <cell r="E12255">
            <v>0</v>
          </cell>
          <cell r="F12255">
            <v>0</v>
          </cell>
          <cell r="DN12255">
            <v>0</v>
          </cell>
        </row>
        <row r="12256">
          <cell r="E12256">
            <v>0</v>
          </cell>
          <cell r="F12256">
            <v>0</v>
          </cell>
          <cell r="DN12256">
            <v>0</v>
          </cell>
        </row>
        <row r="12257">
          <cell r="E12257">
            <v>0</v>
          </cell>
          <cell r="F12257">
            <v>0</v>
          </cell>
          <cell r="DN12257">
            <v>0</v>
          </cell>
        </row>
        <row r="12258">
          <cell r="E12258">
            <v>0</v>
          </cell>
          <cell r="F12258">
            <v>0</v>
          </cell>
          <cell r="DN12258">
            <v>0</v>
          </cell>
        </row>
        <row r="12259">
          <cell r="E12259">
            <v>0</v>
          </cell>
          <cell r="F12259">
            <v>0</v>
          </cell>
          <cell r="DN12259">
            <v>0</v>
          </cell>
        </row>
        <row r="12260">
          <cell r="E12260">
            <v>0</v>
          </cell>
          <cell r="F12260">
            <v>0</v>
          </cell>
          <cell r="DN12260">
            <v>0</v>
          </cell>
        </row>
        <row r="12261">
          <cell r="E12261">
            <v>0</v>
          </cell>
          <cell r="F12261">
            <v>0</v>
          </cell>
          <cell r="DN12261">
            <v>0</v>
          </cell>
        </row>
        <row r="12262">
          <cell r="E12262">
            <v>0</v>
          </cell>
          <cell r="F12262">
            <v>0</v>
          </cell>
          <cell r="DN12262">
            <v>0</v>
          </cell>
        </row>
        <row r="12263">
          <cell r="E12263">
            <v>0</v>
          </cell>
          <cell r="F12263">
            <v>0</v>
          </cell>
          <cell r="DN12263">
            <v>0</v>
          </cell>
        </row>
        <row r="12264">
          <cell r="E12264">
            <v>0</v>
          </cell>
          <cell r="F12264">
            <v>0</v>
          </cell>
          <cell r="DN12264">
            <v>0</v>
          </cell>
        </row>
        <row r="12265">
          <cell r="E12265">
            <v>0</v>
          </cell>
          <cell r="F12265">
            <v>0</v>
          </cell>
          <cell r="DN12265">
            <v>0</v>
          </cell>
        </row>
        <row r="12266">
          <cell r="E12266">
            <v>0</v>
          </cell>
          <cell r="F12266">
            <v>0</v>
          </cell>
          <cell r="DN12266">
            <v>0</v>
          </cell>
        </row>
        <row r="12267">
          <cell r="E12267">
            <v>0</v>
          </cell>
          <cell r="F12267">
            <v>0</v>
          </cell>
          <cell r="DN12267">
            <v>0</v>
          </cell>
        </row>
        <row r="12268">
          <cell r="E12268">
            <v>0</v>
          </cell>
          <cell r="F12268">
            <v>0</v>
          </cell>
          <cell r="DN12268">
            <v>0</v>
          </cell>
        </row>
        <row r="12269">
          <cell r="E12269">
            <v>0</v>
          </cell>
          <cell r="F12269">
            <v>0</v>
          </cell>
          <cell r="DN12269">
            <v>0</v>
          </cell>
        </row>
        <row r="12270">
          <cell r="E12270">
            <v>0</v>
          </cell>
          <cell r="F12270">
            <v>0</v>
          </cell>
          <cell r="DN12270">
            <v>0</v>
          </cell>
        </row>
        <row r="12271">
          <cell r="E12271">
            <v>0</v>
          </cell>
          <cell r="F12271">
            <v>0</v>
          </cell>
          <cell r="DN12271">
            <v>0</v>
          </cell>
        </row>
        <row r="12272">
          <cell r="E12272">
            <v>0</v>
          </cell>
          <cell r="F12272">
            <v>0</v>
          </cell>
          <cell r="DN12272">
            <v>0</v>
          </cell>
        </row>
        <row r="12273">
          <cell r="E12273">
            <v>0</v>
          </cell>
          <cell r="F12273">
            <v>0</v>
          </cell>
          <cell r="DN12273">
            <v>0</v>
          </cell>
        </row>
        <row r="12274">
          <cell r="E12274">
            <v>0</v>
          </cell>
          <cell r="F12274">
            <v>0</v>
          </cell>
          <cell r="DN12274">
            <v>0</v>
          </cell>
        </row>
        <row r="12275">
          <cell r="E12275">
            <v>0</v>
          </cell>
          <cell r="F12275">
            <v>0</v>
          </cell>
          <cell r="DN12275">
            <v>0</v>
          </cell>
        </row>
        <row r="12276">
          <cell r="E12276">
            <v>0</v>
          </cell>
          <cell r="F12276">
            <v>0</v>
          </cell>
          <cell r="DN12276">
            <v>0</v>
          </cell>
        </row>
        <row r="12277">
          <cell r="E12277">
            <v>0</v>
          </cell>
          <cell r="F12277">
            <v>0</v>
          </cell>
          <cell r="DN12277">
            <v>0</v>
          </cell>
        </row>
        <row r="12278">
          <cell r="E12278">
            <v>0</v>
          </cell>
          <cell r="F12278">
            <v>0</v>
          </cell>
          <cell r="DN12278">
            <v>0</v>
          </cell>
        </row>
        <row r="12279">
          <cell r="E12279">
            <v>0</v>
          </cell>
          <cell r="F12279">
            <v>0</v>
          </cell>
          <cell r="DN12279">
            <v>0</v>
          </cell>
        </row>
        <row r="12280">
          <cell r="E12280">
            <v>0</v>
          </cell>
          <cell r="F12280">
            <v>0</v>
          </cell>
          <cell r="DN12280">
            <v>0</v>
          </cell>
        </row>
        <row r="12281">
          <cell r="E12281">
            <v>0</v>
          </cell>
          <cell r="F12281">
            <v>0</v>
          </cell>
          <cell r="DN12281">
            <v>0</v>
          </cell>
        </row>
        <row r="12282">
          <cell r="E12282">
            <v>0</v>
          </cell>
          <cell r="F12282">
            <v>0</v>
          </cell>
          <cell r="DN12282">
            <v>0</v>
          </cell>
        </row>
        <row r="12283">
          <cell r="E12283">
            <v>0</v>
          </cell>
          <cell r="F12283">
            <v>0</v>
          </cell>
          <cell r="DN12283">
            <v>0</v>
          </cell>
        </row>
        <row r="12284">
          <cell r="E12284">
            <v>0</v>
          </cell>
          <cell r="F12284">
            <v>0</v>
          </cell>
          <cell r="DN12284">
            <v>0</v>
          </cell>
        </row>
        <row r="12285">
          <cell r="E12285">
            <v>0</v>
          </cell>
          <cell r="F12285">
            <v>0</v>
          </cell>
          <cell r="DN12285">
            <v>0</v>
          </cell>
        </row>
        <row r="12286">
          <cell r="E12286">
            <v>0</v>
          </cell>
          <cell r="F12286">
            <v>0</v>
          </cell>
          <cell r="DN12286">
            <v>0</v>
          </cell>
        </row>
        <row r="12287">
          <cell r="E12287">
            <v>0</v>
          </cell>
          <cell r="F12287">
            <v>0</v>
          </cell>
          <cell r="DN12287">
            <v>0</v>
          </cell>
        </row>
        <row r="12288">
          <cell r="E12288">
            <v>0</v>
          </cell>
          <cell r="F12288">
            <v>0</v>
          </cell>
          <cell r="DN12288">
            <v>0</v>
          </cell>
        </row>
        <row r="12289">
          <cell r="E12289">
            <v>0</v>
          </cell>
          <cell r="F12289">
            <v>0</v>
          </cell>
          <cell r="DN12289">
            <v>0</v>
          </cell>
        </row>
        <row r="12290">
          <cell r="E12290">
            <v>0</v>
          </cell>
          <cell r="F12290">
            <v>0</v>
          </cell>
          <cell r="DN12290">
            <v>0</v>
          </cell>
        </row>
        <row r="12291">
          <cell r="E12291">
            <v>0</v>
          </cell>
          <cell r="F12291">
            <v>0</v>
          </cell>
          <cell r="DN12291">
            <v>0</v>
          </cell>
        </row>
        <row r="12292">
          <cell r="E12292">
            <v>0</v>
          </cell>
          <cell r="F12292">
            <v>0</v>
          </cell>
          <cell r="DN12292">
            <v>0</v>
          </cell>
        </row>
        <row r="12293">
          <cell r="E12293">
            <v>0</v>
          </cell>
          <cell r="F12293">
            <v>0</v>
          </cell>
          <cell r="DN12293">
            <v>0</v>
          </cell>
        </row>
        <row r="12294">
          <cell r="E12294">
            <v>0</v>
          </cell>
          <cell r="F12294">
            <v>0</v>
          </cell>
          <cell r="DN12294">
            <v>0</v>
          </cell>
        </row>
        <row r="12295">
          <cell r="E12295">
            <v>0</v>
          </cell>
          <cell r="F12295">
            <v>0</v>
          </cell>
          <cell r="DN12295">
            <v>0</v>
          </cell>
        </row>
        <row r="12296">
          <cell r="E12296">
            <v>0</v>
          </cell>
          <cell r="F12296">
            <v>0</v>
          </cell>
          <cell r="DN12296">
            <v>0</v>
          </cell>
        </row>
        <row r="12297">
          <cell r="E12297">
            <v>0</v>
          </cell>
          <cell r="F12297">
            <v>0</v>
          </cell>
          <cell r="DN12297">
            <v>0</v>
          </cell>
        </row>
        <row r="12298">
          <cell r="E12298">
            <v>0</v>
          </cell>
          <cell r="F12298">
            <v>0</v>
          </cell>
          <cell r="DN12298">
            <v>0</v>
          </cell>
        </row>
        <row r="12299">
          <cell r="E12299">
            <v>0</v>
          </cell>
          <cell r="F12299">
            <v>0</v>
          </cell>
          <cell r="DN12299">
            <v>0</v>
          </cell>
        </row>
        <row r="12300">
          <cell r="E12300">
            <v>0</v>
          </cell>
          <cell r="F12300">
            <v>0</v>
          </cell>
          <cell r="DN12300">
            <v>0</v>
          </cell>
        </row>
        <row r="12301">
          <cell r="E12301">
            <v>0</v>
          </cell>
          <cell r="F12301">
            <v>0</v>
          </cell>
          <cell r="DN12301">
            <v>0</v>
          </cell>
        </row>
        <row r="12302">
          <cell r="E12302">
            <v>0</v>
          </cell>
          <cell r="F12302">
            <v>0</v>
          </cell>
          <cell r="DN12302">
            <v>0</v>
          </cell>
        </row>
        <row r="12303">
          <cell r="E12303">
            <v>0</v>
          </cell>
          <cell r="F12303">
            <v>0</v>
          </cell>
          <cell r="DN12303">
            <v>0</v>
          </cell>
        </row>
        <row r="12304">
          <cell r="E12304">
            <v>0</v>
          </cell>
          <cell r="F12304">
            <v>0</v>
          </cell>
          <cell r="DN12304">
            <v>0</v>
          </cell>
        </row>
        <row r="12305">
          <cell r="E12305">
            <v>0</v>
          </cell>
          <cell r="F12305">
            <v>0</v>
          </cell>
          <cell r="DN12305">
            <v>0</v>
          </cell>
        </row>
        <row r="12306">
          <cell r="E12306">
            <v>0</v>
          </cell>
          <cell r="F12306">
            <v>0</v>
          </cell>
          <cell r="DN12306">
            <v>0</v>
          </cell>
        </row>
        <row r="12307">
          <cell r="E12307">
            <v>0</v>
          </cell>
          <cell r="F12307">
            <v>0</v>
          </cell>
          <cell r="DN12307">
            <v>0</v>
          </cell>
        </row>
        <row r="12308">
          <cell r="E12308">
            <v>0</v>
          </cell>
          <cell r="F12308">
            <v>0</v>
          </cell>
          <cell r="DN12308">
            <v>0</v>
          </cell>
        </row>
        <row r="12309">
          <cell r="E12309">
            <v>0</v>
          </cell>
          <cell r="F12309">
            <v>0</v>
          </cell>
          <cell r="DN12309">
            <v>0</v>
          </cell>
        </row>
        <row r="12310">
          <cell r="E12310">
            <v>0</v>
          </cell>
          <cell r="F12310">
            <v>0</v>
          </cell>
          <cell r="DN12310">
            <v>0</v>
          </cell>
        </row>
        <row r="12311">
          <cell r="E12311">
            <v>0</v>
          </cell>
          <cell r="F12311">
            <v>0</v>
          </cell>
          <cell r="DN12311">
            <v>0</v>
          </cell>
        </row>
        <row r="12312">
          <cell r="E12312">
            <v>0</v>
          </cell>
          <cell r="F12312">
            <v>0</v>
          </cell>
          <cell r="DN12312">
            <v>0</v>
          </cell>
        </row>
        <row r="12313">
          <cell r="E12313">
            <v>0</v>
          </cell>
          <cell r="F12313">
            <v>0</v>
          </cell>
          <cell r="DN12313">
            <v>0</v>
          </cell>
        </row>
        <row r="12314">
          <cell r="E12314">
            <v>0</v>
          </cell>
          <cell r="F12314">
            <v>0</v>
          </cell>
          <cell r="DN12314">
            <v>0</v>
          </cell>
        </row>
        <row r="12315">
          <cell r="E12315">
            <v>0</v>
          </cell>
          <cell r="F12315">
            <v>0</v>
          </cell>
          <cell r="DN12315">
            <v>0</v>
          </cell>
        </row>
        <row r="12316">
          <cell r="E12316">
            <v>0</v>
          </cell>
          <cell r="F12316">
            <v>0</v>
          </cell>
          <cell r="DN12316">
            <v>0</v>
          </cell>
        </row>
        <row r="12317">
          <cell r="E12317">
            <v>0</v>
          </cell>
          <cell r="F12317">
            <v>0</v>
          </cell>
          <cell r="DN12317">
            <v>0</v>
          </cell>
        </row>
        <row r="12318">
          <cell r="E12318">
            <v>0</v>
          </cell>
          <cell r="F12318">
            <v>0</v>
          </cell>
          <cell r="DN12318">
            <v>0</v>
          </cell>
        </row>
        <row r="12319">
          <cell r="E12319">
            <v>0</v>
          </cell>
          <cell r="F12319">
            <v>0</v>
          </cell>
          <cell r="DN12319">
            <v>0</v>
          </cell>
        </row>
        <row r="12320">
          <cell r="E12320">
            <v>0</v>
          </cell>
          <cell r="F12320">
            <v>0</v>
          </cell>
          <cell r="DN12320">
            <v>0</v>
          </cell>
        </row>
        <row r="12321">
          <cell r="E12321">
            <v>0</v>
          </cell>
          <cell r="F12321">
            <v>0</v>
          </cell>
          <cell r="DN12321">
            <v>0</v>
          </cell>
        </row>
        <row r="12322">
          <cell r="E12322">
            <v>0</v>
          </cell>
          <cell r="F12322">
            <v>0</v>
          </cell>
          <cell r="DN12322">
            <v>0</v>
          </cell>
        </row>
        <row r="12323">
          <cell r="E12323">
            <v>0</v>
          </cell>
          <cell r="F12323">
            <v>0</v>
          </cell>
          <cell r="DN12323">
            <v>0</v>
          </cell>
        </row>
        <row r="12324">
          <cell r="E12324">
            <v>0</v>
          </cell>
          <cell r="F12324">
            <v>0</v>
          </cell>
          <cell r="DN12324">
            <v>0</v>
          </cell>
        </row>
        <row r="12325">
          <cell r="E12325">
            <v>0</v>
          </cell>
          <cell r="F12325">
            <v>0</v>
          </cell>
          <cell r="DN12325">
            <v>0</v>
          </cell>
        </row>
        <row r="12326">
          <cell r="E12326">
            <v>0</v>
          </cell>
          <cell r="F12326">
            <v>0</v>
          </cell>
          <cell r="DN12326">
            <v>0</v>
          </cell>
        </row>
        <row r="12327">
          <cell r="E12327">
            <v>0</v>
          </cell>
          <cell r="F12327">
            <v>0</v>
          </cell>
          <cell r="DN12327">
            <v>0</v>
          </cell>
        </row>
        <row r="12328">
          <cell r="E12328">
            <v>0</v>
          </cell>
          <cell r="F12328">
            <v>0</v>
          </cell>
          <cell r="DN12328">
            <v>0</v>
          </cell>
        </row>
        <row r="12329">
          <cell r="E12329">
            <v>0</v>
          </cell>
          <cell r="F12329">
            <v>0</v>
          </cell>
          <cell r="DN12329">
            <v>0</v>
          </cell>
        </row>
        <row r="12330">
          <cell r="E12330">
            <v>0</v>
          </cell>
          <cell r="F12330">
            <v>0</v>
          </cell>
          <cell r="DN12330">
            <v>0</v>
          </cell>
        </row>
        <row r="12331">
          <cell r="E12331">
            <v>0</v>
          </cell>
          <cell r="F12331">
            <v>0</v>
          </cell>
          <cell r="DN12331">
            <v>0</v>
          </cell>
        </row>
        <row r="12332">
          <cell r="E12332">
            <v>0</v>
          </cell>
          <cell r="F12332">
            <v>0</v>
          </cell>
          <cell r="DN12332">
            <v>0</v>
          </cell>
        </row>
        <row r="12333">
          <cell r="E12333">
            <v>0</v>
          </cell>
          <cell r="F12333">
            <v>0</v>
          </cell>
          <cell r="DN12333">
            <v>0</v>
          </cell>
        </row>
        <row r="12334">
          <cell r="E12334">
            <v>0</v>
          </cell>
          <cell r="F12334">
            <v>0</v>
          </cell>
          <cell r="DN12334">
            <v>0</v>
          </cell>
        </row>
        <row r="12335">
          <cell r="E12335">
            <v>0</v>
          </cell>
          <cell r="F12335">
            <v>0</v>
          </cell>
          <cell r="DN12335">
            <v>0</v>
          </cell>
        </row>
        <row r="12336">
          <cell r="E12336">
            <v>0</v>
          </cell>
          <cell r="F12336">
            <v>0</v>
          </cell>
          <cell r="DN12336">
            <v>0</v>
          </cell>
        </row>
        <row r="12337">
          <cell r="E12337">
            <v>0</v>
          </cell>
          <cell r="F12337">
            <v>0</v>
          </cell>
          <cell r="DN12337">
            <v>0</v>
          </cell>
        </row>
        <row r="12338">
          <cell r="E12338">
            <v>0</v>
          </cell>
          <cell r="F12338">
            <v>0</v>
          </cell>
          <cell r="DN12338">
            <v>0</v>
          </cell>
        </row>
        <row r="12339">
          <cell r="E12339">
            <v>0</v>
          </cell>
          <cell r="F12339">
            <v>0</v>
          </cell>
          <cell r="DN12339">
            <v>0</v>
          </cell>
        </row>
        <row r="12340">
          <cell r="E12340">
            <v>0</v>
          </cell>
          <cell r="F12340">
            <v>0</v>
          </cell>
          <cell r="DN12340">
            <v>0</v>
          </cell>
        </row>
        <row r="12341">
          <cell r="E12341">
            <v>0</v>
          </cell>
          <cell r="F12341">
            <v>0</v>
          </cell>
          <cell r="DN12341">
            <v>0</v>
          </cell>
        </row>
        <row r="12342">
          <cell r="E12342">
            <v>0</v>
          </cell>
          <cell r="F12342">
            <v>0</v>
          </cell>
          <cell r="DN12342">
            <v>0</v>
          </cell>
        </row>
        <row r="12343">
          <cell r="E12343">
            <v>0</v>
          </cell>
          <cell r="F12343">
            <v>0</v>
          </cell>
          <cell r="DN12343">
            <v>0</v>
          </cell>
        </row>
        <row r="12344">
          <cell r="E12344">
            <v>0</v>
          </cell>
          <cell r="F12344">
            <v>0</v>
          </cell>
          <cell r="DN12344">
            <v>0</v>
          </cell>
        </row>
        <row r="12345">
          <cell r="E12345">
            <v>0</v>
          </cell>
          <cell r="F12345">
            <v>0</v>
          </cell>
          <cell r="DN12345">
            <v>0</v>
          </cell>
        </row>
        <row r="12346">
          <cell r="E12346">
            <v>0</v>
          </cell>
          <cell r="F12346">
            <v>0</v>
          </cell>
          <cell r="DN12346">
            <v>0</v>
          </cell>
        </row>
        <row r="12347">
          <cell r="E12347">
            <v>0</v>
          </cell>
          <cell r="F12347">
            <v>0</v>
          </cell>
          <cell r="DN12347">
            <v>0</v>
          </cell>
        </row>
        <row r="12348">
          <cell r="E12348">
            <v>0</v>
          </cell>
          <cell r="F12348">
            <v>0</v>
          </cell>
          <cell r="DN12348">
            <v>0</v>
          </cell>
        </row>
        <row r="12349">
          <cell r="E12349">
            <v>0</v>
          </cell>
          <cell r="F12349">
            <v>0</v>
          </cell>
          <cell r="DN12349">
            <v>0</v>
          </cell>
        </row>
        <row r="12350">
          <cell r="E12350">
            <v>0</v>
          </cell>
          <cell r="F12350">
            <v>0</v>
          </cell>
          <cell r="DN12350">
            <v>0</v>
          </cell>
        </row>
        <row r="12351">
          <cell r="E12351">
            <v>0</v>
          </cell>
          <cell r="F12351">
            <v>0</v>
          </cell>
          <cell r="DN12351">
            <v>0</v>
          </cell>
        </row>
        <row r="12352">
          <cell r="E12352">
            <v>0</v>
          </cell>
          <cell r="F12352">
            <v>0</v>
          </cell>
          <cell r="DN12352">
            <v>0</v>
          </cell>
        </row>
        <row r="12353">
          <cell r="E12353">
            <v>0</v>
          </cell>
          <cell r="F12353">
            <v>0</v>
          </cell>
          <cell r="DN12353">
            <v>0</v>
          </cell>
        </row>
        <row r="12354">
          <cell r="E12354">
            <v>0</v>
          </cell>
          <cell r="F12354">
            <v>0</v>
          </cell>
          <cell r="DN12354">
            <v>0</v>
          </cell>
        </row>
        <row r="12355">
          <cell r="E12355">
            <v>0</v>
          </cell>
          <cell r="F12355">
            <v>0</v>
          </cell>
          <cell r="DN12355">
            <v>0</v>
          </cell>
        </row>
        <row r="12356">
          <cell r="E12356">
            <v>0</v>
          </cell>
          <cell r="F12356">
            <v>0</v>
          </cell>
          <cell r="DN12356">
            <v>0</v>
          </cell>
        </row>
        <row r="12357">
          <cell r="E12357">
            <v>0</v>
          </cell>
          <cell r="F12357">
            <v>0</v>
          </cell>
          <cell r="DN12357">
            <v>0</v>
          </cell>
        </row>
        <row r="12358">
          <cell r="E12358">
            <v>0</v>
          </cell>
          <cell r="F12358">
            <v>0</v>
          </cell>
          <cell r="DN12358">
            <v>0</v>
          </cell>
        </row>
        <row r="12359">
          <cell r="E12359">
            <v>0</v>
          </cell>
          <cell r="F12359">
            <v>0</v>
          </cell>
          <cell r="DN12359">
            <v>0</v>
          </cell>
        </row>
        <row r="12360">
          <cell r="E12360">
            <v>0</v>
          </cell>
          <cell r="F12360">
            <v>0</v>
          </cell>
          <cell r="DN12360">
            <v>0</v>
          </cell>
        </row>
        <row r="12361">
          <cell r="E12361">
            <v>0</v>
          </cell>
          <cell r="F12361">
            <v>0</v>
          </cell>
          <cell r="DN12361">
            <v>0</v>
          </cell>
        </row>
        <row r="12362">
          <cell r="E12362">
            <v>0</v>
          </cell>
          <cell r="F12362">
            <v>0</v>
          </cell>
          <cell r="DN12362">
            <v>0</v>
          </cell>
        </row>
        <row r="12363">
          <cell r="E12363">
            <v>0</v>
          </cell>
          <cell r="F12363">
            <v>0</v>
          </cell>
          <cell r="DN12363">
            <v>0</v>
          </cell>
        </row>
        <row r="12364">
          <cell r="E12364">
            <v>0</v>
          </cell>
          <cell r="F12364">
            <v>0</v>
          </cell>
          <cell r="DN12364">
            <v>0</v>
          </cell>
        </row>
        <row r="12365">
          <cell r="E12365">
            <v>0</v>
          </cell>
          <cell r="F12365">
            <v>0</v>
          </cell>
          <cell r="DN12365">
            <v>0</v>
          </cell>
        </row>
        <row r="12366">
          <cell r="E12366">
            <v>0</v>
          </cell>
          <cell r="F12366">
            <v>0</v>
          </cell>
          <cell r="DN12366">
            <v>0</v>
          </cell>
        </row>
        <row r="12367">
          <cell r="E12367">
            <v>0</v>
          </cell>
          <cell r="F12367">
            <v>0</v>
          </cell>
          <cell r="DN12367">
            <v>0</v>
          </cell>
        </row>
        <row r="12368">
          <cell r="E12368">
            <v>0</v>
          </cell>
          <cell r="F12368">
            <v>0</v>
          </cell>
          <cell r="DN12368">
            <v>0</v>
          </cell>
        </row>
        <row r="12369">
          <cell r="E12369">
            <v>0</v>
          </cell>
          <cell r="F12369">
            <v>0</v>
          </cell>
          <cell r="DN12369">
            <v>0</v>
          </cell>
        </row>
        <row r="12370">
          <cell r="E12370">
            <v>0</v>
          </cell>
          <cell r="F12370">
            <v>0</v>
          </cell>
          <cell r="DN12370">
            <v>0</v>
          </cell>
        </row>
        <row r="12371">
          <cell r="E12371">
            <v>0</v>
          </cell>
          <cell r="F12371">
            <v>0</v>
          </cell>
          <cell r="DN12371">
            <v>0</v>
          </cell>
        </row>
        <row r="12372">
          <cell r="E12372">
            <v>0</v>
          </cell>
          <cell r="F12372">
            <v>0</v>
          </cell>
          <cell r="DN12372">
            <v>0</v>
          </cell>
        </row>
        <row r="12373">
          <cell r="E12373">
            <v>0</v>
          </cell>
          <cell r="F12373">
            <v>0</v>
          </cell>
          <cell r="DN12373">
            <v>0</v>
          </cell>
        </row>
        <row r="12374">
          <cell r="E12374">
            <v>0</v>
          </cell>
          <cell r="F12374">
            <v>0</v>
          </cell>
          <cell r="DN12374">
            <v>0</v>
          </cell>
        </row>
        <row r="12375">
          <cell r="E12375">
            <v>0</v>
          </cell>
          <cell r="F12375">
            <v>0</v>
          </cell>
          <cell r="DN12375">
            <v>0</v>
          </cell>
        </row>
        <row r="12376">
          <cell r="E12376">
            <v>0</v>
          </cell>
          <cell r="F12376">
            <v>0</v>
          </cell>
          <cell r="DN12376">
            <v>0</v>
          </cell>
        </row>
        <row r="12377">
          <cell r="E12377">
            <v>0</v>
          </cell>
          <cell r="F12377">
            <v>0</v>
          </cell>
          <cell r="DN12377">
            <v>0</v>
          </cell>
        </row>
        <row r="12378">
          <cell r="E12378">
            <v>0</v>
          </cell>
          <cell r="F12378">
            <v>0</v>
          </cell>
          <cell r="DN12378">
            <v>0</v>
          </cell>
        </row>
        <row r="12379">
          <cell r="E12379">
            <v>0</v>
          </cell>
          <cell r="F12379">
            <v>0</v>
          </cell>
          <cell r="DN12379">
            <v>0</v>
          </cell>
        </row>
        <row r="12380">
          <cell r="E12380">
            <v>0</v>
          </cell>
          <cell r="F12380">
            <v>0</v>
          </cell>
          <cell r="DN12380">
            <v>0</v>
          </cell>
        </row>
        <row r="12381">
          <cell r="E12381">
            <v>0</v>
          </cell>
          <cell r="F12381">
            <v>0</v>
          </cell>
          <cell r="DN12381">
            <v>0</v>
          </cell>
        </row>
        <row r="12382">
          <cell r="E12382">
            <v>0</v>
          </cell>
          <cell r="F12382">
            <v>0</v>
          </cell>
          <cell r="DN12382">
            <v>0</v>
          </cell>
        </row>
        <row r="12383">
          <cell r="E12383">
            <v>0</v>
          </cell>
          <cell r="F12383">
            <v>0</v>
          </cell>
          <cell r="DN12383">
            <v>0</v>
          </cell>
        </row>
        <row r="12384">
          <cell r="E12384">
            <v>0</v>
          </cell>
          <cell r="F12384">
            <v>0</v>
          </cell>
          <cell r="DN12384">
            <v>0</v>
          </cell>
        </row>
        <row r="12385">
          <cell r="E12385">
            <v>0</v>
          </cell>
          <cell r="F12385">
            <v>0</v>
          </cell>
          <cell r="DN12385">
            <v>0</v>
          </cell>
        </row>
        <row r="12386">
          <cell r="E12386">
            <v>0</v>
          </cell>
          <cell r="F12386">
            <v>0</v>
          </cell>
          <cell r="DN12386">
            <v>0</v>
          </cell>
        </row>
        <row r="12387">
          <cell r="E12387">
            <v>0</v>
          </cell>
          <cell r="F12387">
            <v>0</v>
          </cell>
          <cell r="DN12387">
            <v>0</v>
          </cell>
        </row>
        <row r="12388">
          <cell r="E12388">
            <v>0</v>
          </cell>
          <cell r="F12388">
            <v>0</v>
          </cell>
          <cell r="DN12388">
            <v>0</v>
          </cell>
        </row>
        <row r="12389">
          <cell r="E12389">
            <v>0</v>
          </cell>
          <cell r="F12389">
            <v>0</v>
          </cell>
          <cell r="DN12389">
            <v>0</v>
          </cell>
        </row>
        <row r="12390">
          <cell r="E12390">
            <v>0</v>
          </cell>
          <cell r="F12390">
            <v>0</v>
          </cell>
          <cell r="DN12390">
            <v>0</v>
          </cell>
        </row>
        <row r="12391">
          <cell r="E12391">
            <v>0</v>
          </cell>
          <cell r="F12391">
            <v>0</v>
          </cell>
          <cell r="DN12391">
            <v>0</v>
          </cell>
        </row>
        <row r="12392">
          <cell r="E12392">
            <v>0</v>
          </cell>
          <cell r="F12392">
            <v>0</v>
          </cell>
          <cell r="DN12392">
            <v>0</v>
          </cell>
        </row>
        <row r="12393">
          <cell r="E12393">
            <v>0</v>
          </cell>
          <cell r="F12393">
            <v>0</v>
          </cell>
          <cell r="DN12393">
            <v>0</v>
          </cell>
        </row>
        <row r="12394">
          <cell r="E12394">
            <v>0</v>
          </cell>
          <cell r="F12394">
            <v>0</v>
          </cell>
          <cell r="DN12394">
            <v>0</v>
          </cell>
        </row>
        <row r="12395">
          <cell r="E12395">
            <v>0</v>
          </cell>
          <cell r="F12395">
            <v>0</v>
          </cell>
          <cell r="DN12395">
            <v>0</v>
          </cell>
        </row>
        <row r="12396">
          <cell r="E12396">
            <v>0</v>
          </cell>
          <cell r="F12396">
            <v>0</v>
          </cell>
          <cell r="DN12396">
            <v>0</v>
          </cell>
        </row>
        <row r="12397">
          <cell r="E12397">
            <v>0</v>
          </cell>
          <cell r="F12397">
            <v>0</v>
          </cell>
          <cell r="DN12397">
            <v>0</v>
          </cell>
        </row>
        <row r="12398">
          <cell r="E12398">
            <v>0</v>
          </cell>
          <cell r="F12398">
            <v>0</v>
          </cell>
          <cell r="DN12398">
            <v>0</v>
          </cell>
        </row>
        <row r="12399">
          <cell r="E12399">
            <v>0</v>
          </cell>
          <cell r="F12399">
            <v>0</v>
          </cell>
          <cell r="DN12399">
            <v>0</v>
          </cell>
        </row>
        <row r="12400">
          <cell r="E12400">
            <v>0</v>
          </cell>
          <cell r="F12400">
            <v>0</v>
          </cell>
          <cell r="DN12400">
            <v>0</v>
          </cell>
        </row>
        <row r="12401">
          <cell r="E12401">
            <v>0</v>
          </cell>
          <cell r="F12401">
            <v>0</v>
          </cell>
          <cell r="DN12401">
            <v>0</v>
          </cell>
        </row>
        <row r="12402">
          <cell r="E12402">
            <v>0</v>
          </cell>
          <cell r="F12402">
            <v>0</v>
          </cell>
          <cell r="DN12402">
            <v>0</v>
          </cell>
        </row>
        <row r="12403">
          <cell r="E12403">
            <v>0</v>
          </cell>
          <cell r="F12403">
            <v>0</v>
          </cell>
          <cell r="DN12403">
            <v>0</v>
          </cell>
        </row>
        <row r="12404">
          <cell r="E12404">
            <v>0</v>
          </cell>
          <cell r="F12404">
            <v>0</v>
          </cell>
          <cell r="DN12404">
            <v>0</v>
          </cell>
        </row>
        <row r="12405">
          <cell r="E12405">
            <v>0</v>
          </cell>
          <cell r="F12405">
            <v>0</v>
          </cell>
          <cell r="DN12405">
            <v>0</v>
          </cell>
        </row>
        <row r="12406">
          <cell r="E12406">
            <v>0</v>
          </cell>
          <cell r="F12406">
            <v>0</v>
          </cell>
          <cell r="DN12406">
            <v>0</v>
          </cell>
        </row>
        <row r="12407">
          <cell r="E12407">
            <v>0</v>
          </cell>
          <cell r="F12407">
            <v>0</v>
          </cell>
          <cell r="DN12407">
            <v>0</v>
          </cell>
        </row>
        <row r="12408">
          <cell r="E12408">
            <v>0</v>
          </cell>
          <cell r="F12408">
            <v>0</v>
          </cell>
          <cell r="DN12408">
            <v>0</v>
          </cell>
        </row>
        <row r="12409">
          <cell r="E12409">
            <v>0</v>
          </cell>
          <cell r="F12409">
            <v>0</v>
          </cell>
          <cell r="DN12409">
            <v>0</v>
          </cell>
        </row>
        <row r="12410">
          <cell r="E12410">
            <v>0</v>
          </cell>
          <cell r="F12410">
            <v>0</v>
          </cell>
          <cell r="DN12410">
            <v>0</v>
          </cell>
        </row>
        <row r="12411">
          <cell r="E12411">
            <v>0</v>
          </cell>
          <cell r="F12411">
            <v>0</v>
          </cell>
          <cell r="DN12411">
            <v>0</v>
          </cell>
        </row>
        <row r="12412">
          <cell r="E12412">
            <v>0</v>
          </cell>
          <cell r="F12412">
            <v>0</v>
          </cell>
          <cell r="DN12412">
            <v>0</v>
          </cell>
        </row>
        <row r="12413">
          <cell r="E12413">
            <v>0</v>
          </cell>
          <cell r="F12413">
            <v>0</v>
          </cell>
          <cell r="DN12413">
            <v>0</v>
          </cell>
        </row>
        <row r="12414">
          <cell r="E12414">
            <v>0</v>
          </cell>
          <cell r="F12414">
            <v>0</v>
          </cell>
          <cell r="DN12414">
            <v>0</v>
          </cell>
        </row>
        <row r="12415">
          <cell r="E12415">
            <v>0</v>
          </cell>
          <cell r="F12415">
            <v>0</v>
          </cell>
          <cell r="DN12415">
            <v>0</v>
          </cell>
        </row>
        <row r="12416">
          <cell r="E12416">
            <v>0</v>
          </cell>
          <cell r="F12416">
            <v>0</v>
          </cell>
          <cell r="DN12416">
            <v>0</v>
          </cell>
        </row>
        <row r="12417">
          <cell r="E12417">
            <v>0</v>
          </cell>
          <cell r="F12417">
            <v>0</v>
          </cell>
          <cell r="DN12417">
            <v>0</v>
          </cell>
        </row>
        <row r="12418">
          <cell r="E12418">
            <v>0</v>
          </cell>
          <cell r="F12418">
            <v>0</v>
          </cell>
          <cell r="DN12418">
            <v>0</v>
          </cell>
        </row>
        <row r="12419">
          <cell r="E12419">
            <v>0</v>
          </cell>
          <cell r="F12419">
            <v>0</v>
          </cell>
          <cell r="DN12419">
            <v>0</v>
          </cell>
        </row>
        <row r="12420">
          <cell r="E12420">
            <v>0</v>
          </cell>
          <cell r="F12420">
            <v>0</v>
          </cell>
          <cell r="DN12420">
            <v>0</v>
          </cell>
        </row>
        <row r="12421">
          <cell r="E12421">
            <v>0</v>
          </cell>
          <cell r="F12421">
            <v>0</v>
          </cell>
          <cell r="DN12421">
            <v>0</v>
          </cell>
        </row>
        <row r="12422">
          <cell r="E12422">
            <v>0</v>
          </cell>
          <cell r="F12422">
            <v>0</v>
          </cell>
          <cell r="DN12422">
            <v>0</v>
          </cell>
        </row>
        <row r="12423">
          <cell r="E12423">
            <v>0</v>
          </cell>
          <cell r="F12423">
            <v>0</v>
          </cell>
          <cell r="DN12423">
            <v>0</v>
          </cell>
        </row>
        <row r="12424">
          <cell r="E12424">
            <v>0</v>
          </cell>
          <cell r="F12424">
            <v>0</v>
          </cell>
          <cell r="DN12424">
            <v>0</v>
          </cell>
        </row>
        <row r="12425">
          <cell r="E12425">
            <v>0</v>
          </cell>
          <cell r="F12425">
            <v>0</v>
          </cell>
          <cell r="DN12425">
            <v>0</v>
          </cell>
        </row>
        <row r="12426">
          <cell r="E12426">
            <v>0</v>
          </cell>
          <cell r="F12426">
            <v>0</v>
          </cell>
          <cell r="DN12426">
            <v>0</v>
          </cell>
        </row>
        <row r="12427">
          <cell r="E12427">
            <v>0</v>
          </cell>
          <cell r="F12427">
            <v>0</v>
          </cell>
          <cell r="DN12427">
            <v>0</v>
          </cell>
        </row>
        <row r="12428">
          <cell r="E12428">
            <v>0</v>
          </cell>
          <cell r="F12428">
            <v>0</v>
          </cell>
          <cell r="DN12428">
            <v>0</v>
          </cell>
        </row>
        <row r="12429">
          <cell r="E12429">
            <v>0</v>
          </cell>
          <cell r="F12429">
            <v>0</v>
          </cell>
          <cell r="DN12429">
            <v>0</v>
          </cell>
        </row>
        <row r="12430">
          <cell r="E12430">
            <v>0</v>
          </cell>
          <cell r="F12430">
            <v>0</v>
          </cell>
          <cell r="DN12430">
            <v>0</v>
          </cell>
        </row>
        <row r="12431">
          <cell r="E12431">
            <v>0</v>
          </cell>
          <cell r="F12431">
            <v>0</v>
          </cell>
          <cell r="DN12431">
            <v>0</v>
          </cell>
        </row>
        <row r="12432">
          <cell r="E12432">
            <v>0</v>
          </cell>
          <cell r="F12432">
            <v>0</v>
          </cell>
          <cell r="DN12432">
            <v>0</v>
          </cell>
        </row>
        <row r="12433">
          <cell r="E12433">
            <v>0</v>
          </cell>
          <cell r="F12433">
            <v>0</v>
          </cell>
          <cell r="DN12433">
            <v>0</v>
          </cell>
        </row>
        <row r="12434">
          <cell r="E12434">
            <v>0</v>
          </cell>
          <cell r="F12434">
            <v>0</v>
          </cell>
          <cell r="DN12434">
            <v>0</v>
          </cell>
        </row>
        <row r="12435">
          <cell r="E12435">
            <v>0</v>
          </cell>
          <cell r="F12435">
            <v>0</v>
          </cell>
          <cell r="DN12435">
            <v>0</v>
          </cell>
        </row>
        <row r="12436">
          <cell r="E12436">
            <v>0</v>
          </cell>
          <cell r="F12436">
            <v>0</v>
          </cell>
          <cell r="DN12436">
            <v>0</v>
          </cell>
        </row>
        <row r="12437">
          <cell r="E12437">
            <v>0</v>
          </cell>
          <cell r="F12437">
            <v>0</v>
          </cell>
          <cell r="DN12437">
            <v>0</v>
          </cell>
        </row>
        <row r="12438">
          <cell r="E12438">
            <v>0</v>
          </cell>
          <cell r="F12438">
            <v>0</v>
          </cell>
          <cell r="DN12438">
            <v>0</v>
          </cell>
        </row>
        <row r="12439">
          <cell r="E12439">
            <v>0</v>
          </cell>
          <cell r="F12439">
            <v>0</v>
          </cell>
          <cell r="DN12439">
            <v>0</v>
          </cell>
        </row>
        <row r="12440">
          <cell r="E12440">
            <v>0</v>
          </cell>
          <cell r="F12440">
            <v>0</v>
          </cell>
          <cell r="DN12440">
            <v>0</v>
          </cell>
        </row>
        <row r="12441">
          <cell r="E12441">
            <v>0</v>
          </cell>
          <cell r="F12441">
            <v>0</v>
          </cell>
          <cell r="DN12441">
            <v>0</v>
          </cell>
        </row>
        <row r="12442">
          <cell r="E12442">
            <v>0</v>
          </cell>
          <cell r="F12442">
            <v>0</v>
          </cell>
          <cell r="DN12442">
            <v>0</v>
          </cell>
        </row>
        <row r="12443">
          <cell r="E12443">
            <v>0</v>
          </cell>
          <cell r="F12443">
            <v>0</v>
          </cell>
          <cell r="DN12443">
            <v>0</v>
          </cell>
        </row>
        <row r="12444">
          <cell r="E12444">
            <v>0</v>
          </cell>
          <cell r="F12444">
            <v>0</v>
          </cell>
          <cell r="DN12444">
            <v>0</v>
          </cell>
        </row>
        <row r="12445">
          <cell r="E12445">
            <v>0</v>
          </cell>
          <cell r="F12445">
            <v>0</v>
          </cell>
          <cell r="DN12445">
            <v>0</v>
          </cell>
        </row>
        <row r="12446">
          <cell r="E12446">
            <v>0</v>
          </cell>
          <cell r="F12446">
            <v>0</v>
          </cell>
          <cell r="DN12446">
            <v>0</v>
          </cell>
        </row>
        <row r="12447">
          <cell r="E12447">
            <v>0</v>
          </cell>
          <cell r="F12447">
            <v>0</v>
          </cell>
          <cell r="DN12447">
            <v>0</v>
          </cell>
        </row>
        <row r="12448">
          <cell r="E12448">
            <v>0</v>
          </cell>
          <cell r="F12448">
            <v>0</v>
          </cell>
          <cell r="DN12448">
            <v>0</v>
          </cell>
        </row>
        <row r="12449">
          <cell r="E12449">
            <v>0</v>
          </cell>
          <cell r="F12449">
            <v>0</v>
          </cell>
          <cell r="DN12449">
            <v>0</v>
          </cell>
        </row>
        <row r="12450">
          <cell r="E12450">
            <v>0</v>
          </cell>
          <cell r="F12450">
            <v>0</v>
          </cell>
          <cell r="DN12450">
            <v>0</v>
          </cell>
        </row>
        <row r="12451">
          <cell r="E12451">
            <v>0</v>
          </cell>
          <cell r="F12451">
            <v>0</v>
          </cell>
          <cell r="DN12451">
            <v>0</v>
          </cell>
        </row>
        <row r="12452">
          <cell r="E12452">
            <v>0</v>
          </cell>
          <cell r="F12452">
            <v>0</v>
          </cell>
          <cell r="DN12452">
            <v>0</v>
          </cell>
        </row>
        <row r="12453">
          <cell r="E12453">
            <v>0</v>
          </cell>
          <cell r="F12453">
            <v>0</v>
          </cell>
          <cell r="DN12453">
            <v>0</v>
          </cell>
        </row>
        <row r="12454">
          <cell r="E12454">
            <v>0</v>
          </cell>
          <cell r="F12454">
            <v>0</v>
          </cell>
          <cell r="DN12454">
            <v>0</v>
          </cell>
        </row>
        <row r="12455">
          <cell r="E12455">
            <v>0</v>
          </cell>
          <cell r="F12455">
            <v>0</v>
          </cell>
          <cell r="DN12455">
            <v>0</v>
          </cell>
        </row>
        <row r="12456">
          <cell r="E12456">
            <v>0</v>
          </cell>
          <cell r="F12456">
            <v>0</v>
          </cell>
          <cell r="DN12456">
            <v>0</v>
          </cell>
        </row>
        <row r="12457">
          <cell r="E12457">
            <v>0</v>
          </cell>
          <cell r="F12457">
            <v>0</v>
          </cell>
          <cell r="DN12457">
            <v>0</v>
          </cell>
        </row>
        <row r="12458">
          <cell r="E12458">
            <v>0</v>
          </cell>
          <cell r="F12458">
            <v>0</v>
          </cell>
          <cell r="DN12458">
            <v>0</v>
          </cell>
        </row>
        <row r="12459">
          <cell r="E12459">
            <v>0</v>
          </cell>
          <cell r="F12459">
            <v>0</v>
          </cell>
          <cell r="DN12459">
            <v>0</v>
          </cell>
        </row>
        <row r="12460">
          <cell r="E12460">
            <v>0</v>
          </cell>
          <cell r="F12460">
            <v>0</v>
          </cell>
          <cell r="DN12460">
            <v>0</v>
          </cell>
        </row>
        <row r="12461">
          <cell r="E12461">
            <v>0</v>
          </cell>
          <cell r="F12461">
            <v>0</v>
          </cell>
          <cell r="DN12461">
            <v>0</v>
          </cell>
        </row>
        <row r="12462">
          <cell r="E12462">
            <v>0</v>
          </cell>
          <cell r="F12462">
            <v>0</v>
          </cell>
          <cell r="DN12462">
            <v>0</v>
          </cell>
        </row>
        <row r="12463">
          <cell r="E12463">
            <v>0</v>
          </cell>
          <cell r="F12463">
            <v>0</v>
          </cell>
          <cell r="DN12463">
            <v>0</v>
          </cell>
        </row>
        <row r="12464">
          <cell r="E12464">
            <v>0</v>
          </cell>
          <cell r="F12464">
            <v>0</v>
          </cell>
          <cell r="DN12464">
            <v>0</v>
          </cell>
        </row>
        <row r="12465">
          <cell r="E12465">
            <v>0</v>
          </cell>
          <cell r="F12465">
            <v>0</v>
          </cell>
          <cell r="DN12465">
            <v>0</v>
          </cell>
        </row>
        <row r="12466">
          <cell r="E12466">
            <v>0</v>
          </cell>
          <cell r="F12466">
            <v>0</v>
          </cell>
          <cell r="DN12466">
            <v>0</v>
          </cell>
        </row>
        <row r="12467">
          <cell r="E12467">
            <v>0</v>
          </cell>
          <cell r="F12467">
            <v>0</v>
          </cell>
          <cell r="DN12467">
            <v>0</v>
          </cell>
        </row>
        <row r="12468">
          <cell r="E12468">
            <v>0</v>
          </cell>
          <cell r="F12468">
            <v>0</v>
          </cell>
          <cell r="DN12468">
            <v>0</v>
          </cell>
        </row>
        <row r="12469">
          <cell r="E12469">
            <v>0</v>
          </cell>
          <cell r="F12469">
            <v>0</v>
          </cell>
          <cell r="DN12469">
            <v>0</v>
          </cell>
        </row>
        <row r="12470">
          <cell r="E12470">
            <v>0</v>
          </cell>
          <cell r="F12470">
            <v>0</v>
          </cell>
          <cell r="DN12470">
            <v>0</v>
          </cell>
        </row>
        <row r="12471">
          <cell r="E12471">
            <v>0</v>
          </cell>
          <cell r="F12471">
            <v>0</v>
          </cell>
          <cell r="DN12471">
            <v>0</v>
          </cell>
        </row>
        <row r="12472">
          <cell r="E12472">
            <v>0</v>
          </cell>
          <cell r="F12472">
            <v>0</v>
          </cell>
          <cell r="DN12472">
            <v>0</v>
          </cell>
        </row>
        <row r="12473">
          <cell r="E12473">
            <v>0</v>
          </cell>
          <cell r="F12473">
            <v>0</v>
          </cell>
          <cell r="DN12473">
            <v>0</v>
          </cell>
        </row>
        <row r="12474">
          <cell r="E12474">
            <v>0</v>
          </cell>
          <cell r="F12474">
            <v>0</v>
          </cell>
          <cell r="DN12474">
            <v>0</v>
          </cell>
        </row>
        <row r="12475">
          <cell r="E12475">
            <v>0</v>
          </cell>
          <cell r="F12475">
            <v>0</v>
          </cell>
          <cell r="DN12475">
            <v>0</v>
          </cell>
        </row>
        <row r="12476">
          <cell r="E12476">
            <v>0</v>
          </cell>
          <cell r="F12476">
            <v>0</v>
          </cell>
          <cell r="DN12476">
            <v>0</v>
          </cell>
        </row>
        <row r="12477">
          <cell r="E12477">
            <v>0</v>
          </cell>
          <cell r="F12477">
            <v>0</v>
          </cell>
          <cell r="DN12477">
            <v>0</v>
          </cell>
        </row>
        <row r="12478">
          <cell r="E12478">
            <v>0</v>
          </cell>
          <cell r="F12478">
            <v>0</v>
          </cell>
          <cell r="DN12478">
            <v>0</v>
          </cell>
        </row>
        <row r="12479">
          <cell r="E12479">
            <v>0</v>
          </cell>
          <cell r="F12479">
            <v>0</v>
          </cell>
          <cell r="DN12479">
            <v>0</v>
          </cell>
        </row>
        <row r="12480">
          <cell r="E12480">
            <v>0</v>
          </cell>
          <cell r="F12480">
            <v>0</v>
          </cell>
          <cell r="DN12480">
            <v>0</v>
          </cell>
        </row>
        <row r="12481">
          <cell r="E12481">
            <v>0</v>
          </cell>
          <cell r="F12481">
            <v>0</v>
          </cell>
          <cell r="DN12481">
            <v>0</v>
          </cell>
        </row>
        <row r="12482">
          <cell r="E12482">
            <v>0</v>
          </cell>
          <cell r="F12482">
            <v>0</v>
          </cell>
          <cell r="DN12482">
            <v>0</v>
          </cell>
        </row>
        <row r="12483">
          <cell r="E12483">
            <v>0</v>
          </cell>
          <cell r="F12483">
            <v>0</v>
          </cell>
          <cell r="DN12483">
            <v>0</v>
          </cell>
        </row>
        <row r="12484">
          <cell r="E12484">
            <v>0</v>
          </cell>
          <cell r="F12484">
            <v>0</v>
          </cell>
          <cell r="DN12484">
            <v>0</v>
          </cell>
        </row>
        <row r="12485">
          <cell r="E12485">
            <v>0</v>
          </cell>
          <cell r="F12485">
            <v>0</v>
          </cell>
          <cell r="DN12485">
            <v>0</v>
          </cell>
        </row>
        <row r="12486">
          <cell r="E12486">
            <v>0</v>
          </cell>
          <cell r="F12486">
            <v>0</v>
          </cell>
          <cell r="DN12486">
            <v>0</v>
          </cell>
        </row>
        <row r="12487">
          <cell r="E12487">
            <v>0</v>
          </cell>
          <cell r="F12487">
            <v>0</v>
          </cell>
          <cell r="DN12487">
            <v>0</v>
          </cell>
        </row>
        <row r="12488">
          <cell r="E12488">
            <v>0</v>
          </cell>
          <cell r="F12488">
            <v>0</v>
          </cell>
          <cell r="DN12488">
            <v>0</v>
          </cell>
        </row>
        <row r="12489">
          <cell r="E12489">
            <v>0</v>
          </cell>
          <cell r="F12489">
            <v>0</v>
          </cell>
          <cell r="DN12489">
            <v>0</v>
          </cell>
        </row>
        <row r="12490">
          <cell r="E12490">
            <v>0</v>
          </cell>
          <cell r="F12490">
            <v>0</v>
          </cell>
          <cell r="DN12490">
            <v>0</v>
          </cell>
        </row>
        <row r="12491">
          <cell r="E12491">
            <v>0</v>
          </cell>
          <cell r="F12491">
            <v>0</v>
          </cell>
          <cell r="DN12491">
            <v>0</v>
          </cell>
        </row>
        <row r="12492">
          <cell r="E12492">
            <v>0</v>
          </cell>
          <cell r="F12492">
            <v>0</v>
          </cell>
          <cell r="DN12492">
            <v>0</v>
          </cell>
        </row>
        <row r="12493">
          <cell r="E12493">
            <v>0</v>
          </cell>
          <cell r="F12493">
            <v>0</v>
          </cell>
          <cell r="DN12493">
            <v>0</v>
          </cell>
        </row>
        <row r="12494">
          <cell r="E12494">
            <v>0</v>
          </cell>
          <cell r="F12494">
            <v>0</v>
          </cell>
          <cell r="DN12494">
            <v>0</v>
          </cell>
        </row>
        <row r="12495">
          <cell r="E12495">
            <v>0</v>
          </cell>
          <cell r="F12495">
            <v>0</v>
          </cell>
          <cell r="DN12495">
            <v>0</v>
          </cell>
        </row>
        <row r="12496">
          <cell r="E12496">
            <v>0</v>
          </cell>
          <cell r="F12496">
            <v>0</v>
          </cell>
          <cell r="DN12496">
            <v>0</v>
          </cell>
        </row>
        <row r="12497">
          <cell r="E12497">
            <v>0</v>
          </cell>
          <cell r="F12497">
            <v>0</v>
          </cell>
          <cell r="DN12497">
            <v>0</v>
          </cell>
        </row>
        <row r="12498">
          <cell r="E12498">
            <v>0</v>
          </cell>
          <cell r="F12498">
            <v>0</v>
          </cell>
          <cell r="DN12498">
            <v>0</v>
          </cell>
        </row>
        <row r="12499">
          <cell r="E12499">
            <v>0</v>
          </cell>
          <cell r="F12499">
            <v>0</v>
          </cell>
          <cell r="DN12499">
            <v>0</v>
          </cell>
        </row>
        <row r="12500">
          <cell r="E12500">
            <v>0</v>
          </cell>
          <cell r="F12500">
            <v>0</v>
          </cell>
          <cell r="DN12500">
            <v>0</v>
          </cell>
        </row>
        <row r="12501">
          <cell r="E12501">
            <v>0</v>
          </cell>
          <cell r="F12501">
            <v>0</v>
          </cell>
          <cell r="DN12501">
            <v>0</v>
          </cell>
        </row>
        <row r="12502">
          <cell r="E12502">
            <v>0</v>
          </cell>
          <cell r="F12502">
            <v>0</v>
          </cell>
          <cell r="DN12502">
            <v>0</v>
          </cell>
        </row>
        <row r="12503">
          <cell r="E12503">
            <v>0</v>
          </cell>
          <cell r="F12503">
            <v>0</v>
          </cell>
          <cell r="DN12503">
            <v>0</v>
          </cell>
        </row>
        <row r="12504">
          <cell r="E12504">
            <v>0</v>
          </cell>
          <cell r="F12504">
            <v>0</v>
          </cell>
          <cell r="DN12504">
            <v>0</v>
          </cell>
        </row>
        <row r="12505">
          <cell r="E12505">
            <v>0</v>
          </cell>
          <cell r="F12505">
            <v>0</v>
          </cell>
          <cell r="DN12505">
            <v>0</v>
          </cell>
        </row>
        <row r="12506">
          <cell r="E12506">
            <v>0</v>
          </cell>
          <cell r="F12506">
            <v>0</v>
          </cell>
          <cell r="DN12506">
            <v>0</v>
          </cell>
        </row>
        <row r="12507">
          <cell r="E12507">
            <v>0</v>
          </cell>
          <cell r="F12507">
            <v>0</v>
          </cell>
          <cell r="DN12507">
            <v>0</v>
          </cell>
        </row>
        <row r="12508">
          <cell r="E12508">
            <v>0</v>
          </cell>
          <cell r="F12508">
            <v>0</v>
          </cell>
          <cell r="DN12508">
            <v>0</v>
          </cell>
        </row>
        <row r="12509">
          <cell r="E12509">
            <v>0</v>
          </cell>
          <cell r="F12509">
            <v>0</v>
          </cell>
          <cell r="DN12509">
            <v>0</v>
          </cell>
        </row>
        <row r="12510">
          <cell r="E12510">
            <v>0</v>
          </cell>
          <cell r="F12510">
            <v>0</v>
          </cell>
          <cell r="DN12510">
            <v>0</v>
          </cell>
        </row>
        <row r="12511">
          <cell r="E12511">
            <v>0</v>
          </cell>
          <cell r="F12511">
            <v>0</v>
          </cell>
          <cell r="DN12511">
            <v>0</v>
          </cell>
        </row>
        <row r="12512">
          <cell r="E12512">
            <v>0</v>
          </cell>
          <cell r="F12512">
            <v>0</v>
          </cell>
          <cell r="DN12512">
            <v>0</v>
          </cell>
        </row>
        <row r="12513">
          <cell r="E12513">
            <v>0</v>
          </cell>
          <cell r="F12513">
            <v>0</v>
          </cell>
          <cell r="DN12513">
            <v>0</v>
          </cell>
        </row>
        <row r="12514">
          <cell r="E12514">
            <v>0</v>
          </cell>
          <cell r="F12514">
            <v>0</v>
          </cell>
          <cell r="DN12514">
            <v>0</v>
          </cell>
        </row>
        <row r="12515">
          <cell r="E12515">
            <v>0</v>
          </cell>
          <cell r="F12515">
            <v>0</v>
          </cell>
          <cell r="DN12515">
            <v>0</v>
          </cell>
        </row>
        <row r="12516">
          <cell r="E12516">
            <v>0</v>
          </cell>
          <cell r="F12516">
            <v>0</v>
          </cell>
          <cell r="DN12516">
            <v>0</v>
          </cell>
        </row>
        <row r="12517">
          <cell r="E12517">
            <v>0</v>
          </cell>
          <cell r="F12517">
            <v>0</v>
          </cell>
          <cell r="DN12517">
            <v>0</v>
          </cell>
        </row>
        <row r="12518">
          <cell r="E12518">
            <v>0</v>
          </cell>
          <cell r="F12518">
            <v>0</v>
          </cell>
          <cell r="DN12518">
            <v>0</v>
          </cell>
        </row>
        <row r="12519">
          <cell r="E12519">
            <v>0</v>
          </cell>
          <cell r="F12519">
            <v>0</v>
          </cell>
          <cell r="DN12519">
            <v>0</v>
          </cell>
        </row>
        <row r="12520">
          <cell r="E12520">
            <v>0</v>
          </cell>
          <cell r="F12520">
            <v>0</v>
          </cell>
          <cell r="DN12520">
            <v>0</v>
          </cell>
        </row>
        <row r="12521">
          <cell r="E12521">
            <v>0</v>
          </cell>
          <cell r="F12521">
            <v>0</v>
          </cell>
          <cell r="DN12521">
            <v>0</v>
          </cell>
        </row>
        <row r="12522">
          <cell r="E12522">
            <v>0</v>
          </cell>
          <cell r="F12522">
            <v>0</v>
          </cell>
          <cell r="DN12522">
            <v>0</v>
          </cell>
        </row>
        <row r="12523">
          <cell r="E12523">
            <v>0</v>
          </cell>
          <cell r="F12523">
            <v>0</v>
          </cell>
          <cell r="DN12523">
            <v>0</v>
          </cell>
        </row>
        <row r="12524">
          <cell r="E12524">
            <v>0</v>
          </cell>
          <cell r="F12524">
            <v>0</v>
          </cell>
          <cell r="DN12524">
            <v>0</v>
          </cell>
        </row>
        <row r="12525">
          <cell r="E12525">
            <v>0</v>
          </cell>
          <cell r="F12525">
            <v>0</v>
          </cell>
          <cell r="DN12525">
            <v>0</v>
          </cell>
        </row>
        <row r="12526">
          <cell r="E12526">
            <v>0</v>
          </cell>
          <cell r="F12526">
            <v>0</v>
          </cell>
          <cell r="DN12526">
            <v>0</v>
          </cell>
        </row>
        <row r="12527">
          <cell r="E12527">
            <v>0</v>
          </cell>
          <cell r="F12527">
            <v>0</v>
          </cell>
          <cell r="DN12527">
            <v>0</v>
          </cell>
        </row>
        <row r="12528">
          <cell r="E12528">
            <v>0</v>
          </cell>
          <cell r="F12528">
            <v>0</v>
          </cell>
          <cell r="DN12528">
            <v>0</v>
          </cell>
        </row>
        <row r="12529">
          <cell r="E12529">
            <v>0</v>
          </cell>
          <cell r="F12529">
            <v>0</v>
          </cell>
          <cell r="DN12529">
            <v>0</v>
          </cell>
        </row>
        <row r="12530">
          <cell r="E12530">
            <v>0</v>
          </cell>
          <cell r="F12530">
            <v>0</v>
          </cell>
          <cell r="DN12530">
            <v>0</v>
          </cell>
        </row>
        <row r="12531">
          <cell r="E12531">
            <v>0</v>
          </cell>
          <cell r="F12531">
            <v>0</v>
          </cell>
          <cell r="DN12531">
            <v>0</v>
          </cell>
        </row>
        <row r="12532">
          <cell r="E12532">
            <v>0</v>
          </cell>
          <cell r="F12532">
            <v>0</v>
          </cell>
          <cell r="DN12532">
            <v>0</v>
          </cell>
        </row>
        <row r="12533">
          <cell r="E12533">
            <v>0</v>
          </cell>
          <cell r="F12533">
            <v>0</v>
          </cell>
          <cell r="DN12533">
            <v>0</v>
          </cell>
        </row>
        <row r="12534">
          <cell r="E12534">
            <v>0</v>
          </cell>
          <cell r="F12534">
            <v>0</v>
          </cell>
          <cell r="DN12534">
            <v>0</v>
          </cell>
        </row>
        <row r="12535">
          <cell r="E12535">
            <v>0</v>
          </cell>
          <cell r="F12535">
            <v>0</v>
          </cell>
          <cell r="DN12535">
            <v>0</v>
          </cell>
        </row>
        <row r="12536">
          <cell r="E12536">
            <v>0</v>
          </cell>
          <cell r="F12536">
            <v>0</v>
          </cell>
          <cell r="DN12536">
            <v>0</v>
          </cell>
        </row>
        <row r="12537">
          <cell r="E12537">
            <v>0</v>
          </cell>
          <cell r="F12537">
            <v>0</v>
          </cell>
          <cell r="DN12537">
            <v>0</v>
          </cell>
        </row>
        <row r="12538">
          <cell r="E12538">
            <v>0</v>
          </cell>
          <cell r="F12538">
            <v>0</v>
          </cell>
          <cell r="DN12538">
            <v>0</v>
          </cell>
        </row>
        <row r="12539">
          <cell r="E12539">
            <v>0</v>
          </cell>
          <cell r="F12539">
            <v>0</v>
          </cell>
          <cell r="DN12539">
            <v>0</v>
          </cell>
        </row>
        <row r="12540">
          <cell r="E12540">
            <v>0</v>
          </cell>
          <cell r="F12540">
            <v>0</v>
          </cell>
          <cell r="DN12540">
            <v>0</v>
          </cell>
        </row>
        <row r="12541">
          <cell r="E12541">
            <v>0</v>
          </cell>
          <cell r="F12541">
            <v>0</v>
          </cell>
          <cell r="DN12541">
            <v>0</v>
          </cell>
        </row>
        <row r="12542">
          <cell r="E12542">
            <v>0</v>
          </cell>
          <cell r="F12542">
            <v>0</v>
          </cell>
          <cell r="DN12542">
            <v>0</v>
          </cell>
        </row>
        <row r="12543">
          <cell r="E12543">
            <v>0</v>
          </cell>
          <cell r="F12543">
            <v>0</v>
          </cell>
          <cell r="DN12543">
            <v>0</v>
          </cell>
        </row>
        <row r="12544">
          <cell r="E12544">
            <v>0</v>
          </cell>
          <cell r="F12544">
            <v>0</v>
          </cell>
          <cell r="DN12544">
            <v>0</v>
          </cell>
        </row>
        <row r="12545">
          <cell r="E12545">
            <v>0</v>
          </cell>
          <cell r="F12545">
            <v>0</v>
          </cell>
          <cell r="DN12545">
            <v>0</v>
          </cell>
        </row>
        <row r="12546">
          <cell r="E12546">
            <v>0</v>
          </cell>
          <cell r="F12546">
            <v>0</v>
          </cell>
          <cell r="DN12546">
            <v>0</v>
          </cell>
        </row>
        <row r="12547">
          <cell r="E12547">
            <v>0</v>
          </cell>
          <cell r="F12547">
            <v>0</v>
          </cell>
          <cell r="DN12547">
            <v>0</v>
          </cell>
        </row>
        <row r="12548">
          <cell r="E12548">
            <v>0</v>
          </cell>
          <cell r="F12548">
            <v>0</v>
          </cell>
          <cell r="DN12548">
            <v>0</v>
          </cell>
        </row>
        <row r="12549">
          <cell r="E12549">
            <v>0</v>
          </cell>
          <cell r="F12549">
            <v>0</v>
          </cell>
          <cell r="DN12549">
            <v>0</v>
          </cell>
        </row>
        <row r="12550">
          <cell r="E12550">
            <v>0</v>
          </cell>
          <cell r="F12550">
            <v>0</v>
          </cell>
          <cell r="DN12550">
            <v>0</v>
          </cell>
        </row>
        <row r="12551">
          <cell r="E12551">
            <v>0</v>
          </cell>
          <cell r="F12551">
            <v>0</v>
          </cell>
          <cell r="DN12551">
            <v>0</v>
          </cell>
        </row>
        <row r="12552">
          <cell r="E12552">
            <v>0</v>
          </cell>
          <cell r="F12552">
            <v>0</v>
          </cell>
          <cell r="DN12552">
            <v>0</v>
          </cell>
        </row>
        <row r="12553">
          <cell r="E12553">
            <v>0</v>
          </cell>
          <cell r="F12553">
            <v>0</v>
          </cell>
          <cell r="DN12553">
            <v>0</v>
          </cell>
        </row>
        <row r="12554">
          <cell r="E12554">
            <v>0</v>
          </cell>
          <cell r="F12554">
            <v>0</v>
          </cell>
          <cell r="DN12554">
            <v>0</v>
          </cell>
        </row>
        <row r="12555">
          <cell r="E12555">
            <v>0</v>
          </cell>
          <cell r="F12555">
            <v>0</v>
          </cell>
          <cell r="DN12555">
            <v>0</v>
          </cell>
        </row>
        <row r="12556">
          <cell r="E12556">
            <v>0</v>
          </cell>
          <cell r="F12556">
            <v>0</v>
          </cell>
          <cell r="DN12556">
            <v>0</v>
          </cell>
        </row>
        <row r="12557">
          <cell r="E12557">
            <v>0</v>
          </cell>
          <cell r="F12557">
            <v>0</v>
          </cell>
          <cell r="DN12557">
            <v>0</v>
          </cell>
        </row>
        <row r="12558">
          <cell r="E12558">
            <v>0</v>
          </cell>
          <cell r="F12558">
            <v>0</v>
          </cell>
          <cell r="DN12558">
            <v>0</v>
          </cell>
        </row>
        <row r="12559">
          <cell r="E12559">
            <v>0</v>
          </cell>
          <cell r="F12559">
            <v>0</v>
          </cell>
          <cell r="DN12559">
            <v>0</v>
          </cell>
        </row>
        <row r="12560">
          <cell r="E12560">
            <v>0</v>
          </cell>
          <cell r="F12560">
            <v>0</v>
          </cell>
          <cell r="DN12560">
            <v>0</v>
          </cell>
        </row>
        <row r="12561">
          <cell r="E12561">
            <v>0</v>
          </cell>
          <cell r="F12561">
            <v>0</v>
          </cell>
          <cell r="DN12561">
            <v>0</v>
          </cell>
        </row>
        <row r="12562">
          <cell r="E12562">
            <v>0</v>
          </cell>
          <cell r="F12562">
            <v>0</v>
          </cell>
          <cell r="DN12562">
            <v>0</v>
          </cell>
        </row>
        <row r="12563">
          <cell r="E12563">
            <v>0</v>
          </cell>
          <cell r="F12563">
            <v>0</v>
          </cell>
          <cell r="DN12563">
            <v>0</v>
          </cell>
        </row>
        <row r="12564">
          <cell r="E12564">
            <v>0</v>
          </cell>
          <cell r="F12564">
            <v>0</v>
          </cell>
          <cell r="DN12564">
            <v>0</v>
          </cell>
        </row>
        <row r="12565">
          <cell r="E12565">
            <v>0</v>
          </cell>
          <cell r="F12565">
            <v>0</v>
          </cell>
          <cell r="DN12565">
            <v>0</v>
          </cell>
        </row>
        <row r="12566">
          <cell r="E12566">
            <v>0</v>
          </cell>
          <cell r="F12566">
            <v>0</v>
          </cell>
          <cell r="DN12566">
            <v>0</v>
          </cell>
        </row>
        <row r="12567">
          <cell r="E12567">
            <v>0</v>
          </cell>
          <cell r="F12567">
            <v>0</v>
          </cell>
          <cell r="DN12567">
            <v>0</v>
          </cell>
        </row>
        <row r="12568">
          <cell r="E12568">
            <v>0</v>
          </cell>
          <cell r="F12568">
            <v>0</v>
          </cell>
          <cell r="DN12568">
            <v>0</v>
          </cell>
        </row>
        <row r="12569">
          <cell r="E12569">
            <v>0</v>
          </cell>
          <cell r="F12569">
            <v>0</v>
          </cell>
          <cell r="DN12569">
            <v>0</v>
          </cell>
        </row>
        <row r="12570">
          <cell r="E12570">
            <v>0</v>
          </cell>
          <cell r="F12570">
            <v>0</v>
          </cell>
          <cell r="DN12570">
            <v>0</v>
          </cell>
        </row>
        <row r="12571">
          <cell r="E12571">
            <v>0</v>
          </cell>
          <cell r="F12571">
            <v>0</v>
          </cell>
          <cell r="DN12571">
            <v>0</v>
          </cell>
        </row>
        <row r="12572">
          <cell r="E12572">
            <v>0</v>
          </cell>
          <cell r="F12572">
            <v>0</v>
          </cell>
          <cell r="DN12572">
            <v>0</v>
          </cell>
        </row>
        <row r="12573">
          <cell r="E12573">
            <v>0</v>
          </cell>
          <cell r="F12573">
            <v>0</v>
          </cell>
          <cell r="DN12573">
            <v>0</v>
          </cell>
        </row>
        <row r="12574">
          <cell r="E12574">
            <v>0</v>
          </cell>
          <cell r="F12574">
            <v>0</v>
          </cell>
          <cell r="DN12574">
            <v>0</v>
          </cell>
        </row>
        <row r="12575">
          <cell r="E12575">
            <v>0</v>
          </cell>
          <cell r="F12575">
            <v>0</v>
          </cell>
          <cell r="DN12575">
            <v>0</v>
          </cell>
        </row>
        <row r="12576">
          <cell r="E12576">
            <v>0</v>
          </cell>
          <cell r="F12576">
            <v>0</v>
          </cell>
          <cell r="DN12576">
            <v>0</v>
          </cell>
        </row>
        <row r="12577">
          <cell r="E12577">
            <v>0</v>
          </cell>
          <cell r="F12577">
            <v>0</v>
          </cell>
          <cell r="DN12577">
            <v>0</v>
          </cell>
        </row>
        <row r="12578">
          <cell r="E12578">
            <v>0</v>
          </cell>
          <cell r="F12578">
            <v>0</v>
          </cell>
          <cell r="DN12578">
            <v>0</v>
          </cell>
        </row>
        <row r="12579">
          <cell r="E12579">
            <v>0</v>
          </cell>
          <cell r="F12579">
            <v>0</v>
          </cell>
          <cell r="DN12579">
            <v>0</v>
          </cell>
        </row>
        <row r="12580">
          <cell r="E12580">
            <v>0</v>
          </cell>
          <cell r="F12580">
            <v>0</v>
          </cell>
          <cell r="DN12580">
            <v>0</v>
          </cell>
        </row>
        <row r="12581">
          <cell r="E12581">
            <v>0</v>
          </cell>
          <cell r="F12581">
            <v>0</v>
          </cell>
          <cell r="DN12581">
            <v>0</v>
          </cell>
        </row>
        <row r="12582">
          <cell r="E12582">
            <v>0</v>
          </cell>
          <cell r="F12582">
            <v>0</v>
          </cell>
          <cell r="DN12582">
            <v>0</v>
          </cell>
        </row>
        <row r="12583">
          <cell r="E12583">
            <v>0</v>
          </cell>
          <cell r="F12583">
            <v>0</v>
          </cell>
          <cell r="DN12583">
            <v>0</v>
          </cell>
        </row>
        <row r="12584">
          <cell r="E12584">
            <v>0</v>
          </cell>
          <cell r="F12584">
            <v>0</v>
          </cell>
          <cell r="DN12584">
            <v>0</v>
          </cell>
        </row>
        <row r="12585">
          <cell r="E12585">
            <v>0</v>
          </cell>
          <cell r="F12585">
            <v>0</v>
          </cell>
          <cell r="DN12585">
            <v>0</v>
          </cell>
        </row>
        <row r="12586">
          <cell r="E12586">
            <v>0</v>
          </cell>
          <cell r="F12586">
            <v>0</v>
          </cell>
          <cell r="DN12586">
            <v>0</v>
          </cell>
        </row>
        <row r="12587">
          <cell r="E12587">
            <v>0</v>
          </cell>
          <cell r="F12587">
            <v>0</v>
          </cell>
          <cell r="DN12587">
            <v>0</v>
          </cell>
        </row>
        <row r="12588">
          <cell r="E12588">
            <v>0</v>
          </cell>
          <cell r="F12588">
            <v>0</v>
          </cell>
          <cell r="DN12588">
            <v>0</v>
          </cell>
        </row>
        <row r="12589">
          <cell r="E12589">
            <v>0</v>
          </cell>
          <cell r="F12589">
            <v>0</v>
          </cell>
          <cell r="DN12589">
            <v>0</v>
          </cell>
        </row>
        <row r="12590">
          <cell r="E12590">
            <v>0</v>
          </cell>
          <cell r="F12590">
            <v>0</v>
          </cell>
          <cell r="DN12590">
            <v>0</v>
          </cell>
        </row>
        <row r="12591">
          <cell r="E12591">
            <v>0</v>
          </cell>
          <cell r="F12591">
            <v>0</v>
          </cell>
          <cell r="DN12591">
            <v>0</v>
          </cell>
        </row>
        <row r="12592">
          <cell r="E12592">
            <v>0</v>
          </cell>
          <cell r="F12592">
            <v>0</v>
          </cell>
          <cell r="DN12592">
            <v>0</v>
          </cell>
        </row>
        <row r="12593">
          <cell r="E12593">
            <v>0</v>
          </cell>
          <cell r="F12593">
            <v>0</v>
          </cell>
          <cell r="DN12593">
            <v>0</v>
          </cell>
        </row>
        <row r="12594">
          <cell r="E12594">
            <v>0</v>
          </cell>
          <cell r="F12594">
            <v>0</v>
          </cell>
          <cell r="DN12594">
            <v>0</v>
          </cell>
        </row>
        <row r="12595">
          <cell r="E12595">
            <v>0</v>
          </cell>
          <cell r="F12595">
            <v>0</v>
          </cell>
          <cell r="DN12595">
            <v>0</v>
          </cell>
        </row>
        <row r="12596">
          <cell r="E12596">
            <v>0</v>
          </cell>
          <cell r="F12596">
            <v>0</v>
          </cell>
          <cell r="DN12596">
            <v>0</v>
          </cell>
        </row>
        <row r="12597">
          <cell r="E12597">
            <v>0</v>
          </cell>
          <cell r="F12597">
            <v>0</v>
          </cell>
          <cell r="DN12597">
            <v>0</v>
          </cell>
        </row>
        <row r="12598">
          <cell r="E12598">
            <v>0</v>
          </cell>
          <cell r="F12598">
            <v>0</v>
          </cell>
          <cell r="DN12598">
            <v>0</v>
          </cell>
        </row>
        <row r="12599">
          <cell r="E12599">
            <v>0</v>
          </cell>
          <cell r="F12599">
            <v>0</v>
          </cell>
          <cell r="DN12599">
            <v>0</v>
          </cell>
        </row>
        <row r="12600">
          <cell r="E12600">
            <v>0</v>
          </cell>
          <cell r="F12600">
            <v>0</v>
          </cell>
          <cell r="DN12600">
            <v>0</v>
          </cell>
        </row>
        <row r="12601">
          <cell r="E12601">
            <v>0</v>
          </cell>
          <cell r="F12601">
            <v>0</v>
          </cell>
          <cell r="DN12601">
            <v>0</v>
          </cell>
        </row>
        <row r="12602">
          <cell r="E12602">
            <v>0</v>
          </cell>
          <cell r="F12602">
            <v>0</v>
          </cell>
          <cell r="DN12602">
            <v>0</v>
          </cell>
        </row>
        <row r="12603">
          <cell r="E12603">
            <v>0</v>
          </cell>
          <cell r="F12603">
            <v>0</v>
          </cell>
          <cell r="DN12603">
            <v>0</v>
          </cell>
        </row>
        <row r="12604">
          <cell r="E12604">
            <v>0</v>
          </cell>
          <cell r="F12604">
            <v>0</v>
          </cell>
          <cell r="DN12604">
            <v>0</v>
          </cell>
        </row>
        <row r="12605">
          <cell r="E12605">
            <v>0</v>
          </cell>
          <cell r="F12605">
            <v>0</v>
          </cell>
          <cell r="DN12605">
            <v>0</v>
          </cell>
        </row>
        <row r="12606">
          <cell r="E12606">
            <v>0</v>
          </cell>
          <cell r="F12606">
            <v>0</v>
          </cell>
          <cell r="DN12606">
            <v>0</v>
          </cell>
        </row>
        <row r="12607">
          <cell r="E12607">
            <v>0</v>
          </cell>
          <cell r="F12607">
            <v>0</v>
          </cell>
          <cell r="DN12607">
            <v>0</v>
          </cell>
        </row>
        <row r="12608">
          <cell r="E12608">
            <v>0</v>
          </cell>
          <cell r="F12608">
            <v>0</v>
          </cell>
          <cell r="DN12608">
            <v>0</v>
          </cell>
        </row>
        <row r="12609">
          <cell r="E12609">
            <v>0</v>
          </cell>
          <cell r="F12609">
            <v>0</v>
          </cell>
          <cell r="DN12609">
            <v>0</v>
          </cell>
        </row>
        <row r="12610">
          <cell r="E12610">
            <v>0</v>
          </cell>
          <cell r="F12610">
            <v>0</v>
          </cell>
          <cell r="DN12610">
            <v>0</v>
          </cell>
        </row>
        <row r="12611">
          <cell r="E12611">
            <v>0</v>
          </cell>
          <cell r="F12611">
            <v>0</v>
          </cell>
          <cell r="DN12611">
            <v>0</v>
          </cell>
        </row>
        <row r="12612">
          <cell r="E12612">
            <v>0</v>
          </cell>
          <cell r="F12612">
            <v>0</v>
          </cell>
          <cell r="DN12612">
            <v>0</v>
          </cell>
        </row>
        <row r="12613">
          <cell r="E12613">
            <v>0</v>
          </cell>
          <cell r="F12613">
            <v>0</v>
          </cell>
          <cell r="DN12613">
            <v>0</v>
          </cell>
        </row>
        <row r="12614">
          <cell r="E12614">
            <v>0</v>
          </cell>
          <cell r="F12614">
            <v>0</v>
          </cell>
          <cell r="DN12614">
            <v>0</v>
          </cell>
        </row>
        <row r="12615">
          <cell r="E12615">
            <v>0</v>
          </cell>
          <cell r="F12615">
            <v>0</v>
          </cell>
          <cell r="DN12615">
            <v>0</v>
          </cell>
        </row>
        <row r="12616">
          <cell r="E12616">
            <v>0</v>
          </cell>
          <cell r="F12616">
            <v>0</v>
          </cell>
          <cell r="DN12616">
            <v>0</v>
          </cell>
        </row>
        <row r="12617">
          <cell r="E12617">
            <v>0</v>
          </cell>
          <cell r="F12617">
            <v>0</v>
          </cell>
          <cell r="DN12617">
            <v>0</v>
          </cell>
        </row>
        <row r="12618">
          <cell r="E12618">
            <v>0</v>
          </cell>
          <cell r="F12618">
            <v>0</v>
          </cell>
          <cell r="DN12618">
            <v>0</v>
          </cell>
        </row>
        <row r="12619">
          <cell r="E12619">
            <v>0</v>
          </cell>
          <cell r="F12619">
            <v>0</v>
          </cell>
          <cell r="DN12619">
            <v>0</v>
          </cell>
        </row>
        <row r="12620">
          <cell r="E12620">
            <v>0</v>
          </cell>
          <cell r="F12620">
            <v>0</v>
          </cell>
          <cell r="DN12620">
            <v>0</v>
          </cell>
        </row>
        <row r="12621">
          <cell r="E12621">
            <v>0</v>
          </cell>
          <cell r="F12621">
            <v>0</v>
          </cell>
          <cell r="DN12621">
            <v>0</v>
          </cell>
        </row>
        <row r="12622">
          <cell r="E12622">
            <v>0</v>
          </cell>
          <cell r="F12622">
            <v>0</v>
          </cell>
          <cell r="DN12622">
            <v>0</v>
          </cell>
        </row>
        <row r="12623">
          <cell r="E12623">
            <v>0</v>
          </cell>
          <cell r="F12623">
            <v>0</v>
          </cell>
          <cell r="DN12623">
            <v>0</v>
          </cell>
        </row>
        <row r="12624">
          <cell r="E12624">
            <v>0</v>
          </cell>
          <cell r="F12624">
            <v>0</v>
          </cell>
          <cell r="DN12624">
            <v>0</v>
          </cell>
        </row>
        <row r="12625">
          <cell r="E12625">
            <v>0</v>
          </cell>
          <cell r="F12625">
            <v>0</v>
          </cell>
          <cell r="DN12625">
            <v>0</v>
          </cell>
        </row>
        <row r="12626">
          <cell r="E12626">
            <v>0</v>
          </cell>
          <cell r="F12626">
            <v>0</v>
          </cell>
          <cell r="DN12626">
            <v>0</v>
          </cell>
        </row>
        <row r="12627">
          <cell r="E12627">
            <v>0</v>
          </cell>
          <cell r="F12627">
            <v>0</v>
          </cell>
          <cell r="DN12627">
            <v>0</v>
          </cell>
        </row>
        <row r="12628">
          <cell r="E12628">
            <v>0</v>
          </cell>
          <cell r="F12628">
            <v>0</v>
          </cell>
          <cell r="DN12628">
            <v>0</v>
          </cell>
        </row>
        <row r="12629">
          <cell r="E12629">
            <v>0</v>
          </cell>
          <cell r="F12629">
            <v>0</v>
          </cell>
          <cell r="DN12629">
            <v>0</v>
          </cell>
        </row>
        <row r="12630">
          <cell r="E12630">
            <v>0</v>
          </cell>
          <cell r="F12630">
            <v>0</v>
          </cell>
          <cell r="DN12630">
            <v>0</v>
          </cell>
        </row>
        <row r="12631">
          <cell r="E12631">
            <v>0</v>
          </cell>
          <cell r="F12631">
            <v>0</v>
          </cell>
          <cell r="DN12631">
            <v>0</v>
          </cell>
        </row>
        <row r="12632">
          <cell r="E12632">
            <v>0</v>
          </cell>
          <cell r="F12632">
            <v>0</v>
          </cell>
          <cell r="DN12632">
            <v>0</v>
          </cell>
        </row>
        <row r="12633">
          <cell r="E12633">
            <v>0</v>
          </cell>
          <cell r="F12633">
            <v>0</v>
          </cell>
          <cell r="DN12633">
            <v>0</v>
          </cell>
        </row>
        <row r="12634">
          <cell r="E12634">
            <v>0</v>
          </cell>
          <cell r="F12634">
            <v>0</v>
          </cell>
          <cell r="DN12634">
            <v>0</v>
          </cell>
        </row>
        <row r="12635">
          <cell r="E12635">
            <v>0</v>
          </cell>
          <cell r="F12635">
            <v>0</v>
          </cell>
          <cell r="DN12635">
            <v>0</v>
          </cell>
        </row>
        <row r="12636">
          <cell r="E12636">
            <v>0</v>
          </cell>
          <cell r="F12636">
            <v>0</v>
          </cell>
          <cell r="DN12636">
            <v>0</v>
          </cell>
        </row>
        <row r="12637">
          <cell r="E12637">
            <v>0</v>
          </cell>
          <cell r="F12637">
            <v>0</v>
          </cell>
          <cell r="DN12637">
            <v>0</v>
          </cell>
        </row>
        <row r="12638">
          <cell r="E12638">
            <v>0</v>
          </cell>
          <cell r="F12638">
            <v>0</v>
          </cell>
          <cell r="DN12638">
            <v>0</v>
          </cell>
        </row>
        <row r="12639">
          <cell r="E12639">
            <v>0</v>
          </cell>
          <cell r="F12639">
            <v>0</v>
          </cell>
          <cell r="DN12639">
            <v>0</v>
          </cell>
        </row>
        <row r="12640">
          <cell r="E12640">
            <v>0</v>
          </cell>
          <cell r="F12640">
            <v>0</v>
          </cell>
          <cell r="DN12640">
            <v>0</v>
          </cell>
        </row>
        <row r="12641">
          <cell r="E12641">
            <v>0</v>
          </cell>
          <cell r="F12641">
            <v>0</v>
          </cell>
          <cell r="DN12641">
            <v>0</v>
          </cell>
        </row>
        <row r="12642">
          <cell r="E12642">
            <v>0</v>
          </cell>
          <cell r="F12642">
            <v>0</v>
          </cell>
          <cell r="DN12642">
            <v>0</v>
          </cell>
        </row>
        <row r="12643">
          <cell r="E12643">
            <v>0</v>
          </cell>
          <cell r="F12643">
            <v>0</v>
          </cell>
          <cell r="DN12643">
            <v>0</v>
          </cell>
        </row>
        <row r="12644">
          <cell r="E12644">
            <v>0</v>
          </cell>
          <cell r="F12644">
            <v>0</v>
          </cell>
          <cell r="DN12644">
            <v>0</v>
          </cell>
        </row>
        <row r="12645">
          <cell r="E12645">
            <v>0</v>
          </cell>
          <cell r="F12645">
            <v>0</v>
          </cell>
          <cell r="DN12645">
            <v>0</v>
          </cell>
        </row>
        <row r="12646">
          <cell r="E12646">
            <v>0</v>
          </cell>
          <cell r="F12646">
            <v>0</v>
          </cell>
          <cell r="DN12646">
            <v>0</v>
          </cell>
        </row>
        <row r="12647">
          <cell r="E12647">
            <v>0</v>
          </cell>
          <cell r="F12647">
            <v>0</v>
          </cell>
          <cell r="DN12647">
            <v>0</v>
          </cell>
        </row>
        <row r="12648">
          <cell r="E12648">
            <v>0</v>
          </cell>
          <cell r="F12648">
            <v>0</v>
          </cell>
          <cell r="DN12648">
            <v>0</v>
          </cell>
        </row>
        <row r="12649">
          <cell r="E12649">
            <v>0</v>
          </cell>
          <cell r="F12649">
            <v>0</v>
          </cell>
          <cell r="DN12649">
            <v>0</v>
          </cell>
        </row>
        <row r="12650">
          <cell r="E12650">
            <v>0</v>
          </cell>
          <cell r="F12650">
            <v>0</v>
          </cell>
          <cell r="DN12650">
            <v>0</v>
          </cell>
        </row>
        <row r="12651">
          <cell r="E12651">
            <v>0</v>
          </cell>
          <cell r="F12651">
            <v>0</v>
          </cell>
          <cell r="DN12651">
            <v>0</v>
          </cell>
        </row>
        <row r="12652">
          <cell r="E12652">
            <v>0</v>
          </cell>
          <cell r="F12652">
            <v>0</v>
          </cell>
          <cell r="DN12652">
            <v>0</v>
          </cell>
        </row>
        <row r="12653">
          <cell r="E12653">
            <v>0</v>
          </cell>
          <cell r="F12653">
            <v>0</v>
          </cell>
          <cell r="DN12653">
            <v>0</v>
          </cell>
        </row>
        <row r="12654">
          <cell r="E12654">
            <v>0</v>
          </cell>
          <cell r="F12654">
            <v>0</v>
          </cell>
          <cell r="DN12654">
            <v>0</v>
          </cell>
        </row>
        <row r="12655">
          <cell r="E12655">
            <v>0</v>
          </cell>
          <cell r="F12655">
            <v>0</v>
          </cell>
          <cell r="DN12655">
            <v>0</v>
          </cell>
        </row>
        <row r="12656">
          <cell r="E12656">
            <v>0</v>
          </cell>
          <cell r="F12656">
            <v>0</v>
          </cell>
          <cell r="DN12656">
            <v>0</v>
          </cell>
        </row>
        <row r="12657">
          <cell r="E12657">
            <v>0</v>
          </cell>
          <cell r="F12657">
            <v>0</v>
          </cell>
          <cell r="DN12657">
            <v>0</v>
          </cell>
        </row>
        <row r="12658">
          <cell r="E12658">
            <v>0</v>
          </cell>
          <cell r="F12658">
            <v>0</v>
          </cell>
          <cell r="DN12658">
            <v>0</v>
          </cell>
        </row>
        <row r="12659">
          <cell r="E12659">
            <v>0</v>
          </cell>
          <cell r="F12659">
            <v>0</v>
          </cell>
          <cell r="DN12659">
            <v>0</v>
          </cell>
        </row>
        <row r="12660">
          <cell r="E12660">
            <v>0</v>
          </cell>
          <cell r="F12660">
            <v>0</v>
          </cell>
          <cell r="DN12660">
            <v>0</v>
          </cell>
        </row>
        <row r="12661">
          <cell r="E12661">
            <v>0</v>
          </cell>
          <cell r="F12661">
            <v>0</v>
          </cell>
          <cell r="DN12661">
            <v>0</v>
          </cell>
        </row>
        <row r="12662">
          <cell r="E12662">
            <v>0</v>
          </cell>
          <cell r="F12662">
            <v>0</v>
          </cell>
          <cell r="DN12662">
            <v>0</v>
          </cell>
        </row>
        <row r="12663">
          <cell r="E12663">
            <v>0</v>
          </cell>
          <cell r="F12663">
            <v>0</v>
          </cell>
          <cell r="DN12663">
            <v>0</v>
          </cell>
        </row>
        <row r="12664">
          <cell r="E12664">
            <v>0</v>
          </cell>
          <cell r="F12664">
            <v>0</v>
          </cell>
          <cell r="DN12664">
            <v>0</v>
          </cell>
        </row>
        <row r="12665">
          <cell r="E12665">
            <v>0</v>
          </cell>
          <cell r="F12665">
            <v>0</v>
          </cell>
          <cell r="DN12665">
            <v>0</v>
          </cell>
        </row>
        <row r="12666">
          <cell r="E12666">
            <v>0</v>
          </cell>
          <cell r="F12666">
            <v>0</v>
          </cell>
          <cell r="DN12666">
            <v>0</v>
          </cell>
        </row>
        <row r="12667">
          <cell r="E12667">
            <v>0</v>
          </cell>
          <cell r="F12667">
            <v>0</v>
          </cell>
          <cell r="DN12667">
            <v>0</v>
          </cell>
        </row>
        <row r="12668">
          <cell r="E12668">
            <v>0</v>
          </cell>
          <cell r="F12668">
            <v>0</v>
          </cell>
          <cell r="DN12668">
            <v>0</v>
          </cell>
        </row>
        <row r="12669">
          <cell r="E12669">
            <v>0</v>
          </cell>
          <cell r="F12669">
            <v>0</v>
          </cell>
          <cell r="DN12669">
            <v>0</v>
          </cell>
        </row>
        <row r="12670">
          <cell r="E12670">
            <v>0</v>
          </cell>
          <cell r="F12670">
            <v>0</v>
          </cell>
          <cell r="DN12670">
            <v>0</v>
          </cell>
        </row>
        <row r="12671">
          <cell r="E12671">
            <v>0</v>
          </cell>
          <cell r="F12671">
            <v>0</v>
          </cell>
          <cell r="DN12671">
            <v>0</v>
          </cell>
        </row>
        <row r="12672">
          <cell r="E12672">
            <v>0</v>
          </cell>
          <cell r="F12672">
            <v>0</v>
          </cell>
          <cell r="DN12672">
            <v>0</v>
          </cell>
        </row>
        <row r="12673">
          <cell r="E12673">
            <v>0</v>
          </cell>
          <cell r="F12673">
            <v>0</v>
          </cell>
          <cell r="DN12673">
            <v>0</v>
          </cell>
        </row>
        <row r="12674">
          <cell r="E12674">
            <v>0</v>
          </cell>
          <cell r="F12674">
            <v>0</v>
          </cell>
          <cell r="DN12674">
            <v>0</v>
          </cell>
        </row>
        <row r="12675">
          <cell r="E12675">
            <v>0</v>
          </cell>
          <cell r="F12675">
            <v>0</v>
          </cell>
          <cell r="DN12675">
            <v>0</v>
          </cell>
        </row>
        <row r="12676">
          <cell r="E12676">
            <v>0</v>
          </cell>
          <cell r="F12676">
            <v>0</v>
          </cell>
          <cell r="DN12676">
            <v>0</v>
          </cell>
        </row>
        <row r="12677">
          <cell r="E12677">
            <v>0</v>
          </cell>
          <cell r="F12677">
            <v>0</v>
          </cell>
          <cell r="DN12677">
            <v>0</v>
          </cell>
        </row>
        <row r="12678">
          <cell r="E12678">
            <v>0</v>
          </cell>
          <cell r="F12678">
            <v>0</v>
          </cell>
          <cell r="DN12678">
            <v>0</v>
          </cell>
        </row>
        <row r="12679">
          <cell r="E12679">
            <v>0</v>
          </cell>
          <cell r="F12679">
            <v>0</v>
          </cell>
          <cell r="DN12679">
            <v>0</v>
          </cell>
        </row>
        <row r="12680">
          <cell r="E12680">
            <v>0</v>
          </cell>
          <cell r="F12680">
            <v>0</v>
          </cell>
          <cell r="DN12680">
            <v>0</v>
          </cell>
        </row>
        <row r="12681">
          <cell r="E12681">
            <v>0</v>
          </cell>
          <cell r="F12681">
            <v>0</v>
          </cell>
          <cell r="DN12681">
            <v>0</v>
          </cell>
        </row>
        <row r="12682">
          <cell r="E12682">
            <v>0</v>
          </cell>
          <cell r="F12682">
            <v>0</v>
          </cell>
          <cell r="DN12682">
            <v>0</v>
          </cell>
        </row>
        <row r="12683">
          <cell r="E12683">
            <v>0</v>
          </cell>
          <cell r="F12683">
            <v>0</v>
          </cell>
          <cell r="DN12683">
            <v>0</v>
          </cell>
        </row>
        <row r="12684">
          <cell r="E12684">
            <v>0</v>
          </cell>
          <cell r="F12684">
            <v>0</v>
          </cell>
          <cell r="DN12684">
            <v>0</v>
          </cell>
        </row>
        <row r="12685">
          <cell r="E12685">
            <v>0</v>
          </cell>
          <cell r="F12685">
            <v>0</v>
          </cell>
          <cell r="DN12685">
            <v>0</v>
          </cell>
        </row>
        <row r="12686">
          <cell r="E12686">
            <v>0</v>
          </cell>
          <cell r="F12686">
            <v>0</v>
          </cell>
          <cell r="DN12686">
            <v>0</v>
          </cell>
        </row>
        <row r="12687">
          <cell r="E12687">
            <v>0</v>
          </cell>
          <cell r="F12687">
            <v>0</v>
          </cell>
          <cell r="DN12687">
            <v>0</v>
          </cell>
        </row>
        <row r="12688">
          <cell r="E12688">
            <v>0</v>
          </cell>
          <cell r="F12688">
            <v>0</v>
          </cell>
          <cell r="DN12688">
            <v>0</v>
          </cell>
        </row>
        <row r="12689">
          <cell r="E12689">
            <v>0</v>
          </cell>
          <cell r="F12689">
            <v>0</v>
          </cell>
          <cell r="DN12689">
            <v>0</v>
          </cell>
        </row>
        <row r="12690">
          <cell r="E12690">
            <v>0</v>
          </cell>
          <cell r="F12690">
            <v>0</v>
          </cell>
          <cell r="DN12690">
            <v>0</v>
          </cell>
        </row>
        <row r="12691">
          <cell r="E12691">
            <v>0</v>
          </cell>
          <cell r="F12691">
            <v>0</v>
          </cell>
          <cell r="DN12691">
            <v>0</v>
          </cell>
        </row>
        <row r="12692">
          <cell r="E12692">
            <v>0</v>
          </cell>
          <cell r="F12692">
            <v>0</v>
          </cell>
          <cell r="DN12692">
            <v>0</v>
          </cell>
        </row>
        <row r="12693">
          <cell r="E12693">
            <v>0</v>
          </cell>
          <cell r="F12693">
            <v>0</v>
          </cell>
          <cell r="DN12693">
            <v>0</v>
          </cell>
        </row>
        <row r="12694">
          <cell r="E12694">
            <v>0</v>
          </cell>
          <cell r="F12694">
            <v>0</v>
          </cell>
          <cell r="DN12694">
            <v>0</v>
          </cell>
        </row>
        <row r="12695">
          <cell r="E12695">
            <v>0</v>
          </cell>
          <cell r="F12695">
            <v>0</v>
          </cell>
          <cell r="DN12695">
            <v>0</v>
          </cell>
        </row>
        <row r="12696">
          <cell r="E12696">
            <v>0</v>
          </cell>
          <cell r="F12696">
            <v>0</v>
          </cell>
          <cell r="DN12696">
            <v>0</v>
          </cell>
        </row>
        <row r="12697">
          <cell r="E12697">
            <v>0</v>
          </cell>
          <cell r="F12697">
            <v>0</v>
          </cell>
          <cell r="DN12697">
            <v>0</v>
          </cell>
        </row>
        <row r="12698">
          <cell r="E12698">
            <v>0</v>
          </cell>
          <cell r="F12698">
            <v>0</v>
          </cell>
          <cell r="DN12698">
            <v>0</v>
          </cell>
        </row>
        <row r="12699">
          <cell r="E12699">
            <v>0</v>
          </cell>
          <cell r="F12699">
            <v>0</v>
          </cell>
          <cell r="DN12699">
            <v>0</v>
          </cell>
        </row>
        <row r="12700">
          <cell r="E12700">
            <v>0</v>
          </cell>
          <cell r="F12700">
            <v>0</v>
          </cell>
          <cell r="DN12700">
            <v>0</v>
          </cell>
        </row>
        <row r="12701">
          <cell r="E12701">
            <v>0</v>
          </cell>
          <cell r="F12701">
            <v>0</v>
          </cell>
          <cell r="DN12701">
            <v>0</v>
          </cell>
        </row>
        <row r="12702">
          <cell r="E12702">
            <v>0</v>
          </cell>
          <cell r="F12702">
            <v>0</v>
          </cell>
          <cell r="DN12702">
            <v>0</v>
          </cell>
        </row>
        <row r="12703">
          <cell r="E12703">
            <v>0</v>
          </cell>
          <cell r="F12703">
            <v>0</v>
          </cell>
          <cell r="DN12703">
            <v>0</v>
          </cell>
        </row>
        <row r="12704">
          <cell r="E12704">
            <v>0</v>
          </cell>
          <cell r="F12704">
            <v>0</v>
          </cell>
          <cell r="DN12704">
            <v>0</v>
          </cell>
        </row>
        <row r="12705">
          <cell r="E12705">
            <v>0</v>
          </cell>
          <cell r="F12705">
            <v>0</v>
          </cell>
          <cell r="DN12705">
            <v>0</v>
          </cell>
        </row>
        <row r="12706">
          <cell r="E12706">
            <v>0</v>
          </cell>
          <cell r="F12706">
            <v>0</v>
          </cell>
          <cell r="DN12706">
            <v>0</v>
          </cell>
        </row>
        <row r="12707">
          <cell r="E12707">
            <v>0</v>
          </cell>
          <cell r="F12707">
            <v>0</v>
          </cell>
          <cell r="DN12707">
            <v>0</v>
          </cell>
        </row>
        <row r="12708">
          <cell r="E12708">
            <v>0</v>
          </cell>
          <cell r="F12708">
            <v>0</v>
          </cell>
          <cell r="DN12708">
            <v>0</v>
          </cell>
        </row>
        <row r="12709">
          <cell r="E12709">
            <v>0</v>
          </cell>
          <cell r="F12709">
            <v>0</v>
          </cell>
          <cell r="DN12709">
            <v>0</v>
          </cell>
        </row>
        <row r="12710">
          <cell r="E12710">
            <v>0</v>
          </cell>
          <cell r="F12710">
            <v>0</v>
          </cell>
          <cell r="DN12710">
            <v>0</v>
          </cell>
        </row>
        <row r="12711">
          <cell r="E12711">
            <v>0</v>
          </cell>
          <cell r="F12711">
            <v>0</v>
          </cell>
          <cell r="DN12711">
            <v>0</v>
          </cell>
        </row>
        <row r="12712">
          <cell r="E12712">
            <v>0</v>
          </cell>
          <cell r="F12712">
            <v>0</v>
          </cell>
          <cell r="DN12712">
            <v>0</v>
          </cell>
        </row>
        <row r="12713">
          <cell r="E12713">
            <v>0</v>
          </cell>
          <cell r="F12713">
            <v>0</v>
          </cell>
          <cell r="DN12713">
            <v>0</v>
          </cell>
        </row>
        <row r="12714">
          <cell r="E12714">
            <v>0</v>
          </cell>
          <cell r="F12714">
            <v>0</v>
          </cell>
          <cell r="DN12714">
            <v>0</v>
          </cell>
        </row>
        <row r="12715">
          <cell r="E12715">
            <v>0</v>
          </cell>
          <cell r="F12715">
            <v>0</v>
          </cell>
          <cell r="DN12715">
            <v>0</v>
          </cell>
        </row>
        <row r="12716">
          <cell r="E12716">
            <v>0</v>
          </cell>
          <cell r="F12716">
            <v>0</v>
          </cell>
          <cell r="DN12716">
            <v>0</v>
          </cell>
        </row>
        <row r="12717">
          <cell r="E12717">
            <v>0</v>
          </cell>
          <cell r="F12717">
            <v>0</v>
          </cell>
          <cell r="DN12717">
            <v>0</v>
          </cell>
        </row>
        <row r="12718">
          <cell r="E12718">
            <v>0</v>
          </cell>
          <cell r="F12718">
            <v>0</v>
          </cell>
          <cell r="DN12718">
            <v>0</v>
          </cell>
        </row>
        <row r="12719">
          <cell r="E12719">
            <v>0</v>
          </cell>
          <cell r="F12719">
            <v>0</v>
          </cell>
          <cell r="DN12719">
            <v>0</v>
          </cell>
        </row>
        <row r="12720">
          <cell r="E12720">
            <v>0</v>
          </cell>
          <cell r="F12720">
            <v>0</v>
          </cell>
          <cell r="DN12720">
            <v>0</v>
          </cell>
        </row>
        <row r="12721">
          <cell r="E12721">
            <v>0</v>
          </cell>
          <cell r="F12721">
            <v>0</v>
          </cell>
          <cell r="DN12721">
            <v>0</v>
          </cell>
        </row>
        <row r="12722">
          <cell r="E12722">
            <v>0</v>
          </cell>
          <cell r="F12722">
            <v>0</v>
          </cell>
          <cell r="DN12722">
            <v>0</v>
          </cell>
        </row>
        <row r="12723">
          <cell r="E12723">
            <v>0</v>
          </cell>
          <cell r="F12723">
            <v>0</v>
          </cell>
          <cell r="DN12723">
            <v>0</v>
          </cell>
        </row>
        <row r="12724">
          <cell r="E12724">
            <v>0</v>
          </cell>
          <cell r="F12724">
            <v>0</v>
          </cell>
          <cell r="DN12724">
            <v>0</v>
          </cell>
        </row>
        <row r="12725">
          <cell r="E12725">
            <v>0</v>
          </cell>
          <cell r="F12725">
            <v>0</v>
          </cell>
          <cell r="DN12725">
            <v>0</v>
          </cell>
        </row>
        <row r="12726">
          <cell r="E12726">
            <v>0</v>
          </cell>
          <cell r="F12726">
            <v>0</v>
          </cell>
          <cell r="DN12726">
            <v>0</v>
          </cell>
        </row>
        <row r="12727">
          <cell r="E12727">
            <v>0</v>
          </cell>
          <cell r="F12727">
            <v>0</v>
          </cell>
          <cell r="DN12727">
            <v>0</v>
          </cell>
        </row>
        <row r="12728">
          <cell r="E12728">
            <v>0</v>
          </cell>
          <cell r="F12728">
            <v>0</v>
          </cell>
          <cell r="DN12728">
            <v>0</v>
          </cell>
        </row>
        <row r="12729">
          <cell r="E12729">
            <v>0</v>
          </cell>
          <cell r="F12729">
            <v>0</v>
          </cell>
          <cell r="DN12729">
            <v>0</v>
          </cell>
        </row>
        <row r="12730">
          <cell r="E12730">
            <v>0</v>
          </cell>
          <cell r="F12730">
            <v>0</v>
          </cell>
          <cell r="DN12730">
            <v>0</v>
          </cell>
        </row>
        <row r="12731">
          <cell r="E12731">
            <v>0</v>
          </cell>
          <cell r="F12731">
            <v>0</v>
          </cell>
          <cell r="DN12731">
            <v>0</v>
          </cell>
        </row>
        <row r="12732">
          <cell r="E12732">
            <v>0</v>
          </cell>
          <cell r="F12732">
            <v>0</v>
          </cell>
          <cell r="DN12732">
            <v>0</v>
          </cell>
        </row>
        <row r="12733">
          <cell r="E12733">
            <v>0</v>
          </cell>
          <cell r="F12733">
            <v>0</v>
          </cell>
          <cell r="DN12733">
            <v>0</v>
          </cell>
        </row>
        <row r="12734">
          <cell r="E12734">
            <v>0</v>
          </cell>
          <cell r="F12734">
            <v>0</v>
          </cell>
          <cell r="DN12734">
            <v>0</v>
          </cell>
        </row>
        <row r="12735">
          <cell r="E12735">
            <v>0</v>
          </cell>
          <cell r="F12735">
            <v>0</v>
          </cell>
          <cell r="DN12735">
            <v>0</v>
          </cell>
        </row>
        <row r="12736">
          <cell r="E12736">
            <v>0</v>
          </cell>
          <cell r="F12736">
            <v>0</v>
          </cell>
          <cell r="DN12736">
            <v>0</v>
          </cell>
        </row>
        <row r="12737">
          <cell r="E12737">
            <v>0</v>
          </cell>
          <cell r="F12737">
            <v>0</v>
          </cell>
          <cell r="DN12737">
            <v>0</v>
          </cell>
        </row>
        <row r="12738">
          <cell r="E12738">
            <v>0</v>
          </cell>
          <cell r="F12738">
            <v>0</v>
          </cell>
          <cell r="DN12738">
            <v>0</v>
          </cell>
        </row>
        <row r="12739">
          <cell r="E12739">
            <v>0</v>
          </cell>
          <cell r="F12739">
            <v>0</v>
          </cell>
          <cell r="DN12739">
            <v>0</v>
          </cell>
        </row>
        <row r="12740">
          <cell r="E12740">
            <v>0</v>
          </cell>
          <cell r="F12740">
            <v>0</v>
          </cell>
          <cell r="DN12740">
            <v>0</v>
          </cell>
        </row>
        <row r="12741">
          <cell r="E12741">
            <v>0</v>
          </cell>
          <cell r="F12741">
            <v>0</v>
          </cell>
          <cell r="DN12741">
            <v>0</v>
          </cell>
        </row>
        <row r="12742">
          <cell r="E12742">
            <v>0</v>
          </cell>
          <cell r="F12742">
            <v>0</v>
          </cell>
          <cell r="DN12742">
            <v>0</v>
          </cell>
        </row>
        <row r="12743">
          <cell r="E12743">
            <v>0</v>
          </cell>
          <cell r="F12743">
            <v>0</v>
          </cell>
          <cell r="DN12743">
            <v>0</v>
          </cell>
        </row>
        <row r="12744">
          <cell r="E12744">
            <v>0</v>
          </cell>
          <cell r="F12744">
            <v>0</v>
          </cell>
          <cell r="DN12744">
            <v>0</v>
          </cell>
        </row>
        <row r="12745">
          <cell r="E12745">
            <v>0</v>
          </cell>
          <cell r="F12745">
            <v>0</v>
          </cell>
          <cell r="DN12745">
            <v>0</v>
          </cell>
        </row>
        <row r="12746">
          <cell r="E12746">
            <v>0</v>
          </cell>
          <cell r="F12746">
            <v>0</v>
          </cell>
          <cell r="DN12746">
            <v>0</v>
          </cell>
        </row>
        <row r="12747">
          <cell r="E12747">
            <v>0</v>
          </cell>
          <cell r="F12747">
            <v>0</v>
          </cell>
          <cell r="DN12747">
            <v>0</v>
          </cell>
        </row>
        <row r="12748">
          <cell r="E12748">
            <v>0</v>
          </cell>
          <cell r="F12748">
            <v>0</v>
          </cell>
          <cell r="DN12748">
            <v>0</v>
          </cell>
        </row>
        <row r="12749">
          <cell r="E12749">
            <v>0</v>
          </cell>
          <cell r="F12749">
            <v>0</v>
          </cell>
          <cell r="DN12749">
            <v>0</v>
          </cell>
        </row>
        <row r="12750">
          <cell r="E12750">
            <v>0</v>
          </cell>
          <cell r="F12750">
            <v>0</v>
          </cell>
          <cell r="DN12750">
            <v>0</v>
          </cell>
        </row>
        <row r="12751">
          <cell r="E12751">
            <v>0</v>
          </cell>
          <cell r="F12751">
            <v>0</v>
          </cell>
          <cell r="DN12751">
            <v>0</v>
          </cell>
        </row>
        <row r="12752">
          <cell r="E12752">
            <v>0</v>
          </cell>
          <cell r="F12752">
            <v>0</v>
          </cell>
          <cell r="DN12752">
            <v>0</v>
          </cell>
        </row>
        <row r="12753">
          <cell r="E12753">
            <v>0</v>
          </cell>
          <cell r="F12753">
            <v>0</v>
          </cell>
          <cell r="DN12753">
            <v>0</v>
          </cell>
        </row>
        <row r="12754">
          <cell r="E12754">
            <v>0</v>
          </cell>
          <cell r="F12754">
            <v>0</v>
          </cell>
          <cell r="DN12754">
            <v>0</v>
          </cell>
        </row>
        <row r="12755">
          <cell r="E12755">
            <v>0</v>
          </cell>
          <cell r="F12755">
            <v>0</v>
          </cell>
          <cell r="DN12755">
            <v>0</v>
          </cell>
        </row>
        <row r="12756">
          <cell r="E12756">
            <v>0</v>
          </cell>
          <cell r="F12756">
            <v>0</v>
          </cell>
          <cell r="DN12756">
            <v>0</v>
          </cell>
        </row>
        <row r="12757">
          <cell r="E12757">
            <v>0</v>
          </cell>
          <cell r="F12757">
            <v>0</v>
          </cell>
          <cell r="DN12757">
            <v>0</v>
          </cell>
        </row>
        <row r="12758">
          <cell r="E12758">
            <v>0</v>
          </cell>
          <cell r="F12758">
            <v>0</v>
          </cell>
          <cell r="DN12758">
            <v>0</v>
          </cell>
        </row>
        <row r="12759">
          <cell r="E12759">
            <v>0</v>
          </cell>
          <cell r="F12759">
            <v>0</v>
          </cell>
          <cell r="DN12759">
            <v>0</v>
          </cell>
        </row>
        <row r="12760">
          <cell r="E12760">
            <v>0</v>
          </cell>
          <cell r="F12760">
            <v>0</v>
          </cell>
          <cell r="DN12760">
            <v>0</v>
          </cell>
        </row>
        <row r="12761">
          <cell r="E12761">
            <v>0</v>
          </cell>
          <cell r="F12761">
            <v>0</v>
          </cell>
          <cell r="DN12761">
            <v>0</v>
          </cell>
        </row>
        <row r="12762">
          <cell r="E12762">
            <v>0</v>
          </cell>
          <cell r="F12762">
            <v>0</v>
          </cell>
          <cell r="DN12762">
            <v>0</v>
          </cell>
        </row>
        <row r="12763">
          <cell r="E12763">
            <v>0</v>
          </cell>
          <cell r="F12763">
            <v>0</v>
          </cell>
          <cell r="DN12763">
            <v>0</v>
          </cell>
        </row>
        <row r="12764">
          <cell r="E12764">
            <v>0</v>
          </cell>
          <cell r="F12764">
            <v>0</v>
          </cell>
          <cell r="DN12764">
            <v>0</v>
          </cell>
        </row>
        <row r="12765">
          <cell r="E12765">
            <v>0</v>
          </cell>
          <cell r="F12765">
            <v>0</v>
          </cell>
          <cell r="DN12765">
            <v>0</v>
          </cell>
        </row>
        <row r="12766">
          <cell r="E12766">
            <v>0</v>
          </cell>
          <cell r="F12766">
            <v>0</v>
          </cell>
          <cell r="DN12766">
            <v>0</v>
          </cell>
        </row>
        <row r="12767">
          <cell r="E12767">
            <v>0</v>
          </cell>
          <cell r="F12767">
            <v>0</v>
          </cell>
          <cell r="DN12767">
            <v>0</v>
          </cell>
        </row>
        <row r="12768">
          <cell r="E12768">
            <v>0</v>
          </cell>
          <cell r="F12768">
            <v>0</v>
          </cell>
          <cell r="DN12768">
            <v>0</v>
          </cell>
        </row>
        <row r="12769">
          <cell r="E12769">
            <v>0</v>
          </cell>
          <cell r="F12769">
            <v>0</v>
          </cell>
          <cell r="DN12769">
            <v>0</v>
          </cell>
        </row>
        <row r="12770">
          <cell r="E12770">
            <v>0</v>
          </cell>
          <cell r="F12770">
            <v>0</v>
          </cell>
          <cell r="DN12770">
            <v>0</v>
          </cell>
        </row>
        <row r="12771">
          <cell r="E12771">
            <v>0</v>
          </cell>
          <cell r="F12771">
            <v>0</v>
          </cell>
          <cell r="DN12771">
            <v>0</v>
          </cell>
        </row>
        <row r="12772">
          <cell r="E12772">
            <v>0</v>
          </cell>
          <cell r="F12772">
            <v>0</v>
          </cell>
          <cell r="DN12772">
            <v>0</v>
          </cell>
        </row>
        <row r="12773">
          <cell r="E12773">
            <v>0</v>
          </cell>
          <cell r="F12773">
            <v>0</v>
          </cell>
          <cell r="DN12773">
            <v>0</v>
          </cell>
        </row>
        <row r="12774">
          <cell r="E12774">
            <v>0</v>
          </cell>
          <cell r="F12774">
            <v>0</v>
          </cell>
          <cell r="DN12774">
            <v>0</v>
          </cell>
        </row>
        <row r="12775">
          <cell r="E12775">
            <v>0</v>
          </cell>
          <cell r="F12775">
            <v>0</v>
          </cell>
          <cell r="DN12775">
            <v>0</v>
          </cell>
        </row>
        <row r="12776">
          <cell r="E12776">
            <v>0</v>
          </cell>
          <cell r="F12776">
            <v>0</v>
          </cell>
          <cell r="DN12776">
            <v>0</v>
          </cell>
        </row>
        <row r="12777">
          <cell r="E12777">
            <v>0</v>
          </cell>
          <cell r="F12777">
            <v>0</v>
          </cell>
          <cell r="DN12777">
            <v>0</v>
          </cell>
        </row>
        <row r="12778">
          <cell r="E12778">
            <v>0</v>
          </cell>
          <cell r="F12778">
            <v>0</v>
          </cell>
          <cell r="DN12778">
            <v>0</v>
          </cell>
        </row>
        <row r="12779">
          <cell r="E12779">
            <v>0</v>
          </cell>
          <cell r="F12779">
            <v>0</v>
          </cell>
          <cell r="DN12779">
            <v>0</v>
          </cell>
        </row>
        <row r="12780">
          <cell r="E12780">
            <v>0</v>
          </cell>
          <cell r="F12780">
            <v>0</v>
          </cell>
          <cell r="DN12780">
            <v>0</v>
          </cell>
        </row>
        <row r="12781">
          <cell r="E12781">
            <v>0</v>
          </cell>
          <cell r="F12781">
            <v>0</v>
          </cell>
          <cell r="DN12781">
            <v>0</v>
          </cell>
        </row>
        <row r="12782">
          <cell r="E12782">
            <v>0</v>
          </cell>
          <cell r="F12782">
            <v>0</v>
          </cell>
          <cell r="DN12782">
            <v>0</v>
          </cell>
        </row>
        <row r="12783">
          <cell r="E12783">
            <v>0</v>
          </cell>
          <cell r="F12783">
            <v>0</v>
          </cell>
          <cell r="DN12783">
            <v>0</v>
          </cell>
        </row>
        <row r="12784">
          <cell r="E12784">
            <v>0</v>
          </cell>
          <cell r="F12784">
            <v>0</v>
          </cell>
          <cell r="DN12784">
            <v>0</v>
          </cell>
        </row>
        <row r="12785">
          <cell r="E12785">
            <v>0</v>
          </cell>
          <cell r="F12785">
            <v>0</v>
          </cell>
          <cell r="DN12785">
            <v>0</v>
          </cell>
        </row>
        <row r="12786">
          <cell r="E12786">
            <v>0</v>
          </cell>
          <cell r="F12786">
            <v>0</v>
          </cell>
          <cell r="DN12786">
            <v>0</v>
          </cell>
        </row>
        <row r="12787">
          <cell r="E12787">
            <v>0</v>
          </cell>
          <cell r="F12787">
            <v>0</v>
          </cell>
          <cell r="DN12787">
            <v>0</v>
          </cell>
        </row>
        <row r="12788">
          <cell r="E12788">
            <v>0</v>
          </cell>
          <cell r="F12788">
            <v>0</v>
          </cell>
          <cell r="DN12788">
            <v>0</v>
          </cell>
        </row>
        <row r="12789">
          <cell r="E12789">
            <v>0</v>
          </cell>
          <cell r="F12789">
            <v>0</v>
          </cell>
          <cell r="DN12789">
            <v>0</v>
          </cell>
        </row>
        <row r="12790">
          <cell r="E12790">
            <v>0</v>
          </cell>
          <cell r="F12790">
            <v>0</v>
          </cell>
          <cell r="DN12790">
            <v>0</v>
          </cell>
        </row>
        <row r="12791">
          <cell r="E12791">
            <v>0</v>
          </cell>
          <cell r="F12791">
            <v>0</v>
          </cell>
          <cell r="DN12791">
            <v>0</v>
          </cell>
        </row>
        <row r="12792">
          <cell r="E12792">
            <v>0</v>
          </cell>
          <cell r="F12792">
            <v>0</v>
          </cell>
          <cell r="DN12792">
            <v>0</v>
          </cell>
        </row>
        <row r="12793">
          <cell r="E12793">
            <v>0</v>
          </cell>
          <cell r="F12793">
            <v>0</v>
          </cell>
          <cell r="DN12793">
            <v>0</v>
          </cell>
        </row>
        <row r="12794">
          <cell r="E12794">
            <v>0</v>
          </cell>
          <cell r="F12794">
            <v>0</v>
          </cell>
          <cell r="DN12794">
            <v>0</v>
          </cell>
        </row>
        <row r="12795">
          <cell r="E12795">
            <v>0</v>
          </cell>
          <cell r="F12795">
            <v>0</v>
          </cell>
          <cell r="DN12795">
            <v>0</v>
          </cell>
        </row>
        <row r="12796">
          <cell r="E12796">
            <v>0</v>
          </cell>
          <cell r="F12796">
            <v>0</v>
          </cell>
          <cell r="DN12796">
            <v>0</v>
          </cell>
        </row>
        <row r="12797">
          <cell r="E12797">
            <v>0</v>
          </cell>
          <cell r="F12797">
            <v>0</v>
          </cell>
          <cell r="DN12797">
            <v>0</v>
          </cell>
        </row>
        <row r="12798">
          <cell r="E12798">
            <v>0</v>
          </cell>
          <cell r="F12798">
            <v>0</v>
          </cell>
          <cell r="DN12798">
            <v>0</v>
          </cell>
        </row>
        <row r="12799">
          <cell r="E12799">
            <v>0</v>
          </cell>
          <cell r="F12799">
            <v>0</v>
          </cell>
          <cell r="DN12799">
            <v>0</v>
          </cell>
        </row>
        <row r="12800">
          <cell r="E12800">
            <v>0</v>
          </cell>
          <cell r="F12800">
            <v>0</v>
          </cell>
          <cell r="DN12800">
            <v>0</v>
          </cell>
        </row>
        <row r="12801">
          <cell r="E12801">
            <v>0</v>
          </cell>
          <cell r="F12801">
            <v>0</v>
          </cell>
          <cell r="DN12801">
            <v>0</v>
          </cell>
        </row>
        <row r="12802">
          <cell r="E12802">
            <v>0</v>
          </cell>
          <cell r="F12802">
            <v>0</v>
          </cell>
          <cell r="DN12802">
            <v>0</v>
          </cell>
        </row>
        <row r="12803">
          <cell r="E12803">
            <v>0</v>
          </cell>
          <cell r="F12803">
            <v>0</v>
          </cell>
          <cell r="DN12803">
            <v>0</v>
          </cell>
        </row>
        <row r="12804">
          <cell r="E12804">
            <v>0</v>
          </cell>
          <cell r="F12804">
            <v>0</v>
          </cell>
          <cell r="DN12804">
            <v>0</v>
          </cell>
        </row>
        <row r="12805">
          <cell r="E12805">
            <v>0</v>
          </cell>
          <cell r="F12805">
            <v>0</v>
          </cell>
          <cell r="DN12805">
            <v>0</v>
          </cell>
        </row>
        <row r="12806">
          <cell r="E12806">
            <v>0</v>
          </cell>
          <cell r="F12806">
            <v>0</v>
          </cell>
          <cell r="DN12806">
            <v>0</v>
          </cell>
        </row>
        <row r="12807">
          <cell r="E12807">
            <v>0</v>
          </cell>
          <cell r="F12807">
            <v>0</v>
          </cell>
          <cell r="DN12807">
            <v>0</v>
          </cell>
        </row>
        <row r="12808">
          <cell r="E12808">
            <v>0</v>
          </cell>
          <cell r="F12808">
            <v>0</v>
          </cell>
          <cell r="DN12808">
            <v>0</v>
          </cell>
        </row>
        <row r="12809">
          <cell r="E12809">
            <v>0</v>
          </cell>
          <cell r="F12809">
            <v>0</v>
          </cell>
          <cell r="DN12809">
            <v>0</v>
          </cell>
        </row>
        <row r="12810">
          <cell r="E12810">
            <v>0</v>
          </cell>
          <cell r="F12810">
            <v>0</v>
          </cell>
          <cell r="DN12810">
            <v>0</v>
          </cell>
        </row>
        <row r="12811">
          <cell r="E12811">
            <v>0</v>
          </cell>
          <cell r="F12811">
            <v>0</v>
          </cell>
          <cell r="DN12811">
            <v>0</v>
          </cell>
        </row>
        <row r="12812">
          <cell r="E12812">
            <v>0</v>
          </cell>
          <cell r="F12812">
            <v>0</v>
          </cell>
          <cell r="DN12812">
            <v>0</v>
          </cell>
        </row>
        <row r="12813">
          <cell r="E12813">
            <v>0</v>
          </cell>
          <cell r="F12813">
            <v>0</v>
          </cell>
          <cell r="DN12813">
            <v>0</v>
          </cell>
        </row>
        <row r="12814">
          <cell r="E12814">
            <v>0</v>
          </cell>
          <cell r="F12814">
            <v>0</v>
          </cell>
          <cell r="DN12814">
            <v>0</v>
          </cell>
        </row>
        <row r="12815">
          <cell r="E12815">
            <v>0</v>
          </cell>
          <cell r="F12815">
            <v>0</v>
          </cell>
          <cell r="DN12815">
            <v>0</v>
          </cell>
        </row>
        <row r="12816">
          <cell r="E12816">
            <v>0</v>
          </cell>
          <cell r="F12816">
            <v>0</v>
          </cell>
          <cell r="DN12816">
            <v>0</v>
          </cell>
        </row>
        <row r="12817">
          <cell r="E12817">
            <v>0</v>
          </cell>
          <cell r="F12817">
            <v>0</v>
          </cell>
          <cell r="DN12817">
            <v>0</v>
          </cell>
        </row>
        <row r="12818">
          <cell r="E12818">
            <v>0</v>
          </cell>
          <cell r="F12818">
            <v>0</v>
          </cell>
          <cell r="DN12818">
            <v>0</v>
          </cell>
        </row>
        <row r="12819">
          <cell r="E12819">
            <v>0</v>
          </cell>
          <cell r="F12819">
            <v>0</v>
          </cell>
          <cell r="DN12819">
            <v>0</v>
          </cell>
        </row>
        <row r="12820">
          <cell r="E12820">
            <v>0</v>
          </cell>
          <cell r="F12820">
            <v>0</v>
          </cell>
          <cell r="DN12820">
            <v>0</v>
          </cell>
        </row>
        <row r="12821">
          <cell r="E12821">
            <v>0</v>
          </cell>
          <cell r="F12821">
            <v>0</v>
          </cell>
          <cell r="DN12821">
            <v>0</v>
          </cell>
        </row>
        <row r="12822">
          <cell r="E12822">
            <v>0</v>
          </cell>
          <cell r="F12822">
            <v>0</v>
          </cell>
          <cell r="DN12822">
            <v>0</v>
          </cell>
        </row>
        <row r="12823">
          <cell r="E12823">
            <v>0</v>
          </cell>
          <cell r="F12823">
            <v>0</v>
          </cell>
          <cell r="DN12823">
            <v>0</v>
          </cell>
        </row>
        <row r="12824">
          <cell r="E12824">
            <v>0</v>
          </cell>
          <cell r="F12824">
            <v>0</v>
          </cell>
          <cell r="DN12824">
            <v>0</v>
          </cell>
        </row>
        <row r="12825">
          <cell r="E12825">
            <v>0</v>
          </cell>
          <cell r="F12825">
            <v>0</v>
          </cell>
          <cell r="DN12825">
            <v>0</v>
          </cell>
        </row>
        <row r="12826">
          <cell r="E12826">
            <v>0</v>
          </cell>
          <cell r="F12826">
            <v>0</v>
          </cell>
          <cell r="DN12826">
            <v>0</v>
          </cell>
        </row>
        <row r="12827">
          <cell r="E12827">
            <v>0</v>
          </cell>
          <cell r="F12827">
            <v>0</v>
          </cell>
          <cell r="DN12827">
            <v>0</v>
          </cell>
        </row>
        <row r="12828">
          <cell r="E12828">
            <v>0</v>
          </cell>
          <cell r="F12828">
            <v>0</v>
          </cell>
          <cell r="DN12828">
            <v>0</v>
          </cell>
        </row>
        <row r="12829">
          <cell r="E12829">
            <v>0</v>
          </cell>
          <cell r="F12829">
            <v>0</v>
          </cell>
          <cell r="DN12829">
            <v>0</v>
          </cell>
        </row>
        <row r="12830">
          <cell r="E12830">
            <v>0</v>
          </cell>
          <cell r="F12830">
            <v>0</v>
          </cell>
          <cell r="DN12830">
            <v>0</v>
          </cell>
        </row>
        <row r="12831">
          <cell r="E12831">
            <v>0</v>
          </cell>
          <cell r="F12831">
            <v>0</v>
          </cell>
          <cell r="DN12831">
            <v>0</v>
          </cell>
        </row>
        <row r="12832">
          <cell r="E12832">
            <v>0</v>
          </cell>
          <cell r="F12832">
            <v>0</v>
          </cell>
          <cell r="DN12832">
            <v>0</v>
          </cell>
        </row>
        <row r="12833">
          <cell r="E12833">
            <v>0</v>
          </cell>
          <cell r="F12833">
            <v>0</v>
          </cell>
          <cell r="DN12833">
            <v>0</v>
          </cell>
        </row>
        <row r="12834">
          <cell r="E12834">
            <v>0</v>
          </cell>
          <cell r="F12834">
            <v>0</v>
          </cell>
          <cell r="DN12834">
            <v>0</v>
          </cell>
        </row>
        <row r="12835">
          <cell r="E12835">
            <v>0</v>
          </cell>
          <cell r="F12835">
            <v>0</v>
          </cell>
          <cell r="DN12835">
            <v>0</v>
          </cell>
        </row>
        <row r="12836">
          <cell r="E12836">
            <v>0</v>
          </cell>
          <cell r="F12836">
            <v>0</v>
          </cell>
          <cell r="DN12836">
            <v>0</v>
          </cell>
        </row>
        <row r="12837">
          <cell r="E12837">
            <v>0</v>
          </cell>
          <cell r="F12837">
            <v>0</v>
          </cell>
          <cell r="DN12837">
            <v>0</v>
          </cell>
        </row>
        <row r="12838">
          <cell r="E12838">
            <v>0</v>
          </cell>
          <cell r="F12838">
            <v>0</v>
          </cell>
          <cell r="DN12838">
            <v>0</v>
          </cell>
        </row>
        <row r="12839">
          <cell r="E12839">
            <v>0</v>
          </cell>
          <cell r="F12839">
            <v>0</v>
          </cell>
          <cell r="DN12839">
            <v>0</v>
          </cell>
        </row>
        <row r="12840">
          <cell r="E12840">
            <v>0</v>
          </cell>
          <cell r="F12840">
            <v>0</v>
          </cell>
          <cell r="DN12840">
            <v>0</v>
          </cell>
        </row>
        <row r="12841">
          <cell r="E12841">
            <v>0</v>
          </cell>
          <cell r="F12841">
            <v>0</v>
          </cell>
          <cell r="DN12841">
            <v>0</v>
          </cell>
        </row>
        <row r="12842">
          <cell r="E12842">
            <v>0</v>
          </cell>
          <cell r="F12842">
            <v>0</v>
          </cell>
          <cell r="DN12842">
            <v>0</v>
          </cell>
        </row>
        <row r="12843">
          <cell r="E12843">
            <v>0</v>
          </cell>
          <cell r="F12843">
            <v>0</v>
          </cell>
          <cell r="DN12843">
            <v>0</v>
          </cell>
        </row>
        <row r="12844">
          <cell r="E12844">
            <v>0</v>
          </cell>
          <cell r="F12844">
            <v>0</v>
          </cell>
          <cell r="DN12844">
            <v>0</v>
          </cell>
        </row>
        <row r="12845">
          <cell r="E12845">
            <v>0</v>
          </cell>
          <cell r="F12845">
            <v>0</v>
          </cell>
          <cell r="DN12845">
            <v>0</v>
          </cell>
        </row>
        <row r="12846">
          <cell r="E12846">
            <v>0</v>
          </cell>
          <cell r="F12846">
            <v>0</v>
          </cell>
          <cell r="DN12846">
            <v>0</v>
          </cell>
        </row>
        <row r="12847">
          <cell r="E12847">
            <v>0</v>
          </cell>
          <cell r="F12847">
            <v>0</v>
          </cell>
          <cell r="DN12847">
            <v>0</v>
          </cell>
        </row>
        <row r="12848">
          <cell r="E12848">
            <v>0</v>
          </cell>
          <cell r="F12848">
            <v>0</v>
          </cell>
          <cell r="DN12848">
            <v>0</v>
          </cell>
        </row>
        <row r="12849">
          <cell r="E12849">
            <v>0</v>
          </cell>
          <cell r="F12849">
            <v>0</v>
          </cell>
          <cell r="DN12849">
            <v>0</v>
          </cell>
        </row>
        <row r="12850">
          <cell r="E12850">
            <v>0</v>
          </cell>
          <cell r="F12850">
            <v>0</v>
          </cell>
          <cell r="DN12850">
            <v>0</v>
          </cell>
        </row>
        <row r="12851">
          <cell r="E12851">
            <v>0</v>
          </cell>
          <cell r="F12851">
            <v>0</v>
          </cell>
          <cell r="DN12851">
            <v>0</v>
          </cell>
        </row>
        <row r="12852">
          <cell r="E12852">
            <v>0</v>
          </cell>
          <cell r="F12852">
            <v>0</v>
          </cell>
          <cell r="DN12852">
            <v>0</v>
          </cell>
        </row>
        <row r="12853">
          <cell r="E12853">
            <v>0</v>
          </cell>
          <cell r="F12853">
            <v>0</v>
          </cell>
          <cell r="DN12853">
            <v>0</v>
          </cell>
        </row>
        <row r="12854">
          <cell r="E12854">
            <v>0</v>
          </cell>
          <cell r="F12854">
            <v>0</v>
          </cell>
          <cell r="DN12854">
            <v>0</v>
          </cell>
        </row>
        <row r="12855">
          <cell r="E12855">
            <v>0</v>
          </cell>
          <cell r="F12855">
            <v>0</v>
          </cell>
          <cell r="DN12855">
            <v>0</v>
          </cell>
        </row>
        <row r="12856">
          <cell r="E12856">
            <v>0</v>
          </cell>
          <cell r="F12856">
            <v>0</v>
          </cell>
          <cell r="DN12856">
            <v>0</v>
          </cell>
        </row>
        <row r="12857">
          <cell r="E12857">
            <v>0</v>
          </cell>
          <cell r="F12857">
            <v>0</v>
          </cell>
          <cell r="DN12857">
            <v>0</v>
          </cell>
        </row>
        <row r="12858">
          <cell r="E12858">
            <v>0</v>
          </cell>
          <cell r="F12858">
            <v>0</v>
          </cell>
          <cell r="DN12858">
            <v>0</v>
          </cell>
        </row>
        <row r="12859">
          <cell r="E12859">
            <v>0</v>
          </cell>
          <cell r="F12859">
            <v>0</v>
          </cell>
          <cell r="DN12859">
            <v>0</v>
          </cell>
        </row>
        <row r="12860">
          <cell r="E12860">
            <v>0</v>
          </cell>
          <cell r="F12860">
            <v>0</v>
          </cell>
          <cell r="DN12860">
            <v>0</v>
          </cell>
        </row>
        <row r="12861">
          <cell r="E12861">
            <v>0</v>
          </cell>
          <cell r="F12861">
            <v>0</v>
          </cell>
          <cell r="DN12861">
            <v>0</v>
          </cell>
        </row>
        <row r="12862">
          <cell r="E12862">
            <v>0</v>
          </cell>
          <cell r="F12862">
            <v>0</v>
          </cell>
          <cell r="DN12862">
            <v>0</v>
          </cell>
        </row>
        <row r="12863">
          <cell r="E12863">
            <v>0</v>
          </cell>
          <cell r="F12863">
            <v>0</v>
          </cell>
          <cell r="DN12863">
            <v>0</v>
          </cell>
        </row>
        <row r="12864">
          <cell r="E12864">
            <v>0</v>
          </cell>
          <cell r="F12864">
            <v>0</v>
          </cell>
          <cell r="DN12864">
            <v>0</v>
          </cell>
        </row>
        <row r="12865">
          <cell r="E12865">
            <v>0</v>
          </cell>
          <cell r="F12865">
            <v>0</v>
          </cell>
          <cell r="DN12865">
            <v>0</v>
          </cell>
        </row>
        <row r="12866">
          <cell r="E12866">
            <v>0</v>
          </cell>
          <cell r="F12866">
            <v>0</v>
          </cell>
          <cell r="DN12866">
            <v>0</v>
          </cell>
        </row>
        <row r="12867">
          <cell r="E12867">
            <v>0</v>
          </cell>
          <cell r="F12867">
            <v>0</v>
          </cell>
          <cell r="DN12867">
            <v>0</v>
          </cell>
        </row>
        <row r="12868">
          <cell r="E12868">
            <v>0</v>
          </cell>
          <cell r="F12868">
            <v>0</v>
          </cell>
          <cell r="DN12868">
            <v>0</v>
          </cell>
        </row>
        <row r="12869">
          <cell r="E12869">
            <v>0</v>
          </cell>
          <cell r="F12869">
            <v>0</v>
          </cell>
          <cell r="DN12869">
            <v>0</v>
          </cell>
        </row>
        <row r="12870">
          <cell r="E12870">
            <v>0</v>
          </cell>
          <cell r="F12870">
            <v>0</v>
          </cell>
          <cell r="DN12870">
            <v>0</v>
          </cell>
        </row>
        <row r="12871">
          <cell r="E12871">
            <v>0</v>
          </cell>
          <cell r="F12871">
            <v>0</v>
          </cell>
          <cell r="DN12871">
            <v>0</v>
          </cell>
        </row>
        <row r="12872">
          <cell r="E12872">
            <v>0</v>
          </cell>
          <cell r="F12872">
            <v>0</v>
          </cell>
          <cell r="DN12872">
            <v>0</v>
          </cell>
        </row>
        <row r="12873">
          <cell r="E12873">
            <v>0</v>
          </cell>
          <cell r="F12873">
            <v>0</v>
          </cell>
          <cell r="DN12873">
            <v>0</v>
          </cell>
        </row>
        <row r="12874">
          <cell r="E12874">
            <v>0</v>
          </cell>
          <cell r="F12874">
            <v>0</v>
          </cell>
          <cell r="DN12874">
            <v>0</v>
          </cell>
        </row>
        <row r="12875">
          <cell r="E12875">
            <v>0</v>
          </cell>
          <cell r="F12875">
            <v>0</v>
          </cell>
          <cell r="DN12875">
            <v>0</v>
          </cell>
        </row>
        <row r="12876">
          <cell r="E12876">
            <v>0</v>
          </cell>
          <cell r="F12876">
            <v>0</v>
          </cell>
          <cell r="DN12876">
            <v>0</v>
          </cell>
        </row>
        <row r="12877">
          <cell r="E12877">
            <v>0</v>
          </cell>
          <cell r="F12877">
            <v>0</v>
          </cell>
          <cell r="DN12877">
            <v>0</v>
          </cell>
        </row>
        <row r="12878">
          <cell r="E12878">
            <v>0</v>
          </cell>
          <cell r="F12878">
            <v>0</v>
          </cell>
          <cell r="DN12878">
            <v>0</v>
          </cell>
        </row>
        <row r="12879">
          <cell r="E12879">
            <v>0</v>
          </cell>
          <cell r="F12879">
            <v>0</v>
          </cell>
          <cell r="DN12879">
            <v>0</v>
          </cell>
        </row>
        <row r="12880">
          <cell r="E12880">
            <v>0</v>
          </cell>
          <cell r="F12880">
            <v>0</v>
          </cell>
          <cell r="DN12880">
            <v>0</v>
          </cell>
        </row>
        <row r="12881">
          <cell r="E12881">
            <v>0</v>
          </cell>
          <cell r="F12881">
            <v>0</v>
          </cell>
          <cell r="DN12881">
            <v>0</v>
          </cell>
        </row>
        <row r="12882">
          <cell r="E12882">
            <v>0</v>
          </cell>
          <cell r="F12882">
            <v>0</v>
          </cell>
          <cell r="DN12882">
            <v>0</v>
          </cell>
        </row>
        <row r="12883">
          <cell r="E12883">
            <v>0</v>
          </cell>
          <cell r="F12883">
            <v>0</v>
          </cell>
          <cell r="DN12883">
            <v>0</v>
          </cell>
        </row>
        <row r="12884">
          <cell r="E12884">
            <v>0</v>
          </cell>
          <cell r="F12884">
            <v>0</v>
          </cell>
          <cell r="DN12884">
            <v>0</v>
          </cell>
        </row>
        <row r="12885">
          <cell r="E12885">
            <v>0</v>
          </cell>
          <cell r="F12885">
            <v>0</v>
          </cell>
          <cell r="DN12885">
            <v>0</v>
          </cell>
        </row>
        <row r="12886">
          <cell r="E12886">
            <v>0</v>
          </cell>
          <cell r="F12886">
            <v>0</v>
          </cell>
          <cell r="DN12886">
            <v>0</v>
          </cell>
        </row>
        <row r="12887">
          <cell r="E12887">
            <v>0</v>
          </cell>
          <cell r="F12887">
            <v>0</v>
          </cell>
          <cell r="DN12887">
            <v>0</v>
          </cell>
        </row>
        <row r="12888">
          <cell r="E12888">
            <v>0</v>
          </cell>
          <cell r="F12888">
            <v>0</v>
          </cell>
          <cell r="DN12888">
            <v>0</v>
          </cell>
        </row>
        <row r="12889">
          <cell r="E12889">
            <v>0</v>
          </cell>
          <cell r="F12889">
            <v>0</v>
          </cell>
          <cell r="DN12889">
            <v>0</v>
          </cell>
        </row>
        <row r="12890">
          <cell r="E12890">
            <v>0</v>
          </cell>
          <cell r="F12890">
            <v>0</v>
          </cell>
          <cell r="DN12890">
            <v>0</v>
          </cell>
        </row>
        <row r="12891">
          <cell r="E12891">
            <v>0</v>
          </cell>
          <cell r="F12891">
            <v>0</v>
          </cell>
          <cell r="DN12891">
            <v>0</v>
          </cell>
        </row>
        <row r="12892">
          <cell r="E12892">
            <v>0</v>
          </cell>
          <cell r="F12892">
            <v>0</v>
          </cell>
          <cell r="DN12892">
            <v>0</v>
          </cell>
        </row>
        <row r="12893">
          <cell r="E12893">
            <v>0</v>
          </cell>
          <cell r="F12893">
            <v>0</v>
          </cell>
          <cell r="DN12893">
            <v>0</v>
          </cell>
        </row>
        <row r="12894">
          <cell r="E12894">
            <v>0</v>
          </cell>
          <cell r="F12894">
            <v>0</v>
          </cell>
          <cell r="DN12894">
            <v>0</v>
          </cell>
        </row>
        <row r="12895">
          <cell r="E12895">
            <v>0</v>
          </cell>
          <cell r="F12895">
            <v>0</v>
          </cell>
          <cell r="DN12895">
            <v>0</v>
          </cell>
        </row>
        <row r="12896">
          <cell r="E12896">
            <v>0</v>
          </cell>
          <cell r="F12896">
            <v>0</v>
          </cell>
          <cell r="DN12896">
            <v>0</v>
          </cell>
        </row>
        <row r="12897">
          <cell r="E12897">
            <v>0</v>
          </cell>
          <cell r="F12897">
            <v>0</v>
          </cell>
          <cell r="DN12897">
            <v>0</v>
          </cell>
        </row>
        <row r="12898">
          <cell r="E12898">
            <v>0</v>
          </cell>
          <cell r="F12898">
            <v>0</v>
          </cell>
          <cell r="DN12898">
            <v>0</v>
          </cell>
        </row>
        <row r="12899">
          <cell r="E12899">
            <v>0</v>
          </cell>
          <cell r="F12899">
            <v>0</v>
          </cell>
          <cell r="DN12899">
            <v>0</v>
          </cell>
        </row>
        <row r="12900">
          <cell r="E12900">
            <v>0</v>
          </cell>
          <cell r="F12900">
            <v>0</v>
          </cell>
          <cell r="DN12900">
            <v>0</v>
          </cell>
        </row>
        <row r="12901">
          <cell r="E12901">
            <v>0</v>
          </cell>
          <cell r="F12901">
            <v>0</v>
          </cell>
          <cell r="DN12901">
            <v>0</v>
          </cell>
        </row>
        <row r="12902">
          <cell r="E12902">
            <v>0</v>
          </cell>
          <cell r="F12902">
            <v>0</v>
          </cell>
          <cell r="DN12902">
            <v>0</v>
          </cell>
        </row>
        <row r="12903">
          <cell r="E12903">
            <v>0</v>
          </cell>
          <cell r="F12903">
            <v>0</v>
          </cell>
          <cell r="DN12903">
            <v>0</v>
          </cell>
        </row>
        <row r="12904">
          <cell r="E12904">
            <v>0</v>
          </cell>
          <cell r="F12904">
            <v>0</v>
          </cell>
          <cell r="DN12904">
            <v>0</v>
          </cell>
        </row>
        <row r="12905">
          <cell r="E12905">
            <v>0</v>
          </cell>
          <cell r="F12905">
            <v>0</v>
          </cell>
          <cell r="DN12905">
            <v>0</v>
          </cell>
        </row>
        <row r="12906">
          <cell r="E12906">
            <v>0</v>
          </cell>
          <cell r="F12906">
            <v>0</v>
          </cell>
          <cell r="DN12906">
            <v>0</v>
          </cell>
        </row>
        <row r="12907">
          <cell r="E12907">
            <v>0</v>
          </cell>
          <cell r="F12907">
            <v>0</v>
          </cell>
          <cell r="DN12907">
            <v>0</v>
          </cell>
        </row>
        <row r="12908">
          <cell r="E12908">
            <v>0</v>
          </cell>
          <cell r="F12908">
            <v>0</v>
          </cell>
          <cell r="DN12908">
            <v>0</v>
          </cell>
        </row>
        <row r="12909">
          <cell r="E12909">
            <v>0</v>
          </cell>
          <cell r="F12909">
            <v>0</v>
          </cell>
          <cell r="DN12909">
            <v>0</v>
          </cell>
        </row>
        <row r="12910">
          <cell r="E12910">
            <v>0</v>
          </cell>
          <cell r="F12910">
            <v>0</v>
          </cell>
          <cell r="DN12910">
            <v>0</v>
          </cell>
        </row>
        <row r="12911">
          <cell r="E12911">
            <v>0</v>
          </cell>
          <cell r="F12911">
            <v>0</v>
          </cell>
          <cell r="DN12911">
            <v>0</v>
          </cell>
        </row>
        <row r="12912">
          <cell r="E12912">
            <v>0</v>
          </cell>
          <cell r="F12912">
            <v>0</v>
          </cell>
          <cell r="DN12912">
            <v>0</v>
          </cell>
        </row>
        <row r="12913">
          <cell r="E12913">
            <v>0</v>
          </cell>
          <cell r="F12913">
            <v>0</v>
          </cell>
          <cell r="DN12913">
            <v>0</v>
          </cell>
        </row>
        <row r="12914">
          <cell r="E12914">
            <v>0</v>
          </cell>
          <cell r="F12914">
            <v>0</v>
          </cell>
          <cell r="DN12914">
            <v>0</v>
          </cell>
        </row>
        <row r="12915">
          <cell r="E12915">
            <v>0</v>
          </cell>
          <cell r="F12915">
            <v>0</v>
          </cell>
          <cell r="DN12915">
            <v>0</v>
          </cell>
        </row>
        <row r="12916">
          <cell r="E12916">
            <v>0</v>
          </cell>
          <cell r="F12916">
            <v>0</v>
          </cell>
          <cell r="DN12916">
            <v>0</v>
          </cell>
        </row>
        <row r="12917">
          <cell r="E12917">
            <v>0</v>
          </cell>
          <cell r="F12917">
            <v>0</v>
          </cell>
          <cell r="DN12917">
            <v>0</v>
          </cell>
        </row>
        <row r="12918">
          <cell r="E12918">
            <v>0</v>
          </cell>
          <cell r="F12918">
            <v>0</v>
          </cell>
          <cell r="DN12918">
            <v>0</v>
          </cell>
        </row>
        <row r="12919">
          <cell r="E12919">
            <v>0</v>
          </cell>
          <cell r="F12919">
            <v>0</v>
          </cell>
          <cell r="DN12919">
            <v>0</v>
          </cell>
        </row>
        <row r="12920">
          <cell r="E12920">
            <v>0</v>
          </cell>
          <cell r="F12920">
            <v>0</v>
          </cell>
          <cell r="DN12920">
            <v>0</v>
          </cell>
        </row>
        <row r="12921">
          <cell r="E12921">
            <v>0</v>
          </cell>
          <cell r="F12921">
            <v>0</v>
          </cell>
          <cell r="DN12921">
            <v>0</v>
          </cell>
        </row>
        <row r="12922">
          <cell r="E12922">
            <v>0</v>
          </cell>
          <cell r="F12922">
            <v>0</v>
          </cell>
          <cell r="DN12922">
            <v>0</v>
          </cell>
        </row>
        <row r="12923">
          <cell r="E12923">
            <v>0</v>
          </cell>
          <cell r="F12923">
            <v>0</v>
          </cell>
          <cell r="DN12923">
            <v>0</v>
          </cell>
        </row>
        <row r="12924">
          <cell r="E12924">
            <v>0</v>
          </cell>
          <cell r="F12924">
            <v>0</v>
          </cell>
          <cell r="DN12924">
            <v>0</v>
          </cell>
        </row>
        <row r="12925">
          <cell r="E12925">
            <v>0</v>
          </cell>
          <cell r="F12925">
            <v>0</v>
          </cell>
          <cell r="DN12925">
            <v>0</v>
          </cell>
        </row>
        <row r="12926">
          <cell r="E12926">
            <v>0</v>
          </cell>
          <cell r="F12926">
            <v>0</v>
          </cell>
          <cell r="DN12926">
            <v>0</v>
          </cell>
        </row>
        <row r="12927">
          <cell r="E12927">
            <v>0</v>
          </cell>
          <cell r="F12927">
            <v>0</v>
          </cell>
          <cell r="DN12927">
            <v>0</v>
          </cell>
        </row>
        <row r="12928">
          <cell r="E12928">
            <v>0</v>
          </cell>
          <cell r="F12928">
            <v>0</v>
          </cell>
          <cell r="DN12928">
            <v>0</v>
          </cell>
        </row>
        <row r="12929">
          <cell r="E12929">
            <v>0</v>
          </cell>
          <cell r="F12929">
            <v>0</v>
          </cell>
          <cell r="DN12929">
            <v>0</v>
          </cell>
        </row>
        <row r="12930">
          <cell r="E12930">
            <v>0</v>
          </cell>
          <cell r="F12930">
            <v>0</v>
          </cell>
          <cell r="DN12930">
            <v>0</v>
          </cell>
        </row>
        <row r="12931">
          <cell r="E12931">
            <v>0</v>
          </cell>
          <cell r="F12931">
            <v>0</v>
          </cell>
          <cell r="DN12931">
            <v>0</v>
          </cell>
        </row>
        <row r="12932">
          <cell r="E12932">
            <v>0</v>
          </cell>
          <cell r="F12932">
            <v>0</v>
          </cell>
          <cell r="DN12932">
            <v>0</v>
          </cell>
        </row>
        <row r="12933">
          <cell r="E12933">
            <v>0</v>
          </cell>
          <cell r="F12933">
            <v>0</v>
          </cell>
          <cell r="DN12933">
            <v>0</v>
          </cell>
        </row>
        <row r="12934">
          <cell r="E12934">
            <v>0</v>
          </cell>
          <cell r="F12934">
            <v>0</v>
          </cell>
          <cell r="DN12934">
            <v>0</v>
          </cell>
        </row>
        <row r="12935">
          <cell r="E12935">
            <v>0</v>
          </cell>
          <cell r="F12935">
            <v>0</v>
          </cell>
          <cell r="DN12935">
            <v>0</v>
          </cell>
        </row>
        <row r="12936">
          <cell r="E12936">
            <v>0</v>
          </cell>
          <cell r="F12936">
            <v>0</v>
          </cell>
          <cell r="DN12936">
            <v>0</v>
          </cell>
        </row>
        <row r="12937">
          <cell r="E12937">
            <v>0</v>
          </cell>
          <cell r="F12937">
            <v>0</v>
          </cell>
          <cell r="DN12937">
            <v>0</v>
          </cell>
        </row>
        <row r="12938">
          <cell r="E12938">
            <v>0</v>
          </cell>
          <cell r="F12938">
            <v>0</v>
          </cell>
          <cell r="DN12938">
            <v>0</v>
          </cell>
        </row>
        <row r="12939">
          <cell r="E12939">
            <v>0</v>
          </cell>
          <cell r="F12939">
            <v>0</v>
          </cell>
          <cell r="DN12939">
            <v>0</v>
          </cell>
        </row>
        <row r="12940">
          <cell r="E12940">
            <v>0</v>
          </cell>
          <cell r="F12940">
            <v>0</v>
          </cell>
          <cell r="DN12940">
            <v>0</v>
          </cell>
        </row>
        <row r="12941">
          <cell r="E12941">
            <v>0</v>
          </cell>
          <cell r="F12941">
            <v>0</v>
          </cell>
          <cell r="DN12941">
            <v>0</v>
          </cell>
        </row>
        <row r="12942">
          <cell r="E12942">
            <v>0</v>
          </cell>
          <cell r="F12942">
            <v>0</v>
          </cell>
          <cell r="DN12942">
            <v>0</v>
          </cell>
        </row>
        <row r="12943">
          <cell r="E12943">
            <v>0</v>
          </cell>
          <cell r="F12943">
            <v>0</v>
          </cell>
          <cell r="DN12943">
            <v>0</v>
          </cell>
        </row>
        <row r="12944">
          <cell r="E12944">
            <v>0</v>
          </cell>
          <cell r="F12944">
            <v>0</v>
          </cell>
          <cell r="DN12944">
            <v>0</v>
          </cell>
        </row>
        <row r="12945">
          <cell r="E12945">
            <v>0</v>
          </cell>
          <cell r="F12945">
            <v>0</v>
          </cell>
          <cell r="DN12945">
            <v>0</v>
          </cell>
        </row>
        <row r="12946">
          <cell r="E12946">
            <v>0</v>
          </cell>
          <cell r="F12946">
            <v>0</v>
          </cell>
          <cell r="DN12946">
            <v>0</v>
          </cell>
        </row>
        <row r="12947">
          <cell r="E12947">
            <v>0</v>
          </cell>
          <cell r="F12947">
            <v>0</v>
          </cell>
          <cell r="DN12947">
            <v>0</v>
          </cell>
        </row>
        <row r="12948">
          <cell r="E12948">
            <v>0</v>
          </cell>
          <cell r="F12948">
            <v>0</v>
          </cell>
          <cell r="DN12948">
            <v>0</v>
          </cell>
        </row>
        <row r="12949">
          <cell r="E12949">
            <v>0</v>
          </cell>
          <cell r="F12949">
            <v>0</v>
          </cell>
          <cell r="DN12949">
            <v>0</v>
          </cell>
        </row>
        <row r="12950">
          <cell r="E12950">
            <v>0</v>
          </cell>
          <cell r="F12950">
            <v>0</v>
          </cell>
          <cell r="DN12950">
            <v>0</v>
          </cell>
        </row>
        <row r="12951">
          <cell r="E12951">
            <v>0</v>
          </cell>
          <cell r="F12951">
            <v>0</v>
          </cell>
          <cell r="DN12951">
            <v>0</v>
          </cell>
        </row>
        <row r="12952">
          <cell r="E12952">
            <v>0</v>
          </cell>
          <cell r="F12952">
            <v>0</v>
          </cell>
          <cell r="DN12952">
            <v>0</v>
          </cell>
        </row>
        <row r="12953">
          <cell r="E12953">
            <v>0</v>
          </cell>
          <cell r="F12953">
            <v>0</v>
          </cell>
          <cell r="DN12953">
            <v>0</v>
          </cell>
        </row>
        <row r="12954">
          <cell r="E12954">
            <v>0</v>
          </cell>
          <cell r="F12954">
            <v>0</v>
          </cell>
          <cell r="DN12954">
            <v>0</v>
          </cell>
        </row>
        <row r="12955">
          <cell r="E12955">
            <v>0</v>
          </cell>
          <cell r="F12955">
            <v>0</v>
          </cell>
          <cell r="DN12955">
            <v>0</v>
          </cell>
        </row>
        <row r="12956">
          <cell r="E12956">
            <v>0</v>
          </cell>
          <cell r="F12956">
            <v>0</v>
          </cell>
          <cell r="DN12956">
            <v>0</v>
          </cell>
        </row>
        <row r="12957">
          <cell r="E12957">
            <v>0</v>
          </cell>
          <cell r="F12957">
            <v>0</v>
          </cell>
          <cell r="DN12957">
            <v>0</v>
          </cell>
        </row>
        <row r="12958">
          <cell r="E12958">
            <v>0</v>
          </cell>
          <cell r="F12958">
            <v>0</v>
          </cell>
          <cell r="DN12958">
            <v>0</v>
          </cell>
        </row>
        <row r="12959">
          <cell r="E12959">
            <v>0</v>
          </cell>
          <cell r="F12959">
            <v>0</v>
          </cell>
          <cell r="DN12959">
            <v>0</v>
          </cell>
        </row>
        <row r="12960">
          <cell r="E12960">
            <v>0</v>
          </cell>
          <cell r="F12960">
            <v>0</v>
          </cell>
          <cell r="DN12960">
            <v>0</v>
          </cell>
        </row>
        <row r="12961">
          <cell r="E12961">
            <v>0</v>
          </cell>
          <cell r="F12961">
            <v>0</v>
          </cell>
          <cell r="DN12961">
            <v>0</v>
          </cell>
        </row>
        <row r="12962">
          <cell r="E12962">
            <v>0</v>
          </cell>
          <cell r="F12962">
            <v>0</v>
          </cell>
          <cell r="DN12962">
            <v>0</v>
          </cell>
        </row>
        <row r="12963">
          <cell r="E12963">
            <v>0</v>
          </cell>
          <cell r="F12963">
            <v>0</v>
          </cell>
          <cell r="DN12963">
            <v>0</v>
          </cell>
        </row>
        <row r="12964">
          <cell r="E12964">
            <v>0</v>
          </cell>
          <cell r="F12964">
            <v>0</v>
          </cell>
          <cell r="DN12964">
            <v>0</v>
          </cell>
        </row>
        <row r="12965">
          <cell r="E12965">
            <v>0</v>
          </cell>
          <cell r="F12965">
            <v>0</v>
          </cell>
          <cell r="DN12965">
            <v>0</v>
          </cell>
        </row>
        <row r="12966">
          <cell r="E12966">
            <v>0</v>
          </cell>
          <cell r="F12966">
            <v>0</v>
          </cell>
          <cell r="DN12966">
            <v>0</v>
          </cell>
        </row>
        <row r="12967">
          <cell r="E12967">
            <v>0</v>
          </cell>
          <cell r="F12967">
            <v>0</v>
          </cell>
          <cell r="DN12967">
            <v>0</v>
          </cell>
        </row>
        <row r="12968">
          <cell r="E12968">
            <v>0</v>
          </cell>
          <cell r="F12968">
            <v>0</v>
          </cell>
          <cell r="DN12968">
            <v>0</v>
          </cell>
        </row>
        <row r="12969">
          <cell r="E12969">
            <v>0</v>
          </cell>
          <cell r="F12969">
            <v>0</v>
          </cell>
          <cell r="DN12969">
            <v>0</v>
          </cell>
        </row>
        <row r="12970">
          <cell r="E12970">
            <v>0</v>
          </cell>
          <cell r="F12970">
            <v>0</v>
          </cell>
          <cell r="DN12970">
            <v>0</v>
          </cell>
        </row>
        <row r="12971">
          <cell r="E12971">
            <v>0</v>
          </cell>
          <cell r="F12971">
            <v>0</v>
          </cell>
          <cell r="DN12971">
            <v>0</v>
          </cell>
        </row>
        <row r="12972">
          <cell r="E12972">
            <v>0</v>
          </cell>
          <cell r="F12972">
            <v>0</v>
          </cell>
          <cell r="DN12972">
            <v>0</v>
          </cell>
        </row>
        <row r="12973">
          <cell r="E12973">
            <v>0</v>
          </cell>
          <cell r="F12973">
            <v>0</v>
          </cell>
          <cell r="DN12973">
            <v>0</v>
          </cell>
        </row>
        <row r="12974">
          <cell r="E12974">
            <v>0</v>
          </cell>
          <cell r="F12974">
            <v>0</v>
          </cell>
          <cell r="DN12974">
            <v>0</v>
          </cell>
        </row>
        <row r="12975">
          <cell r="E12975">
            <v>0</v>
          </cell>
          <cell r="F12975">
            <v>0</v>
          </cell>
          <cell r="DN12975">
            <v>0</v>
          </cell>
        </row>
        <row r="12976">
          <cell r="E12976">
            <v>0</v>
          </cell>
          <cell r="F12976">
            <v>0</v>
          </cell>
          <cell r="DN12976">
            <v>0</v>
          </cell>
        </row>
        <row r="12977">
          <cell r="E12977">
            <v>0</v>
          </cell>
          <cell r="F12977">
            <v>0</v>
          </cell>
          <cell r="DN12977">
            <v>0</v>
          </cell>
        </row>
        <row r="12978">
          <cell r="E12978">
            <v>0</v>
          </cell>
          <cell r="F12978">
            <v>0</v>
          </cell>
          <cell r="DN12978">
            <v>0</v>
          </cell>
        </row>
        <row r="12979">
          <cell r="E12979">
            <v>0</v>
          </cell>
          <cell r="F12979">
            <v>0</v>
          </cell>
          <cell r="DN12979">
            <v>0</v>
          </cell>
        </row>
        <row r="12980">
          <cell r="E12980">
            <v>0</v>
          </cell>
          <cell r="F12980">
            <v>0</v>
          </cell>
          <cell r="DN12980">
            <v>0</v>
          </cell>
        </row>
        <row r="12981">
          <cell r="E12981">
            <v>0</v>
          </cell>
          <cell r="F12981">
            <v>0</v>
          </cell>
          <cell r="DN12981">
            <v>0</v>
          </cell>
        </row>
        <row r="12982">
          <cell r="E12982">
            <v>0</v>
          </cell>
          <cell r="F12982">
            <v>0</v>
          </cell>
          <cell r="DN12982">
            <v>0</v>
          </cell>
        </row>
        <row r="12983">
          <cell r="E12983">
            <v>0</v>
          </cell>
          <cell r="F12983">
            <v>0</v>
          </cell>
          <cell r="DN12983">
            <v>0</v>
          </cell>
        </row>
        <row r="12984">
          <cell r="E12984">
            <v>0</v>
          </cell>
          <cell r="F12984">
            <v>0</v>
          </cell>
          <cell r="DN12984">
            <v>0</v>
          </cell>
        </row>
        <row r="12985">
          <cell r="E12985">
            <v>0</v>
          </cell>
          <cell r="F12985">
            <v>0</v>
          </cell>
          <cell r="DN12985">
            <v>0</v>
          </cell>
        </row>
        <row r="12986">
          <cell r="E12986">
            <v>0</v>
          </cell>
          <cell r="F12986">
            <v>0</v>
          </cell>
          <cell r="DN12986">
            <v>0</v>
          </cell>
        </row>
        <row r="12987">
          <cell r="E12987">
            <v>0</v>
          </cell>
          <cell r="F12987">
            <v>0</v>
          </cell>
          <cell r="DN12987">
            <v>0</v>
          </cell>
        </row>
        <row r="12988">
          <cell r="E12988">
            <v>0</v>
          </cell>
          <cell r="F12988">
            <v>0</v>
          </cell>
          <cell r="DN12988">
            <v>0</v>
          </cell>
        </row>
        <row r="12989">
          <cell r="E12989">
            <v>0</v>
          </cell>
          <cell r="F12989">
            <v>0</v>
          </cell>
          <cell r="DN12989">
            <v>0</v>
          </cell>
        </row>
        <row r="12990">
          <cell r="E12990">
            <v>0</v>
          </cell>
          <cell r="F12990">
            <v>0</v>
          </cell>
          <cell r="DN12990">
            <v>0</v>
          </cell>
        </row>
        <row r="12991">
          <cell r="E12991">
            <v>0</v>
          </cell>
          <cell r="F12991">
            <v>0</v>
          </cell>
          <cell r="DN12991">
            <v>0</v>
          </cell>
        </row>
        <row r="12992">
          <cell r="E12992">
            <v>0</v>
          </cell>
          <cell r="F12992">
            <v>0</v>
          </cell>
          <cell r="DN12992">
            <v>0</v>
          </cell>
        </row>
        <row r="12993">
          <cell r="E12993">
            <v>0</v>
          </cell>
          <cell r="F12993">
            <v>0</v>
          </cell>
          <cell r="DN12993">
            <v>0</v>
          </cell>
        </row>
        <row r="12994">
          <cell r="E12994">
            <v>0</v>
          </cell>
          <cell r="F12994">
            <v>0</v>
          </cell>
          <cell r="DN12994">
            <v>0</v>
          </cell>
        </row>
        <row r="12995">
          <cell r="E12995">
            <v>0</v>
          </cell>
          <cell r="F12995">
            <v>0</v>
          </cell>
          <cell r="DN12995">
            <v>0</v>
          </cell>
        </row>
        <row r="12996">
          <cell r="E12996">
            <v>0</v>
          </cell>
          <cell r="F12996">
            <v>0</v>
          </cell>
          <cell r="DN12996">
            <v>0</v>
          </cell>
        </row>
        <row r="12997">
          <cell r="E12997">
            <v>0</v>
          </cell>
          <cell r="F12997">
            <v>0</v>
          </cell>
          <cell r="DN12997">
            <v>0</v>
          </cell>
        </row>
        <row r="12998">
          <cell r="E12998">
            <v>0</v>
          </cell>
          <cell r="F12998">
            <v>0</v>
          </cell>
          <cell r="DN12998">
            <v>0</v>
          </cell>
        </row>
        <row r="12999">
          <cell r="E12999">
            <v>0</v>
          </cell>
          <cell r="F12999">
            <v>0</v>
          </cell>
          <cell r="DN12999">
            <v>0</v>
          </cell>
        </row>
        <row r="13000">
          <cell r="E13000">
            <v>0</v>
          </cell>
          <cell r="F13000">
            <v>0</v>
          </cell>
          <cell r="DN13000">
            <v>0</v>
          </cell>
        </row>
        <row r="13001">
          <cell r="E13001">
            <v>0</v>
          </cell>
          <cell r="F13001">
            <v>0</v>
          </cell>
          <cell r="DN13001">
            <v>0</v>
          </cell>
        </row>
        <row r="13002">
          <cell r="E13002">
            <v>0</v>
          </cell>
          <cell r="F13002">
            <v>0</v>
          </cell>
          <cell r="DN13002">
            <v>0</v>
          </cell>
        </row>
        <row r="13003">
          <cell r="E13003">
            <v>0</v>
          </cell>
          <cell r="F13003">
            <v>0</v>
          </cell>
          <cell r="DN13003">
            <v>0</v>
          </cell>
        </row>
        <row r="13004">
          <cell r="E13004">
            <v>0</v>
          </cell>
          <cell r="F13004">
            <v>0</v>
          </cell>
          <cell r="DN13004">
            <v>0</v>
          </cell>
        </row>
        <row r="13005">
          <cell r="E13005">
            <v>0</v>
          </cell>
          <cell r="F13005">
            <v>0</v>
          </cell>
          <cell r="DN13005">
            <v>0</v>
          </cell>
        </row>
        <row r="13006">
          <cell r="E13006">
            <v>0</v>
          </cell>
          <cell r="F13006">
            <v>0</v>
          </cell>
          <cell r="DN13006">
            <v>0</v>
          </cell>
        </row>
        <row r="13007">
          <cell r="E13007">
            <v>0</v>
          </cell>
          <cell r="F13007">
            <v>0</v>
          </cell>
          <cell r="DN13007">
            <v>0</v>
          </cell>
        </row>
        <row r="13008">
          <cell r="E13008">
            <v>0</v>
          </cell>
          <cell r="F13008">
            <v>0</v>
          </cell>
          <cell r="DN13008">
            <v>0</v>
          </cell>
        </row>
        <row r="13009">
          <cell r="E13009">
            <v>0</v>
          </cell>
          <cell r="F13009">
            <v>0</v>
          </cell>
          <cell r="DN13009">
            <v>0</v>
          </cell>
        </row>
        <row r="13010">
          <cell r="E13010">
            <v>0</v>
          </cell>
          <cell r="F13010">
            <v>0</v>
          </cell>
          <cell r="DN13010">
            <v>0</v>
          </cell>
        </row>
        <row r="13011">
          <cell r="E13011">
            <v>0</v>
          </cell>
          <cell r="F13011">
            <v>0</v>
          </cell>
          <cell r="DN13011">
            <v>0</v>
          </cell>
        </row>
        <row r="13012">
          <cell r="E13012">
            <v>0</v>
          </cell>
          <cell r="F13012">
            <v>0</v>
          </cell>
          <cell r="DN13012">
            <v>0</v>
          </cell>
        </row>
        <row r="13013">
          <cell r="E13013">
            <v>0</v>
          </cell>
          <cell r="F13013">
            <v>0</v>
          </cell>
          <cell r="DN13013">
            <v>0</v>
          </cell>
        </row>
        <row r="13014">
          <cell r="E13014">
            <v>0</v>
          </cell>
          <cell r="F13014">
            <v>0</v>
          </cell>
          <cell r="DN13014">
            <v>0</v>
          </cell>
        </row>
        <row r="13015">
          <cell r="E13015">
            <v>0</v>
          </cell>
          <cell r="F13015">
            <v>0</v>
          </cell>
          <cell r="DN13015">
            <v>0</v>
          </cell>
        </row>
        <row r="13016">
          <cell r="E13016">
            <v>0</v>
          </cell>
          <cell r="F13016">
            <v>0</v>
          </cell>
          <cell r="DN13016">
            <v>0</v>
          </cell>
        </row>
        <row r="13017">
          <cell r="E13017">
            <v>0</v>
          </cell>
          <cell r="F13017">
            <v>0</v>
          </cell>
          <cell r="DN13017">
            <v>0</v>
          </cell>
        </row>
        <row r="13018">
          <cell r="E13018">
            <v>0</v>
          </cell>
          <cell r="F13018">
            <v>0</v>
          </cell>
          <cell r="DN13018">
            <v>0</v>
          </cell>
        </row>
        <row r="13019">
          <cell r="E13019">
            <v>0</v>
          </cell>
          <cell r="F13019">
            <v>0</v>
          </cell>
          <cell r="DN13019">
            <v>0</v>
          </cell>
        </row>
        <row r="13020">
          <cell r="E13020">
            <v>0</v>
          </cell>
          <cell r="F13020">
            <v>0</v>
          </cell>
          <cell r="DN13020">
            <v>0</v>
          </cell>
        </row>
        <row r="13021">
          <cell r="E13021">
            <v>0</v>
          </cell>
          <cell r="F13021">
            <v>0</v>
          </cell>
          <cell r="DN13021">
            <v>0</v>
          </cell>
        </row>
        <row r="13022">
          <cell r="E13022">
            <v>0</v>
          </cell>
          <cell r="F13022">
            <v>0</v>
          </cell>
          <cell r="DN13022">
            <v>0</v>
          </cell>
        </row>
        <row r="13023">
          <cell r="E13023">
            <v>0</v>
          </cell>
          <cell r="F13023">
            <v>0</v>
          </cell>
          <cell r="DN13023">
            <v>0</v>
          </cell>
        </row>
        <row r="13024">
          <cell r="E13024">
            <v>0</v>
          </cell>
          <cell r="F13024">
            <v>0</v>
          </cell>
          <cell r="DN13024">
            <v>0</v>
          </cell>
        </row>
        <row r="13025">
          <cell r="E13025">
            <v>0</v>
          </cell>
          <cell r="F13025">
            <v>0</v>
          </cell>
          <cell r="DN13025">
            <v>0</v>
          </cell>
        </row>
        <row r="13026">
          <cell r="E13026">
            <v>0</v>
          </cell>
          <cell r="F13026">
            <v>0</v>
          </cell>
          <cell r="DN13026">
            <v>0</v>
          </cell>
        </row>
        <row r="13027">
          <cell r="E13027">
            <v>0</v>
          </cell>
          <cell r="F13027">
            <v>0</v>
          </cell>
          <cell r="DN13027">
            <v>0</v>
          </cell>
        </row>
        <row r="13028">
          <cell r="E13028">
            <v>0</v>
          </cell>
          <cell r="F13028">
            <v>0</v>
          </cell>
          <cell r="DN13028">
            <v>0</v>
          </cell>
        </row>
        <row r="13029">
          <cell r="E13029">
            <v>0</v>
          </cell>
          <cell r="F13029">
            <v>0</v>
          </cell>
          <cell r="DN13029">
            <v>0</v>
          </cell>
        </row>
        <row r="13030">
          <cell r="E13030">
            <v>0</v>
          </cell>
          <cell r="F13030">
            <v>0</v>
          </cell>
          <cell r="DN13030">
            <v>0</v>
          </cell>
        </row>
        <row r="13031">
          <cell r="E13031">
            <v>0</v>
          </cell>
          <cell r="F13031">
            <v>0</v>
          </cell>
          <cell r="DN13031">
            <v>0</v>
          </cell>
        </row>
        <row r="13032">
          <cell r="E13032">
            <v>0</v>
          </cell>
          <cell r="F13032">
            <v>0</v>
          </cell>
          <cell r="DN13032">
            <v>0</v>
          </cell>
        </row>
        <row r="13033">
          <cell r="E13033">
            <v>0</v>
          </cell>
          <cell r="F13033">
            <v>0</v>
          </cell>
          <cell r="DN13033">
            <v>0</v>
          </cell>
        </row>
        <row r="13034">
          <cell r="E13034">
            <v>0</v>
          </cell>
          <cell r="F13034">
            <v>0</v>
          </cell>
          <cell r="DN13034">
            <v>0</v>
          </cell>
        </row>
        <row r="13035">
          <cell r="E13035">
            <v>0</v>
          </cell>
          <cell r="F13035">
            <v>0</v>
          </cell>
          <cell r="DN13035">
            <v>0</v>
          </cell>
        </row>
        <row r="13036">
          <cell r="E13036">
            <v>0</v>
          </cell>
          <cell r="F13036">
            <v>0</v>
          </cell>
          <cell r="DN13036">
            <v>0</v>
          </cell>
        </row>
        <row r="13037">
          <cell r="E13037">
            <v>0</v>
          </cell>
          <cell r="F13037">
            <v>0</v>
          </cell>
          <cell r="DN13037">
            <v>0</v>
          </cell>
        </row>
        <row r="13038">
          <cell r="E13038">
            <v>0</v>
          </cell>
          <cell r="F13038">
            <v>0</v>
          </cell>
          <cell r="DN13038">
            <v>0</v>
          </cell>
        </row>
        <row r="13039">
          <cell r="E13039">
            <v>0</v>
          </cell>
          <cell r="F13039">
            <v>0</v>
          </cell>
          <cell r="DN13039">
            <v>0</v>
          </cell>
        </row>
        <row r="13040">
          <cell r="E13040">
            <v>0</v>
          </cell>
          <cell r="F13040">
            <v>0</v>
          </cell>
          <cell r="DN13040">
            <v>0</v>
          </cell>
        </row>
        <row r="13041">
          <cell r="E13041">
            <v>0</v>
          </cell>
          <cell r="F13041">
            <v>0</v>
          </cell>
          <cell r="DN13041">
            <v>0</v>
          </cell>
        </row>
        <row r="13042">
          <cell r="E13042">
            <v>0</v>
          </cell>
          <cell r="F13042">
            <v>0</v>
          </cell>
          <cell r="DN13042">
            <v>0</v>
          </cell>
        </row>
        <row r="13043">
          <cell r="E13043">
            <v>0</v>
          </cell>
          <cell r="F13043">
            <v>0</v>
          </cell>
          <cell r="DN13043">
            <v>0</v>
          </cell>
        </row>
        <row r="13044">
          <cell r="E13044">
            <v>0</v>
          </cell>
          <cell r="F13044">
            <v>0</v>
          </cell>
          <cell r="DN13044">
            <v>0</v>
          </cell>
        </row>
        <row r="13045">
          <cell r="E13045">
            <v>0</v>
          </cell>
          <cell r="F13045">
            <v>0</v>
          </cell>
          <cell r="DN13045">
            <v>0</v>
          </cell>
        </row>
        <row r="13046">
          <cell r="E13046">
            <v>0</v>
          </cell>
          <cell r="F13046">
            <v>0</v>
          </cell>
          <cell r="DN13046">
            <v>0</v>
          </cell>
        </row>
        <row r="13047">
          <cell r="E13047">
            <v>0</v>
          </cell>
          <cell r="F13047">
            <v>0</v>
          </cell>
          <cell r="DN13047">
            <v>0</v>
          </cell>
        </row>
        <row r="13048">
          <cell r="E13048">
            <v>0</v>
          </cell>
          <cell r="F13048">
            <v>0</v>
          </cell>
          <cell r="DN13048">
            <v>0</v>
          </cell>
        </row>
        <row r="13049">
          <cell r="E13049">
            <v>0</v>
          </cell>
          <cell r="F13049">
            <v>0</v>
          </cell>
          <cell r="DN13049">
            <v>0</v>
          </cell>
        </row>
        <row r="13050">
          <cell r="E13050">
            <v>0</v>
          </cell>
          <cell r="F13050">
            <v>0</v>
          </cell>
          <cell r="DN13050">
            <v>0</v>
          </cell>
        </row>
        <row r="13051">
          <cell r="E13051">
            <v>0</v>
          </cell>
          <cell r="F13051">
            <v>0</v>
          </cell>
          <cell r="DN13051">
            <v>0</v>
          </cell>
        </row>
        <row r="13052">
          <cell r="E13052">
            <v>0</v>
          </cell>
          <cell r="F13052">
            <v>0</v>
          </cell>
          <cell r="DN13052">
            <v>0</v>
          </cell>
        </row>
        <row r="13053">
          <cell r="E13053">
            <v>0</v>
          </cell>
          <cell r="F13053">
            <v>0</v>
          </cell>
          <cell r="DN13053">
            <v>0</v>
          </cell>
        </row>
        <row r="13054">
          <cell r="E13054">
            <v>0</v>
          </cell>
          <cell r="F13054">
            <v>0</v>
          </cell>
          <cell r="DN13054">
            <v>0</v>
          </cell>
        </row>
        <row r="13055">
          <cell r="E13055">
            <v>0</v>
          </cell>
          <cell r="F13055">
            <v>0</v>
          </cell>
          <cell r="DN13055">
            <v>0</v>
          </cell>
        </row>
        <row r="13056">
          <cell r="E13056">
            <v>0</v>
          </cell>
          <cell r="F13056">
            <v>0</v>
          </cell>
          <cell r="DN13056">
            <v>0</v>
          </cell>
        </row>
        <row r="13057">
          <cell r="E13057">
            <v>0</v>
          </cell>
          <cell r="F13057">
            <v>0</v>
          </cell>
          <cell r="DN13057">
            <v>0</v>
          </cell>
        </row>
        <row r="13058">
          <cell r="E13058">
            <v>0</v>
          </cell>
          <cell r="F13058">
            <v>0</v>
          </cell>
          <cell r="DN13058">
            <v>0</v>
          </cell>
        </row>
        <row r="13059">
          <cell r="E13059">
            <v>0</v>
          </cell>
          <cell r="F13059">
            <v>0</v>
          </cell>
          <cell r="DN13059">
            <v>0</v>
          </cell>
        </row>
        <row r="13060">
          <cell r="E13060">
            <v>0</v>
          </cell>
          <cell r="F13060">
            <v>0</v>
          </cell>
          <cell r="DN13060">
            <v>0</v>
          </cell>
        </row>
        <row r="13061">
          <cell r="E13061">
            <v>0</v>
          </cell>
          <cell r="F13061">
            <v>0</v>
          </cell>
          <cell r="DN13061">
            <v>0</v>
          </cell>
        </row>
        <row r="13062">
          <cell r="E13062">
            <v>0</v>
          </cell>
          <cell r="F13062">
            <v>0</v>
          </cell>
          <cell r="DN13062">
            <v>0</v>
          </cell>
        </row>
        <row r="13063">
          <cell r="E13063">
            <v>0</v>
          </cell>
          <cell r="F13063">
            <v>0</v>
          </cell>
          <cell r="DN13063">
            <v>0</v>
          </cell>
        </row>
        <row r="13064">
          <cell r="E13064">
            <v>0</v>
          </cell>
          <cell r="F13064">
            <v>0</v>
          </cell>
          <cell r="DN13064">
            <v>0</v>
          </cell>
        </row>
        <row r="13065">
          <cell r="E13065">
            <v>0</v>
          </cell>
          <cell r="F13065">
            <v>0</v>
          </cell>
          <cell r="DN13065">
            <v>0</v>
          </cell>
        </row>
        <row r="13066">
          <cell r="E13066">
            <v>0</v>
          </cell>
          <cell r="F13066">
            <v>0</v>
          </cell>
          <cell r="DN13066">
            <v>0</v>
          </cell>
        </row>
        <row r="13067">
          <cell r="E13067">
            <v>0</v>
          </cell>
          <cell r="F13067">
            <v>0</v>
          </cell>
          <cell r="DN13067">
            <v>0</v>
          </cell>
        </row>
        <row r="13068">
          <cell r="E13068">
            <v>0</v>
          </cell>
          <cell r="F13068">
            <v>0</v>
          </cell>
          <cell r="DN13068">
            <v>0</v>
          </cell>
        </row>
        <row r="13069">
          <cell r="E13069">
            <v>0</v>
          </cell>
          <cell r="F13069">
            <v>0</v>
          </cell>
          <cell r="DN13069">
            <v>0</v>
          </cell>
        </row>
        <row r="13070">
          <cell r="E13070">
            <v>0</v>
          </cell>
          <cell r="F13070">
            <v>0</v>
          </cell>
          <cell r="DN13070">
            <v>0</v>
          </cell>
        </row>
        <row r="13071">
          <cell r="E13071">
            <v>0</v>
          </cell>
          <cell r="F13071">
            <v>0</v>
          </cell>
          <cell r="DN13071">
            <v>0</v>
          </cell>
        </row>
        <row r="13072">
          <cell r="E13072">
            <v>0</v>
          </cell>
          <cell r="F13072">
            <v>0</v>
          </cell>
          <cell r="DN13072">
            <v>0</v>
          </cell>
        </row>
        <row r="13073">
          <cell r="E13073">
            <v>0</v>
          </cell>
          <cell r="F13073">
            <v>0</v>
          </cell>
          <cell r="DN13073">
            <v>0</v>
          </cell>
        </row>
        <row r="13074">
          <cell r="E13074">
            <v>0</v>
          </cell>
          <cell r="F13074">
            <v>0</v>
          </cell>
          <cell r="DN13074">
            <v>0</v>
          </cell>
        </row>
        <row r="13075">
          <cell r="E13075">
            <v>0</v>
          </cell>
          <cell r="F13075">
            <v>0</v>
          </cell>
          <cell r="DN13075">
            <v>0</v>
          </cell>
        </row>
        <row r="13076">
          <cell r="E13076">
            <v>0</v>
          </cell>
          <cell r="F13076">
            <v>0</v>
          </cell>
          <cell r="DN13076">
            <v>0</v>
          </cell>
        </row>
        <row r="13077">
          <cell r="E13077">
            <v>0</v>
          </cell>
          <cell r="F13077">
            <v>0</v>
          </cell>
          <cell r="DN13077">
            <v>0</v>
          </cell>
        </row>
        <row r="13078">
          <cell r="E13078">
            <v>0</v>
          </cell>
          <cell r="F13078">
            <v>0</v>
          </cell>
          <cell r="DN13078">
            <v>0</v>
          </cell>
        </row>
        <row r="13079">
          <cell r="E13079">
            <v>0</v>
          </cell>
          <cell r="F13079">
            <v>0</v>
          </cell>
          <cell r="DN13079">
            <v>0</v>
          </cell>
        </row>
        <row r="13080">
          <cell r="E13080">
            <v>0</v>
          </cell>
          <cell r="F13080">
            <v>0</v>
          </cell>
          <cell r="DN13080">
            <v>0</v>
          </cell>
        </row>
        <row r="13081">
          <cell r="E13081">
            <v>0</v>
          </cell>
          <cell r="F13081">
            <v>0</v>
          </cell>
          <cell r="DN13081">
            <v>0</v>
          </cell>
        </row>
        <row r="13082">
          <cell r="E13082">
            <v>0</v>
          </cell>
          <cell r="F13082">
            <v>0</v>
          </cell>
          <cell r="DN13082">
            <v>0</v>
          </cell>
        </row>
        <row r="13083">
          <cell r="E13083">
            <v>0</v>
          </cell>
          <cell r="F13083">
            <v>0</v>
          </cell>
          <cell r="DN13083">
            <v>0</v>
          </cell>
        </row>
        <row r="13084">
          <cell r="E13084">
            <v>0</v>
          </cell>
          <cell r="F13084">
            <v>0</v>
          </cell>
          <cell r="DN13084">
            <v>0</v>
          </cell>
        </row>
        <row r="13085">
          <cell r="E13085">
            <v>0</v>
          </cell>
          <cell r="F13085">
            <v>0</v>
          </cell>
          <cell r="DN13085">
            <v>0</v>
          </cell>
        </row>
        <row r="13086">
          <cell r="E13086">
            <v>0</v>
          </cell>
          <cell r="F13086">
            <v>0</v>
          </cell>
          <cell r="DN13086">
            <v>0</v>
          </cell>
        </row>
        <row r="13087">
          <cell r="E13087">
            <v>0</v>
          </cell>
          <cell r="F13087">
            <v>0</v>
          </cell>
          <cell r="DN13087">
            <v>0</v>
          </cell>
        </row>
        <row r="13088">
          <cell r="E13088">
            <v>0</v>
          </cell>
          <cell r="F13088">
            <v>0</v>
          </cell>
          <cell r="DN13088">
            <v>0</v>
          </cell>
        </row>
        <row r="13089">
          <cell r="E13089">
            <v>0</v>
          </cell>
          <cell r="F13089">
            <v>0</v>
          </cell>
          <cell r="DN13089">
            <v>0</v>
          </cell>
        </row>
        <row r="13090">
          <cell r="E13090">
            <v>0</v>
          </cell>
          <cell r="F13090">
            <v>0</v>
          </cell>
          <cell r="DN13090">
            <v>0</v>
          </cell>
        </row>
        <row r="13091">
          <cell r="E13091">
            <v>0</v>
          </cell>
          <cell r="F13091">
            <v>0</v>
          </cell>
          <cell r="DN13091">
            <v>0</v>
          </cell>
        </row>
        <row r="13092">
          <cell r="E13092">
            <v>0</v>
          </cell>
          <cell r="F13092">
            <v>0</v>
          </cell>
          <cell r="DN13092">
            <v>0</v>
          </cell>
        </row>
        <row r="13093">
          <cell r="E13093">
            <v>0</v>
          </cell>
          <cell r="F13093">
            <v>0</v>
          </cell>
          <cell r="DN13093">
            <v>0</v>
          </cell>
        </row>
        <row r="13094">
          <cell r="E13094">
            <v>0</v>
          </cell>
          <cell r="F13094">
            <v>0</v>
          </cell>
          <cell r="DN13094">
            <v>0</v>
          </cell>
        </row>
        <row r="13095">
          <cell r="E13095">
            <v>0</v>
          </cell>
          <cell r="F13095">
            <v>0</v>
          </cell>
          <cell r="DN13095">
            <v>0</v>
          </cell>
        </row>
        <row r="13096">
          <cell r="E13096">
            <v>0</v>
          </cell>
          <cell r="F13096">
            <v>0</v>
          </cell>
          <cell r="DN13096">
            <v>0</v>
          </cell>
        </row>
        <row r="13097">
          <cell r="E13097">
            <v>0</v>
          </cell>
          <cell r="F13097">
            <v>0</v>
          </cell>
          <cell r="DN13097">
            <v>0</v>
          </cell>
        </row>
        <row r="13098">
          <cell r="E13098">
            <v>0</v>
          </cell>
          <cell r="F13098">
            <v>0</v>
          </cell>
          <cell r="DN13098">
            <v>0</v>
          </cell>
        </row>
        <row r="13099">
          <cell r="E13099">
            <v>0</v>
          </cell>
          <cell r="F13099">
            <v>0</v>
          </cell>
          <cell r="DN13099">
            <v>0</v>
          </cell>
        </row>
        <row r="13100">
          <cell r="E13100">
            <v>0</v>
          </cell>
          <cell r="F13100">
            <v>0</v>
          </cell>
          <cell r="DN13100">
            <v>0</v>
          </cell>
        </row>
        <row r="13101">
          <cell r="E13101">
            <v>0</v>
          </cell>
          <cell r="F13101">
            <v>0</v>
          </cell>
          <cell r="DN13101">
            <v>0</v>
          </cell>
        </row>
        <row r="13102">
          <cell r="E13102">
            <v>0</v>
          </cell>
          <cell r="F13102">
            <v>0</v>
          </cell>
          <cell r="DN13102">
            <v>0</v>
          </cell>
        </row>
        <row r="13103">
          <cell r="E13103">
            <v>0</v>
          </cell>
          <cell r="F13103">
            <v>0</v>
          </cell>
          <cell r="DN13103">
            <v>0</v>
          </cell>
        </row>
        <row r="13104">
          <cell r="E13104">
            <v>0</v>
          </cell>
          <cell r="F13104">
            <v>0</v>
          </cell>
          <cell r="DN13104">
            <v>0</v>
          </cell>
        </row>
        <row r="13105">
          <cell r="E13105">
            <v>0</v>
          </cell>
          <cell r="F13105">
            <v>0</v>
          </cell>
          <cell r="DN13105">
            <v>0</v>
          </cell>
        </row>
        <row r="13106">
          <cell r="E13106">
            <v>0</v>
          </cell>
          <cell r="F13106">
            <v>0</v>
          </cell>
          <cell r="DN13106">
            <v>0</v>
          </cell>
        </row>
        <row r="13107">
          <cell r="E13107">
            <v>0</v>
          </cell>
          <cell r="F13107">
            <v>0</v>
          </cell>
          <cell r="DN13107">
            <v>0</v>
          </cell>
        </row>
        <row r="13108">
          <cell r="E13108">
            <v>0</v>
          </cell>
          <cell r="F13108">
            <v>0</v>
          </cell>
          <cell r="DN13108">
            <v>0</v>
          </cell>
        </row>
        <row r="13109">
          <cell r="E13109">
            <v>0</v>
          </cell>
          <cell r="F13109">
            <v>0</v>
          </cell>
          <cell r="DN13109">
            <v>0</v>
          </cell>
        </row>
        <row r="13110">
          <cell r="E13110">
            <v>0</v>
          </cell>
          <cell r="F13110">
            <v>0</v>
          </cell>
          <cell r="DN13110">
            <v>0</v>
          </cell>
        </row>
        <row r="13111">
          <cell r="E13111">
            <v>0</v>
          </cell>
          <cell r="F13111">
            <v>0</v>
          </cell>
          <cell r="DN13111">
            <v>0</v>
          </cell>
        </row>
        <row r="13112">
          <cell r="E13112">
            <v>0</v>
          </cell>
          <cell r="F13112">
            <v>0</v>
          </cell>
          <cell r="DN13112">
            <v>0</v>
          </cell>
        </row>
        <row r="13113">
          <cell r="E13113">
            <v>0</v>
          </cell>
          <cell r="F13113">
            <v>0</v>
          </cell>
          <cell r="DN13113">
            <v>0</v>
          </cell>
        </row>
        <row r="13114">
          <cell r="E13114">
            <v>0</v>
          </cell>
          <cell r="F13114">
            <v>0</v>
          </cell>
          <cell r="DN13114">
            <v>0</v>
          </cell>
        </row>
        <row r="13115">
          <cell r="E13115">
            <v>0</v>
          </cell>
          <cell r="F13115">
            <v>0</v>
          </cell>
          <cell r="DN13115">
            <v>0</v>
          </cell>
        </row>
        <row r="13116">
          <cell r="E13116">
            <v>0</v>
          </cell>
          <cell r="F13116">
            <v>0</v>
          </cell>
          <cell r="DN13116">
            <v>0</v>
          </cell>
        </row>
        <row r="13117">
          <cell r="E13117">
            <v>0</v>
          </cell>
          <cell r="F13117">
            <v>0</v>
          </cell>
          <cell r="DN13117">
            <v>0</v>
          </cell>
        </row>
        <row r="13118">
          <cell r="E13118">
            <v>0</v>
          </cell>
          <cell r="F13118">
            <v>0</v>
          </cell>
          <cell r="DN13118">
            <v>0</v>
          </cell>
        </row>
        <row r="13119">
          <cell r="E13119">
            <v>0</v>
          </cell>
          <cell r="F13119">
            <v>0</v>
          </cell>
          <cell r="DN13119">
            <v>0</v>
          </cell>
        </row>
        <row r="13120">
          <cell r="E13120">
            <v>0</v>
          </cell>
          <cell r="F13120">
            <v>0</v>
          </cell>
          <cell r="DN13120">
            <v>0</v>
          </cell>
        </row>
        <row r="13121">
          <cell r="E13121">
            <v>0</v>
          </cell>
          <cell r="F13121">
            <v>0</v>
          </cell>
          <cell r="DN13121">
            <v>0</v>
          </cell>
        </row>
        <row r="13122">
          <cell r="E13122">
            <v>0</v>
          </cell>
          <cell r="F13122">
            <v>0</v>
          </cell>
          <cell r="DN13122">
            <v>0</v>
          </cell>
        </row>
        <row r="13123">
          <cell r="E13123">
            <v>0</v>
          </cell>
          <cell r="F13123">
            <v>0</v>
          </cell>
          <cell r="DN13123">
            <v>0</v>
          </cell>
        </row>
        <row r="13124">
          <cell r="E13124">
            <v>0</v>
          </cell>
          <cell r="F13124">
            <v>0</v>
          </cell>
          <cell r="DN13124">
            <v>0</v>
          </cell>
        </row>
        <row r="13125">
          <cell r="E13125">
            <v>0</v>
          </cell>
          <cell r="F13125">
            <v>0</v>
          </cell>
          <cell r="DN13125">
            <v>0</v>
          </cell>
        </row>
        <row r="13126">
          <cell r="E13126">
            <v>0</v>
          </cell>
          <cell r="F13126">
            <v>0</v>
          </cell>
          <cell r="DN13126">
            <v>0</v>
          </cell>
        </row>
        <row r="13127">
          <cell r="E13127">
            <v>0</v>
          </cell>
          <cell r="F13127">
            <v>0</v>
          </cell>
          <cell r="DN13127">
            <v>0</v>
          </cell>
        </row>
        <row r="13128">
          <cell r="E13128">
            <v>0</v>
          </cell>
          <cell r="F13128">
            <v>0</v>
          </cell>
          <cell r="DN13128">
            <v>0</v>
          </cell>
        </row>
        <row r="13129">
          <cell r="E13129">
            <v>0</v>
          </cell>
          <cell r="F13129">
            <v>0</v>
          </cell>
          <cell r="DN13129">
            <v>0</v>
          </cell>
        </row>
        <row r="13130">
          <cell r="E13130">
            <v>0</v>
          </cell>
          <cell r="F13130">
            <v>0</v>
          </cell>
          <cell r="DN13130">
            <v>0</v>
          </cell>
        </row>
        <row r="13131">
          <cell r="E13131">
            <v>0</v>
          </cell>
          <cell r="F13131">
            <v>0</v>
          </cell>
          <cell r="DN13131">
            <v>0</v>
          </cell>
        </row>
        <row r="13132">
          <cell r="E13132">
            <v>0</v>
          </cell>
          <cell r="F13132">
            <v>0</v>
          </cell>
          <cell r="DN13132">
            <v>0</v>
          </cell>
        </row>
        <row r="13133">
          <cell r="E13133">
            <v>0</v>
          </cell>
          <cell r="F13133">
            <v>0</v>
          </cell>
          <cell r="DN13133">
            <v>0</v>
          </cell>
        </row>
        <row r="13134">
          <cell r="E13134">
            <v>0</v>
          </cell>
          <cell r="F13134">
            <v>0</v>
          </cell>
          <cell r="DN13134">
            <v>0</v>
          </cell>
        </row>
        <row r="13135">
          <cell r="E13135">
            <v>0</v>
          </cell>
          <cell r="F13135">
            <v>0</v>
          </cell>
          <cell r="DN13135">
            <v>0</v>
          </cell>
        </row>
        <row r="13136">
          <cell r="E13136">
            <v>0</v>
          </cell>
          <cell r="F13136">
            <v>0</v>
          </cell>
          <cell r="DN13136">
            <v>0</v>
          </cell>
        </row>
        <row r="13137">
          <cell r="E13137">
            <v>0</v>
          </cell>
          <cell r="F13137">
            <v>0</v>
          </cell>
          <cell r="DN13137">
            <v>0</v>
          </cell>
        </row>
        <row r="13138">
          <cell r="E13138">
            <v>0</v>
          </cell>
          <cell r="F13138">
            <v>0</v>
          </cell>
          <cell r="DN13138">
            <v>0</v>
          </cell>
        </row>
        <row r="13139">
          <cell r="E13139">
            <v>0</v>
          </cell>
          <cell r="F13139">
            <v>0</v>
          </cell>
          <cell r="DN13139">
            <v>0</v>
          </cell>
        </row>
        <row r="13140">
          <cell r="E13140">
            <v>0</v>
          </cell>
          <cell r="F13140">
            <v>0</v>
          </cell>
          <cell r="DN13140">
            <v>0</v>
          </cell>
        </row>
        <row r="13141">
          <cell r="E13141">
            <v>0</v>
          </cell>
          <cell r="F13141">
            <v>0</v>
          </cell>
          <cell r="DN13141">
            <v>0</v>
          </cell>
        </row>
        <row r="13142">
          <cell r="E13142">
            <v>0</v>
          </cell>
          <cell r="F13142">
            <v>0</v>
          </cell>
          <cell r="DN13142">
            <v>0</v>
          </cell>
        </row>
        <row r="13143">
          <cell r="E13143">
            <v>0</v>
          </cell>
          <cell r="F13143">
            <v>0</v>
          </cell>
          <cell r="DN13143">
            <v>0</v>
          </cell>
        </row>
        <row r="13144">
          <cell r="E13144">
            <v>0</v>
          </cell>
          <cell r="F13144">
            <v>0</v>
          </cell>
          <cell r="DN13144">
            <v>0</v>
          </cell>
        </row>
        <row r="13145">
          <cell r="E13145">
            <v>0</v>
          </cell>
          <cell r="F13145">
            <v>0</v>
          </cell>
          <cell r="DN13145">
            <v>0</v>
          </cell>
        </row>
        <row r="13146">
          <cell r="E13146">
            <v>0</v>
          </cell>
          <cell r="F13146">
            <v>0</v>
          </cell>
          <cell r="DN13146">
            <v>0</v>
          </cell>
        </row>
        <row r="13147">
          <cell r="E13147">
            <v>0</v>
          </cell>
          <cell r="F13147">
            <v>0</v>
          </cell>
          <cell r="DN13147">
            <v>0</v>
          </cell>
        </row>
        <row r="13148">
          <cell r="E13148">
            <v>0</v>
          </cell>
          <cell r="F13148">
            <v>0</v>
          </cell>
          <cell r="DN13148">
            <v>0</v>
          </cell>
        </row>
        <row r="13149">
          <cell r="E13149">
            <v>0</v>
          </cell>
          <cell r="F13149">
            <v>0</v>
          </cell>
          <cell r="DN13149">
            <v>0</v>
          </cell>
        </row>
        <row r="13150">
          <cell r="E13150">
            <v>0</v>
          </cell>
          <cell r="F13150">
            <v>0</v>
          </cell>
          <cell r="DN13150">
            <v>0</v>
          </cell>
        </row>
        <row r="13151">
          <cell r="E13151">
            <v>0</v>
          </cell>
          <cell r="F13151">
            <v>0</v>
          </cell>
          <cell r="DN13151">
            <v>0</v>
          </cell>
        </row>
        <row r="13152">
          <cell r="E13152">
            <v>0</v>
          </cell>
          <cell r="F13152">
            <v>0</v>
          </cell>
          <cell r="DN13152">
            <v>0</v>
          </cell>
        </row>
        <row r="13153">
          <cell r="E13153">
            <v>0</v>
          </cell>
          <cell r="F13153">
            <v>0</v>
          </cell>
          <cell r="DN13153">
            <v>0</v>
          </cell>
        </row>
        <row r="13154">
          <cell r="E13154">
            <v>0</v>
          </cell>
          <cell r="F13154">
            <v>0</v>
          </cell>
          <cell r="DN13154">
            <v>0</v>
          </cell>
        </row>
        <row r="13155">
          <cell r="E13155">
            <v>0</v>
          </cell>
          <cell r="F13155">
            <v>0</v>
          </cell>
          <cell r="DN13155">
            <v>0</v>
          </cell>
        </row>
        <row r="13156">
          <cell r="E13156">
            <v>0</v>
          </cell>
          <cell r="F13156">
            <v>0</v>
          </cell>
          <cell r="DN13156">
            <v>0</v>
          </cell>
        </row>
        <row r="13157">
          <cell r="E13157">
            <v>0</v>
          </cell>
          <cell r="F13157">
            <v>0</v>
          </cell>
          <cell r="DN13157">
            <v>0</v>
          </cell>
        </row>
        <row r="13158">
          <cell r="E13158">
            <v>0</v>
          </cell>
          <cell r="F13158">
            <v>0</v>
          </cell>
          <cell r="DN13158">
            <v>0</v>
          </cell>
        </row>
        <row r="13159">
          <cell r="E13159">
            <v>0</v>
          </cell>
          <cell r="F13159">
            <v>0</v>
          </cell>
          <cell r="DN13159">
            <v>0</v>
          </cell>
        </row>
        <row r="13160">
          <cell r="E13160">
            <v>0</v>
          </cell>
          <cell r="F13160">
            <v>0</v>
          </cell>
          <cell r="DN13160">
            <v>0</v>
          </cell>
        </row>
        <row r="13161">
          <cell r="E13161">
            <v>0</v>
          </cell>
          <cell r="F13161">
            <v>0</v>
          </cell>
          <cell r="DN13161">
            <v>0</v>
          </cell>
        </row>
        <row r="13162">
          <cell r="E13162">
            <v>0</v>
          </cell>
          <cell r="F13162">
            <v>0</v>
          </cell>
          <cell r="DN13162">
            <v>0</v>
          </cell>
        </row>
        <row r="13163">
          <cell r="E13163">
            <v>0</v>
          </cell>
          <cell r="F13163">
            <v>0</v>
          </cell>
          <cell r="DN13163">
            <v>0</v>
          </cell>
        </row>
        <row r="13164">
          <cell r="E13164">
            <v>0</v>
          </cell>
          <cell r="F13164">
            <v>0</v>
          </cell>
          <cell r="DN13164">
            <v>0</v>
          </cell>
        </row>
        <row r="13165">
          <cell r="E13165">
            <v>0</v>
          </cell>
          <cell r="F13165">
            <v>0</v>
          </cell>
          <cell r="DN13165">
            <v>0</v>
          </cell>
        </row>
        <row r="13166">
          <cell r="E13166">
            <v>0</v>
          </cell>
          <cell r="F13166">
            <v>0</v>
          </cell>
          <cell r="DN13166">
            <v>0</v>
          </cell>
        </row>
        <row r="13167">
          <cell r="E13167">
            <v>0</v>
          </cell>
          <cell r="F13167">
            <v>0</v>
          </cell>
          <cell r="DN13167">
            <v>0</v>
          </cell>
        </row>
        <row r="13168">
          <cell r="E13168">
            <v>0</v>
          </cell>
          <cell r="F13168">
            <v>0</v>
          </cell>
          <cell r="DN13168">
            <v>0</v>
          </cell>
        </row>
        <row r="13169">
          <cell r="E13169">
            <v>0</v>
          </cell>
          <cell r="F13169">
            <v>0</v>
          </cell>
          <cell r="DN13169">
            <v>0</v>
          </cell>
        </row>
        <row r="13170">
          <cell r="E13170">
            <v>0</v>
          </cell>
          <cell r="F13170">
            <v>0</v>
          </cell>
          <cell r="DN13170">
            <v>0</v>
          </cell>
        </row>
        <row r="13171">
          <cell r="E13171">
            <v>0</v>
          </cell>
          <cell r="F13171">
            <v>0</v>
          </cell>
          <cell r="DN13171">
            <v>0</v>
          </cell>
        </row>
        <row r="13172">
          <cell r="E13172">
            <v>0</v>
          </cell>
          <cell r="F13172">
            <v>0</v>
          </cell>
          <cell r="DN13172">
            <v>0</v>
          </cell>
        </row>
        <row r="13173">
          <cell r="E13173">
            <v>0</v>
          </cell>
          <cell r="F13173">
            <v>0</v>
          </cell>
          <cell r="DN13173">
            <v>0</v>
          </cell>
        </row>
        <row r="13174">
          <cell r="E13174">
            <v>0</v>
          </cell>
          <cell r="F13174">
            <v>0</v>
          </cell>
          <cell r="DN13174">
            <v>0</v>
          </cell>
        </row>
        <row r="13175">
          <cell r="E13175">
            <v>0</v>
          </cell>
          <cell r="F13175">
            <v>0</v>
          </cell>
          <cell r="DN13175">
            <v>0</v>
          </cell>
        </row>
        <row r="13176">
          <cell r="E13176">
            <v>0</v>
          </cell>
          <cell r="F13176">
            <v>0</v>
          </cell>
          <cell r="DN13176">
            <v>0</v>
          </cell>
        </row>
        <row r="13177">
          <cell r="E13177">
            <v>0</v>
          </cell>
          <cell r="F13177">
            <v>0</v>
          </cell>
          <cell r="DN13177">
            <v>0</v>
          </cell>
        </row>
        <row r="13178">
          <cell r="E13178">
            <v>0</v>
          </cell>
          <cell r="F13178">
            <v>0</v>
          </cell>
          <cell r="DN13178">
            <v>0</v>
          </cell>
        </row>
        <row r="13179">
          <cell r="E13179">
            <v>0</v>
          </cell>
          <cell r="F13179">
            <v>0</v>
          </cell>
          <cell r="DN13179">
            <v>0</v>
          </cell>
        </row>
        <row r="13180">
          <cell r="E13180">
            <v>0</v>
          </cell>
          <cell r="F13180">
            <v>0</v>
          </cell>
          <cell r="DN13180">
            <v>0</v>
          </cell>
        </row>
        <row r="13181">
          <cell r="E13181">
            <v>0</v>
          </cell>
          <cell r="F13181">
            <v>0</v>
          </cell>
          <cell r="DN13181">
            <v>0</v>
          </cell>
        </row>
        <row r="13182">
          <cell r="E13182">
            <v>0</v>
          </cell>
          <cell r="F13182">
            <v>0</v>
          </cell>
          <cell r="DN13182">
            <v>0</v>
          </cell>
        </row>
        <row r="13183">
          <cell r="E13183">
            <v>0</v>
          </cell>
          <cell r="F13183">
            <v>0</v>
          </cell>
          <cell r="DN13183">
            <v>0</v>
          </cell>
        </row>
        <row r="13184">
          <cell r="E13184">
            <v>0</v>
          </cell>
          <cell r="F13184">
            <v>0</v>
          </cell>
          <cell r="DN13184">
            <v>0</v>
          </cell>
        </row>
        <row r="13185">
          <cell r="E13185">
            <v>0</v>
          </cell>
          <cell r="F13185">
            <v>0</v>
          </cell>
          <cell r="DN13185">
            <v>0</v>
          </cell>
        </row>
        <row r="13186">
          <cell r="E13186">
            <v>0</v>
          </cell>
          <cell r="F13186">
            <v>0</v>
          </cell>
          <cell r="DN13186">
            <v>0</v>
          </cell>
        </row>
        <row r="13187">
          <cell r="E13187">
            <v>0</v>
          </cell>
          <cell r="F13187">
            <v>0</v>
          </cell>
          <cell r="DN13187">
            <v>0</v>
          </cell>
        </row>
        <row r="13188">
          <cell r="E13188">
            <v>0</v>
          </cell>
          <cell r="F13188">
            <v>0</v>
          </cell>
          <cell r="DN13188">
            <v>0</v>
          </cell>
        </row>
        <row r="13189">
          <cell r="E13189">
            <v>0</v>
          </cell>
          <cell r="F13189">
            <v>0</v>
          </cell>
          <cell r="DN13189">
            <v>0</v>
          </cell>
        </row>
        <row r="13190">
          <cell r="E13190">
            <v>0</v>
          </cell>
          <cell r="F13190">
            <v>0</v>
          </cell>
          <cell r="DN13190">
            <v>0</v>
          </cell>
        </row>
        <row r="13191">
          <cell r="E13191">
            <v>0</v>
          </cell>
          <cell r="F13191">
            <v>0</v>
          </cell>
          <cell r="DN13191">
            <v>0</v>
          </cell>
        </row>
        <row r="13192">
          <cell r="E13192">
            <v>0</v>
          </cell>
          <cell r="F13192">
            <v>0</v>
          </cell>
          <cell r="DN13192">
            <v>0</v>
          </cell>
        </row>
        <row r="13193">
          <cell r="E13193">
            <v>0</v>
          </cell>
          <cell r="F13193">
            <v>0</v>
          </cell>
          <cell r="DN13193">
            <v>0</v>
          </cell>
        </row>
        <row r="13194">
          <cell r="E13194">
            <v>0</v>
          </cell>
          <cell r="F13194">
            <v>0</v>
          </cell>
          <cell r="DN13194">
            <v>0</v>
          </cell>
        </row>
        <row r="13195">
          <cell r="E13195">
            <v>0</v>
          </cell>
          <cell r="F13195">
            <v>0</v>
          </cell>
          <cell r="DN13195">
            <v>0</v>
          </cell>
        </row>
        <row r="13196">
          <cell r="E13196">
            <v>0</v>
          </cell>
          <cell r="F13196">
            <v>0</v>
          </cell>
          <cell r="DN13196">
            <v>0</v>
          </cell>
        </row>
        <row r="13197">
          <cell r="E13197">
            <v>0</v>
          </cell>
          <cell r="F13197">
            <v>0</v>
          </cell>
          <cell r="DN13197">
            <v>0</v>
          </cell>
        </row>
        <row r="13198">
          <cell r="E13198">
            <v>0</v>
          </cell>
          <cell r="F13198">
            <v>0</v>
          </cell>
          <cell r="DN13198">
            <v>0</v>
          </cell>
        </row>
        <row r="13199">
          <cell r="E13199">
            <v>0</v>
          </cell>
          <cell r="F13199">
            <v>0</v>
          </cell>
          <cell r="DN13199">
            <v>0</v>
          </cell>
        </row>
        <row r="13200">
          <cell r="E13200">
            <v>0</v>
          </cell>
          <cell r="F13200">
            <v>0</v>
          </cell>
          <cell r="DN13200">
            <v>0</v>
          </cell>
        </row>
        <row r="13201">
          <cell r="E13201">
            <v>0</v>
          </cell>
          <cell r="F13201">
            <v>0</v>
          </cell>
          <cell r="DN13201">
            <v>0</v>
          </cell>
        </row>
        <row r="13202">
          <cell r="E13202">
            <v>0</v>
          </cell>
          <cell r="F13202">
            <v>0</v>
          </cell>
          <cell r="DN13202">
            <v>0</v>
          </cell>
        </row>
        <row r="13203">
          <cell r="E13203">
            <v>0</v>
          </cell>
          <cell r="F13203">
            <v>0</v>
          </cell>
          <cell r="DN13203">
            <v>0</v>
          </cell>
        </row>
        <row r="13204">
          <cell r="E13204">
            <v>0</v>
          </cell>
          <cell r="F13204">
            <v>0</v>
          </cell>
          <cell r="DN13204">
            <v>0</v>
          </cell>
        </row>
        <row r="13205">
          <cell r="E13205">
            <v>0</v>
          </cell>
          <cell r="F13205">
            <v>0</v>
          </cell>
          <cell r="DN13205">
            <v>0</v>
          </cell>
        </row>
        <row r="13206">
          <cell r="E13206">
            <v>0</v>
          </cell>
          <cell r="F13206">
            <v>0</v>
          </cell>
          <cell r="DN13206">
            <v>0</v>
          </cell>
        </row>
        <row r="13207">
          <cell r="E13207">
            <v>0</v>
          </cell>
          <cell r="F13207">
            <v>0</v>
          </cell>
          <cell r="DN13207">
            <v>0</v>
          </cell>
        </row>
        <row r="13208">
          <cell r="E13208">
            <v>0</v>
          </cell>
          <cell r="F13208">
            <v>0</v>
          </cell>
          <cell r="DN13208">
            <v>0</v>
          </cell>
        </row>
        <row r="13209">
          <cell r="E13209">
            <v>0</v>
          </cell>
          <cell r="F13209">
            <v>0</v>
          </cell>
          <cell r="DN13209">
            <v>0</v>
          </cell>
        </row>
        <row r="13210">
          <cell r="E13210">
            <v>0</v>
          </cell>
          <cell r="F13210">
            <v>0</v>
          </cell>
          <cell r="DN13210">
            <v>0</v>
          </cell>
        </row>
        <row r="13211">
          <cell r="E13211">
            <v>0</v>
          </cell>
          <cell r="F13211">
            <v>0</v>
          </cell>
          <cell r="DN13211">
            <v>0</v>
          </cell>
        </row>
        <row r="13212">
          <cell r="E13212">
            <v>0</v>
          </cell>
          <cell r="F13212">
            <v>0</v>
          </cell>
          <cell r="DN13212">
            <v>0</v>
          </cell>
        </row>
        <row r="13213">
          <cell r="E13213">
            <v>0</v>
          </cell>
          <cell r="F13213">
            <v>0</v>
          </cell>
          <cell r="DN13213">
            <v>0</v>
          </cell>
        </row>
        <row r="13214">
          <cell r="E13214">
            <v>0</v>
          </cell>
          <cell r="F13214">
            <v>0</v>
          </cell>
          <cell r="DN13214">
            <v>0</v>
          </cell>
        </row>
        <row r="13215">
          <cell r="E13215">
            <v>0</v>
          </cell>
          <cell r="F13215">
            <v>0</v>
          </cell>
          <cell r="DN13215">
            <v>0</v>
          </cell>
        </row>
        <row r="13216">
          <cell r="E13216">
            <v>0</v>
          </cell>
          <cell r="F13216">
            <v>0</v>
          </cell>
          <cell r="DN13216">
            <v>0</v>
          </cell>
        </row>
        <row r="13217">
          <cell r="E13217">
            <v>0</v>
          </cell>
          <cell r="F13217">
            <v>0</v>
          </cell>
          <cell r="DN13217">
            <v>0</v>
          </cell>
        </row>
        <row r="13218">
          <cell r="E13218">
            <v>0</v>
          </cell>
          <cell r="F13218">
            <v>0</v>
          </cell>
          <cell r="DN13218">
            <v>0</v>
          </cell>
        </row>
        <row r="13219">
          <cell r="E13219">
            <v>0</v>
          </cell>
          <cell r="F13219">
            <v>0</v>
          </cell>
          <cell r="DN13219">
            <v>0</v>
          </cell>
        </row>
        <row r="13220">
          <cell r="E13220">
            <v>0</v>
          </cell>
          <cell r="F13220">
            <v>0</v>
          </cell>
          <cell r="DN13220">
            <v>0</v>
          </cell>
        </row>
        <row r="13221">
          <cell r="E13221">
            <v>0</v>
          </cell>
          <cell r="F13221">
            <v>0</v>
          </cell>
          <cell r="DN13221">
            <v>0</v>
          </cell>
        </row>
        <row r="13222">
          <cell r="E13222">
            <v>0</v>
          </cell>
          <cell r="F13222">
            <v>0</v>
          </cell>
          <cell r="DN13222">
            <v>0</v>
          </cell>
        </row>
        <row r="13223">
          <cell r="E13223">
            <v>0</v>
          </cell>
          <cell r="F13223">
            <v>0</v>
          </cell>
          <cell r="DN13223">
            <v>0</v>
          </cell>
        </row>
        <row r="13224">
          <cell r="E13224">
            <v>0</v>
          </cell>
          <cell r="F13224">
            <v>0</v>
          </cell>
          <cell r="DN13224">
            <v>0</v>
          </cell>
        </row>
        <row r="13225">
          <cell r="E13225">
            <v>0</v>
          </cell>
          <cell r="F13225">
            <v>0</v>
          </cell>
          <cell r="DN13225">
            <v>0</v>
          </cell>
        </row>
        <row r="13226">
          <cell r="E13226">
            <v>0</v>
          </cell>
          <cell r="F13226">
            <v>0</v>
          </cell>
          <cell r="DN13226">
            <v>0</v>
          </cell>
        </row>
        <row r="13227">
          <cell r="E13227">
            <v>0</v>
          </cell>
          <cell r="F13227">
            <v>0</v>
          </cell>
          <cell r="DN13227">
            <v>0</v>
          </cell>
        </row>
        <row r="13228">
          <cell r="E13228">
            <v>0</v>
          </cell>
          <cell r="F13228">
            <v>0</v>
          </cell>
          <cell r="DN13228">
            <v>0</v>
          </cell>
        </row>
        <row r="13229">
          <cell r="E13229">
            <v>0</v>
          </cell>
          <cell r="F13229">
            <v>0</v>
          </cell>
          <cell r="DN13229">
            <v>0</v>
          </cell>
        </row>
        <row r="13230">
          <cell r="E13230">
            <v>0</v>
          </cell>
          <cell r="F13230">
            <v>0</v>
          </cell>
          <cell r="DN13230">
            <v>0</v>
          </cell>
        </row>
        <row r="13231">
          <cell r="E13231">
            <v>0</v>
          </cell>
          <cell r="F13231">
            <v>0</v>
          </cell>
          <cell r="DN13231">
            <v>0</v>
          </cell>
        </row>
        <row r="13232">
          <cell r="E13232">
            <v>0</v>
          </cell>
          <cell r="F13232">
            <v>0</v>
          </cell>
          <cell r="DN13232">
            <v>0</v>
          </cell>
        </row>
        <row r="13233">
          <cell r="E13233">
            <v>0</v>
          </cell>
          <cell r="F13233">
            <v>0</v>
          </cell>
          <cell r="DN13233">
            <v>0</v>
          </cell>
        </row>
        <row r="13234">
          <cell r="E13234">
            <v>0</v>
          </cell>
          <cell r="F13234">
            <v>0</v>
          </cell>
          <cell r="DN13234">
            <v>0</v>
          </cell>
        </row>
        <row r="13235">
          <cell r="E13235">
            <v>0</v>
          </cell>
          <cell r="F13235">
            <v>0</v>
          </cell>
          <cell r="DN13235">
            <v>0</v>
          </cell>
        </row>
        <row r="13236">
          <cell r="E13236">
            <v>0</v>
          </cell>
          <cell r="F13236">
            <v>0</v>
          </cell>
          <cell r="DN13236">
            <v>0</v>
          </cell>
        </row>
        <row r="13237">
          <cell r="E13237">
            <v>0</v>
          </cell>
          <cell r="F13237">
            <v>0</v>
          </cell>
          <cell r="DN13237">
            <v>0</v>
          </cell>
        </row>
        <row r="13238">
          <cell r="E13238">
            <v>0</v>
          </cell>
          <cell r="F13238">
            <v>0</v>
          </cell>
          <cell r="DN13238">
            <v>0</v>
          </cell>
        </row>
        <row r="13239">
          <cell r="E13239">
            <v>0</v>
          </cell>
          <cell r="F13239">
            <v>0</v>
          </cell>
          <cell r="DN13239">
            <v>0</v>
          </cell>
        </row>
        <row r="13240">
          <cell r="E13240">
            <v>0</v>
          </cell>
          <cell r="F13240">
            <v>0</v>
          </cell>
          <cell r="DN13240">
            <v>0</v>
          </cell>
        </row>
        <row r="13241">
          <cell r="E13241">
            <v>0</v>
          </cell>
          <cell r="F13241">
            <v>0</v>
          </cell>
          <cell r="DN13241">
            <v>0</v>
          </cell>
        </row>
        <row r="13242">
          <cell r="E13242">
            <v>0</v>
          </cell>
          <cell r="F13242">
            <v>0</v>
          </cell>
          <cell r="DN13242">
            <v>0</v>
          </cell>
        </row>
        <row r="13243">
          <cell r="E13243">
            <v>0</v>
          </cell>
          <cell r="F13243">
            <v>0</v>
          </cell>
          <cell r="DN13243">
            <v>0</v>
          </cell>
        </row>
        <row r="13244">
          <cell r="E13244">
            <v>0</v>
          </cell>
          <cell r="F13244">
            <v>0</v>
          </cell>
          <cell r="DN13244">
            <v>0</v>
          </cell>
        </row>
        <row r="13245">
          <cell r="E13245">
            <v>0</v>
          </cell>
          <cell r="F13245">
            <v>0</v>
          </cell>
          <cell r="DN13245">
            <v>0</v>
          </cell>
        </row>
        <row r="13246">
          <cell r="E13246">
            <v>0</v>
          </cell>
          <cell r="F13246">
            <v>0</v>
          </cell>
          <cell r="DN13246">
            <v>0</v>
          </cell>
        </row>
        <row r="13247">
          <cell r="E13247">
            <v>0</v>
          </cell>
          <cell r="F13247">
            <v>0</v>
          </cell>
          <cell r="DN13247">
            <v>0</v>
          </cell>
        </row>
        <row r="13248">
          <cell r="E13248">
            <v>0</v>
          </cell>
          <cell r="F13248">
            <v>0</v>
          </cell>
          <cell r="DN13248">
            <v>0</v>
          </cell>
        </row>
        <row r="13249">
          <cell r="E13249">
            <v>0</v>
          </cell>
          <cell r="F13249">
            <v>0</v>
          </cell>
          <cell r="DN13249">
            <v>0</v>
          </cell>
        </row>
        <row r="13250">
          <cell r="E13250">
            <v>0</v>
          </cell>
          <cell r="F13250">
            <v>0</v>
          </cell>
          <cell r="DN13250">
            <v>0</v>
          </cell>
        </row>
        <row r="13251">
          <cell r="E13251">
            <v>0</v>
          </cell>
          <cell r="F13251">
            <v>0</v>
          </cell>
          <cell r="DN13251">
            <v>0</v>
          </cell>
        </row>
        <row r="13252">
          <cell r="E13252">
            <v>0</v>
          </cell>
          <cell r="F13252">
            <v>0</v>
          </cell>
          <cell r="DN13252">
            <v>0</v>
          </cell>
        </row>
        <row r="13253">
          <cell r="E13253">
            <v>0</v>
          </cell>
          <cell r="F13253">
            <v>0</v>
          </cell>
          <cell r="DN13253">
            <v>0</v>
          </cell>
        </row>
        <row r="13254">
          <cell r="E13254">
            <v>0</v>
          </cell>
          <cell r="F13254">
            <v>0</v>
          </cell>
          <cell r="DN13254">
            <v>0</v>
          </cell>
        </row>
        <row r="13255">
          <cell r="E13255">
            <v>0</v>
          </cell>
          <cell r="F13255">
            <v>0</v>
          </cell>
          <cell r="DN13255">
            <v>0</v>
          </cell>
        </row>
        <row r="13256">
          <cell r="E13256">
            <v>0</v>
          </cell>
          <cell r="F13256">
            <v>0</v>
          </cell>
          <cell r="DN13256">
            <v>0</v>
          </cell>
        </row>
        <row r="13257">
          <cell r="E13257">
            <v>0</v>
          </cell>
          <cell r="F13257">
            <v>0</v>
          </cell>
          <cell r="DN13257">
            <v>0</v>
          </cell>
        </row>
        <row r="13258">
          <cell r="E13258">
            <v>0</v>
          </cell>
          <cell r="F13258">
            <v>0</v>
          </cell>
          <cell r="DN13258">
            <v>0</v>
          </cell>
        </row>
        <row r="13259">
          <cell r="E13259">
            <v>0</v>
          </cell>
          <cell r="F13259">
            <v>0</v>
          </cell>
          <cell r="DN13259">
            <v>0</v>
          </cell>
        </row>
        <row r="13260">
          <cell r="E13260">
            <v>0</v>
          </cell>
          <cell r="F13260">
            <v>0</v>
          </cell>
          <cell r="DN13260">
            <v>0</v>
          </cell>
        </row>
        <row r="13261">
          <cell r="E13261">
            <v>0</v>
          </cell>
          <cell r="F13261">
            <v>0</v>
          </cell>
          <cell r="DN13261">
            <v>0</v>
          </cell>
        </row>
        <row r="13262">
          <cell r="E13262">
            <v>0</v>
          </cell>
          <cell r="F13262">
            <v>0</v>
          </cell>
          <cell r="DN13262">
            <v>0</v>
          </cell>
        </row>
        <row r="13263">
          <cell r="E13263">
            <v>0</v>
          </cell>
          <cell r="F13263">
            <v>0</v>
          </cell>
          <cell r="DN13263">
            <v>0</v>
          </cell>
        </row>
        <row r="13264">
          <cell r="E13264">
            <v>0</v>
          </cell>
          <cell r="F13264">
            <v>0</v>
          </cell>
          <cell r="DN13264">
            <v>0</v>
          </cell>
        </row>
        <row r="13265">
          <cell r="E13265">
            <v>0</v>
          </cell>
          <cell r="F13265">
            <v>0</v>
          </cell>
          <cell r="DN13265">
            <v>0</v>
          </cell>
        </row>
        <row r="13266">
          <cell r="E13266">
            <v>0</v>
          </cell>
          <cell r="F13266">
            <v>0</v>
          </cell>
          <cell r="DN13266">
            <v>0</v>
          </cell>
        </row>
        <row r="13267">
          <cell r="E13267">
            <v>0</v>
          </cell>
          <cell r="F13267">
            <v>0</v>
          </cell>
          <cell r="DN13267">
            <v>0</v>
          </cell>
        </row>
        <row r="13268">
          <cell r="E13268">
            <v>0</v>
          </cell>
          <cell r="F13268">
            <v>0</v>
          </cell>
          <cell r="DN13268">
            <v>0</v>
          </cell>
        </row>
        <row r="13269">
          <cell r="E13269">
            <v>0</v>
          </cell>
          <cell r="F13269">
            <v>0</v>
          </cell>
          <cell r="DN13269">
            <v>0</v>
          </cell>
        </row>
        <row r="13270">
          <cell r="E13270">
            <v>0</v>
          </cell>
          <cell r="F13270">
            <v>0</v>
          </cell>
          <cell r="DN13270">
            <v>0</v>
          </cell>
        </row>
        <row r="13271">
          <cell r="E13271">
            <v>0</v>
          </cell>
          <cell r="F13271">
            <v>0</v>
          </cell>
          <cell r="DN13271">
            <v>0</v>
          </cell>
        </row>
        <row r="13272">
          <cell r="E13272">
            <v>0</v>
          </cell>
          <cell r="F13272">
            <v>0</v>
          </cell>
          <cell r="DN13272">
            <v>0</v>
          </cell>
        </row>
        <row r="13273">
          <cell r="E13273">
            <v>0</v>
          </cell>
          <cell r="F13273">
            <v>0</v>
          </cell>
          <cell r="DN13273">
            <v>0</v>
          </cell>
        </row>
        <row r="13274">
          <cell r="E13274">
            <v>0</v>
          </cell>
          <cell r="F13274">
            <v>0</v>
          </cell>
          <cell r="DN13274">
            <v>0</v>
          </cell>
        </row>
        <row r="13275">
          <cell r="E13275">
            <v>0</v>
          </cell>
          <cell r="F13275">
            <v>0</v>
          </cell>
          <cell r="DN13275">
            <v>0</v>
          </cell>
        </row>
        <row r="13276">
          <cell r="E13276">
            <v>0</v>
          </cell>
          <cell r="F13276">
            <v>0</v>
          </cell>
          <cell r="DN13276">
            <v>0</v>
          </cell>
        </row>
        <row r="13277">
          <cell r="E13277">
            <v>0</v>
          </cell>
          <cell r="F13277">
            <v>0</v>
          </cell>
          <cell r="DN13277">
            <v>0</v>
          </cell>
        </row>
        <row r="13278">
          <cell r="E13278">
            <v>0</v>
          </cell>
          <cell r="F13278">
            <v>0</v>
          </cell>
          <cell r="DN13278">
            <v>0</v>
          </cell>
        </row>
        <row r="13279">
          <cell r="E13279">
            <v>0</v>
          </cell>
          <cell r="F13279">
            <v>0</v>
          </cell>
          <cell r="DN13279">
            <v>0</v>
          </cell>
        </row>
        <row r="13280">
          <cell r="E13280">
            <v>0</v>
          </cell>
          <cell r="F13280">
            <v>0</v>
          </cell>
          <cell r="DN13280">
            <v>0</v>
          </cell>
        </row>
        <row r="13281">
          <cell r="E13281">
            <v>0</v>
          </cell>
          <cell r="F13281">
            <v>0</v>
          </cell>
          <cell r="DN13281">
            <v>0</v>
          </cell>
        </row>
        <row r="13282">
          <cell r="E13282">
            <v>0</v>
          </cell>
          <cell r="F13282">
            <v>0</v>
          </cell>
          <cell r="DN13282">
            <v>0</v>
          </cell>
        </row>
        <row r="13283">
          <cell r="E13283">
            <v>0</v>
          </cell>
          <cell r="F13283">
            <v>0</v>
          </cell>
          <cell r="DN13283">
            <v>0</v>
          </cell>
        </row>
        <row r="13284">
          <cell r="E13284">
            <v>0</v>
          </cell>
          <cell r="F13284">
            <v>0</v>
          </cell>
          <cell r="DN13284">
            <v>0</v>
          </cell>
        </row>
        <row r="13285">
          <cell r="E13285">
            <v>0</v>
          </cell>
          <cell r="F13285">
            <v>0</v>
          </cell>
          <cell r="DN13285">
            <v>0</v>
          </cell>
        </row>
        <row r="13286">
          <cell r="E13286">
            <v>0</v>
          </cell>
          <cell r="F13286">
            <v>0</v>
          </cell>
          <cell r="DN13286">
            <v>0</v>
          </cell>
        </row>
        <row r="13287">
          <cell r="E13287">
            <v>0</v>
          </cell>
          <cell r="F13287">
            <v>0</v>
          </cell>
          <cell r="DN13287">
            <v>0</v>
          </cell>
        </row>
        <row r="13288">
          <cell r="E13288">
            <v>0</v>
          </cell>
          <cell r="F13288">
            <v>0</v>
          </cell>
          <cell r="DN13288">
            <v>0</v>
          </cell>
        </row>
        <row r="13289">
          <cell r="E13289">
            <v>0</v>
          </cell>
          <cell r="F13289">
            <v>0</v>
          </cell>
          <cell r="DN13289">
            <v>0</v>
          </cell>
        </row>
        <row r="13290">
          <cell r="E13290">
            <v>0</v>
          </cell>
          <cell r="F13290">
            <v>0</v>
          </cell>
          <cell r="DN13290">
            <v>0</v>
          </cell>
        </row>
        <row r="13291">
          <cell r="E13291">
            <v>0</v>
          </cell>
          <cell r="F13291">
            <v>0</v>
          </cell>
          <cell r="DN13291">
            <v>0</v>
          </cell>
        </row>
        <row r="13292">
          <cell r="E13292">
            <v>0</v>
          </cell>
          <cell r="F13292">
            <v>0</v>
          </cell>
          <cell r="DN13292">
            <v>0</v>
          </cell>
        </row>
        <row r="13293">
          <cell r="E13293">
            <v>0</v>
          </cell>
          <cell r="F13293">
            <v>0</v>
          </cell>
          <cell r="DN13293">
            <v>0</v>
          </cell>
        </row>
        <row r="13294">
          <cell r="E13294">
            <v>0</v>
          </cell>
          <cell r="F13294">
            <v>0</v>
          </cell>
          <cell r="DN13294">
            <v>0</v>
          </cell>
        </row>
        <row r="13295">
          <cell r="E13295">
            <v>0</v>
          </cell>
          <cell r="F13295">
            <v>0</v>
          </cell>
          <cell r="DN13295">
            <v>0</v>
          </cell>
        </row>
        <row r="13296">
          <cell r="E13296">
            <v>0</v>
          </cell>
          <cell r="F13296">
            <v>0</v>
          </cell>
          <cell r="DN13296">
            <v>0</v>
          </cell>
        </row>
        <row r="13297">
          <cell r="E13297">
            <v>0</v>
          </cell>
          <cell r="F13297">
            <v>0</v>
          </cell>
          <cell r="DN13297">
            <v>0</v>
          </cell>
        </row>
        <row r="13298">
          <cell r="E13298">
            <v>0</v>
          </cell>
          <cell r="F13298">
            <v>0</v>
          </cell>
          <cell r="DN13298">
            <v>0</v>
          </cell>
        </row>
        <row r="13299">
          <cell r="E13299">
            <v>0</v>
          </cell>
          <cell r="F13299">
            <v>0</v>
          </cell>
          <cell r="DN13299">
            <v>0</v>
          </cell>
        </row>
        <row r="13300">
          <cell r="E13300">
            <v>0</v>
          </cell>
          <cell r="F13300">
            <v>0</v>
          </cell>
          <cell r="DN13300">
            <v>0</v>
          </cell>
        </row>
        <row r="13301">
          <cell r="E13301">
            <v>0</v>
          </cell>
          <cell r="F13301">
            <v>0</v>
          </cell>
          <cell r="DN13301">
            <v>0</v>
          </cell>
        </row>
        <row r="13302">
          <cell r="E13302">
            <v>0</v>
          </cell>
          <cell r="F13302">
            <v>0</v>
          </cell>
          <cell r="DN13302">
            <v>0</v>
          </cell>
        </row>
        <row r="13303">
          <cell r="E13303">
            <v>0</v>
          </cell>
          <cell r="F13303">
            <v>0</v>
          </cell>
          <cell r="DN13303">
            <v>0</v>
          </cell>
        </row>
        <row r="13304">
          <cell r="E13304">
            <v>0</v>
          </cell>
          <cell r="F13304">
            <v>0</v>
          </cell>
          <cell r="DN13304">
            <v>0</v>
          </cell>
        </row>
        <row r="13305">
          <cell r="E13305">
            <v>0</v>
          </cell>
          <cell r="F13305">
            <v>0</v>
          </cell>
          <cell r="DN13305">
            <v>0</v>
          </cell>
        </row>
        <row r="13306">
          <cell r="E13306">
            <v>0</v>
          </cell>
          <cell r="F13306">
            <v>0</v>
          </cell>
          <cell r="DN13306">
            <v>0</v>
          </cell>
        </row>
        <row r="13307">
          <cell r="E13307">
            <v>0</v>
          </cell>
          <cell r="F13307">
            <v>0</v>
          </cell>
          <cell r="DN13307">
            <v>0</v>
          </cell>
        </row>
        <row r="13308">
          <cell r="E13308">
            <v>0</v>
          </cell>
          <cell r="F13308">
            <v>0</v>
          </cell>
          <cell r="DN13308">
            <v>0</v>
          </cell>
        </row>
        <row r="13309">
          <cell r="E13309">
            <v>0</v>
          </cell>
          <cell r="F13309">
            <v>0</v>
          </cell>
          <cell r="DN13309">
            <v>0</v>
          </cell>
        </row>
        <row r="13310">
          <cell r="E13310">
            <v>0</v>
          </cell>
          <cell r="F13310">
            <v>0</v>
          </cell>
          <cell r="DN13310">
            <v>0</v>
          </cell>
        </row>
        <row r="13311">
          <cell r="E13311">
            <v>0</v>
          </cell>
          <cell r="F13311">
            <v>0</v>
          </cell>
          <cell r="DN13311">
            <v>0</v>
          </cell>
        </row>
        <row r="13312">
          <cell r="E13312">
            <v>0</v>
          </cell>
          <cell r="F13312">
            <v>0</v>
          </cell>
          <cell r="DN13312">
            <v>0</v>
          </cell>
        </row>
        <row r="13313">
          <cell r="E13313">
            <v>0</v>
          </cell>
          <cell r="F13313">
            <v>0</v>
          </cell>
          <cell r="DN13313">
            <v>0</v>
          </cell>
        </row>
        <row r="13314">
          <cell r="E13314">
            <v>0</v>
          </cell>
          <cell r="F13314">
            <v>0</v>
          </cell>
          <cell r="DN13314">
            <v>0</v>
          </cell>
        </row>
        <row r="13315">
          <cell r="E13315">
            <v>0</v>
          </cell>
          <cell r="F13315">
            <v>0</v>
          </cell>
          <cell r="DN13315">
            <v>0</v>
          </cell>
        </row>
        <row r="13316">
          <cell r="E13316">
            <v>0</v>
          </cell>
          <cell r="F13316">
            <v>0</v>
          </cell>
          <cell r="DN13316">
            <v>0</v>
          </cell>
        </row>
        <row r="13317">
          <cell r="E13317">
            <v>0</v>
          </cell>
          <cell r="F13317">
            <v>0</v>
          </cell>
          <cell r="DN13317">
            <v>0</v>
          </cell>
        </row>
        <row r="13318">
          <cell r="E13318">
            <v>0</v>
          </cell>
          <cell r="F13318">
            <v>0</v>
          </cell>
          <cell r="DN13318">
            <v>0</v>
          </cell>
        </row>
        <row r="13319">
          <cell r="E13319">
            <v>0</v>
          </cell>
          <cell r="F13319">
            <v>0</v>
          </cell>
          <cell r="DN13319">
            <v>0</v>
          </cell>
        </row>
        <row r="13320">
          <cell r="E13320">
            <v>0</v>
          </cell>
          <cell r="F13320">
            <v>0</v>
          </cell>
          <cell r="DN13320">
            <v>0</v>
          </cell>
        </row>
        <row r="13321">
          <cell r="E13321">
            <v>0</v>
          </cell>
          <cell r="F13321">
            <v>0</v>
          </cell>
          <cell r="DN13321">
            <v>0</v>
          </cell>
        </row>
        <row r="13322">
          <cell r="E13322">
            <v>0</v>
          </cell>
          <cell r="F13322">
            <v>0</v>
          </cell>
          <cell r="DN13322">
            <v>0</v>
          </cell>
        </row>
        <row r="13323">
          <cell r="E13323">
            <v>0</v>
          </cell>
          <cell r="F13323">
            <v>0</v>
          </cell>
          <cell r="DN13323">
            <v>0</v>
          </cell>
        </row>
        <row r="13324">
          <cell r="E13324">
            <v>0</v>
          </cell>
          <cell r="F13324">
            <v>0</v>
          </cell>
          <cell r="DN13324">
            <v>0</v>
          </cell>
        </row>
        <row r="13325">
          <cell r="E13325">
            <v>0</v>
          </cell>
          <cell r="F13325">
            <v>0</v>
          </cell>
          <cell r="DN13325">
            <v>0</v>
          </cell>
        </row>
        <row r="13326">
          <cell r="E13326">
            <v>0</v>
          </cell>
          <cell r="F13326">
            <v>0</v>
          </cell>
          <cell r="DN13326">
            <v>0</v>
          </cell>
        </row>
        <row r="13327">
          <cell r="E13327">
            <v>0</v>
          </cell>
          <cell r="F13327">
            <v>0</v>
          </cell>
          <cell r="DN13327">
            <v>0</v>
          </cell>
        </row>
        <row r="13328">
          <cell r="E13328">
            <v>0</v>
          </cell>
          <cell r="F13328">
            <v>0</v>
          </cell>
          <cell r="DN13328">
            <v>0</v>
          </cell>
        </row>
        <row r="13329">
          <cell r="E13329">
            <v>0</v>
          </cell>
          <cell r="F13329">
            <v>0</v>
          </cell>
          <cell r="DN13329">
            <v>0</v>
          </cell>
        </row>
        <row r="13330">
          <cell r="E13330">
            <v>0</v>
          </cell>
          <cell r="F13330">
            <v>0</v>
          </cell>
          <cell r="DN13330">
            <v>0</v>
          </cell>
        </row>
        <row r="13331">
          <cell r="E13331">
            <v>0</v>
          </cell>
          <cell r="F13331">
            <v>0</v>
          </cell>
          <cell r="DN13331">
            <v>0</v>
          </cell>
        </row>
        <row r="13332">
          <cell r="E13332">
            <v>0</v>
          </cell>
          <cell r="F13332">
            <v>0</v>
          </cell>
          <cell r="DN13332">
            <v>0</v>
          </cell>
        </row>
        <row r="13333">
          <cell r="E13333">
            <v>0</v>
          </cell>
          <cell r="F13333">
            <v>0</v>
          </cell>
          <cell r="DN13333">
            <v>0</v>
          </cell>
        </row>
        <row r="13334">
          <cell r="E13334">
            <v>0</v>
          </cell>
          <cell r="F13334">
            <v>0</v>
          </cell>
          <cell r="DN13334">
            <v>0</v>
          </cell>
        </row>
        <row r="13335">
          <cell r="E13335">
            <v>0</v>
          </cell>
          <cell r="F13335">
            <v>0</v>
          </cell>
          <cell r="DN13335">
            <v>0</v>
          </cell>
        </row>
        <row r="13336">
          <cell r="E13336">
            <v>0</v>
          </cell>
          <cell r="F13336">
            <v>0</v>
          </cell>
          <cell r="DN13336">
            <v>0</v>
          </cell>
        </row>
        <row r="13337">
          <cell r="E13337">
            <v>0</v>
          </cell>
          <cell r="F13337">
            <v>0</v>
          </cell>
          <cell r="DN13337">
            <v>0</v>
          </cell>
        </row>
        <row r="13338">
          <cell r="E13338">
            <v>0</v>
          </cell>
          <cell r="F13338">
            <v>0</v>
          </cell>
          <cell r="DN13338">
            <v>0</v>
          </cell>
        </row>
        <row r="13339">
          <cell r="E13339">
            <v>0</v>
          </cell>
          <cell r="F13339">
            <v>0</v>
          </cell>
          <cell r="DN13339">
            <v>0</v>
          </cell>
        </row>
        <row r="13340">
          <cell r="E13340">
            <v>0</v>
          </cell>
          <cell r="F13340">
            <v>0</v>
          </cell>
          <cell r="DN13340">
            <v>0</v>
          </cell>
        </row>
        <row r="13341">
          <cell r="E13341">
            <v>0</v>
          </cell>
          <cell r="F13341">
            <v>0</v>
          </cell>
          <cell r="DN13341">
            <v>0</v>
          </cell>
        </row>
        <row r="13342">
          <cell r="E13342">
            <v>0</v>
          </cell>
          <cell r="F13342">
            <v>0</v>
          </cell>
          <cell r="DN13342">
            <v>0</v>
          </cell>
        </row>
        <row r="13343">
          <cell r="E13343">
            <v>0</v>
          </cell>
          <cell r="F13343">
            <v>0</v>
          </cell>
          <cell r="DN13343">
            <v>0</v>
          </cell>
        </row>
        <row r="13344">
          <cell r="E13344">
            <v>0</v>
          </cell>
          <cell r="F13344">
            <v>0</v>
          </cell>
          <cell r="DN13344">
            <v>0</v>
          </cell>
        </row>
        <row r="13345">
          <cell r="E13345">
            <v>0</v>
          </cell>
          <cell r="F13345">
            <v>0</v>
          </cell>
          <cell r="DN13345">
            <v>0</v>
          </cell>
        </row>
        <row r="13346">
          <cell r="E13346">
            <v>0</v>
          </cell>
          <cell r="F13346">
            <v>0</v>
          </cell>
          <cell r="DN13346">
            <v>0</v>
          </cell>
        </row>
        <row r="13347">
          <cell r="E13347">
            <v>0</v>
          </cell>
          <cell r="F13347">
            <v>0</v>
          </cell>
          <cell r="DN13347">
            <v>0</v>
          </cell>
        </row>
        <row r="13348">
          <cell r="E13348">
            <v>0</v>
          </cell>
          <cell r="F13348">
            <v>0</v>
          </cell>
          <cell r="DN13348">
            <v>0</v>
          </cell>
        </row>
        <row r="13349">
          <cell r="E13349">
            <v>0</v>
          </cell>
          <cell r="F13349">
            <v>0</v>
          </cell>
          <cell r="DN13349">
            <v>0</v>
          </cell>
        </row>
        <row r="13350">
          <cell r="E13350">
            <v>0</v>
          </cell>
          <cell r="F13350">
            <v>0</v>
          </cell>
          <cell r="DN13350">
            <v>0</v>
          </cell>
        </row>
        <row r="13351">
          <cell r="E13351">
            <v>0</v>
          </cell>
          <cell r="F13351">
            <v>0</v>
          </cell>
          <cell r="DN13351">
            <v>0</v>
          </cell>
        </row>
        <row r="13352">
          <cell r="E13352">
            <v>0</v>
          </cell>
          <cell r="F13352">
            <v>0</v>
          </cell>
          <cell r="DN13352">
            <v>0</v>
          </cell>
        </row>
        <row r="13353">
          <cell r="E13353">
            <v>0</v>
          </cell>
          <cell r="F13353">
            <v>0</v>
          </cell>
          <cell r="DN13353">
            <v>0</v>
          </cell>
        </row>
        <row r="13354">
          <cell r="E13354">
            <v>0</v>
          </cell>
          <cell r="F13354">
            <v>0</v>
          </cell>
          <cell r="DN13354">
            <v>0</v>
          </cell>
        </row>
        <row r="13355">
          <cell r="E13355">
            <v>0</v>
          </cell>
          <cell r="F13355">
            <v>0</v>
          </cell>
          <cell r="DN13355">
            <v>0</v>
          </cell>
        </row>
        <row r="13356">
          <cell r="E13356">
            <v>0</v>
          </cell>
          <cell r="F13356">
            <v>0</v>
          </cell>
          <cell r="DN13356">
            <v>0</v>
          </cell>
        </row>
        <row r="13357">
          <cell r="E13357">
            <v>0</v>
          </cell>
          <cell r="F13357">
            <v>0</v>
          </cell>
          <cell r="DN13357">
            <v>0</v>
          </cell>
        </row>
        <row r="13358">
          <cell r="E13358">
            <v>0</v>
          </cell>
          <cell r="F13358">
            <v>0</v>
          </cell>
          <cell r="DN13358">
            <v>0</v>
          </cell>
        </row>
        <row r="13359">
          <cell r="E13359">
            <v>0</v>
          </cell>
          <cell r="F13359">
            <v>0</v>
          </cell>
          <cell r="DN13359">
            <v>0</v>
          </cell>
        </row>
        <row r="13360">
          <cell r="E13360">
            <v>0</v>
          </cell>
          <cell r="F13360">
            <v>0</v>
          </cell>
          <cell r="DN13360">
            <v>0</v>
          </cell>
        </row>
        <row r="13361">
          <cell r="E13361">
            <v>0</v>
          </cell>
          <cell r="F13361">
            <v>0</v>
          </cell>
          <cell r="DN13361">
            <v>0</v>
          </cell>
        </row>
        <row r="13362">
          <cell r="E13362">
            <v>0</v>
          </cell>
          <cell r="F13362">
            <v>0</v>
          </cell>
          <cell r="DN13362">
            <v>0</v>
          </cell>
        </row>
        <row r="13363">
          <cell r="E13363">
            <v>0</v>
          </cell>
          <cell r="F13363">
            <v>0</v>
          </cell>
          <cell r="DN13363">
            <v>0</v>
          </cell>
        </row>
        <row r="13364">
          <cell r="E13364">
            <v>0</v>
          </cell>
          <cell r="F13364">
            <v>0</v>
          </cell>
          <cell r="DN13364">
            <v>0</v>
          </cell>
        </row>
        <row r="13365">
          <cell r="E13365">
            <v>0</v>
          </cell>
          <cell r="F13365">
            <v>0</v>
          </cell>
          <cell r="DN13365">
            <v>0</v>
          </cell>
        </row>
        <row r="13366">
          <cell r="E13366">
            <v>0</v>
          </cell>
          <cell r="F13366">
            <v>0</v>
          </cell>
          <cell r="DN13366">
            <v>0</v>
          </cell>
        </row>
        <row r="13367">
          <cell r="E13367">
            <v>0</v>
          </cell>
          <cell r="F13367">
            <v>0</v>
          </cell>
          <cell r="DN13367">
            <v>0</v>
          </cell>
        </row>
        <row r="13368">
          <cell r="E13368">
            <v>0</v>
          </cell>
          <cell r="F13368">
            <v>0</v>
          </cell>
          <cell r="DN13368">
            <v>0</v>
          </cell>
        </row>
        <row r="13369">
          <cell r="E13369">
            <v>0</v>
          </cell>
          <cell r="F13369">
            <v>0</v>
          </cell>
          <cell r="DN13369">
            <v>0</v>
          </cell>
        </row>
        <row r="13370">
          <cell r="E13370">
            <v>0</v>
          </cell>
          <cell r="F13370">
            <v>0</v>
          </cell>
          <cell r="DN13370">
            <v>0</v>
          </cell>
        </row>
        <row r="13371">
          <cell r="E13371">
            <v>0</v>
          </cell>
          <cell r="F13371">
            <v>0</v>
          </cell>
          <cell r="DN13371">
            <v>0</v>
          </cell>
        </row>
        <row r="13372">
          <cell r="E13372">
            <v>0</v>
          </cell>
          <cell r="F13372">
            <v>0</v>
          </cell>
          <cell r="DN13372">
            <v>0</v>
          </cell>
        </row>
        <row r="13373">
          <cell r="E13373">
            <v>0</v>
          </cell>
          <cell r="F13373">
            <v>0</v>
          </cell>
          <cell r="DN13373">
            <v>0</v>
          </cell>
        </row>
        <row r="13374">
          <cell r="E13374">
            <v>0</v>
          </cell>
          <cell r="F13374">
            <v>0</v>
          </cell>
          <cell r="DN13374">
            <v>0</v>
          </cell>
        </row>
        <row r="13375">
          <cell r="E13375">
            <v>0</v>
          </cell>
          <cell r="F13375">
            <v>0</v>
          </cell>
          <cell r="DN13375">
            <v>0</v>
          </cell>
        </row>
        <row r="13376">
          <cell r="E13376">
            <v>0</v>
          </cell>
          <cell r="F13376">
            <v>0</v>
          </cell>
          <cell r="DN13376">
            <v>0</v>
          </cell>
        </row>
        <row r="13377">
          <cell r="E13377">
            <v>0</v>
          </cell>
          <cell r="F13377">
            <v>0</v>
          </cell>
          <cell r="DN13377">
            <v>0</v>
          </cell>
        </row>
        <row r="13378">
          <cell r="E13378">
            <v>0</v>
          </cell>
          <cell r="F13378">
            <v>0</v>
          </cell>
          <cell r="DN13378">
            <v>0</v>
          </cell>
        </row>
        <row r="13379">
          <cell r="E13379">
            <v>0</v>
          </cell>
          <cell r="F13379">
            <v>0</v>
          </cell>
          <cell r="DN13379">
            <v>0</v>
          </cell>
        </row>
        <row r="13380">
          <cell r="E13380">
            <v>0</v>
          </cell>
          <cell r="F13380">
            <v>0</v>
          </cell>
          <cell r="DN13380">
            <v>0</v>
          </cell>
        </row>
        <row r="13381">
          <cell r="E13381">
            <v>0</v>
          </cell>
          <cell r="F13381">
            <v>0</v>
          </cell>
          <cell r="DN13381">
            <v>0</v>
          </cell>
        </row>
        <row r="13382">
          <cell r="E13382">
            <v>0</v>
          </cell>
          <cell r="F13382">
            <v>0</v>
          </cell>
          <cell r="DN13382">
            <v>0</v>
          </cell>
        </row>
        <row r="13383">
          <cell r="E13383">
            <v>0</v>
          </cell>
          <cell r="F13383">
            <v>0</v>
          </cell>
          <cell r="DN13383">
            <v>0</v>
          </cell>
        </row>
        <row r="13384">
          <cell r="E13384">
            <v>0</v>
          </cell>
          <cell r="F13384">
            <v>0</v>
          </cell>
          <cell r="DN13384">
            <v>0</v>
          </cell>
        </row>
        <row r="13385">
          <cell r="E13385">
            <v>0</v>
          </cell>
          <cell r="F13385">
            <v>0</v>
          </cell>
          <cell r="DN13385">
            <v>0</v>
          </cell>
        </row>
        <row r="13386">
          <cell r="E13386">
            <v>0</v>
          </cell>
          <cell r="F13386">
            <v>0</v>
          </cell>
          <cell r="DN13386">
            <v>0</v>
          </cell>
        </row>
        <row r="13387">
          <cell r="E13387">
            <v>0</v>
          </cell>
          <cell r="F13387">
            <v>0</v>
          </cell>
          <cell r="DN13387">
            <v>0</v>
          </cell>
        </row>
        <row r="13388">
          <cell r="E13388">
            <v>0</v>
          </cell>
          <cell r="F13388">
            <v>0</v>
          </cell>
          <cell r="DN13388">
            <v>0</v>
          </cell>
        </row>
        <row r="13389">
          <cell r="E13389">
            <v>0</v>
          </cell>
          <cell r="F13389">
            <v>0</v>
          </cell>
          <cell r="DN13389">
            <v>0</v>
          </cell>
        </row>
        <row r="13390">
          <cell r="E13390">
            <v>0</v>
          </cell>
          <cell r="F13390">
            <v>0</v>
          </cell>
          <cell r="DN13390">
            <v>0</v>
          </cell>
        </row>
        <row r="13391">
          <cell r="E13391">
            <v>0</v>
          </cell>
          <cell r="F13391">
            <v>0</v>
          </cell>
          <cell r="DN13391">
            <v>0</v>
          </cell>
        </row>
        <row r="13392">
          <cell r="E13392">
            <v>0</v>
          </cell>
          <cell r="F13392">
            <v>0</v>
          </cell>
          <cell r="DN13392">
            <v>0</v>
          </cell>
        </row>
        <row r="13393">
          <cell r="E13393">
            <v>0</v>
          </cell>
          <cell r="F13393">
            <v>0</v>
          </cell>
          <cell r="DN13393">
            <v>0</v>
          </cell>
        </row>
        <row r="13394">
          <cell r="E13394">
            <v>0</v>
          </cell>
          <cell r="F13394">
            <v>0</v>
          </cell>
          <cell r="DN13394">
            <v>0</v>
          </cell>
        </row>
        <row r="13395">
          <cell r="E13395">
            <v>0</v>
          </cell>
          <cell r="F13395">
            <v>0</v>
          </cell>
          <cell r="DN13395">
            <v>0</v>
          </cell>
        </row>
        <row r="13396">
          <cell r="E13396">
            <v>0</v>
          </cell>
          <cell r="F13396">
            <v>0</v>
          </cell>
          <cell r="DN13396">
            <v>0</v>
          </cell>
        </row>
        <row r="13397">
          <cell r="E13397">
            <v>0</v>
          </cell>
          <cell r="F13397">
            <v>0</v>
          </cell>
          <cell r="DN13397">
            <v>0</v>
          </cell>
        </row>
        <row r="13398">
          <cell r="E13398">
            <v>0</v>
          </cell>
          <cell r="F13398">
            <v>0</v>
          </cell>
          <cell r="DN13398">
            <v>0</v>
          </cell>
        </row>
        <row r="13399">
          <cell r="E13399">
            <v>0</v>
          </cell>
          <cell r="F13399">
            <v>0</v>
          </cell>
          <cell r="DN13399">
            <v>0</v>
          </cell>
        </row>
        <row r="13400">
          <cell r="E13400">
            <v>0</v>
          </cell>
          <cell r="F13400">
            <v>0</v>
          </cell>
          <cell r="DN13400">
            <v>0</v>
          </cell>
        </row>
        <row r="13401">
          <cell r="E13401">
            <v>0</v>
          </cell>
          <cell r="F13401">
            <v>0</v>
          </cell>
          <cell r="DN13401">
            <v>0</v>
          </cell>
        </row>
        <row r="13402">
          <cell r="E13402">
            <v>0</v>
          </cell>
          <cell r="F13402">
            <v>0</v>
          </cell>
          <cell r="DN13402">
            <v>0</v>
          </cell>
        </row>
        <row r="13403">
          <cell r="E13403">
            <v>0</v>
          </cell>
          <cell r="F13403">
            <v>0</v>
          </cell>
          <cell r="DN13403">
            <v>0</v>
          </cell>
        </row>
        <row r="13404">
          <cell r="E13404">
            <v>0</v>
          </cell>
          <cell r="F13404">
            <v>0</v>
          </cell>
          <cell r="DN13404">
            <v>0</v>
          </cell>
        </row>
        <row r="13405">
          <cell r="E13405">
            <v>0</v>
          </cell>
          <cell r="F13405">
            <v>0</v>
          </cell>
          <cell r="DN13405">
            <v>0</v>
          </cell>
        </row>
        <row r="13406">
          <cell r="E13406">
            <v>0</v>
          </cell>
          <cell r="F13406">
            <v>0</v>
          </cell>
          <cell r="DN13406">
            <v>0</v>
          </cell>
        </row>
        <row r="13407">
          <cell r="E13407">
            <v>0</v>
          </cell>
          <cell r="F13407">
            <v>0</v>
          </cell>
          <cell r="DN13407">
            <v>0</v>
          </cell>
        </row>
        <row r="13408">
          <cell r="E13408">
            <v>0</v>
          </cell>
          <cell r="F13408">
            <v>0</v>
          </cell>
          <cell r="DN13408">
            <v>0</v>
          </cell>
        </row>
        <row r="13409">
          <cell r="E13409">
            <v>0</v>
          </cell>
          <cell r="F13409">
            <v>0</v>
          </cell>
          <cell r="DN13409">
            <v>0</v>
          </cell>
        </row>
        <row r="13410">
          <cell r="E13410">
            <v>0</v>
          </cell>
          <cell r="F13410">
            <v>0</v>
          </cell>
          <cell r="DN13410">
            <v>0</v>
          </cell>
        </row>
        <row r="13411">
          <cell r="E13411">
            <v>0</v>
          </cell>
          <cell r="F13411">
            <v>0</v>
          </cell>
          <cell r="DN13411">
            <v>0</v>
          </cell>
        </row>
        <row r="13412">
          <cell r="E13412">
            <v>0</v>
          </cell>
          <cell r="F13412">
            <v>0</v>
          </cell>
          <cell r="DN13412">
            <v>0</v>
          </cell>
        </row>
        <row r="13413">
          <cell r="E13413">
            <v>0</v>
          </cell>
          <cell r="F13413">
            <v>0</v>
          </cell>
          <cell r="DN13413">
            <v>0</v>
          </cell>
        </row>
        <row r="13414">
          <cell r="E13414">
            <v>0</v>
          </cell>
          <cell r="F13414">
            <v>0</v>
          </cell>
          <cell r="DN13414">
            <v>0</v>
          </cell>
        </row>
        <row r="13415">
          <cell r="E13415">
            <v>0</v>
          </cell>
          <cell r="F13415">
            <v>0</v>
          </cell>
          <cell r="DN13415">
            <v>0</v>
          </cell>
        </row>
        <row r="13416">
          <cell r="E13416">
            <v>0</v>
          </cell>
          <cell r="F13416">
            <v>0</v>
          </cell>
          <cell r="DN13416">
            <v>0</v>
          </cell>
        </row>
        <row r="13417">
          <cell r="E13417">
            <v>0</v>
          </cell>
          <cell r="F13417">
            <v>0</v>
          </cell>
          <cell r="DN13417">
            <v>0</v>
          </cell>
        </row>
        <row r="13418">
          <cell r="E13418">
            <v>0</v>
          </cell>
          <cell r="F13418">
            <v>0</v>
          </cell>
          <cell r="DN13418">
            <v>0</v>
          </cell>
        </row>
        <row r="13419">
          <cell r="E13419">
            <v>0</v>
          </cell>
          <cell r="F13419">
            <v>0</v>
          </cell>
          <cell r="DN13419">
            <v>0</v>
          </cell>
        </row>
        <row r="13420">
          <cell r="E13420">
            <v>0</v>
          </cell>
          <cell r="F13420">
            <v>0</v>
          </cell>
          <cell r="DN13420">
            <v>0</v>
          </cell>
        </row>
        <row r="13421">
          <cell r="E13421">
            <v>0</v>
          </cell>
          <cell r="F13421">
            <v>0</v>
          </cell>
          <cell r="DN13421">
            <v>0</v>
          </cell>
        </row>
        <row r="13422">
          <cell r="E13422">
            <v>0</v>
          </cell>
          <cell r="F13422">
            <v>0</v>
          </cell>
          <cell r="DN13422">
            <v>0</v>
          </cell>
        </row>
        <row r="13423">
          <cell r="E13423">
            <v>0</v>
          </cell>
          <cell r="F13423">
            <v>0</v>
          </cell>
          <cell r="DN13423">
            <v>0</v>
          </cell>
        </row>
        <row r="13424">
          <cell r="E13424">
            <v>0</v>
          </cell>
          <cell r="F13424">
            <v>0</v>
          </cell>
          <cell r="DN13424">
            <v>0</v>
          </cell>
        </row>
        <row r="13425">
          <cell r="E13425">
            <v>0</v>
          </cell>
          <cell r="F13425">
            <v>0</v>
          </cell>
          <cell r="DN13425">
            <v>0</v>
          </cell>
        </row>
        <row r="13426">
          <cell r="E13426">
            <v>0</v>
          </cell>
          <cell r="F13426">
            <v>0</v>
          </cell>
          <cell r="DN13426">
            <v>0</v>
          </cell>
        </row>
        <row r="13427">
          <cell r="E13427">
            <v>0</v>
          </cell>
          <cell r="F13427">
            <v>0</v>
          </cell>
          <cell r="DN13427">
            <v>0</v>
          </cell>
        </row>
        <row r="13428">
          <cell r="E13428">
            <v>0</v>
          </cell>
          <cell r="F13428">
            <v>0</v>
          </cell>
          <cell r="DN13428">
            <v>0</v>
          </cell>
        </row>
        <row r="13429">
          <cell r="E13429">
            <v>0</v>
          </cell>
          <cell r="F13429">
            <v>0</v>
          </cell>
          <cell r="DN13429">
            <v>0</v>
          </cell>
        </row>
        <row r="13430">
          <cell r="E13430">
            <v>0</v>
          </cell>
          <cell r="F13430">
            <v>0</v>
          </cell>
          <cell r="DN13430">
            <v>0</v>
          </cell>
        </row>
        <row r="13431">
          <cell r="E13431">
            <v>0</v>
          </cell>
          <cell r="F13431">
            <v>0</v>
          </cell>
          <cell r="DN13431">
            <v>0</v>
          </cell>
        </row>
        <row r="13432">
          <cell r="E13432">
            <v>0</v>
          </cell>
          <cell r="F13432">
            <v>0</v>
          </cell>
          <cell r="DN13432">
            <v>0</v>
          </cell>
        </row>
        <row r="13433">
          <cell r="E13433">
            <v>0</v>
          </cell>
          <cell r="F13433">
            <v>0</v>
          </cell>
          <cell r="DN13433">
            <v>0</v>
          </cell>
        </row>
        <row r="13434">
          <cell r="E13434">
            <v>0</v>
          </cell>
          <cell r="F13434">
            <v>0</v>
          </cell>
          <cell r="DN13434">
            <v>0</v>
          </cell>
        </row>
        <row r="13435">
          <cell r="E13435">
            <v>0</v>
          </cell>
          <cell r="F13435">
            <v>0</v>
          </cell>
          <cell r="DN13435">
            <v>0</v>
          </cell>
        </row>
        <row r="13436">
          <cell r="E13436">
            <v>0</v>
          </cell>
          <cell r="F13436">
            <v>0</v>
          </cell>
          <cell r="DN13436">
            <v>0</v>
          </cell>
        </row>
        <row r="13437">
          <cell r="E13437">
            <v>0</v>
          </cell>
          <cell r="F13437">
            <v>0</v>
          </cell>
          <cell r="DN13437">
            <v>0</v>
          </cell>
        </row>
        <row r="13438">
          <cell r="E13438">
            <v>0</v>
          </cell>
          <cell r="F13438">
            <v>0</v>
          </cell>
          <cell r="DN13438">
            <v>0</v>
          </cell>
        </row>
        <row r="13439">
          <cell r="E13439">
            <v>0</v>
          </cell>
          <cell r="F13439">
            <v>0</v>
          </cell>
          <cell r="DN13439">
            <v>0</v>
          </cell>
        </row>
        <row r="13440">
          <cell r="E13440">
            <v>0</v>
          </cell>
          <cell r="F13440">
            <v>0</v>
          </cell>
          <cell r="DN13440">
            <v>0</v>
          </cell>
        </row>
        <row r="13441">
          <cell r="E13441">
            <v>0</v>
          </cell>
          <cell r="F13441">
            <v>0</v>
          </cell>
          <cell r="DN13441">
            <v>0</v>
          </cell>
        </row>
        <row r="13442">
          <cell r="E13442">
            <v>0</v>
          </cell>
          <cell r="F13442">
            <v>0</v>
          </cell>
          <cell r="DN13442">
            <v>0</v>
          </cell>
        </row>
        <row r="13443">
          <cell r="E13443">
            <v>0</v>
          </cell>
          <cell r="F13443">
            <v>0</v>
          </cell>
          <cell r="DN13443">
            <v>0</v>
          </cell>
        </row>
        <row r="13444">
          <cell r="E13444">
            <v>0</v>
          </cell>
          <cell r="F13444">
            <v>0</v>
          </cell>
          <cell r="DN13444">
            <v>0</v>
          </cell>
        </row>
        <row r="13445">
          <cell r="E13445">
            <v>0</v>
          </cell>
          <cell r="F13445">
            <v>0</v>
          </cell>
          <cell r="DN13445">
            <v>0</v>
          </cell>
        </row>
        <row r="13446">
          <cell r="E13446">
            <v>0</v>
          </cell>
          <cell r="F13446">
            <v>0</v>
          </cell>
          <cell r="DN13446">
            <v>0</v>
          </cell>
        </row>
        <row r="13447">
          <cell r="E13447">
            <v>0</v>
          </cell>
          <cell r="F13447">
            <v>0</v>
          </cell>
          <cell r="DN13447">
            <v>0</v>
          </cell>
        </row>
        <row r="13448">
          <cell r="E13448">
            <v>0</v>
          </cell>
          <cell r="F13448">
            <v>0</v>
          </cell>
          <cell r="DN13448">
            <v>0</v>
          </cell>
        </row>
        <row r="13449">
          <cell r="E13449">
            <v>0</v>
          </cell>
          <cell r="F13449">
            <v>0</v>
          </cell>
          <cell r="DN13449">
            <v>0</v>
          </cell>
        </row>
        <row r="13450">
          <cell r="E13450">
            <v>0</v>
          </cell>
          <cell r="F13450">
            <v>0</v>
          </cell>
          <cell r="DN13450">
            <v>0</v>
          </cell>
        </row>
        <row r="13451">
          <cell r="E13451">
            <v>0</v>
          </cell>
          <cell r="F13451">
            <v>0</v>
          </cell>
          <cell r="DN13451">
            <v>0</v>
          </cell>
        </row>
        <row r="13452">
          <cell r="E13452">
            <v>0</v>
          </cell>
          <cell r="F13452">
            <v>0</v>
          </cell>
          <cell r="DN13452">
            <v>0</v>
          </cell>
        </row>
        <row r="13453">
          <cell r="E13453">
            <v>0</v>
          </cell>
          <cell r="F13453">
            <v>0</v>
          </cell>
          <cell r="DN13453">
            <v>0</v>
          </cell>
        </row>
        <row r="13454">
          <cell r="E13454">
            <v>0</v>
          </cell>
          <cell r="F13454">
            <v>0</v>
          </cell>
          <cell r="DN13454">
            <v>0</v>
          </cell>
        </row>
        <row r="13455">
          <cell r="E13455">
            <v>0</v>
          </cell>
          <cell r="F13455">
            <v>0</v>
          </cell>
          <cell r="DN13455">
            <v>0</v>
          </cell>
        </row>
        <row r="13456">
          <cell r="E13456">
            <v>0</v>
          </cell>
          <cell r="F13456">
            <v>0</v>
          </cell>
          <cell r="DN13456">
            <v>0</v>
          </cell>
        </row>
        <row r="13457">
          <cell r="E13457">
            <v>0</v>
          </cell>
          <cell r="F13457">
            <v>0</v>
          </cell>
          <cell r="DN13457">
            <v>0</v>
          </cell>
        </row>
        <row r="13458">
          <cell r="E13458">
            <v>0</v>
          </cell>
          <cell r="F13458">
            <v>0</v>
          </cell>
          <cell r="DN13458">
            <v>0</v>
          </cell>
        </row>
        <row r="13459">
          <cell r="E13459">
            <v>0</v>
          </cell>
          <cell r="F13459">
            <v>0</v>
          </cell>
          <cell r="DN13459">
            <v>0</v>
          </cell>
        </row>
        <row r="13460">
          <cell r="E13460">
            <v>0</v>
          </cell>
          <cell r="F13460">
            <v>0</v>
          </cell>
          <cell r="DN13460">
            <v>0</v>
          </cell>
        </row>
        <row r="13461">
          <cell r="E13461">
            <v>0</v>
          </cell>
          <cell r="F13461">
            <v>0</v>
          </cell>
          <cell r="DN13461">
            <v>0</v>
          </cell>
        </row>
        <row r="13462">
          <cell r="E13462">
            <v>0</v>
          </cell>
          <cell r="F13462">
            <v>0</v>
          </cell>
          <cell r="DN13462">
            <v>0</v>
          </cell>
        </row>
        <row r="13463">
          <cell r="E13463">
            <v>0</v>
          </cell>
          <cell r="F13463">
            <v>0</v>
          </cell>
          <cell r="DN13463">
            <v>0</v>
          </cell>
        </row>
        <row r="13464">
          <cell r="E13464">
            <v>0</v>
          </cell>
          <cell r="F13464">
            <v>0</v>
          </cell>
          <cell r="DN13464">
            <v>0</v>
          </cell>
        </row>
        <row r="13465">
          <cell r="E13465">
            <v>0</v>
          </cell>
          <cell r="F13465">
            <v>0</v>
          </cell>
          <cell r="DN13465">
            <v>0</v>
          </cell>
        </row>
        <row r="13466">
          <cell r="E13466">
            <v>0</v>
          </cell>
          <cell r="F13466">
            <v>0</v>
          </cell>
          <cell r="DN13466">
            <v>0</v>
          </cell>
        </row>
        <row r="13467">
          <cell r="E13467">
            <v>0</v>
          </cell>
          <cell r="F13467">
            <v>0</v>
          </cell>
          <cell r="DN13467">
            <v>0</v>
          </cell>
        </row>
        <row r="13468">
          <cell r="E13468">
            <v>0</v>
          </cell>
          <cell r="F13468">
            <v>0</v>
          </cell>
          <cell r="DN13468">
            <v>0</v>
          </cell>
        </row>
        <row r="13469">
          <cell r="E13469">
            <v>0</v>
          </cell>
          <cell r="F13469">
            <v>0</v>
          </cell>
          <cell r="DN13469">
            <v>0</v>
          </cell>
        </row>
        <row r="13470">
          <cell r="E13470">
            <v>0</v>
          </cell>
          <cell r="F13470">
            <v>0</v>
          </cell>
          <cell r="DN13470">
            <v>0</v>
          </cell>
        </row>
        <row r="13471">
          <cell r="E13471">
            <v>0</v>
          </cell>
          <cell r="F13471">
            <v>0</v>
          </cell>
          <cell r="DN13471">
            <v>0</v>
          </cell>
        </row>
        <row r="13472">
          <cell r="E13472">
            <v>0</v>
          </cell>
          <cell r="F13472">
            <v>0</v>
          </cell>
          <cell r="DN13472">
            <v>0</v>
          </cell>
        </row>
        <row r="13473">
          <cell r="E13473">
            <v>0</v>
          </cell>
          <cell r="F13473">
            <v>0</v>
          </cell>
          <cell r="DN13473">
            <v>0</v>
          </cell>
        </row>
        <row r="13474">
          <cell r="E13474">
            <v>0</v>
          </cell>
          <cell r="F13474">
            <v>0</v>
          </cell>
          <cell r="DN13474">
            <v>0</v>
          </cell>
        </row>
        <row r="13475">
          <cell r="E13475">
            <v>0</v>
          </cell>
          <cell r="F13475">
            <v>0</v>
          </cell>
          <cell r="DN13475">
            <v>0</v>
          </cell>
        </row>
        <row r="13476">
          <cell r="E13476">
            <v>0</v>
          </cell>
          <cell r="F13476">
            <v>0</v>
          </cell>
          <cell r="DN13476">
            <v>0</v>
          </cell>
        </row>
        <row r="13477">
          <cell r="E13477">
            <v>0</v>
          </cell>
          <cell r="F13477">
            <v>0</v>
          </cell>
          <cell r="DN13477">
            <v>0</v>
          </cell>
        </row>
        <row r="13478">
          <cell r="E13478">
            <v>0</v>
          </cell>
          <cell r="F13478">
            <v>0</v>
          </cell>
          <cell r="DN13478">
            <v>0</v>
          </cell>
        </row>
        <row r="13479">
          <cell r="E13479">
            <v>0</v>
          </cell>
          <cell r="F13479">
            <v>0</v>
          </cell>
          <cell r="DN13479">
            <v>0</v>
          </cell>
        </row>
        <row r="13480">
          <cell r="E13480">
            <v>0</v>
          </cell>
          <cell r="F13480">
            <v>0</v>
          </cell>
          <cell r="DN13480">
            <v>0</v>
          </cell>
        </row>
        <row r="13481">
          <cell r="E13481">
            <v>0</v>
          </cell>
          <cell r="F13481">
            <v>0</v>
          </cell>
          <cell r="DN13481">
            <v>0</v>
          </cell>
        </row>
        <row r="13482">
          <cell r="E13482">
            <v>0</v>
          </cell>
          <cell r="F13482">
            <v>0</v>
          </cell>
          <cell r="DN13482">
            <v>0</v>
          </cell>
        </row>
        <row r="13483">
          <cell r="E13483">
            <v>0</v>
          </cell>
          <cell r="F13483">
            <v>0</v>
          </cell>
          <cell r="DN13483">
            <v>0</v>
          </cell>
        </row>
        <row r="13484">
          <cell r="E13484">
            <v>0</v>
          </cell>
          <cell r="F13484">
            <v>0</v>
          </cell>
          <cell r="DN13484">
            <v>0</v>
          </cell>
        </row>
        <row r="13485">
          <cell r="E13485">
            <v>0</v>
          </cell>
          <cell r="F13485">
            <v>0</v>
          </cell>
          <cell r="DN13485">
            <v>0</v>
          </cell>
        </row>
        <row r="13486">
          <cell r="E13486">
            <v>0</v>
          </cell>
          <cell r="F13486">
            <v>0</v>
          </cell>
          <cell r="DN13486">
            <v>0</v>
          </cell>
        </row>
        <row r="13487">
          <cell r="E13487">
            <v>0</v>
          </cell>
          <cell r="F13487">
            <v>0</v>
          </cell>
          <cell r="DN13487">
            <v>0</v>
          </cell>
        </row>
        <row r="13488">
          <cell r="E13488">
            <v>0</v>
          </cell>
          <cell r="F13488">
            <v>0</v>
          </cell>
          <cell r="DN13488">
            <v>0</v>
          </cell>
        </row>
        <row r="13489">
          <cell r="E13489">
            <v>0</v>
          </cell>
          <cell r="F13489">
            <v>0</v>
          </cell>
          <cell r="DN13489">
            <v>0</v>
          </cell>
        </row>
        <row r="13490">
          <cell r="E13490">
            <v>0</v>
          </cell>
          <cell r="F13490">
            <v>0</v>
          </cell>
          <cell r="DN13490">
            <v>0</v>
          </cell>
        </row>
        <row r="13491">
          <cell r="E13491">
            <v>0</v>
          </cell>
          <cell r="F13491">
            <v>0</v>
          </cell>
          <cell r="DN13491">
            <v>0</v>
          </cell>
        </row>
        <row r="13492">
          <cell r="E13492">
            <v>0</v>
          </cell>
          <cell r="F13492">
            <v>0</v>
          </cell>
          <cell r="DN13492">
            <v>0</v>
          </cell>
        </row>
        <row r="13493">
          <cell r="E13493">
            <v>0</v>
          </cell>
          <cell r="F13493">
            <v>0</v>
          </cell>
          <cell r="DN13493">
            <v>0</v>
          </cell>
        </row>
        <row r="13494">
          <cell r="E13494">
            <v>0</v>
          </cell>
          <cell r="F13494">
            <v>0</v>
          </cell>
          <cell r="DN13494">
            <v>0</v>
          </cell>
        </row>
        <row r="13495">
          <cell r="E13495">
            <v>0</v>
          </cell>
          <cell r="F13495">
            <v>0</v>
          </cell>
          <cell r="DN13495">
            <v>0</v>
          </cell>
        </row>
        <row r="13496">
          <cell r="E13496">
            <v>0</v>
          </cell>
          <cell r="F13496">
            <v>0</v>
          </cell>
          <cell r="DN13496">
            <v>0</v>
          </cell>
        </row>
        <row r="13497">
          <cell r="E13497">
            <v>0</v>
          </cell>
          <cell r="F13497">
            <v>0</v>
          </cell>
          <cell r="DN13497">
            <v>0</v>
          </cell>
        </row>
        <row r="13498">
          <cell r="E13498">
            <v>0</v>
          </cell>
          <cell r="F13498">
            <v>0</v>
          </cell>
          <cell r="DN13498">
            <v>0</v>
          </cell>
        </row>
        <row r="13499">
          <cell r="E13499">
            <v>0</v>
          </cell>
          <cell r="F13499">
            <v>0</v>
          </cell>
          <cell r="DN13499">
            <v>0</v>
          </cell>
        </row>
        <row r="13500">
          <cell r="E13500">
            <v>0</v>
          </cell>
          <cell r="F13500">
            <v>0</v>
          </cell>
          <cell r="DN13500">
            <v>0</v>
          </cell>
        </row>
        <row r="13501">
          <cell r="E13501">
            <v>0</v>
          </cell>
          <cell r="F13501">
            <v>0</v>
          </cell>
          <cell r="DN13501">
            <v>0</v>
          </cell>
        </row>
        <row r="13502">
          <cell r="E13502">
            <v>0</v>
          </cell>
          <cell r="F13502">
            <v>0</v>
          </cell>
          <cell r="DN13502">
            <v>0</v>
          </cell>
        </row>
        <row r="13503">
          <cell r="E13503">
            <v>0</v>
          </cell>
          <cell r="F13503">
            <v>0</v>
          </cell>
          <cell r="DN13503">
            <v>0</v>
          </cell>
        </row>
        <row r="13504">
          <cell r="E13504">
            <v>0</v>
          </cell>
          <cell r="F13504">
            <v>0</v>
          </cell>
          <cell r="DN13504">
            <v>0</v>
          </cell>
        </row>
        <row r="13505">
          <cell r="E13505">
            <v>0</v>
          </cell>
          <cell r="F13505">
            <v>0</v>
          </cell>
          <cell r="DN13505">
            <v>0</v>
          </cell>
        </row>
        <row r="13506">
          <cell r="E13506">
            <v>0</v>
          </cell>
          <cell r="F13506">
            <v>0</v>
          </cell>
          <cell r="DN13506">
            <v>0</v>
          </cell>
        </row>
        <row r="13507">
          <cell r="E13507">
            <v>0</v>
          </cell>
          <cell r="F13507">
            <v>0</v>
          </cell>
          <cell r="DN13507">
            <v>0</v>
          </cell>
        </row>
        <row r="13508">
          <cell r="E13508">
            <v>0</v>
          </cell>
          <cell r="F13508">
            <v>0</v>
          </cell>
          <cell r="DN13508">
            <v>0</v>
          </cell>
        </row>
        <row r="13509">
          <cell r="E13509">
            <v>0</v>
          </cell>
          <cell r="F13509">
            <v>0</v>
          </cell>
          <cell r="DN13509">
            <v>0</v>
          </cell>
        </row>
        <row r="13510">
          <cell r="E13510">
            <v>0</v>
          </cell>
          <cell r="F13510">
            <v>0</v>
          </cell>
          <cell r="DN13510">
            <v>0</v>
          </cell>
        </row>
        <row r="13511">
          <cell r="E13511">
            <v>0</v>
          </cell>
          <cell r="F13511">
            <v>0</v>
          </cell>
          <cell r="DN13511">
            <v>0</v>
          </cell>
        </row>
        <row r="13512">
          <cell r="E13512">
            <v>0</v>
          </cell>
          <cell r="F13512">
            <v>0</v>
          </cell>
          <cell r="DN13512">
            <v>0</v>
          </cell>
        </row>
        <row r="13513">
          <cell r="E13513">
            <v>0</v>
          </cell>
          <cell r="F13513">
            <v>0</v>
          </cell>
          <cell r="DN13513">
            <v>0</v>
          </cell>
        </row>
        <row r="13514">
          <cell r="E13514">
            <v>0</v>
          </cell>
          <cell r="F13514">
            <v>0</v>
          </cell>
          <cell r="DN13514">
            <v>0</v>
          </cell>
        </row>
        <row r="13515">
          <cell r="E13515">
            <v>0</v>
          </cell>
          <cell r="F13515">
            <v>0</v>
          </cell>
          <cell r="DN13515">
            <v>0</v>
          </cell>
        </row>
        <row r="13516">
          <cell r="E13516">
            <v>0</v>
          </cell>
          <cell r="F13516">
            <v>0</v>
          </cell>
          <cell r="DN13516">
            <v>0</v>
          </cell>
        </row>
        <row r="13517">
          <cell r="E13517">
            <v>0</v>
          </cell>
          <cell r="F13517">
            <v>0</v>
          </cell>
          <cell r="DN13517">
            <v>0</v>
          </cell>
        </row>
        <row r="13518">
          <cell r="E13518">
            <v>0</v>
          </cell>
          <cell r="F13518">
            <v>0</v>
          </cell>
          <cell r="DN13518">
            <v>0</v>
          </cell>
        </row>
        <row r="13519">
          <cell r="E13519">
            <v>0</v>
          </cell>
          <cell r="F13519">
            <v>0</v>
          </cell>
          <cell r="DN13519">
            <v>0</v>
          </cell>
        </row>
        <row r="13520">
          <cell r="E13520">
            <v>0</v>
          </cell>
          <cell r="F13520">
            <v>0</v>
          </cell>
          <cell r="DN13520">
            <v>0</v>
          </cell>
        </row>
        <row r="13521">
          <cell r="E13521">
            <v>0</v>
          </cell>
          <cell r="F13521">
            <v>0</v>
          </cell>
          <cell r="DN13521">
            <v>0</v>
          </cell>
        </row>
        <row r="13522">
          <cell r="E13522">
            <v>0</v>
          </cell>
          <cell r="F13522">
            <v>0</v>
          </cell>
          <cell r="DN13522">
            <v>0</v>
          </cell>
        </row>
        <row r="13523">
          <cell r="E13523">
            <v>0</v>
          </cell>
          <cell r="F13523">
            <v>0</v>
          </cell>
          <cell r="DN13523">
            <v>0</v>
          </cell>
        </row>
        <row r="13524">
          <cell r="E13524">
            <v>0</v>
          </cell>
          <cell r="F13524">
            <v>0</v>
          </cell>
          <cell r="DN13524">
            <v>0</v>
          </cell>
        </row>
        <row r="13525">
          <cell r="E13525">
            <v>0</v>
          </cell>
          <cell r="F13525">
            <v>0</v>
          </cell>
          <cell r="DN13525">
            <v>0</v>
          </cell>
        </row>
        <row r="13526">
          <cell r="E13526">
            <v>0</v>
          </cell>
          <cell r="F13526">
            <v>0</v>
          </cell>
          <cell r="DN13526">
            <v>0</v>
          </cell>
        </row>
        <row r="13527">
          <cell r="E13527">
            <v>0</v>
          </cell>
          <cell r="F13527">
            <v>0</v>
          </cell>
          <cell r="DN13527">
            <v>0</v>
          </cell>
        </row>
        <row r="13528">
          <cell r="E13528">
            <v>0</v>
          </cell>
          <cell r="F13528">
            <v>0</v>
          </cell>
          <cell r="DN13528">
            <v>0</v>
          </cell>
        </row>
        <row r="13529">
          <cell r="E13529">
            <v>0</v>
          </cell>
          <cell r="F13529">
            <v>0</v>
          </cell>
          <cell r="DN13529">
            <v>0</v>
          </cell>
        </row>
        <row r="13530">
          <cell r="E13530">
            <v>0</v>
          </cell>
          <cell r="F13530">
            <v>0</v>
          </cell>
          <cell r="DN13530">
            <v>0</v>
          </cell>
        </row>
        <row r="13531">
          <cell r="E13531">
            <v>0</v>
          </cell>
          <cell r="F13531">
            <v>0</v>
          </cell>
          <cell r="DN13531">
            <v>0</v>
          </cell>
        </row>
        <row r="13532">
          <cell r="E13532">
            <v>0</v>
          </cell>
          <cell r="F13532">
            <v>0</v>
          </cell>
          <cell r="DN13532">
            <v>0</v>
          </cell>
        </row>
        <row r="13533">
          <cell r="E13533">
            <v>0</v>
          </cell>
          <cell r="F13533">
            <v>0</v>
          </cell>
          <cell r="DN13533">
            <v>0</v>
          </cell>
        </row>
        <row r="13534">
          <cell r="E13534">
            <v>0</v>
          </cell>
          <cell r="F13534">
            <v>0</v>
          </cell>
          <cell r="DN13534">
            <v>0</v>
          </cell>
        </row>
        <row r="13535">
          <cell r="E13535">
            <v>0</v>
          </cell>
          <cell r="F13535">
            <v>0</v>
          </cell>
          <cell r="DN13535">
            <v>0</v>
          </cell>
        </row>
        <row r="13536">
          <cell r="E13536">
            <v>0</v>
          </cell>
          <cell r="F13536">
            <v>0</v>
          </cell>
          <cell r="DN13536">
            <v>0</v>
          </cell>
        </row>
        <row r="13537">
          <cell r="E13537">
            <v>0</v>
          </cell>
          <cell r="F13537">
            <v>0</v>
          </cell>
          <cell r="DN13537">
            <v>0</v>
          </cell>
        </row>
        <row r="13538">
          <cell r="E13538">
            <v>0</v>
          </cell>
          <cell r="F13538">
            <v>0</v>
          </cell>
          <cell r="DN13538">
            <v>0</v>
          </cell>
        </row>
        <row r="13539">
          <cell r="E13539">
            <v>0</v>
          </cell>
          <cell r="F13539">
            <v>0</v>
          </cell>
          <cell r="DN13539">
            <v>0</v>
          </cell>
        </row>
        <row r="13540">
          <cell r="E13540">
            <v>0</v>
          </cell>
          <cell r="F13540">
            <v>0</v>
          </cell>
          <cell r="DN13540">
            <v>0</v>
          </cell>
        </row>
        <row r="13541">
          <cell r="E13541">
            <v>0</v>
          </cell>
          <cell r="F13541">
            <v>0</v>
          </cell>
          <cell r="DN13541">
            <v>0</v>
          </cell>
        </row>
        <row r="13542">
          <cell r="E13542">
            <v>0</v>
          </cell>
          <cell r="F13542">
            <v>0</v>
          </cell>
          <cell r="DN13542">
            <v>0</v>
          </cell>
        </row>
        <row r="13543">
          <cell r="E13543">
            <v>0</v>
          </cell>
          <cell r="F13543">
            <v>0</v>
          </cell>
          <cell r="DN13543">
            <v>0</v>
          </cell>
        </row>
        <row r="13544">
          <cell r="E13544">
            <v>0</v>
          </cell>
          <cell r="F13544">
            <v>0</v>
          </cell>
          <cell r="DN13544">
            <v>0</v>
          </cell>
        </row>
        <row r="13545">
          <cell r="E13545">
            <v>0</v>
          </cell>
          <cell r="F13545">
            <v>0</v>
          </cell>
          <cell r="DN13545">
            <v>0</v>
          </cell>
        </row>
        <row r="13546">
          <cell r="E13546">
            <v>0</v>
          </cell>
          <cell r="F13546">
            <v>0</v>
          </cell>
          <cell r="DN13546">
            <v>0</v>
          </cell>
        </row>
        <row r="13547">
          <cell r="E13547">
            <v>0</v>
          </cell>
          <cell r="F13547">
            <v>0</v>
          </cell>
          <cell r="DN13547">
            <v>0</v>
          </cell>
        </row>
        <row r="13548">
          <cell r="E13548">
            <v>0</v>
          </cell>
          <cell r="F13548">
            <v>0</v>
          </cell>
          <cell r="DN13548">
            <v>0</v>
          </cell>
        </row>
        <row r="13549">
          <cell r="E13549">
            <v>0</v>
          </cell>
          <cell r="F13549">
            <v>0</v>
          </cell>
          <cell r="DN13549">
            <v>0</v>
          </cell>
        </row>
        <row r="13550">
          <cell r="E13550">
            <v>0</v>
          </cell>
          <cell r="F13550">
            <v>0</v>
          </cell>
          <cell r="DN13550">
            <v>0</v>
          </cell>
        </row>
        <row r="13551">
          <cell r="E13551">
            <v>0</v>
          </cell>
          <cell r="F13551">
            <v>0</v>
          </cell>
          <cell r="DN13551">
            <v>0</v>
          </cell>
        </row>
        <row r="13552">
          <cell r="E13552">
            <v>0</v>
          </cell>
          <cell r="F13552">
            <v>0</v>
          </cell>
          <cell r="DN13552">
            <v>0</v>
          </cell>
        </row>
        <row r="13553">
          <cell r="E13553">
            <v>0</v>
          </cell>
          <cell r="F13553">
            <v>0</v>
          </cell>
          <cell r="DN13553">
            <v>0</v>
          </cell>
        </row>
        <row r="13554">
          <cell r="E13554">
            <v>0</v>
          </cell>
          <cell r="F13554">
            <v>0</v>
          </cell>
          <cell r="DN13554">
            <v>0</v>
          </cell>
        </row>
        <row r="13555">
          <cell r="E13555">
            <v>0</v>
          </cell>
          <cell r="F13555">
            <v>0</v>
          </cell>
          <cell r="DN13555">
            <v>0</v>
          </cell>
        </row>
        <row r="13556">
          <cell r="E13556">
            <v>0</v>
          </cell>
          <cell r="F13556">
            <v>0</v>
          </cell>
          <cell r="DN13556">
            <v>0</v>
          </cell>
        </row>
        <row r="13557">
          <cell r="E13557">
            <v>0</v>
          </cell>
          <cell r="F13557">
            <v>0</v>
          </cell>
          <cell r="DN13557">
            <v>0</v>
          </cell>
        </row>
        <row r="13558">
          <cell r="E13558">
            <v>0</v>
          </cell>
          <cell r="F13558">
            <v>0</v>
          </cell>
          <cell r="DN13558">
            <v>0</v>
          </cell>
        </row>
        <row r="13559">
          <cell r="E13559">
            <v>0</v>
          </cell>
          <cell r="F13559">
            <v>0</v>
          </cell>
          <cell r="DN13559">
            <v>0</v>
          </cell>
        </row>
        <row r="13560">
          <cell r="E13560">
            <v>0</v>
          </cell>
          <cell r="F13560">
            <v>0</v>
          </cell>
          <cell r="DN13560">
            <v>0</v>
          </cell>
        </row>
        <row r="13561">
          <cell r="E13561">
            <v>0</v>
          </cell>
          <cell r="F13561">
            <v>0</v>
          </cell>
          <cell r="DN13561">
            <v>0</v>
          </cell>
        </row>
        <row r="13562">
          <cell r="E13562">
            <v>0</v>
          </cell>
          <cell r="F13562">
            <v>0</v>
          </cell>
          <cell r="DN13562">
            <v>0</v>
          </cell>
        </row>
        <row r="13563">
          <cell r="E13563">
            <v>0</v>
          </cell>
          <cell r="F13563">
            <v>0</v>
          </cell>
          <cell r="DN13563">
            <v>0</v>
          </cell>
        </row>
        <row r="13564">
          <cell r="E13564">
            <v>0</v>
          </cell>
          <cell r="F13564">
            <v>0</v>
          </cell>
          <cell r="DN13564">
            <v>0</v>
          </cell>
        </row>
        <row r="13565">
          <cell r="E13565">
            <v>0</v>
          </cell>
          <cell r="F13565">
            <v>0</v>
          </cell>
          <cell r="DN13565">
            <v>0</v>
          </cell>
        </row>
        <row r="13566">
          <cell r="E13566">
            <v>0</v>
          </cell>
          <cell r="F13566">
            <v>0</v>
          </cell>
          <cell r="DN13566">
            <v>0</v>
          </cell>
        </row>
        <row r="13567">
          <cell r="E13567">
            <v>0</v>
          </cell>
          <cell r="F13567">
            <v>0</v>
          </cell>
          <cell r="DN13567">
            <v>0</v>
          </cell>
        </row>
        <row r="13568">
          <cell r="E13568">
            <v>0</v>
          </cell>
          <cell r="F13568">
            <v>0</v>
          </cell>
          <cell r="DN13568">
            <v>0</v>
          </cell>
        </row>
        <row r="13569">
          <cell r="E13569">
            <v>0</v>
          </cell>
          <cell r="F13569">
            <v>0</v>
          </cell>
          <cell r="DN13569">
            <v>0</v>
          </cell>
        </row>
        <row r="13570">
          <cell r="E13570">
            <v>0</v>
          </cell>
          <cell r="F13570">
            <v>0</v>
          </cell>
          <cell r="DN13570">
            <v>0</v>
          </cell>
        </row>
        <row r="13571">
          <cell r="E13571">
            <v>0</v>
          </cell>
          <cell r="F13571">
            <v>0</v>
          </cell>
          <cell r="DN13571">
            <v>0</v>
          </cell>
        </row>
        <row r="13572">
          <cell r="E13572">
            <v>0</v>
          </cell>
          <cell r="F13572">
            <v>0</v>
          </cell>
          <cell r="DN13572">
            <v>0</v>
          </cell>
        </row>
        <row r="13573">
          <cell r="E13573">
            <v>0</v>
          </cell>
          <cell r="F13573">
            <v>0</v>
          </cell>
          <cell r="DN13573">
            <v>0</v>
          </cell>
        </row>
        <row r="13574">
          <cell r="E13574">
            <v>0</v>
          </cell>
          <cell r="F13574">
            <v>0</v>
          </cell>
          <cell r="DN13574">
            <v>0</v>
          </cell>
        </row>
        <row r="13575">
          <cell r="E13575">
            <v>0</v>
          </cell>
          <cell r="F13575">
            <v>0</v>
          </cell>
          <cell r="DN13575">
            <v>0</v>
          </cell>
        </row>
        <row r="13576">
          <cell r="E13576">
            <v>0</v>
          </cell>
          <cell r="F13576">
            <v>0</v>
          </cell>
          <cell r="DN13576">
            <v>0</v>
          </cell>
        </row>
        <row r="13577">
          <cell r="E13577">
            <v>0</v>
          </cell>
          <cell r="F13577">
            <v>0</v>
          </cell>
          <cell r="DN13577">
            <v>0</v>
          </cell>
        </row>
        <row r="13578">
          <cell r="E13578">
            <v>0</v>
          </cell>
          <cell r="F13578">
            <v>0</v>
          </cell>
          <cell r="DN13578">
            <v>0</v>
          </cell>
        </row>
        <row r="13579">
          <cell r="E13579">
            <v>0</v>
          </cell>
          <cell r="F13579">
            <v>0</v>
          </cell>
          <cell r="DN13579">
            <v>0</v>
          </cell>
        </row>
        <row r="13580">
          <cell r="E13580">
            <v>0</v>
          </cell>
          <cell r="F13580">
            <v>0</v>
          </cell>
          <cell r="DN13580">
            <v>0</v>
          </cell>
        </row>
        <row r="13581">
          <cell r="E13581">
            <v>0</v>
          </cell>
          <cell r="F13581">
            <v>0</v>
          </cell>
          <cell r="DN13581">
            <v>0</v>
          </cell>
        </row>
        <row r="13582">
          <cell r="E13582">
            <v>0</v>
          </cell>
          <cell r="F13582">
            <v>0</v>
          </cell>
          <cell r="DN13582">
            <v>0</v>
          </cell>
        </row>
        <row r="13583">
          <cell r="E13583">
            <v>0</v>
          </cell>
          <cell r="F13583">
            <v>0</v>
          </cell>
          <cell r="DN13583">
            <v>0</v>
          </cell>
        </row>
        <row r="13584">
          <cell r="E13584">
            <v>0</v>
          </cell>
          <cell r="F13584">
            <v>0</v>
          </cell>
          <cell r="DN13584">
            <v>0</v>
          </cell>
        </row>
        <row r="13585">
          <cell r="E13585">
            <v>0</v>
          </cell>
          <cell r="F13585">
            <v>0</v>
          </cell>
          <cell r="DN13585">
            <v>0</v>
          </cell>
        </row>
        <row r="13586">
          <cell r="E13586">
            <v>0</v>
          </cell>
          <cell r="F13586">
            <v>0</v>
          </cell>
          <cell r="DN13586">
            <v>0</v>
          </cell>
        </row>
        <row r="13587">
          <cell r="E13587">
            <v>0</v>
          </cell>
          <cell r="F13587">
            <v>0</v>
          </cell>
          <cell r="DN13587">
            <v>0</v>
          </cell>
        </row>
        <row r="13588">
          <cell r="E13588">
            <v>0</v>
          </cell>
          <cell r="F13588">
            <v>0</v>
          </cell>
          <cell r="DN13588">
            <v>0</v>
          </cell>
        </row>
        <row r="13589">
          <cell r="E13589">
            <v>0</v>
          </cell>
          <cell r="F13589">
            <v>0</v>
          </cell>
          <cell r="DN13589">
            <v>0</v>
          </cell>
        </row>
        <row r="13590">
          <cell r="E13590">
            <v>0</v>
          </cell>
          <cell r="F13590">
            <v>0</v>
          </cell>
          <cell r="DN13590">
            <v>0</v>
          </cell>
        </row>
        <row r="13591">
          <cell r="E13591">
            <v>0</v>
          </cell>
          <cell r="F13591">
            <v>0</v>
          </cell>
          <cell r="DN13591">
            <v>0</v>
          </cell>
        </row>
        <row r="13592">
          <cell r="E13592">
            <v>0</v>
          </cell>
          <cell r="F13592">
            <v>0</v>
          </cell>
          <cell r="DN13592">
            <v>0</v>
          </cell>
        </row>
        <row r="13593">
          <cell r="E13593">
            <v>0</v>
          </cell>
          <cell r="F13593">
            <v>0</v>
          </cell>
          <cell r="DN13593">
            <v>0</v>
          </cell>
        </row>
        <row r="13594">
          <cell r="E13594">
            <v>0</v>
          </cell>
          <cell r="F13594">
            <v>0</v>
          </cell>
          <cell r="DN13594">
            <v>0</v>
          </cell>
        </row>
        <row r="13595">
          <cell r="E13595">
            <v>0</v>
          </cell>
          <cell r="F13595">
            <v>0</v>
          </cell>
          <cell r="DN13595">
            <v>0</v>
          </cell>
        </row>
        <row r="13596">
          <cell r="E13596">
            <v>0</v>
          </cell>
          <cell r="F13596">
            <v>0</v>
          </cell>
          <cell r="DN13596">
            <v>0</v>
          </cell>
        </row>
        <row r="13597">
          <cell r="E13597">
            <v>0</v>
          </cell>
          <cell r="F13597">
            <v>0</v>
          </cell>
          <cell r="DN13597">
            <v>0</v>
          </cell>
        </row>
        <row r="13598">
          <cell r="E13598">
            <v>0</v>
          </cell>
          <cell r="F13598">
            <v>0</v>
          </cell>
          <cell r="DN13598">
            <v>0</v>
          </cell>
        </row>
        <row r="13599">
          <cell r="E13599">
            <v>0</v>
          </cell>
          <cell r="F13599">
            <v>0</v>
          </cell>
          <cell r="DN13599">
            <v>0</v>
          </cell>
        </row>
        <row r="13600">
          <cell r="E13600">
            <v>0</v>
          </cell>
          <cell r="F13600">
            <v>0</v>
          </cell>
          <cell r="DN13600">
            <v>0</v>
          </cell>
        </row>
        <row r="13601">
          <cell r="E13601">
            <v>0</v>
          </cell>
          <cell r="F13601">
            <v>0</v>
          </cell>
          <cell r="DN13601">
            <v>0</v>
          </cell>
        </row>
        <row r="13602">
          <cell r="E13602">
            <v>0</v>
          </cell>
          <cell r="F13602">
            <v>0</v>
          </cell>
          <cell r="DN13602">
            <v>0</v>
          </cell>
        </row>
        <row r="13603">
          <cell r="E13603">
            <v>0</v>
          </cell>
          <cell r="F13603">
            <v>0</v>
          </cell>
          <cell r="DN13603">
            <v>0</v>
          </cell>
        </row>
        <row r="13604">
          <cell r="E13604">
            <v>0</v>
          </cell>
          <cell r="F13604">
            <v>0</v>
          </cell>
          <cell r="DN13604">
            <v>0</v>
          </cell>
        </row>
        <row r="13605">
          <cell r="E13605">
            <v>0</v>
          </cell>
          <cell r="F13605">
            <v>0</v>
          </cell>
          <cell r="DN13605">
            <v>0</v>
          </cell>
        </row>
        <row r="13606">
          <cell r="E13606">
            <v>0</v>
          </cell>
          <cell r="F13606">
            <v>0</v>
          </cell>
          <cell r="DN13606">
            <v>0</v>
          </cell>
        </row>
        <row r="13607">
          <cell r="E13607">
            <v>0</v>
          </cell>
          <cell r="F13607">
            <v>0</v>
          </cell>
          <cell r="DN13607">
            <v>0</v>
          </cell>
        </row>
        <row r="13608">
          <cell r="E13608">
            <v>0</v>
          </cell>
          <cell r="F13608">
            <v>0</v>
          </cell>
          <cell r="DN13608">
            <v>0</v>
          </cell>
        </row>
        <row r="13609">
          <cell r="E13609">
            <v>0</v>
          </cell>
          <cell r="F13609">
            <v>0</v>
          </cell>
          <cell r="DN13609">
            <v>0</v>
          </cell>
        </row>
        <row r="13610">
          <cell r="E13610">
            <v>0</v>
          </cell>
          <cell r="F13610">
            <v>0</v>
          </cell>
          <cell r="DN13610">
            <v>0</v>
          </cell>
        </row>
        <row r="13611">
          <cell r="E13611">
            <v>0</v>
          </cell>
          <cell r="F13611">
            <v>0</v>
          </cell>
          <cell r="DN13611">
            <v>0</v>
          </cell>
        </row>
        <row r="13612">
          <cell r="E13612">
            <v>0</v>
          </cell>
          <cell r="F13612">
            <v>0</v>
          </cell>
          <cell r="DN13612">
            <v>0</v>
          </cell>
        </row>
        <row r="13613">
          <cell r="E13613">
            <v>0</v>
          </cell>
          <cell r="F13613">
            <v>0</v>
          </cell>
          <cell r="DN13613">
            <v>0</v>
          </cell>
        </row>
        <row r="13614">
          <cell r="E13614">
            <v>0</v>
          </cell>
          <cell r="F13614">
            <v>0</v>
          </cell>
          <cell r="DN13614">
            <v>0</v>
          </cell>
        </row>
        <row r="13615">
          <cell r="E13615">
            <v>0</v>
          </cell>
          <cell r="F13615">
            <v>0</v>
          </cell>
          <cell r="DN13615">
            <v>0</v>
          </cell>
        </row>
        <row r="13616">
          <cell r="E13616">
            <v>0</v>
          </cell>
          <cell r="F13616">
            <v>0</v>
          </cell>
          <cell r="DN13616">
            <v>0</v>
          </cell>
        </row>
        <row r="13617">
          <cell r="E13617">
            <v>0</v>
          </cell>
          <cell r="F13617">
            <v>0</v>
          </cell>
          <cell r="DN13617">
            <v>0</v>
          </cell>
        </row>
        <row r="13618">
          <cell r="E13618">
            <v>0</v>
          </cell>
          <cell r="F13618">
            <v>0</v>
          </cell>
          <cell r="DN13618">
            <v>0</v>
          </cell>
        </row>
        <row r="13619">
          <cell r="E13619">
            <v>0</v>
          </cell>
          <cell r="F13619">
            <v>0</v>
          </cell>
          <cell r="DN13619">
            <v>0</v>
          </cell>
        </row>
        <row r="13620">
          <cell r="E13620">
            <v>0</v>
          </cell>
          <cell r="F13620">
            <v>0</v>
          </cell>
          <cell r="DN13620">
            <v>0</v>
          </cell>
        </row>
        <row r="13621">
          <cell r="E13621">
            <v>0</v>
          </cell>
          <cell r="F13621">
            <v>0</v>
          </cell>
          <cell r="DN13621">
            <v>0</v>
          </cell>
        </row>
        <row r="13622">
          <cell r="E13622">
            <v>0</v>
          </cell>
          <cell r="F13622">
            <v>0</v>
          </cell>
          <cell r="DN13622">
            <v>0</v>
          </cell>
        </row>
        <row r="13623">
          <cell r="E13623">
            <v>0</v>
          </cell>
          <cell r="F13623">
            <v>0</v>
          </cell>
          <cell r="DN13623">
            <v>0</v>
          </cell>
        </row>
        <row r="13624">
          <cell r="E13624">
            <v>0</v>
          </cell>
          <cell r="F13624">
            <v>0</v>
          </cell>
          <cell r="DN13624">
            <v>0</v>
          </cell>
        </row>
        <row r="13625">
          <cell r="E13625">
            <v>0</v>
          </cell>
          <cell r="F13625">
            <v>0</v>
          </cell>
          <cell r="DN13625">
            <v>0</v>
          </cell>
        </row>
        <row r="13626">
          <cell r="E13626">
            <v>0</v>
          </cell>
          <cell r="F13626">
            <v>0</v>
          </cell>
          <cell r="DN13626">
            <v>0</v>
          </cell>
        </row>
        <row r="13627">
          <cell r="E13627">
            <v>0</v>
          </cell>
          <cell r="F13627">
            <v>0</v>
          </cell>
          <cell r="DN13627">
            <v>0</v>
          </cell>
        </row>
        <row r="13628">
          <cell r="E13628">
            <v>0</v>
          </cell>
          <cell r="F13628">
            <v>0</v>
          </cell>
          <cell r="DN13628">
            <v>0</v>
          </cell>
        </row>
        <row r="13629">
          <cell r="E13629">
            <v>0</v>
          </cell>
          <cell r="F13629">
            <v>0</v>
          </cell>
          <cell r="DN13629">
            <v>0</v>
          </cell>
        </row>
        <row r="13630">
          <cell r="E13630">
            <v>0</v>
          </cell>
          <cell r="F13630">
            <v>0</v>
          </cell>
          <cell r="DN13630">
            <v>0</v>
          </cell>
        </row>
        <row r="13631">
          <cell r="E13631">
            <v>0</v>
          </cell>
          <cell r="F13631">
            <v>0</v>
          </cell>
          <cell r="DN13631">
            <v>0</v>
          </cell>
        </row>
        <row r="13632">
          <cell r="E13632">
            <v>0</v>
          </cell>
          <cell r="F13632">
            <v>0</v>
          </cell>
          <cell r="DN13632">
            <v>0</v>
          </cell>
        </row>
        <row r="13633">
          <cell r="E13633">
            <v>0</v>
          </cell>
          <cell r="F13633">
            <v>0</v>
          </cell>
          <cell r="DN13633">
            <v>0</v>
          </cell>
        </row>
        <row r="13634">
          <cell r="E13634">
            <v>0</v>
          </cell>
          <cell r="F13634">
            <v>0</v>
          </cell>
          <cell r="DN13634">
            <v>0</v>
          </cell>
        </row>
        <row r="13635">
          <cell r="E13635">
            <v>0</v>
          </cell>
          <cell r="F13635">
            <v>0</v>
          </cell>
          <cell r="DN13635">
            <v>0</v>
          </cell>
        </row>
        <row r="13636">
          <cell r="E13636">
            <v>0</v>
          </cell>
          <cell r="F13636">
            <v>0</v>
          </cell>
          <cell r="DN13636">
            <v>0</v>
          </cell>
        </row>
        <row r="13637">
          <cell r="E13637">
            <v>0</v>
          </cell>
          <cell r="F13637">
            <v>0</v>
          </cell>
          <cell r="DN13637">
            <v>0</v>
          </cell>
        </row>
        <row r="13638">
          <cell r="E13638">
            <v>0</v>
          </cell>
          <cell r="F13638">
            <v>0</v>
          </cell>
          <cell r="DN13638">
            <v>0</v>
          </cell>
        </row>
        <row r="13639">
          <cell r="E13639">
            <v>0</v>
          </cell>
          <cell r="F13639">
            <v>0</v>
          </cell>
          <cell r="DN13639">
            <v>0</v>
          </cell>
        </row>
        <row r="13640">
          <cell r="E13640">
            <v>0</v>
          </cell>
          <cell r="F13640">
            <v>0</v>
          </cell>
          <cell r="DN13640">
            <v>0</v>
          </cell>
        </row>
        <row r="13641">
          <cell r="E13641">
            <v>0</v>
          </cell>
          <cell r="F13641">
            <v>0</v>
          </cell>
          <cell r="DN13641">
            <v>0</v>
          </cell>
        </row>
        <row r="13642">
          <cell r="E13642">
            <v>0</v>
          </cell>
          <cell r="F13642">
            <v>0</v>
          </cell>
          <cell r="DN13642">
            <v>0</v>
          </cell>
        </row>
        <row r="13643">
          <cell r="E13643">
            <v>0</v>
          </cell>
          <cell r="F13643">
            <v>0</v>
          </cell>
          <cell r="DN13643">
            <v>0</v>
          </cell>
        </row>
        <row r="13644">
          <cell r="E13644">
            <v>0</v>
          </cell>
          <cell r="F13644">
            <v>0</v>
          </cell>
          <cell r="DN13644">
            <v>0</v>
          </cell>
        </row>
        <row r="13645">
          <cell r="E13645">
            <v>0</v>
          </cell>
          <cell r="F13645">
            <v>0</v>
          </cell>
          <cell r="DN13645">
            <v>0</v>
          </cell>
        </row>
        <row r="13646">
          <cell r="E13646">
            <v>0</v>
          </cell>
          <cell r="F13646">
            <v>0</v>
          </cell>
          <cell r="DN13646">
            <v>0</v>
          </cell>
        </row>
        <row r="13647">
          <cell r="E13647">
            <v>0</v>
          </cell>
          <cell r="F13647">
            <v>0</v>
          </cell>
          <cell r="DN13647">
            <v>0</v>
          </cell>
        </row>
        <row r="13648">
          <cell r="E13648">
            <v>0</v>
          </cell>
          <cell r="F13648">
            <v>0</v>
          </cell>
          <cell r="DN13648">
            <v>0</v>
          </cell>
        </row>
        <row r="13649">
          <cell r="E13649">
            <v>0</v>
          </cell>
          <cell r="F13649">
            <v>0</v>
          </cell>
          <cell r="DN13649">
            <v>0</v>
          </cell>
        </row>
        <row r="13650">
          <cell r="E13650">
            <v>0</v>
          </cell>
          <cell r="F13650">
            <v>0</v>
          </cell>
          <cell r="DN13650">
            <v>0</v>
          </cell>
        </row>
        <row r="13651">
          <cell r="E13651">
            <v>0</v>
          </cell>
          <cell r="F13651">
            <v>0</v>
          </cell>
          <cell r="DN13651">
            <v>0</v>
          </cell>
        </row>
        <row r="13652">
          <cell r="E13652">
            <v>0</v>
          </cell>
          <cell r="F13652">
            <v>0</v>
          </cell>
          <cell r="DN13652">
            <v>0</v>
          </cell>
        </row>
        <row r="13653">
          <cell r="E13653">
            <v>0</v>
          </cell>
          <cell r="F13653">
            <v>0</v>
          </cell>
          <cell r="DN13653">
            <v>0</v>
          </cell>
        </row>
        <row r="13654">
          <cell r="E13654">
            <v>0</v>
          </cell>
          <cell r="F13654">
            <v>0</v>
          </cell>
          <cell r="DN13654">
            <v>0</v>
          </cell>
        </row>
        <row r="13655">
          <cell r="E13655">
            <v>0</v>
          </cell>
          <cell r="F13655">
            <v>0</v>
          </cell>
          <cell r="DN13655">
            <v>0</v>
          </cell>
        </row>
        <row r="13656">
          <cell r="E13656">
            <v>0</v>
          </cell>
          <cell r="F13656">
            <v>0</v>
          </cell>
          <cell r="DN13656">
            <v>0</v>
          </cell>
        </row>
        <row r="13657">
          <cell r="E13657">
            <v>0</v>
          </cell>
          <cell r="F13657">
            <v>0</v>
          </cell>
          <cell r="DN13657">
            <v>0</v>
          </cell>
        </row>
        <row r="13658">
          <cell r="E13658">
            <v>0</v>
          </cell>
          <cell r="F13658">
            <v>0</v>
          </cell>
          <cell r="DN13658">
            <v>0</v>
          </cell>
        </row>
        <row r="13659">
          <cell r="E13659">
            <v>0</v>
          </cell>
          <cell r="F13659">
            <v>0</v>
          </cell>
          <cell r="DN13659">
            <v>0</v>
          </cell>
        </row>
        <row r="13660">
          <cell r="E13660">
            <v>0</v>
          </cell>
          <cell r="F13660">
            <v>0</v>
          </cell>
          <cell r="DN13660">
            <v>0</v>
          </cell>
        </row>
        <row r="13661">
          <cell r="E13661">
            <v>0</v>
          </cell>
          <cell r="F13661">
            <v>0</v>
          </cell>
          <cell r="DN13661">
            <v>0</v>
          </cell>
        </row>
        <row r="13662">
          <cell r="E13662">
            <v>0</v>
          </cell>
          <cell r="F13662">
            <v>0</v>
          </cell>
          <cell r="DN13662">
            <v>0</v>
          </cell>
        </row>
        <row r="13663">
          <cell r="E13663">
            <v>0</v>
          </cell>
          <cell r="F13663">
            <v>0</v>
          </cell>
          <cell r="DN13663">
            <v>0</v>
          </cell>
        </row>
        <row r="13664">
          <cell r="E13664">
            <v>0</v>
          </cell>
          <cell r="F13664">
            <v>0</v>
          </cell>
          <cell r="DN13664">
            <v>0</v>
          </cell>
        </row>
        <row r="13665">
          <cell r="E13665">
            <v>0</v>
          </cell>
          <cell r="F13665">
            <v>0</v>
          </cell>
          <cell r="DN13665">
            <v>0</v>
          </cell>
        </row>
        <row r="13666">
          <cell r="E13666">
            <v>0</v>
          </cell>
          <cell r="F13666">
            <v>0</v>
          </cell>
          <cell r="DN13666">
            <v>0</v>
          </cell>
        </row>
        <row r="13667">
          <cell r="E13667">
            <v>0</v>
          </cell>
          <cell r="F13667">
            <v>0</v>
          </cell>
          <cell r="DN13667">
            <v>0</v>
          </cell>
        </row>
        <row r="13668">
          <cell r="E13668">
            <v>0</v>
          </cell>
          <cell r="F13668">
            <v>0</v>
          </cell>
          <cell r="DN13668">
            <v>0</v>
          </cell>
        </row>
        <row r="13669">
          <cell r="E13669">
            <v>0</v>
          </cell>
          <cell r="F13669">
            <v>0</v>
          </cell>
          <cell r="DN13669">
            <v>0</v>
          </cell>
        </row>
        <row r="13670">
          <cell r="E13670">
            <v>0</v>
          </cell>
          <cell r="F13670">
            <v>0</v>
          </cell>
          <cell r="DN13670">
            <v>0</v>
          </cell>
        </row>
        <row r="13671">
          <cell r="E13671">
            <v>0</v>
          </cell>
          <cell r="F13671">
            <v>0</v>
          </cell>
          <cell r="DN13671">
            <v>0</v>
          </cell>
        </row>
        <row r="13672">
          <cell r="E13672">
            <v>0</v>
          </cell>
          <cell r="F13672">
            <v>0</v>
          </cell>
          <cell r="DN13672">
            <v>0</v>
          </cell>
        </row>
        <row r="13673">
          <cell r="E13673">
            <v>0</v>
          </cell>
          <cell r="F13673">
            <v>0</v>
          </cell>
          <cell r="DN13673">
            <v>0</v>
          </cell>
        </row>
        <row r="13674">
          <cell r="E13674">
            <v>0</v>
          </cell>
          <cell r="F13674">
            <v>0</v>
          </cell>
          <cell r="DN13674">
            <v>0</v>
          </cell>
        </row>
        <row r="13675">
          <cell r="E13675">
            <v>0</v>
          </cell>
          <cell r="F13675">
            <v>0</v>
          </cell>
          <cell r="DN13675">
            <v>0</v>
          </cell>
        </row>
        <row r="13676">
          <cell r="E13676">
            <v>0</v>
          </cell>
          <cell r="F13676">
            <v>0</v>
          </cell>
          <cell r="DN13676">
            <v>0</v>
          </cell>
        </row>
        <row r="13677">
          <cell r="E13677">
            <v>0</v>
          </cell>
          <cell r="F13677">
            <v>0</v>
          </cell>
          <cell r="DN13677">
            <v>0</v>
          </cell>
        </row>
        <row r="13678">
          <cell r="E13678">
            <v>0</v>
          </cell>
          <cell r="F13678">
            <v>0</v>
          </cell>
          <cell r="DN13678">
            <v>0</v>
          </cell>
        </row>
        <row r="13679">
          <cell r="E13679">
            <v>0</v>
          </cell>
          <cell r="F13679">
            <v>0</v>
          </cell>
          <cell r="DN13679">
            <v>0</v>
          </cell>
        </row>
        <row r="13680">
          <cell r="E13680">
            <v>0</v>
          </cell>
          <cell r="F13680">
            <v>0</v>
          </cell>
          <cell r="DN13680">
            <v>0</v>
          </cell>
        </row>
        <row r="13681">
          <cell r="E13681">
            <v>0</v>
          </cell>
          <cell r="F13681">
            <v>0</v>
          </cell>
          <cell r="DN13681">
            <v>0</v>
          </cell>
        </row>
        <row r="13682">
          <cell r="E13682">
            <v>0</v>
          </cell>
          <cell r="F13682">
            <v>0</v>
          </cell>
          <cell r="DN13682">
            <v>0</v>
          </cell>
        </row>
        <row r="13683">
          <cell r="E13683">
            <v>0</v>
          </cell>
          <cell r="F13683">
            <v>0</v>
          </cell>
          <cell r="DN13683">
            <v>0</v>
          </cell>
        </row>
        <row r="13684">
          <cell r="E13684">
            <v>0</v>
          </cell>
          <cell r="F13684">
            <v>0</v>
          </cell>
          <cell r="DN13684">
            <v>0</v>
          </cell>
        </row>
        <row r="13685">
          <cell r="E13685">
            <v>0</v>
          </cell>
          <cell r="F13685">
            <v>0</v>
          </cell>
          <cell r="DN13685">
            <v>0</v>
          </cell>
        </row>
        <row r="13686">
          <cell r="E13686">
            <v>0</v>
          </cell>
          <cell r="F13686">
            <v>0</v>
          </cell>
          <cell r="DN13686">
            <v>0</v>
          </cell>
        </row>
        <row r="13687">
          <cell r="E13687">
            <v>0</v>
          </cell>
          <cell r="F13687">
            <v>0</v>
          </cell>
          <cell r="DN13687">
            <v>0</v>
          </cell>
        </row>
        <row r="13688">
          <cell r="E13688">
            <v>0</v>
          </cell>
          <cell r="F13688">
            <v>0</v>
          </cell>
          <cell r="DN13688">
            <v>0</v>
          </cell>
        </row>
        <row r="13689">
          <cell r="E13689">
            <v>0</v>
          </cell>
          <cell r="F13689">
            <v>0</v>
          </cell>
          <cell r="DN13689">
            <v>0</v>
          </cell>
        </row>
        <row r="13690">
          <cell r="E13690">
            <v>0</v>
          </cell>
          <cell r="F13690">
            <v>0</v>
          </cell>
          <cell r="DN13690">
            <v>0</v>
          </cell>
        </row>
        <row r="13691">
          <cell r="E13691">
            <v>0</v>
          </cell>
          <cell r="F13691">
            <v>0</v>
          </cell>
          <cell r="DN13691">
            <v>0</v>
          </cell>
        </row>
        <row r="13692">
          <cell r="E13692">
            <v>0</v>
          </cell>
          <cell r="F13692">
            <v>0</v>
          </cell>
          <cell r="DN13692">
            <v>0</v>
          </cell>
        </row>
        <row r="13693">
          <cell r="E13693">
            <v>0</v>
          </cell>
          <cell r="F13693">
            <v>0</v>
          </cell>
          <cell r="DN13693">
            <v>0</v>
          </cell>
        </row>
        <row r="13694">
          <cell r="E13694">
            <v>0</v>
          </cell>
          <cell r="F13694">
            <v>0</v>
          </cell>
          <cell r="DN13694">
            <v>0</v>
          </cell>
        </row>
        <row r="13695">
          <cell r="E13695">
            <v>0</v>
          </cell>
          <cell r="F13695">
            <v>0</v>
          </cell>
          <cell r="DN13695">
            <v>0</v>
          </cell>
        </row>
        <row r="13696">
          <cell r="E13696">
            <v>0</v>
          </cell>
          <cell r="F13696">
            <v>0</v>
          </cell>
          <cell r="DN13696">
            <v>0</v>
          </cell>
        </row>
        <row r="13697">
          <cell r="E13697">
            <v>0</v>
          </cell>
          <cell r="F13697">
            <v>0</v>
          </cell>
          <cell r="DN13697">
            <v>0</v>
          </cell>
        </row>
        <row r="13698">
          <cell r="E13698">
            <v>0</v>
          </cell>
          <cell r="F13698">
            <v>0</v>
          </cell>
          <cell r="DN13698">
            <v>0</v>
          </cell>
        </row>
        <row r="13699">
          <cell r="E13699">
            <v>0</v>
          </cell>
          <cell r="F13699">
            <v>0</v>
          </cell>
          <cell r="DN13699">
            <v>0</v>
          </cell>
        </row>
        <row r="13700">
          <cell r="E13700">
            <v>0</v>
          </cell>
          <cell r="F13700">
            <v>0</v>
          </cell>
          <cell r="DN13700">
            <v>0</v>
          </cell>
        </row>
        <row r="13701">
          <cell r="E13701">
            <v>0</v>
          </cell>
          <cell r="F13701">
            <v>0</v>
          </cell>
          <cell r="DN13701">
            <v>0</v>
          </cell>
        </row>
        <row r="13702">
          <cell r="E13702">
            <v>0</v>
          </cell>
          <cell r="F13702">
            <v>0</v>
          </cell>
          <cell r="DN13702">
            <v>0</v>
          </cell>
        </row>
        <row r="13703">
          <cell r="E13703">
            <v>0</v>
          </cell>
          <cell r="F13703">
            <v>0</v>
          </cell>
          <cell r="DN13703">
            <v>0</v>
          </cell>
        </row>
        <row r="13704">
          <cell r="E13704">
            <v>0</v>
          </cell>
          <cell r="F13704">
            <v>0</v>
          </cell>
          <cell r="DN13704">
            <v>0</v>
          </cell>
        </row>
        <row r="13705">
          <cell r="E13705">
            <v>0</v>
          </cell>
          <cell r="F13705">
            <v>0</v>
          </cell>
          <cell r="DN13705">
            <v>0</v>
          </cell>
        </row>
        <row r="13706">
          <cell r="E13706">
            <v>0</v>
          </cell>
          <cell r="F13706">
            <v>0</v>
          </cell>
          <cell r="DN13706">
            <v>0</v>
          </cell>
        </row>
        <row r="13707">
          <cell r="E13707">
            <v>0</v>
          </cell>
          <cell r="F13707">
            <v>0</v>
          </cell>
          <cell r="DN13707">
            <v>0</v>
          </cell>
        </row>
        <row r="13708">
          <cell r="E13708">
            <v>0</v>
          </cell>
          <cell r="F13708">
            <v>0</v>
          </cell>
          <cell r="DN13708">
            <v>0</v>
          </cell>
        </row>
        <row r="13709">
          <cell r="E13709">
            <v>0</v>
          </cell>
          <cell r="F13709">
            <v>0</v>
          </cell>
          <cell r="DN13709">
            <v>0</v>
          </cell>
        </row>
        <row r="13710">
          <cell r="E13710">
            <v>0</v>
          </cell>
          <cell r="F13710">
            <v>0</v>
          </cell>
          <cell r="DN13710">
            <v>0</v>
          </cell>
        </row>
        <row r="13711">
          <cell r="E13711">
            <v>0</v>
          </cell>
          <cell r="F13711">
            <v>0</v>
          </cell>
          <cell r="DN13711">
            <v>0</v>
          </cell>
        </row>
        <row r="13712">
          <cell r="E13712">
            <v>0</v>
          </cell>
          <cell r="F13712">
            <v>0</v>
          </cell>
          <cell r="DN13712">
            <v>0</v>
          </cell>
        </row>
        <row r="13713">
          <cell r="E13713">
            <v>0</v>
          </cell>
          <cell r="F13713">
            <v>0</v>
          </cell>
          <cell r="DN13713">
            <v>0</v>
          </cell>
        </row>
        <row r="13714">
          <cell r="E13714">
            <v>0</v>
          </cell>
          <cell r="F13714">
            <v>0</v>
          </cell>
          <cell r="DN13714">
            <v>0</v>
          </cell>
        </row>
        <row r="13715">
          <cell r="E13715">
            <v>0</v>
          </cell>
          <cell r="F13715">
            <v>0</v>
          </cell>
          <cell r="DN13715">
            <v>0</v>
          </cell>
        </row>
        <row r="13716">
          <cell r="E13716">
            <v>0</v>
          </cell>
          <cell r="F13716">
            <v>0</v>
          </cell>
          <cell r="DN13716">
            <v>0</v>
          </cell>
        </row>
        <row r="13717">
          <cell r="E13717">
            <v>0</v>
          </cell>
          <cell r="F13717">
            <v>0</v>
          </cell>
          <cell r="DN13717">
            <v>0</v>
          </cell>
        </row>
        <row r="13718">
          <cell r="E13718">
            <v>0</v>
          </cell>
          <cell r="F13718">
            <v>0</v>
          </cell>
          <cell r="DN13718">
            <v>0</v>
          </cell>
        </row>
        <row r="13719">
          <cell r="E13719">
            <v>0</v>
          </cell>
          <cell r="F13719">
            <v>0</v>
          </cell>
          <cell r="DN13719">
            <v>0</v>
          </cell>
        </row>
        <row r="13720">
          <cell r="E13720">
            <v>0</v>
          </cell>
          <cell r="F13720">
            <v>0</v>
          </cell>
          <cell r="DN13720">
            <v>0</v>
          </cell>
        </row>
        <row r="13721">
          <cell r="E13721">
            <v>0</v>
          </cell>
          <cell r="F13721">
            <v>0</v>
          </cell>
          <cell r="DN13721">
            <v>0</v>
          </cell>
        </row>
        <row r="13722">
          <cell r="E13722">
            <v>0</v>
          </cell>
          <cell r="F13722">
            <v>0</v>
          </cell>
          <cell r="DN13722">
            <v>0</v>
          </cell>
        </row>
        <row r="13723">
          <cell r="E13723">
            <v>0</v>
          </cell>
          <cell r="F13723">
            <v>0</v>
          </cell>
          <cell r="DN13723">
            <v>0</v>
          </cell>
        </row>
        <row r="13724">
          <cell r="E13724">
            <v>0</v>
          </cell>
          <cell r="F13724">
            <v>0</v>
          </cell>
          <cell r="DN13724">
            <v>0</v>
          </cell>
        </row>
        <row r="13725">
          <cell r="E13725">
            <v>0</v>
          </cell>
          <cell r="F13725">
            <v>0</v>
          </cell>
          <cell r="DN13725">
            <v>0</v>
          </cell>
        </row>
        <row r="13726">
          <cell r="E13726">
            <v>0</v>
          </cell>
          <cell r="F13726">
            <v>0</v>
          </cell>
          <cell r="DN13726">
            <v>0</v>
          </cell>
        </row>
        <row r="13727">
          <cell r="E13727">
            <v>0</v>
          </cell>
          <cell r="F13727">
            <v>0</v>
          </cell>
          <cell r="DN13727">
            <v>0</v>
          </cell>
        </row>
        <row r="13728">
          <cell r="E13728">
            <v>0</v>
          </cell>
          <cell r="F13728">
            <v>0</v>
          </cell>
          <cell r="DN13728">
            <v>0</v>
          </cell>
        </row>
        <row r="13729">
          <cell r="E13729">
            <v>0</v>
          </cell>
          <cell r="F13729">
            <v>0</v>
          </cell>
          <cell r="DN13729">
            <v>0</v>
          </cell>
        </row>
        <row r="13730">
          <cell r="E13730">
            <v>0</v>
          </cell>
          <cell r="F13730">
            <v>0</v>
          </cell>
          <cell r="DN13730">
            <v>0</v>
          </cell>
        </row>
        <row r="13731">
          <cell r="E13731">
            <v>0</v>
          </cell>
          <cell r="F13731">
            <v>0</v>
          </cell>
          <cell r="DN13731">
            <v>0</v>
          </cell>
        </row>
        <row r="13732">
          <cell r="E13732">
            <v>0</v>
          </cell>
          <cell r="F13732">
            <v>0</v>
          </cell>
          <cell r="DN13732">
            <v>0</v>
          </cell>
        </row>
        <row r="13733">
          <cell r="E13733">
            <v>0</v>
          </cell>
          <cell r="F13733">
            <v>0</v>
          </cell>
          <cell r="DN13733">
            <v>0</v>
          </cell>
        </row>
        <row r="13734">
          <cell r="E13734">
            <v>0</v>
          </cell>
          <cell r="F13734">
            <v>0</v>
          </cell>
          <cell r="DN13734">
            <v>0</v>
          </cell>
        </row>
        <row r="13735">
          <cell r="E13735">
            <v>0</v>
          </cell>
          <cell r="F13735">
            <v>0</v>
          </cell>
          <cell r="DN13735">
            <v>0</v>
          </cell>
        </row>
        <row r="13736">
          <cell r="E13736">
            <v>0</v>
          </cell>
          <cell r="F13736">
            <v>0</v>
          </cell>
          <cell r="DN13736">
            <v>0</v>
          </cell>
        </row>
        <row r="13737">
          <cell r="E13737">
            <v>0</v>
          </cell>
          <cell r="F13737">
            <v>0</v>
          </cell>
          <cell r="DN13737">
            <v>0</v>
          </cell>
        </row>
        <row r="13738">
          <cell r="E13738">
            <v>0</v>
          </cell>
          <cell r="F13738">
            <v>0</v>
          </cell>
          <cell r="DN13738">
            <v>0</v>
          </cell>
        </row>
        <row r="13739">
          <cell r="E13739">
            <v>0</v>
          </cell>
          <cell r="F13739">
            <v>0</v>
          </cell>
          <cell r="DN13739">
            <v>0</v>
          </cell>
        </row>
        <row r="13740">
          <cell r="E13740">
            <v>0</v>
          </cell>
          <cell r="F13740">
            <v>0</v>
          </cell>
          <cell r="DN13740">
            <v>0</v>
          </cell>
        </row>
        <row r="13741">
          <cell r="E13741">
            <v>0</v>
          </cell>
          <cell r="F13741">
            <v>0</v>
          </cell>
          <cell r="DN13741">
            <v>0</v>
          </cell>
        </row>
        <row r="13742">
          <cell r="E13742">
            <v>0</v>
          </cell>
          <cell r="F13742">
            <v>0</v>
          </cell>
          <cell r="DN13742">
            <v>0</v>
          </cell>
        </row>
        <row r="13743">
          <cell r="E13743">
            <v>0</v>
          </cell>
          <cell r="F13743">
            <v>0</v>
          </cell>
          <cell r="DN13743">
            <v>0</v>
          </cell>
        </row>
        <row r="13744">
          <cell r="E13744">
            <v>0</v>
          </cell>
          <cell r="F13744">
            <v>0</v>
          </cell>
          <cell r="DN13744">
            <v>0</v>
          </cell>
        </row>
        <row r="13745">
          <cell r="E13745">
            <v>0</v>
          </cell>
          <cell r="F13745">
            <v>0</v>
          </cell>
          <cell r="DN13745">
            <v>0</v>
          </cell>
        </row>
        <row r="13746">
          <cell r="E13746">
            <v>0</v>
          </cell>
          <cell r="F13746">
            <v>0</v>
          </cell>
          <cell r="DN13746">
            <v>0</v>
          </cell>
        </row>
        <row r="13747">
          <cell r="E13747">
            <v>0</v>
          </cell>
          <cell r="F13747">
            <v>0</v>
          </cell>
          <cell r="DN13747">
            <v>0</v>
          </cell>
        </row>
        <row r="13748">
          <cell r="E13748">
            <v>0</v>
          </cell>
          <cell r="F13748">
            <v>0</v>
          </cell>
          <cell r="DN13748">
            <v>0</v>
          </cell>
        </row>
        <row r="13749">
          <cell r="E13749">
            <v>0</v>
          </cell>
          <cell r="F13749">
            <v>0</v>
          </cell>
          <cell r="DN13749">
            <v>0</v>
          </cell>
        </row>
        <row r="13750">
          <cell r="E13750">
            <v>0</v>
          </cell>
          <cell r="F13750">
            <v>0</v>
          </cell>
          <cell r="DN13750">
            <v>0</v>
          </cell>
        </row>
        <row r="13751">
          <cell r="E13751">
            <v>0</v>
          </cell>
          <cell r="F13751">
            <v>0</v>
          </cell>
          <cell r="DN13751">
            <v>0</v>
          </cell>
        </row>
        <row r="13752">
          <cell r="E13752">
            <v>0</v>
          </cell>
          <cell r="F13752">
            <v>0</v>
          </cell>
          <cell r="DN13752">
            <v>0</v>
          </cell>
        </row>
        <row r="13753">
          <cell r="E13753">
            <v>0</v>
          </cell>
          <cell r="F13753">
            <v>0</v>
          </cell>
          <cell r="DN13753">
            <v>0</v>
          </cell>
        </row>
        <row r="13754">
          <cell r="E13754">
            <v>0</v>
          </cell>
          <cell r="F13754">
            <v>0</v>
          </cell>
          <cell r="DN13754">
            <v>0</v>
          </cell>
        </row>
        <row r="13755">
          <cell r="E13755">
            <v>0</v>
          </cell>
          <cell r="F13755">
            <v>0</v>
          </cell>
          <cell r="DN13755">
            <v>0</v>
          </cell>
        </row>
        <row r="13756">
          <cell r="E13756">
            <v>0</v>
          </cell>
          <cell r="F13756">
            <v>0</v>
          </cell>
          <cell r="DN13756">
            <v>0</v>
          </cell>
        </row>
        <row r="13757">
          <cell r="E13757">
            <v>0</v>
          </cell>
          <cell r="F13757">
            <v>0</v>
          </cell>
          <cell r="DN13757">
            <v>0</v>
          </cell>
        </row>
        <row r="13758">
          <cell r="E13758">
            <v>0</v>
          </cell>
          <cell r="F13758">
            <v>0</v>
          </cell>
          <cell r="DN13758">
            <v>0</v>
          </cell>
        </row>
        <row r="13759">
          <cell r="E13759">
            <v>0</v>
          </cell>
          <cell r="F13759">
            <v>0</v>
          </cell>
          <cell r="DN13759">
            <v>0</v>
          </cell>
        </row>
        <row r="13760">
          <cell r="E13760">
            <v>0</v>
          </cell>
          <cell r="F13760">
            <v>0</v>
          </cell>
          <cell r="DN13760">
            <v>0</v>
          </cell>
        </row>
        <row r="13761">
          <cell r="E13761">
            <v>0</v>
          </cell>
          <cell r="F13761">
            <v>0</v>
          </cell>
          <cell r="DN13761">
            <v>0</v>
          </cell>
        </row>
        <row r="13762">
          <cell r="E13762">
            <v>0</v>
          </cell>
          <cell r="F13762">
            <v>0</v>
          </cell>
          <cell r="DN13762">
            <v>0</v>
          </cell>
        </row>
        <row r="13763">
          <cell r="E13763">
            <v>0</v>
          </cell>
          <cell r="F13763">
            <v>0</v>
          </cell>
          <cell r="DN13763">
            <v>0</v>
          </cell>
        </row>
        <row r="13764">
          <cell r="E13764">
            <v>0</v>
          </cell>
          <cell r="F13764">
            <v>0</v>
          </cell>
          <cell r="DN13764">
            <v>0</v>
          </cell>
        </row>
        <row r="13765">
          <cell r="E13765">
            <v>0</v>
          </cell>
          <cell r="F13765">
            <v>0</v>
          </cell>
          <cell r="DN13765">
            <v>0</v>
          </cell>
        </row>
        <row r="13766">
          <cell r="E13766">
            <v>0</v>
          </cell>
          <cell r="F13766">
            <v>0</v>
          </cell>
          <cell r="DN13766">
            <v>0</v>
          </cell>
        </row>
        <row r="13767">
          <cell r="E13767">
            <v>0</v>
          </cell>
          <cell r="F13767">
            <v>0</v>
          </cell>
          <cell r="DN13767">
            <v>0</v>
          </cell>
        </row>
        <row r="13768">
          <cell r="E13768">
            <v>0</v>
          </cell>
          <cell r="F13768">
            <v>0</v>
          </cell>
          <cell r="DN13768">
            <v>0</v>
          </cell>
        </row>
        <row r="13769">
          <cell r="E13769">
            <v>0</v>
          </cell>
          <cell r="F13769">
            <v>0</v>
          </cell>
          <cell r="DN13769">
            <v>0</v>
          </cell>
        </row>
        <row r="13770">
          <cell r="E13770">
            <v>0</v>
          </cell>
          <cell r="F13770">
            <v>0</v>
          </cell>
          <cell r="DN13770">
            <v>0</v>
          </cell>
        </row>
        <row r="13771">
          <cell r="E13771">
            <v>0</v>
          </cell>
          <cell r="F13771">
            <v>0</v>
          </cell>
          <cell r="DN13771">
            <v>0</v>
          </cell>
        </row>
        <row r="13772">
          <cell r="E13772">
            <v>0</v>
          </cell>
          <cell r="F13772">
            <v>0</v>
          </cell>
          <cell r="DN13772">
            <v>0</v>
          </cell>
        </row>
        <row r="13773">
          <cell r="E13773">
            <v>0</v>
          </cell>
          <cell r="F13773">
            <v>0</v>
          </cell>
          <cell r="DN13773">
            <v>0</v>
          </cell>
        </row>
        <row r="13774">
          <cell r="E13774">
            <v>0</v>
          </cell>
          <cell r="F13774">
            <v>0</v>
          </cell>
          <cell r="DN13774">
            <v>0</v>
          </cell>
        </row>
        <row r="13775">
          <cell r="E13775">
            <v>0</v>
          </cell>
          <cell r="F13775">
            <v>0</v>
          </cell>
          <cell r="DN13775">
            <v>0</v>
          </cell>
        </row>
        <row r="13776">
          <cell r="E13776">
            <v>0</v>
          </cell>
          <cell r="F13776">
            <v>0</v>
          </cell>
          <cell r="DN13776">
            <v>0</v>
          </cell>
        </row>
        <row r="13777">
          <cell r="E13777">
            <v>0</v>
          </cell>
          <cell r="F13777">
            <v>0</v>
          </cell>
          <cell r="DN13777">
            <v>0</v>
          </cell>
        </row>
        <row r="13778">
          <cell r="E13778">
            <v>0</v>
          </cell>
          <cell r="F13778">
            <v>0</v>
          </cell>
          <cell r="DN13778">
            <v>0</v>
          </cell>
        </row>
        <row r="13779">
          <cell r="E13779">
            <v>0</v>
          </cell>
          <cell r="F13779">
            <v>0</v>
          </cell>
          <cell r="DN13779">
            <v>0</v>
          </cell>
        </row>
        <row r="13780">
          <cell r="E13780">
            <v>0</v>
          </cell>
          <cell r="F13780">
            <v>0</v>
          </cell>
          <cell r="DN13780">
            <v>0</v>
          </cell>
        </row>
        <row r="13781">
          <cell r="E13781">
            <v>0</v>
          </cell>
          <cell r="F13781">
            <v>0</v>
          </cell>
          <cell r="DN13781">
            <v>0</v>
          </cell>
        </row>
        <row r="13782">
          <cell r="E13782">
            <v>0</v>
          </cell>
          <cell r="F13782">
            <v>0</v>
          </cell>
          <cell r="DN13782">
            <v>0</v>
          </cell>
        </row>
        <row r="13783">
          <cell r="E13783">
            <v>0</v>
          </cell>
          <cell r="F13783">
            <v>0</v>
          </cell>
          <cell r="DN13783">
            <v>0</v>
          </cell>
        </row>
        <row r="13784">
          <cell r="E13784">
            <v>0</v>
          </cell>
          <cell r="F13784">
            <v>0</v>
          </cell>
          <cell r="DN13784">
            <v>0</v>
          </cell>
        </row>
        <row r="13785">
          <cell r="E13785">
            <v>0</v>
          </cell>
          <cell r="F13785">
            <v>0</v>
          </cell>
          <cell r="DN13785">
            <v>0</v>
          </cell>
        </row>
        <row r="13786">
          <cell r="E13786">
            <v>0</v>
          </cell>
          <cell r="F13786">
            <v>0</v>
          </cell>
          <cell r="DN13786">
            <v>0</v>
          </cell>
        </row>
        <row r="13787">
          <cell r="E13787">
            <v>0</v>
          </cell>
          <cell r="F13787">
            <v>0</v>
          </cell>
          <cell r="DN13787">
            <v>0</v>
          </cell>
        </row>
        <row r="13788">
          <cell r="E13788">
            <v>0</v>
          </cell>
          <cell r="F13788">
            <v>0</v>
          </cell>
          <cell r="DN13788">
            <v>0</v>
          </cell>
        </row>
        <row r="13789">
          <cell r="E13789">
            <v>0</v>
          </cell>
          <cell r="F13789">
            <v>0</v>
          </cell>
          <cell r="DN13789">
            <v>0</v>
          </cell>
        </row>
        <row r="13790">
          <cell r="E13790">
            <v>0</v>
          </cell>
          <cell r="F13790">
            <v>0</v>
          </cell>
          <cell r="DN13790">
            <v>0</v>
          </cell>
        </row>
        <row r="13791">
          <cell r="E13791">
            <v>0</v>
          </cell>
          <cell r="F13791">
            <v>0</v>
          </cell>
          <cell r="DN13791">
            <v>0</v>
          </cell>
        </row>
        <row r="13792">
          <cell r="E13792">
            <v>0</v>
          </cell>
          <cell r="F13792">
            <v>0</v>
          </cell>
          <cell r="DN13792">
            <v>0</v>
          </cell>
        </row>
        <row r="13793">
          <cell r="E13793">
            <v>0</v>
          </cell>
          <cell r="F13793">
            <v>0</v>
          </cell>
          <cell r="DN13793">
            <v>0</v>
          </cell>
        </row>
        <row r="13794">
          <cell r="E13794">
            <v>0</v>
          </cell>
          <cell r="F13794">
            <v>0</v>
          </cell>
          <cell r="DN13794">
            <v>0</v>
          </cell>
        </row>
        <row r="13795">
          <cell r="E13795">
            <v>0</v>
          </cell>
          <cell r="F13795">
            <v>0</v>
          </cell>
          <cell r="DN13795">
            <v>0</v>
          </cell>
        </row>
        <row r="13796">
          <cell r="E13796">
            <v>0</v>
          </cell>
          <cell r="F13796">
            <v>0</v>
          </cell>
          <cell r="DN13796">
            <v>0</v>
          </cell>
        </row>
        <row r="13797">
          <cell r="E13797">
            <v>0</v>
          </cell>
          <cell r="F13797">
            <v>0</v>
          </cell>
          <cell r="DN13797">
            <v>0</v>
          </cell>
        </row>
        <row r="13798">
          <cell r="E13798">
            <v>0</v>
          </cell>
          <cell r="F13798">
            <v>0</v>
          </cell>
          <cell r="DN13798">
            <v>0</v>
          </cell>
        </row>
        <row r="13799">
          <cell r="E13799">
            <v>0</v>
          </cell>
          <cell r="F13799">
            <v>0</v>
          </cell>
          <cell r="DN13799">
            <v>0</v>
          </cell>
        </row>
        <row r="13800">
          <cell r="E13800">
            <v>0</v>
          </cell>
          <cell r="F13800">
            <v>0</v>
          </cell>
          <cell r="DN13800">
            <v>0</v>
          </cell>
        </row>
        <row r="13801">
          <cell r="E13801">
            <v>0</v>
          </cell>
          <cell r="F13801">
            <v>0</v>
          </cell>
          <cell r="DN13801">
            <v>0</v>
          </cell>
        </row>
        <row r="13802">
          <cell r="E13802">
            <v>0</v>
          </cell>
          <cell r="F13802">
            <v>0</v>
          </cell>
          <cell r="DN13802">
            <v>0</v>
          </cell>
        </row>
        <row r="13803">
          <cell r="E13803">
            <v>0</v>
          </cell>
          <cell r="F13803">
            <v>0</v>
          </cell>
          <cell r="DN13803">
            <v>0</v>
          </cell>
        </row>
        <row r="13804">
          <cell r="E13804">
            <v>0</v>
          </cell>
          <cell r="F13804">
            <v>0</v>
          </cell>
          <cell r="DN13804">
            <v>0</v>
          </cell>
        </row>
        <row r="13805">
          <cell r="E13805">
            <v>0</v>
          </cell>
          <cell r="F13805">
            <v>0</v>
          </cell>
          <cell r="DN13805">
            <v>0</v>
          </cell>
        </row>
        <row r="13806">
          <cell r="E13806">
            <v>0</v>
          </cell>
          <cell r="F13806">
            <v>0</v>
          </cell>
          <cell r="DN13806">
            <v>0</v>
          </cell>
        </row>
        <row r="13807">
          <cell r="E13807">
            <v>0</v>
          </cell>
          <cell r="F13807">
            <v>0</v>
          </cell>
          <cell r="DN13807">
            <v>0</v>
          </cell>
        </row>
        <row r="13808">
          <cell r="E13808">
            <v>0</v>
          </cell>
          <cell r="F13808">
            <v>0</v>
          </cell>
          <cell r="DN13808">
            <v>0</v>
          </cell>
        </row>
        <row r="13809">
          <cell r="E13809">
            <v>0</v>
          </cell>
          <cell r="F13809">
            <v>0</v>
          </cell>
          <cell r="DN13809">
            <v>0</v>
          </cell>
        </row>
        <row r="13810">
          <cell r="E13810">
            <v>0</v>
          </cell>
          <cell r="F13810">
            <v>0</v>
          </cell>
          <cell r="DN13810">
            <v>0</v>
          </cell>
        </row>
        <row r="13811">
          <cell r="E13811">
            <v>0</v>
          </cell>
          <cell r="F13811">
            <v>0</v>
          </cell>
          <cell r="DN13811">
            <v>0</v>
          </cell>
        </row>
        <row r="13812">
          <cell r="E13812">
            <v>0</v>
          </cell>
          <cell r="F13812">
            <v>0</v>
          </cell>
          <cell r="DN13812">
            <v>0</v>
          </cell>
        </row>
        <row r="13813">
          <cell r="E13813">
            <v>0</v>
          </cell>
          <cell r="F13813">
            <v>0</v>
          </cell>
          <cell r="DN13813">
            <v>0</v>
          </cell>
        </row>
        <row r="13814">
          <cell r="E13814">
            <v>0</v>
          </cell>
          <cell r="F13814">
            <v>0</v>
          </cell>
          <cell r="DN13814">
            <v>0</v>
          </cell>
        </row>
        <row r="13815">
          <cell r="E13815">
            <v>0</v>
          </cell>
          <cell r="F13815">
            <v>0</v>
          </cell>
          <cell r="DN13815">
            <v>0</v>
          </cell>
        </row>
        <row r="13816">
          <cell r="E13816">
            <v>0</v>
          </cell>
          <cell r="F13816">
            <v>0</v>
          </cell>
          <cell r="DN13816">
            <v>0</v>
          </cell>
        </row>
        <row r="13817">
          <cell r="E13817">
            <v>0</v>
          </cell>
          <cell r="F13817">
            <v>0</v>
          </cell>
          <cell r="DN13817">
            <v>0</v>
          </cell>
        </row>
        <row r="13818">
          <cell r="E13818">
            <v>0</v>
          </cell>
          <cell r="F13818">
            <v>0</v>
          </cell>
          <cell r="DN13818">
            <v>0</v>
          </cell>
        </row>
        <row r="13819">
          <cell r="E13819">
            <v>0</v>
          </cell>
          <cell r="F13819">
            <v>0</v>
          </cell>
          <cell r="DN13819">
            <v>0</v>
          </cell>
        </row>
        <row r="13820">
          <cell r="E13820">
            <v>0</v>
          </cell>
          <cell r="F13820">
            <v>0</v>
          </cell>
          <cell r="DN13820">
            <v>0</v>
          </cell>
        </row>
        <row r="13821">
          <cell r="E13821">
            <v>0</v>
          </cell>
          <cell r="F13821">
            <v>0</v>
          </cell>
          <cell r="DN13821">
            <v>0</v>
          </cell>
        </row>
        <row r="13822">
          <cell r="E13822">
            <v>0</v>
          </cell>
          <cell r="F13822">
            <v>0</v>
          </cell>
          <cell r="DN13822">
            <v>0</v>
          </cell>
        </row>
        <row r="13823">
          <cell r="E13823">
            <v>0</v>
          </cell>
          <cell r="F13823">
            <v>0</v>
          </cell>
          <cell r="DN13823">
            <v>0</v>
          </cell>
        </row>
        <row r="13824">
          <cell r="E13824">
            <v>0</v>
          </cell>
          <cell r="F13824">
            <v>0</v>
          </cell>
          <cell r="DN13824">
            <v>0</v>
          </cell>
        </row>
        <row r="13825">
          <cell r="E13825">
            <v>0</v>
          </cell>
          <cell r="F13825">
            <v>0</v>
          </cell>
          <cell r="DN13825">
            <v>0</v>
          </cell>
        </row>
        <row r="13826">
          <cell r="E13826">
            <v>0</v>
          </cell>
          <cell r="F13826">
            <v>0</v>
          </cell>
          <cell r="DN13826">
            <v>0</v>
          </cell>
        </row>
        <row r="13827">
          <cell r="E13827">
            <v>0</v>
          </cell>
          <cell r="F13827">
            <v>0</v>
          </cell>
          <cell r="DN13827">
            <v>0</v>
          </cell>
        </row>
        <row r="13828">
          <cell r="E13828">
            <v>0</v>
          </cell>
          <cell r="F13828">
            <v>0</v>
          </cell>
          <cell r="DN13828">
            <v>0</v>
          </cell>
        </row>
        <row r="13829">
          <cell r="E13829">
            <v>0</v>
          </cell>
          <cell r="F13829">
            <v>0</v>
          </cell>
          <cell r="DN13829">
            <v>0</v>
          </cell>
        </row>
        <row r="13830">
          <cell r="E13830">
            <v>0</v>
          </cell>
          <cell r="F13830">
            <v>0</v>
          </cell>
          <cell r="DN13830">
            <v>0</v>
          </cell>
        </row>
        <row r="13831">
          <cell r="E13831">
            <v>0</v>
          </cell>
          <cell r="F13831">
            <v>0</v>
          </cell>
          <cell r="DN13831">
            <v>0</v>
          </cell>
        </row>
        <row r="13832">
          <cell r="E13832">
            <v>0</v>
          </cell>
          <cell r="F13832">
            <v>0</v>
          </cell>
          <cell r="DN13832">
            <v>0</v>
          </cell>
        </row>
        <row r="13833">
          <cell r="E13833">
            <v>0</v>
          </cell>
          <cell r="F13833">
            <v>0</v>
          </cell>
          <cell r="DN13833">
            <v>0</v>
          </cell>
        </row>
        <row r="13834">
          <cell r="E13834">
            <v>0</v>
          </cell>
          <cell r="F13834">
            <v>0</v>
          </cell>
          <cell r="DN13834">
            <v>0</v>
          </cell>
        </row>
        <row r="13835">
          <cell r="E13835">
            <v>0</v>
          </cell>
          <cell r="F13835">
            <v>0</v>
          </cell>
          <cell r="DN13835">
            <v>0</v>
          </cell>
        </row>
        <row r="13836">
          <cell r="E13836">
            <v>0</v>
          </cell>
          <cell r="F13836">
            <v>0</v>
          </cell>
          <cell r="DN13836">
            <v>0</v>
          </cell>
        </row>
        <row r="13837">
          <cell r="E13837">
            <v>0</v>
          </cell>
          <cell r="F13837">
            <v>0</v>
          </cell>
          <cell r="DN13837">
            <v>0</v>
          </cell>
        </row>
        <row r="13838">
          <cell r="E13838">
            <v>0</v>
          </cell>
          <cell r="F13838">
            <v>0</v>
          </cell>
          <cell r="DN13838">
            <v>0</v>
          </cell>
        </row>
        <row r="13839">
          <cell r="E13839">
            <v>0</v>
          </cell>
          <cell r="F13839">
            <v>0</v>
          </cell>
          <cell r="DN13839">
            <v>0</v>
          </cell>
        </row>
        <row r="13840">
          <cell r="E13840">
            <v>0</v>
          </cell>
          <cell r="F13840">
            <v>0</v>
          </cell>
          <cell r="DN13840">
            <v>0</v>
          </cell>
        </row>
        <row r="13841">
          <cell r="E13841">
            <v>0</v>
          </cell>
          <cell r="F13841">
            <v>0</v>
          </cell>
          <cell r="DN13841">
            <v>0</v>
          </cell>
        </row>
        <row r="13842">
          <cell r="E13842">
            <v>0</v>
          </cell>
          <cell r="F13842">
            <v>0</v>
          </cell>
          <cell r="DN13842">
            <v>0</v>
          </cell>
        </row>
        <row r="13843">
          <cell r="E13843">
            <v>0</v>
          </cell>
          <cell r="F13843">
            <v>0</v>
          </cell>
          <cell r="DN13843">
            <v>0</v>
          </cell>
        </row>
        <row r="13844">
          <cell r="E13844">
            <v>0</v>
          </cell>
          <cell r="F13844">
            <v>0</v>
          </cell>
          <cell r="DN13844">
            <v>0</v>
          </cell>
        </row>
        <row r="13845">
          <cell r="E13845">
            <v>0</v>
          </cell>
          <cell r="F13845">
            <v>0</v>
          </cell>
          <cell r="DN13845">
            <v>0</v>
          </cell>
        </row>
        <row r="13846">
          <cell r="E13846">
            <v>0</v>
          </cell>
          <cell r="F13846">
            <v>0</v>
          </cell>
          <cell r="DN13846">
            <v>0</v>
          </cell>
        </row>
        <row r="13847">
          <cell r="E13847">
            <v>0</v>
          </cell>
          <cell r="F13847">
            <v>0</v>
          </cell>
          <cell r="DN13847">
            <v>0</v>
          </cell>
        </row>
        <row r="13848">
          <cell r="E13848">
            <v>0</v>
          </cell>
          <cell r="F13848">
            <v>0</v>
          </cell>
          <cell r="DN13848">
            <v>0</v>
          </cell>
        </row>
        <row r="13849">
          <cell r="E13849">
            <v>0</v>
          </cell>
          <cell r="F13849">
            <v>0</v>
          </cell>
          <cell r="DN13849">
            <v>0</v>
          </cell>
        </row>
        <row r="13850">
          <cell r="E13850">
            <v>0</v>
          </cell>
          <cell r="F13850">
            <v>0</v>
          </cell>
          <cell r="DN13850">
            <v>0</v>
          </cell>
        </row>
        <row r="13851">
          <cell r="E13851">
            <v>0</v>
          </cell>
          <cell r="F13851">
            <v>0</v>
          </cell>
          <cell r="DN13851">
            <v>0</v>
          </cell>
        </row>
        <row r="13852">
          <cell r="E13852">
            <v>0</v>
          </cell>
          <cell r="F13852">
            <v>0</v>
          </cell>
          <cell r="DN13852">
            <v>0</v>
          </cell>
        </row>
        <row r="13853">
          <cell r="E13853">
            <v>0</v>
          </cell>
          <cell r="F13853">
            <v>0</v>
          </cell>
          <cell r="DN13853">
            <v>0</v>
          </cell>
        </row>
        <row r="13854">
          <cell r="E13854">
            <v>0</v>
          </cell>
          <cell r="F13854">
            <v>0</v>
          </cell>
          <cell r="DN13854">
            <v>0</v>
          </cell>
        </row>
        <row r="13855">
          <cell r="E13855">
            <v>0</v>
          </cell>
          <cell r="F13855">
            <v>0</v>
          </cell>
          <cell r="DN13855">
            <v>0</v>
          </cell>
        </row>
        <row r="13856">
          <cell r="E13856">
            <v>0</v>
          </cell>
          <cell r="F13856">
            <v>0</v>
          </cell>
          <cell r="DN13856">
            <v>0</v>
          </cell>
        </row>
        <row r="13857">
          <cell r="E13857">
            <v>0</v>
          </cell>
          <cell r="F13857">
            <v>0</v>
          </cell>
          <cell r="DN13857">
            <v>0</v>
          </cell>
        </row>
        <row r="13858">
          <cell r="E13858">
            <v>0</v>
          </cell>
          <cell r="F13858">
            <v>0</v>
          </cell>
          <cell r="DN13858">
            <v>0</v>
          </cell>
        </row>
        <row r="13859">
          <cell r="E13859">
            <v>0</v>
          </cell>
          <cell r="F13859">
            <v>0</v>
          </cell>
          <cell r="DN13859">
            <v>0</v>
          </cell>
        </row>
        <row r="13860">
          <cell r="E13860">
            <v>0</v>
          </cell>
          <cell r="F13860">
            <v>0</v>
          </cell>
          <cell r="DN13860">
            <v>0</v>
          </cell>
        </row>
        <row r="13861">
          <cell r="E13861">
            <v>0</v>
          </cell>
          <cell r="F13861">
            <v>0</v>
          </cell>
          <cell r="DN13861">
            <v>0</v>
          </cell>
        </row>
        <row r="13862">
          <cell r="E13862">
            <v>0</v>
          </cell>
          <cell r="F13862">
            <v>0</v>
          </cell>
          <cell r="DN13862">
            <v>0</v>
          </cell>
        </row>
        <row r="13863">
          <cell r="E13863">
            <v>0</v>
          </cell>
          <cell r="F13863">
            <v>0</v>
          </cell>
          <cell r="DN13863">
            <v>0</v>
          </cell>
        </row>
        <row r="13864">
          <cell r="E13864">
            <v>0</v>
          </cell>
          <cell r="F13864">
            <v>0</v>
          </cell>
          <cell r="DN13864">
            <v>0</v>
          </cell>
        </row>
        <row r="13865">
          <cell r="E13865">
            <v>0</v>
          </cell>
          <cell r="F13865">
            <v>0</v>
          </cell>
          <cell r="DN13865">
            <v>0</v>
          </cell>
        </row>
        <row r="13866">
          <cell r="E13866">
            <v>0</v>
          </cell>
          <cell r="F13866">
            <v>0</v>
          </cell>
          <cell r="DN13866">
            <v>0</v>
          </cell>
        </row>
        <row r="13867">
          <cell r="E13867">
            <v>0</v>
          </cell>
          <cell r="F13867">
            <v>0</v>
          </cell>
          <cell r="DN13867">
            <v>0</v>
          </cell>
        </row>
        <row r="13868">
          <cell r="E13868">
            <v>0</v>
          </cell>
          <cell r="F13868">
            <v>0</v>
          </cell>
          <cell r="DN13868">
            <v>0</v>
          </cell>
        </row>
        <row r="13869">
          <cell r="E13869">
            <v>0</v>
          </cell>
          <cell r="F13869">
            <v>0</v>
          </cell>
          <cell r="DN13869">
            <v>0</v>
          </cell>
        </row>
        <row r="13870">
          <cell r="E13870">
            <v>0</v>
          </cell>
          <cell r="F13870">
            <v>0</v>
          </cell>
          <cell r="DN13870">
            <v>0</v>
          </cell>
        </row>
        <row r="13871">
          <cell r="E13871">
            <v>0</v>
          </cell>
          <cell r="F13871">
            <v>0</v>
          </cell>
          <cell r="DN13871">
            <v>0</v>
          </cell>
        </row>
        <row r="13872">
          <cell r="E13872">
            <v>0</v>
          </cell>
          <cell r="F13872">
            <v>0</v>
          </cell>
          <cell r="DN13872">
            <v>0</v>
          </cell>
        </row>
        <row r="13873">
          <cell r="E13873">
            <v>0</v>
          </cell>
          <cell r="F13873">
            <v>0</v>
          </cell>
          <cell r="DN13873">
            <v>0</v>
          </cell>
        </row>
        <row r="13874">
          <cell r="E13874">
            <v>0</v>
          </cell>
          <cell r="F13874">
            <v>0</v>
          </cell>
          <cell r="DN13874">
            <v>0</v>
          </cell>
        </row>
        <row r="13875">
          <cell r="E13875">
            <v>0</v>
          </cell>
          <cell r="F13875">
            <v>0</v>
          </cell>
          <cell r="DN13875">
            <v>0</v>
          </cell>
        </row>
        <row r="13876">
          <cell r="E13876">
            <v>0</v>
          </cell>
          <cell r="F13876">
            <v>0</v>
          </cell>
          <cell r="DN13876">
            <v>0</v>
          </cell>
        </row>
        <row r="13877">
          <cell r="E13877">
            <v>0</v>
          </cell>
          <cell r="F13877">
            <v>0</v>
          </cell>
          <cell r="DN13877">
            <v>0</v>
          </cell>
        </row>
        <row r="13878">
          <cell r="E13878">
            <v>0</v>
          </cell>
          <cell r="F13878">
            <v>0</v>
          </cell>
          <cell r="DN13878">
            <v>0</v>
          </cell>
        </row>
        <row r="13879">
          <cell r="E13879">
            <v>0</v>
          </cell>
          <cell r="F13879">
            <v>0</v>
          </cell>
          <cell r="DN13879">
            <v>0</v>
          </cell>
        </row>
        <row r="13880">
          <cell r="E13880">
            <v>0</v>
          </cell>
          <cell r="F13880">
            <v>0</v>
          </cell>
          <cell r="DN13880">
            <v>0</v>
          </cell>
        </row>
        <row r="13881">
          <cell r="E13881">
            <v>0</v>
          </cell>
          <cell r="F13881">
            <v>0</v>
          </cell>
          <cell r="DN13881">
            <v>0</v>
          </cell>
        </row>
        <row r="13882">
          <cell r="E13882">
            <v>0</v>
          </cell>
          <cell r="F13882">
            <v>0</v>
          </cell>
          <cell r="DN13882">
            <v>0</v>
          </cell>
        </row>
        <row r="13883">
          <cell r="E13883">
            <v>0</v>
          </cell>
          <cell r="F13883">
            <v>0</v>
          </cell>
          <cell r="DN13883">
            <v>0</v>
          </cell>
        </row>
        <row r="13884">
          <cell r="E13884">
            <v>0</v>
          </cell>
          <cell r="F13884">
            <v>0</v>
          </cell>
          <cell r="DN13884">
            <v>0</v>
          </cell>
        </row>
        <row r="13885">
          <cell r="E13885">
            <v>0</v>
          </cell>
          <cell r="F13885">
            <v>0</v>
          </cell>
          <cell r="DN13885">
            <v>0</v>
          </cell>
        </row>
        <row r="13886">
          <cell r="E13886">
            <v>0</v>
          </cell>
          <cell r="F13886">
            <v>0</v>
          </cell>
          <cell r="DN13886">
            <v>0</v>
          </cell>
        </row>
        <row r="13887">
          <cell r="E13887">
            <v>0</v>
          </cell>
          <cell r="F13887">
            <v>0</v>
          </cell>
          <cell r="DN13887">
            <v>0</v>
          </cell>
        </row>
        <row r="13888">
          <cell r="E13888">
            <v>0</v>
          </cell>
          <cell r="F13888">
            <v>0</v>
          </cell>
          <cell r="DN13888">
            <v>0</v>
          </cell>
        </row>
        <row r="13889">
          <cell r="E13889">
            <v>0</v>
          </cell>
          <cell r="F13889">
            <v>0</v>
          </cell>
          <cell r="DN13889">
            <v>0</v>
          </cell>
        </row>
        <row r="13890">
          <cell r="E13890">
            <v>0</v>
          </cell>
          <cell r="F13890">
            <v>0</v>
          </cell>
          <cell r="DN13890">
            <v>0</v>
          </cell>
        </row>
        <row r="13891">
          <cell r="E13891">
            <v>0</v>
          </cell>
          <cell r="F13891">
            <v>0</v>
          </cell>
          <cell r="DN13891">
            <v>0</v>
          </cell>
        </row>
        <row r="13892">
          <cell r="E13892">
            <v>0</v>
          </cell>
          <cell r="F13892">
            <v>0</v>
          </cell>
          <cell r="DN13892">
            <v>0</v>
          </cell>
        </row>
        <row r="13893">
          <cell r="E13893">
            <v>0</v>
          </cell>
          <cell r="F13893">
            <v>0</v>
          </cell>
          <cell r="DN13893">
            <v>0</v>
          </cell>
        </row>
        <row r="13894">
          <cell r="E13894">
            <v>0</v>
          </cell>
          <cell r="F13894">
            <v>0</v>
          </cell>
          <cell r="DN13894">
            <v>0</v>
          </cell>
        </row>
        <row r="13895">
          <cell r="E13895">
            <v>0</v>
          </cell>
          <cell r="F13895">
            <v>0</v>
          </cell>
          <cell r="DN13895">
            <v>0</v>
          </cell>
        </row>
        <row r="13896">
          <cell r="E13896">
            <v>0</v>
          </cell>
          <cell r="F13896">
            <v>0</v>
          </cell>
          <cell r="DN13896">
            <v>0</v>
          </cell>
        </row>
        <row r="13897">
          <cell r="E13897">
            <v>0</v>
          </cell>
          <cell r="F13897">
            <v>0</v>
          </cell>
          <cell r="DN13897">
            <v>0</v>
          </cell>
        </row>
        <row r="13898">
          <cell r="E13898">
            <v>0</v>
          </cell>
          <cell r="F13898">
            <v>0</v>
          </cell>
          <cell r="DN13898">
            <v>0</v>
          </cell>
        </row>
        <row r="13899">
          <cell r="E13899">
            <v>0</v>
          </cell>
          <cell r="F13899">
            <v>0</v>
          </cell>
          <cell r="DN13899">
            <v>0</v>
          </cell>
        </row>
        <row r="13900">
          <cell r="E13900">
            <v>0</v>
          </cell>
          <cell r="F13900">
            <v>0</v>
          </cell>
          <cell r="DN13900">
            <v>0</v>
          </cell>
        </row>
        <row r="13901">
          <cell r="E13901">
            <v>0</v>
          </cell>
          <cell r="F13901">
            <v>0</v>
          </cell>
          <cell r="DN13901">
            <v>0</v>
          </cell>
        </row>
        <row r="13902">
          <cell r="E13902">
            <v>0</v>
          </cell>
          <cell r="F13902">
            <v>0</v>
          </cell>
          <cell r="DN13902">
            <v>0</v>
          </cell>
        </row>
        <row r="13903">
          <cell r="E13903">
            <v>0</v>
          </cell>
          <cell r="F13903">
            <v>0</v>
          </cell>
          <cell r="DN13903">
            <v>0</v>
          </cell>
        </row>
        <row r="13904">
          <cell r="E13904">
            <v>0</v>
          </cell>
          <cell r="F13904">
            <v>0</v>
          </cell>
          <cell r="DN13904">
            <v>0</v>
          </cell>
        </row>
        <row r="13905">
          <cell r="E13905">
            <v>0</v>
          </cell>
          <cell r="F13905">
            <v>0</v>
          </cell>
          <cell r="DN13905">
            <v>0</v>
          </cell>
        </row>
        <row r="13906">
          <cell r="E13906">
            <v>0</v>
          </cell>
          <cell r="F13906">
            <v>0</v>
          </cell>
          <cell r="DN13906">
            <v>0</v>
          </cell>
        </row>
        <row r="13907">
          <cell r="E13907">
            <v>0</v>
          </cell>
          <cell r="F13907">
            <v>0</v>
          </cell>
          <cell r="DN13907">
            <v>0</v>
          </cell>
        </row>
        <row r="13908">
          <cell r="E13908">
            <v>0</v>
          </cell>
          <cell r="F13908">
            <v>0</v>
          </cell>
          <cell r="DN13908">
            <v>0</v>
          </cell>
        </row>
        <row r="13909">
          <cell r="E13909">
            <v>0</v>
          </cell>
          <cell r="F13909">
            <v>0</v>
          </cell>
          <cell r="DN13909">
            <v>0</v>
          </cell>
        </row>
        <row r="13910">
          <cell r="E13910">
            <v>0</v>
          </cell>
          <cell r="F13910">
            <v>0</v>
          </cell>
          <cell r="DN13910">
            <v>0</v>
          </cell>
        </row>
        <row r="13911">
          <cell r="E13911">
            <v>0</v>
          </cell>
          <cell r="F13911">
            <v>0</v>
          </cell>
          <cell r="DN13911">
            <v>0</v>
          </cell>
        </row>
        <row r="13912">
          <cell r="E13912">
            <v>0</v>
          </cell>
          <cell r="F13912">
            <v>0</v>
          </cell>
          <cell r="DN13912">
            <v>0</v>
          </cell>
        </row>
        <row r="13913">
          <cell r="E13913">
            <v>0</v>
          </cell>
          <cell r="F13913">
            <v>0</v>
          </cell>
          <cell r="DN13913">
            <v>0</v>
          </cell>
        </row>
        <row r="13914">
          <cell r="E13914">
            <v>0</v>
          </cell>
          <cell r="F13914">
            <v>0</v>
          </cell>
          <cell r="DN13914">
            <v>0</v>
          </cell>
        </row>
        <row r="13915">
          <cell r="E13915">
            <v>0</v>
          </cell>
          <cell r="F13915">
            <v>0</v>
          </cell>
          <cell r="DN13915">
            <v>0</v>
          </cell>
        </row>
        <row r="13916">
          <cell r="E13916">
            <v>0</v>
          </cell>
          <cell r="F13916">
            <v>0</v>
          </cell>
          <cell r="DN13916">
            <v>0</v>
          </cell>
        </row>
        <row r="13917">
          <cell r="E13917">
            <v>0</v>
          </cell>
          <cell r="F13917">
            <v>0</v>
          </cell>
          <cell r="DN13917">
            <v>0</v>
          </cell>
        </row>
        <row r="13918">
          <cell r="E13918">
            <v>0</v>
          </cell>
          <cell r="F13918">
            <v>0</v>
          </cell>
          <cell r="DN13918">
            <v>0</v>
          </cell>
        </row>
        <row r="13919">
          <cell r="E13919">
            <v>0</v>
          </cell>
          <cell r="F13919">
            <v>0</v>
          </cell>
          <cell r="DN13919">
            <v>0</v>
          </cell>
        </row>
        <row r="13920">
          <cell r="E13920">
            <v>0</v>
          </cell>
          <cell r="F13920">
            <v>0</v>
          </cell>
          <cell r="DN13920">
            <v>0</v>
          </cell>
        </row>
        <row r="13921">
          <cell r="E13921">
            <v>0</v>
          </cell>
          <cell r="F13921">
            <v>0</v>
          </cell>
          <cell r="DN13921">
            <v>0</v>
          </cell>
        </row>
        <row r="13922">
          <cell r="E13922">
            <v>0</v>
          </cell>
          <cell r="F13922">
            <v>0</v>
          </cell>
          <cell r="DN13922">
            <v>0</v>
          </cell>
        </row>
        <row r="13923">
          <cell r="E13923">
            <v>0</v>
          </cell>
          <cell r="F13923">
            <v>0</v>
          </cell>
          <cell r="DN13923">
            <v>0</v>
          </cell>
        </row>
        <row r="13924">
          <cell r="E13924">
            <v>0</v>
          </cell>
          <cell r="F13924">
            <v>0</v>
          </cell>
          <cell r="DN13924">
            <v>0</v>
          </cell>
        </row>
        <row r="13925">
          <cell r="E13925">
            <v>0</v>
          </cell>
          <cell r="F13925">
            <v>0</v>
          </cell>
          <cell r="DN13925">
            <v>0</v>
          </cell>
        </row>
        <row r="13926">
          <cell r="E13926">
            <v>0</v>
          </cell>
          <cell r="F13926">
            <v>0</v>
          </cell>
          <cell r="DN13926">
            <v>0</v>
          </cell>
        </row>
        <row r="13927">
          <cell r="E13927">
            <v>0</v>
          </cell>
          <cell r="F13927">
            <v>0</v>
          </cell>
          <cell r="DN13927">
            <v>0</v>
          </cell>
        </row>
        <row r="13928">
          <cell r="E13928">
            <v>0</v>
          </cell>
          <cell r="F13928">
            <v>0</v>
          </cell>
          <cell r="DN13928">
            <v>0</v>
          </cell>
        </row>
        <row r="13929">
          <cell r="E13929">
            <v>0</v>
          </cell>
          <cell r="F13929">
            <v>0</v>
          </cell>
          <cell r="DN13929">
            <v>0</v>
          </cell>
        </row>
        <row r="13930">
          <cell r="E13930">
            <v>0</v>
          </cell>
          <cell r="F13930">
            <v>0</v>
          </cell>
          <cell r="DN13930">
            <v>0</v>
          </cell>
        </row>
        <row r="13931">
          <cell r="E13931">
            <v>0</v>
          </cell>
          <cell r="F13931">
            <v>0</v>
          </cell>
          <cell r="DN13931">
            <v>0</v>
          </cell>
        </row>
        <row r="13932">
          <cell r="E13932">
            <v>0</v>
          </cell>
          <cell r="F13932">
            <v>0</v>
          </cell>
          <cell r="DN13932">
            <v>0</v>
          </cell>
        </row>
        <row r="13933">
          <cell r="E13933">
            <v>0</v>
          </cell>
          <cell r="F13933">
            <v>0</v>
          </cell>
          <cell r="DN13933">
            <v>0</v>
          </cell>
        </row>
        <row r="13934">
          <cell r="E13934">
            <v>0</v>
          </cell>
          <cell r="F13934">
            <v>0</v>
          </cell>
          <cell r="DN13934">
            <v>0</v>
          </cell>
        </row>
        <row r="13935">
          <cell r="E13935">
            <v>0</v>
          </cell>
          <cell r="F13935">
            <v>0</v>
          </cell>
          <cell r="DN13935">
            <v>0</v>
          </cell>
        </row>
        <row r="13936">
          <cell r="E13936">
            <v>0</v>
          </cell>
          <cell r="F13936">
            <v>0</v>
          </cell>
          <cell r="DN13936">
            <v>0</v>
          </cell>
        </row>
        <row r="13937">
          <cell r="E13937">
            <v>0</v>
          </cell>
          <cell r="F13937">
            <v>0</v>
          </cell>
          <cell r="DN13937">
            <v>0</v>
          </cell>
        </row>
        <row r="13938">
          <cell r="E13938">
            <v>0</v>
          </cell>
          <cell r="F13938">
            <v>0</v>
          </cell>
          <cell r="DN13938">
            <v>0</v>
          </cell>
        </row>
        <row r="13939">
          <cell r="E13939">
            <v>0</v>
          </cell>
          <cell r="F13939">
            <v>0</v>
          </cell>
          <cell r="DN13939">
            <v>0</v>
          </cell>
        </row>
        <row r="13940">
          <cell r="E13940">
            <v>0</v>
          </cell>
          <cell r="F13940">
            <v>0</v>
          </cell>
          <cell r="DN13940">
            <v>0</v>
          </cell>
        </row>
        <row r="13941">
          <cell r="E13941">
            <v>0</v>
          </cell>
          <cell r="F13941">
            <v>0</v>
          </cell>
          <cell r="DN13941">
            <v>0</v>
          </cell>
        </row>
        <row r="13942">
          <cell r="E13942">
            <v>0</v>
          </cell>
          <cell r="F13942">
            <v>0</v>
          </cell>
          <cell r="DN13942">
            <v>0</v>
          </cell>
        </row>
        <row r="13943">
          <cell r="E13943">
            <v>0</v>
          </cell>
          <cell r="F13943">
            <v>0</v>
          </cell>
          <cell r="DN13943">
            <v>0</v>
          </cell>
        </row>
        <row r="13944">
          <cell r="E13944">
            <v>0</v>
          </cell>
          <cell r="F13944">
            <v>0</v>
          </cell>
          <cell r="DN13944">
            <v>0</v>
          </cell>
        </row>
        <row r="13945">
          <cell r="E13945">
            <v>0</v>
          </cell>
          <cell r="F13945">
            <v>0</v>
          </cell>
          <cell r="DN13945">
            <v>0</v>
          </cell>
        </row>
        <row r="13946">
          <cell r="E13946">
            <v>0</v>
          </cell>
          <cell r="F13946">
            <v>0</v>
          </cell>
          <cell r="DN13946">
            <v>0</v>
          </cell>
        </row>
        <row r="13947">
          <cell r="E13947">
            <v>0</v>
          </cell>
          <cell r="F13947">
            <v>0</v>
          </cell>
          <cell r="DN13947">
            <v>0</v>
          </cell>
        </row>
        <row r="13948">
          <cell r="E13948">
            <v>0</v>
          </cell>
          <cell r="F13948">
            <v>0</v>
          </cell>
          <cell r="DN13948">
            <v>0</v>
          </cell>
        </row>
        <row r="13949">
          <cell r="E13949">
            <v>0</v>
          </cell>
          <cell r="F13949">
            <v>0</v>
          </cell>
          <cell r="DN13949">
            <v>0</v>
          </cell>
        </row>
        <row r="13950">
          <cell r="E13950">
            <v>0</v>
          </cell>
          <cell r="F13950">
            <v>0</v>
          </cell>
          <cell r="DN13950">
            <v>0</v>
          </cell>
        </row>
        <row r="13951">
          <cell r="E13951">
            <v>0</v>
          </cell>
          <cell r="F13951">
            <v>0</v>
          </cell>
          <cell r="DN13951">
            <v>0</v>
          </cell>
        </row>
        <row r="13952">
          <cell r="E13952">
            <v>0</v>
          </cell>
          <cell r="F13952">
            <v>0</v>
          </cell>
          <cell r="DN13952">
            <v>0</v>
          </cell>
        </row>
        <row r="13953">
          <cell r="E13953">
            <v>0</v>
          </cell>
          <cell r="F13953">
            <v>0</v>
          </cell>
          <cell r="DN13953">
            <v>0</v>
          </cell>
        </row>
        <row r="13954">
          <cell r="E13954">
            <v>0</v>
          </cell>
          <cell r="F13954">
            <v>0</v>
          </cell>
          <cell r="DN13954">
            <v>0</v>
          </cell>
        </row>
        <row r="13955">
          <cell r="E13955">
            <v>0</v>
          </cell>
          <cell r="F13955">
            <v>0</v>
          </cell>
          <cell r="DN13955">
            <v>0</v>
          </cell>
        </row>
        <row r="13956">
          <cell r="E13956">
            <v>0</v>
          </cell>
          <cell r="F13956">
            <v>0</v>
          </cell>
          <cell r="DN13956">
            <v>0</v>
          </cell>
        </row>
        <row r="13957">
          <cell r="E13957">
            <v>0</v>
          </cell>
          <cell r="F13957">
            <v>0</v>
          </cell>
          <cell r="DN13957">
            <v>0</v>
          </cell>
        </row>
        <row r="13958">
          <cell r="E13958">
            <v>0</v>
          </cell>
          <cell r="F13958">
            <v>0</v>
          </cell>
          <cell r="DN13958">
            <v>0</v>
          </cell>
        </row>
        <row r="13959">
          <cell r="E13959">
            <v>0</v>
          </cell>
          <cell r="F13959">
            <v>0</v>
          </cell>
          <cell r="DN13959">
            <v>0</v>
          </cell>
        </row>
        <row r="13960">
          <cell r="E13960">
            <v>0</v>
          </cell>
          <cell r="F13960">
            <v>0</v>
          </cell>
          <cell r="DN13960">
            <v>0</v>
          </cell>
        </row>
        <row r="13961">
          <cell r="E13961">
            <v>0</v>
          </cell>
          <cell r="F13961">
            <v>0</v>
          </cell>
          <cell r="DN13961">
            <v>0</v>
          </cell>
        </row>
        <row r="13962">
          <cell r="E13962">
            <v>0</v>
          </cell>
          <cell r="F13962">
            <v>0</v>
          </cell>
          <cell r="DN13962">
            <v>0</v>
          </cell>
        </row>
        <row r="13963">
          <cell r="E13963">
            <v>0</v>
          </cell>
          <cell r="F13963">
            <v>0</v>
          </cell>
          <cell r="DN13963">
            <v>0</v>
          </cell>
        </row>
        <row r="13964">
          <cell r="E13964">
            <v>0</v>
          </cell>
          <cell r="F13964">
            <v>0</v>
          </cell>
          <cell r="DN13964">
            <v>0</v>
          </cell>
        </row>
        <row r="13965">
          <cell r="E13965">
            <v>0</v>
          </cell>
          <cell r="F13965">
            <v>0</v>
          </cell>
          <cell r="DN13965">
            <v>0</v>
          </cell>
        </row>
        <row r="13966">
          <cell r="E13966">
            <v>0</v>
          </cell>
          <cell r="F13966">
            <v>0</v>
          </cell>
          <cell r="DN13966">
            <v>0</v>
          </cell>
        </row>
        <row r="13967">
          <cell r="E13967">
            <v>0</v>
          </cell>
          <cell r="F13967">
            <v>0</v>
          </cell>
          <cell r="DN13967">
            <v>0</v>
          </cell>
        </row>
        <row r="13968">
          <cell r="E13968">
            <v>0</v>
          </cell>
          <cell r="F13968">
            <v>0</v>
          </cell>
          <cell r="DN13968">
            <v>0</v>
          </cell>
        </row>
        <row r="13969">
          <cell r="E13969">
            <v>0</v>
          </cell>
          <cell r="F13969">
            <v>0</v>
          </cell>
          <cell r="DN13969">
            <v>0</v>
          </cell>
        </row>
        <row r="13970">
          <cell r="E13970">
            <v>0</v>
          </cell>
          <cell r="F13970">
            <v>0</v>
          </cell>
          <cell r="DN13970">
            <v>0</v>
          </cell>
        </row>
        <row r="13971">
          <cell r="E13971">
            <v>0</v>
          </cell>
          <cell r="F13971">
            <v>0</v>
          </cell>
          <cell r="DN13971">
            <v>0</v>
          </cell>
        </row>
        <row r="13972">
          <cell r="E13972">
            <v>0</v>
          </cell>
          <cell r="F13972">
            <v>0</v>
          </cell>
          <cell r="DN13972">
            <v>0</v>
          </cell>
        </row>
        <row r="13973">
          <cell r="E13973">
            <v>0</v>
          </cell>
          <cell r="F13973">
            <v>0</v>
          </cell>
          <cell r="DN13973">
            <v>0</v>
          </cell>
        </row>
        <row r="13974">
          <cell r="E13974">
            <v>0</v>
          </cell>
          <cell r="F13974">
            <v>0</v>
          </cell>
          <cell r="DN13974">
            <v>0</v>
          </cell>
        </row>
        <row r="13975">
          <cell r="E13975">
            <v>0</v>
          </cell>
          <cell r="F13975">
            <v>0</v>
          </cell>
          <cell r="DN13975">
            <v>0</v>
          </cell>
        </row>
        <row r="13976">
          <cell r="E13976">
            <v>0</v>
          </cell>
          <cell r="F13976">
            <v>0</v>
          </cell>
          <cell r="DN13976">
            <v>0</v>
          </cell>
        </row>
        <row r="13977">
          <cell r="E13977">
            <v>0</v>
          </cell>
          <cell r="F13977">
            <v>0</v>
          </cell>
          <cell r="DN13977">
            <v>0</v>
          </cell>
        </row>
        <row r="13978">
          <cell r="E13978">
            <v>0</v>
          </cell>
          <cell r="F13978">
            <v>0</v>
          </cell>
          <cell r="DN13978">
            <v>0</v>
          </cell>
        </row>
        <row r="13979">
          <cell r="E13979">
            <v>0</v>
          </cell>
          <cell r="F13979">
            <v>0</v>
          </cell>
          <cell r="DN13979">
            <v>0</v>
          </cell>
        </row>
        <row r="13980">
          <cell r="E13980">
            <v>0</v>
          </cell>
          <cell r="F13980">
            <v>0</v>
          </cell>
          <cell r="DN13980">
            <v>0</v>
          </cell>
        </row>
        <row r="13981">
          <cell r="E13981">
            <v>0</v>
          </cell>
          <cell r="F13981">
            <v>0</v>
          </cell>
          <cell r="DN13981">
            <v>0</v>
          </cell>
        </row>
        <row r="13982">
          <cell r="E13982">
            <v>0</v>
          </cell>
          <cell r="F13982">
            <v>0</v>
          </cell>
          <cell r="DN13982">
            <v>0</v>
          </cell>
        </row>
        <row r="13983">
          <cell r="E13983">
            <v>0</v>
          </cell>
          <cell r="F13983">
            <v>0</v>
          </cell>
          <cell r="DN13983">
            <v>0</v>
          </cell>
        </row>
        <row r="13984">
          <cell r="E13984">
            <v>0</v>
          </cell>
          <cell r="F13984">
            <v>0</v>
          </cell>
          <cell r="DN13984">
            <v>0</v>
          </cell>
        </row>
        <row r="13985">
          <cell r="E13985">
            <v>0</v>
          </cell>
          <cell r="F13985">
            <v>0</v>
          </cell>
          <cell r="DN13985">
            <v>0</v>
          </cell>
        </row>
        <row r="13986">
          <cell r="E13986">
            <v>0</v>
          </cell>
          <cell r="F13986">
            <v>0</v>
          </cell>
          <cell r="DN13986">
            <v>0</v>
          </cell>
        </row>
        <row r="13987">
          <cell r="E13987">
            <v>0</v>
          </cell>
          <cell r="F13987">
            <v>0</v>
          </cell>
          <cell r="DN13987">
            <v>0</v>
          </cell>
        </row>
        <row r="13988">
          <cell r="E13988">
            <v>0</v>
          </cell>
          <cell r="F13988">
            <v>0</v>
          </cell>
          <cell r="DN13988">
            <v>0</v>
          </cell>
        </row>
        <row r="13989">
          <cell r="E13989">
            <v>0</v>
          </cell>
          <cell r="F13989">
            <v>0</v>
          </cell>
          <cell r="DN13989">
            <v>0</v>
          </cell>
        </row>
        <row r="13990">
          <cell r="E13990">
            <v>0</v>
          </cell>
          <cell r="F13990">
            <v>0</v>
          </cell>
          <cell r="DN13990">
            <v>0</v>
          </cell>
        </row>
        <row r="13991">
          <cell r="E13991">
            <v>0</v>
          </cell>
          <cell r="F13991">
            <v>0</v>
          </cell>
          <cell r="DN13991">
            <v>0</v>
          </cell>
        </row>
        <row r="13992">
          <cell r="E13992">
            <v>0</v>
          </cell>
          <cell r="F13992">
            <v>0</v>
          </cell>
          <cell r="DN13992">
            <v>0</v>
          </cell>
        </row>
        <row r="13993">
          <cell r="E13993">
            <v>0</v>
          </cell>
          <cell r="F13993">
            <v>0</v>
          </cell>
          <cell r="DN13993">
            <v>0</v>
          </cell>
        </row>
        <row r="13994">
          <cell r="E13994">
            <v>0</v>
          </cell>
          <cell r="F13994">
            <v>0</v>
          </cell>
          <cell r="DN13994">
            <v>0</v>
          </cell>
        </row>
        <row r="13995">
          <cell r="E13995">
            <v>0</v>
          </cell>
          <cell r="F13995">
            <v>0</v>
          </cell>
          <cell r="DN13995">
            <v>0</v>
          </cell>
        </row>
        <row r="13996">
          <cell r="E13996">
            <v>0</v>
          </cell>
          <cell r="F13996">
            <v>0</v>
          </cell>
          <cell r="DN13996">
            <v>0</v>
          </cell>
        </row>
        <row r="13997">
          <cell r="E13997">
            <v>0</v>
          </cell>
          <cell r="F13997">
            <v>0</v>
          </cell>
          <cell r="DN13997">
            <v>0</v>
          </cell>
        </row>
        <row r="13998">
          <cell r="E13998">
            <v>0</v>
          </cell>
          <cell r="F13998">
            <v>0</v>
          </cell>
          <cell r="DN13998">
            <v>0</v>
          </cell>
        </row>
        <row r="13999">
          <cell r="E13999">
            <v>0</v>
          </cell>
          <cell r="F13999">
            <v>0</v>
          </cell>
          <cell r="DN13999">
            <v>0</v>
          </cell>
        </row>
        <row r="14000">
          <cell r="E14000">
            <v>0</v>
          </cell>
          <cell r="F14000">
            <v>0</v>
          </cell>
          <cell r="DN14000">
            <v>0</v>
          </cell>
        </row>
        <row r="14001">
          <cell r="E14001">
            <v>0</v>
          </cell>
          <cell r="F14001">
            <v>0</v>
          </cell>
          <cell r="DN14001">
            <v>0</v>
          </cell>
        </row>
        <row r="14002">
          <cell r="E14002">
            <v>0</v>
          </cell>
          <cell r="F14002">
            <v>0</v>
          </cell>
          <cell r="DN14002">
            <v>0</v>
          </cell>
        </row>
        <row r="14003">
          <cell r="E14003">
            <v>0</v>
          </cell>
          <cell r="F14003">
            <v>0</v>
          </cell>
          <cell r="DN14003">
            <v>0</v>
          </cell>
        </row>
        <row r="14004">
          <cell r="E14004">
            <v>0</v>
          </cell>
          <cell r="F14004">
            <v>0</v>
          </cell>
          <cell r="DN14004">
            <v>0</v>
          </cell>
        </row>
        <row r="14005">
          <cell r="E14005">
            <v>0</v>
          </cell>
          <cell r="F14005">
            <v>0</v>
          </cell>
          <cell r="DN14005">
            <v>0</v>
          </cell>
        </row>
        <row r="14006">
          <cell r="E14006">
            <v>0</v>
          </cell>
          <cell r="F14006">
            <v>0</v>
          </cell>
          <cell r="DN14006">
            <v>0</v>
          </cell>
        </row>
        <row r="14007">
          <cell r="E14007">
            <v>0</v>
          </cell>
          <cell r="F14007">
            <v>0</v>
          </cell>
          <cell r="DN14007">
            <v>0</v>
          </cell>
        </row>
        <row r="14008">
          <cell r="E14008">
            <v>0</v>
          </cell>
          <cell r="F14008">
            <v>0</v>
          </cell>
          <cell r="DN14008">
            <v>0</v>
          </cell>
        </row>
        <row r="14009">
          <cell r="E14009">
            <v>0</v>
          </cell>
          <cell r="F14009">
            <v>0</v>
          </cell>
          <cell r="DN14009">
            <v>0</v>
          </cell>
        </row>
        <row r="14010">
          <cell r="E14010">
            <v>0</v>
          </cell>
          <cell r="F14010">
            <v>0</v>
          </cell>
          <cell r="DN14010">
            <v>0</v>
          </cell>
        </row>
        <row r="14011">
          <cell r="E14011">
            <v>0</v>
          </cell>
          <cell r="F14011">
            <v>0</v>
          </cell>
          <cell r="DN14011">
            <v>0</v>
          </cell>
        </row>
        <row r="14012">
          <cell r="E14012">
            <v>0</v>
          </cell>
          <cell r="F14012">
            <v>0</v>
          </cell>
          <cell r="DN14012">
            <v>0</v>
          </cell>
        </row>
        <row r="14013">
          <cell r="E14013">
            <v>0</v>
          </cell>
          <cell r="F14013">
            <v>0</v>
          </cell>
          <cell r="DN14013">
            <v>0</v>
          </cell>
        </row>
        <row r="14014">
          <cell r="E14014">
            <v>0</v>
          </cell>
          <cell r="F14014">
            <v>0</v>
          </cell>
          <cell r="DN14014">
            <v>0</v>
          </cell>
        </row>
        <row r="14015">
          <cell r="E14015">
            <v>0</v>
          </cell>
          <cell r="F14015">
            <v>0</v>
          </cell>
          <cell r="DN14015">
            <v>0</v>
          </cell>
        </row>
        <row r="14016">
          <cell r="E14016">
            <v>0</v>
          </cell>
          <cell r="F14016">
            <v>0</v>
          </cell>
          <cell r="DN14016">
            <v>0</v>
          </cell>
        </row>
        <row r="14017">
          <cell r="E14017">
            <v>0</v>
          </cell>
          <cell r="F14017">
            <v>0</v>
          </cell>
          <cell r="DN14017">
            <v>0</v>
          </cell>
        </row>
        <row r="14018">
          <cell r="E14018">
            <v>0</v>
          </cell>
          <cell r="F14018">
            <v>0</v>
          </cell>
          <cell r="DN14018">
            <v>0</v>
          </cell>
        </row>
        <row r="14019">
          <cell r="E14019">
            <v>0</v>
          </cell>
          <cell r="F14019">
            <v>0</v>
          </cell>
          <cell r="DN14019">
            <v>0</v>
          </cell>
        </row>
        <row r="14020">
          <cell r="E14020">
            <v>0</v>
          </cell>
          <cell r="F14020">
            <v>0</v>
          </cell>
          <cell r="DN14020">
            <v>0</v>
          </cell>
        </row>
        <row r="14021">
          <cell r="E14021">
            <v>0</v>
          </cell>
          <cell r="F14021">
            <v>0</v>
          </cell>
          <cell r="DN14021">
            <v>0</v>
          </cell>
        </row>
        <row r="14022">
          <cell r="E14022">
            <v>0</v>
          </cell>
          <cell r="F14022">
            <v>0</v>
          </cell>
          <cell r="DN14022">
            <v>0</v>
          </cell>
        </row>
        <row r="14023">
          <cell r="E14023">
            <v>0</v>
          </cell>
          <cell r="F14023">
            <v>0</v>
          </cell>
          <cell r="DN14023">
            <v>0</v>
          </cell>
        </row>
        <row r="14024">
          <cell r="E14024">
            <v>0</v>
          </cell>
          <cell r="F14024">
            <v>0</v>
          </cell>
          <cell r="DN14024">
            <v>0</v>
          </cell>
        </row>
        <row r="14025">
          <cell r="E14025">
            <v>0</v>
          </cell>
          <cell r="F14025">
            <v>0</v>
          </cell>
          <cell r="DN14025">
            <v>0</v>
          </cell>
        </row>
        <row r="14026">
          <cell r="E14026">
            <v>0</v>
          </cell>
          <cell r="F14026">
            <v>0</v>
          </cell>
          <cell r="DN14026">
            <v>0</v>
          </cell>
        </row>
        <row r="14027">
          <cell r="E14027">
            <v>0</v>
          </cell>
          <cell r="F14027">
            <v>0</v>
          </cell>
          <cell r="DN14027">
            <v>0</v>
          </cell>
        </row>
        <row r="14028">
          <cell r="E14028">
            <v>0</v>
          </cell>
          <cell r="F14028">
            <v>0</v>
          </cell>
          <cell r="DN14028">
            <v>0</v>
          </cell>
        </row>
        <row r="14029">
          <cell r="E14029">
            <v>0</v>
          </cell>
          <cell r="F14029">
            <v>0</v>
          </cell>
          <cell r="DN14029">
            <v>0</v>
          </cell>
        </row>
        <row r="14030">
          <cell r="E14030">
            <v>0</v>
          </cell>
          <cell r="F14030">
            <v>0</v>
          </cell>
          <cell r="DN14030">
            <v>0</v>
          </cell>
        </row>
        <row r="14031">
          <cell r="E14031">
            <v>0</v>
          </cell>
          <cell r="F14031">
            <v>0</v>
          </cell>
          <cell r="DN14031">
            <v>0</v>
          </cell>
        </row>
        <row r="14032">
          <cell r="E14032">
            <v>0</v>
          </cell>
          <cell r="F14032">
            <v>0</v>
          </cell>
          <cell r="DN14032">
            <v>0</v>
          </cell>
        </row>
        <row r="14033">
          <cell r="E14033">
            <v>0</v>
          </cell>
          <cell r="F14033">
            <v>0</v>
          </cell>
          <cell r="DN14033">
            <v>0</v>
          </cell>
        </row>
        <row r="14034">
          <cell r="E14034">
            <v>0</v>
          </cell>
          <cell r="F14034">
            <v>0</v>
          </cell>
          <cell r="DN14034">
            <v>0</v>
          </cell>
        </row>
        <row r="14035">
          <cell r="E14035">
            <v>0</v>
          </cell>
          <cell r="F14035">
            <v>0</v>
          </cell>
          <cell r="DN14035">
            <v>0</v>
          </cell>
        </row>
        <row r="14036">
          <cell r="E14036">
            <v>0</v>
          </cell>
          <cell r="F14036">
            <v>0</v>
          </cell>
          <cell r="DN14036">
            <v>0</v>
          </cell>
        </row>
        <row r="14037">
          <cell r="E14037">
            <v>0</v>
          </cell>
          <cell r="F14037">
            <v>0</v>
          </cell>
          <cell r="DN14037">
            <v>0</v>
          </cell>
        </row>
        <row r="14038">
          <cell r="E14038">
            <v>0</v>
          </cell>
          <cell r="F14038">
            <v>0</v>
          </cell>
          <cell r="DN14038">
            <v>0</v>
          </cell>
        </row>
        <row r="14039">
          <cell r="E14039">
            <v>0</v>
          </cell>
          <cell r="F14039">
            <v>0</v>
          </cell>
          <cell r="DN14039">
            <v>0</v>
          </cell>
        </row>
        <row r="14040">
          <cell r="E14040">
            <v>0</v>
          </cell>
          <cell r="F14040">
            <v>0</v>
          </cell>
          <cell r="DN14040">
            <v>0</v>
          </cell>
        </row>
        <row r="14041">
          <cell r="E14041">
            <v>0</v>
          </cell>
          <cell r="F14041">
            <v>0</v>
          </cell>
          <cell r="DN14041">
            <v>0</v>
          </cell>
        </row>
        <row r="14042">
          <cell r="E14042">
            <v>0</v>
          </cell>
          <cell r="F14042">
            <v>0</v>
          </cell>
          <cell r="DN14042">
            <v>0</v>
          </cell>
        </row>
        <row r="14043">
          <cell r="E14043">
            <v>0</v>
          </cell>
          <cell r="F14043">
            <v>0</v>
          </cell>
          <cell r="DN14043">
            <v>0</v>
          </cell>
        </row>
        <row r="14044">
          <cell r="E14044">
            <v>0</v>
          </cell>
          <cell r="F14044">
            <v>0</v>
          </cell>
          <cell r="DN14044">
            <v>0</v>
          </cell>
        </row>
        <row r="14045">
          <cell r="E14045">
            <v>0</v>
          </cell>
          <cell r="F14045">
            <v>0</v>
          </cell>
          <cell r="DN14045">
            <v>0</v>
          </cell>
        </row>
        <row r="14046">
          <cell r="E14046">
            <v>0</v>
          </cell>
          <cell r="F14046">
            <v>0</v>
          </cell>
          <cell r="DN14046">
            <v>0</v>
          </cell>
        </row>
        <row r="14047">
          <cell r="E14047">
            <v>0</v>
          </cell>
          <cell r="F14047">
            <v>0</v>
          </cell>
          <cell r="DN14047">
            <v>0</v>
          </cell>
        </row>
        <row r="14048">
          <cell r="E14048">
            <v>0</v>
          </cell>
          <cell r="F14048">
            <v>0</v>
          </cell>
          <cell r="DN14048">
            <v>0</v>
          </cell>
        </row>
        <row r="14049">
          <cell r="E14049">
            <v>0</v>
          </cell>
          <cell r="F14049">
            <v>0</v>
          </cell>
          <cell r="DN14049">
            <v>0</v>
          </cell>
        </row>
        <row r="14050">
          <cell r="E14050">
            <v>0</v>
          </cell>
          <cell r="F14050">
            <v>0</v>
          </cell>
          <cell r="DN14050">
            <v>0</v>
          </cell>
        </row>
        <row r="14051">
          <cell r="E14051">
            <v>0</v>
          </cell>
          <cell r="F14051">
            <v>0</v>
          </cell>
          <cell r="DN14051">
            <v>0</v>
          </cell>
        </row>
        <row r="14052">
          <cell r="E14052">
            <v>0</v>
          </cell>
          <cell r="F14052">
            <v>0</v>
          </cell>
          <cell r="DN14052">
            <v>0</v>
          </cell>
        </row>
        <row r="14053">
          <cell r="E14053">
            <v>0</v>
          </cell>
          <cell r="F14053">
            <v>0</v>
          </cell>
          <cell r="DN14053">
            <v>0</v>
          </cell>
        </row>
        <row r="14054">
          <cell r="E14054">
            <v>0</v>
          </cell>
          <cell r="F14054">
            <v>0</v>
          </cell>
          <cell r="DN14054">
            <v>0</v>
          </cell>
        </row>
        <row r="14055">
          <cell r="E14055">
            <v>0</v>
          </cell>
          <cell r="F14055">
            <v>0</v>
          </cell>
          <cell r="DN14055">
            <v>0</v>
          </cell>
        </row>
        <row r="14056">
          <cell r="E14056">
            <v>0</v>
          </cell>
          <cell r="F14056">
            <v>0</v>
          </cell>
          <cell r="DN14056">
            <v>0</v>
          </cell>
        </row>
        <row r="14057">
          <cell r="E14057">
            <v>0</v>
          </cell>
          <cell r="F14057">
            <v>0</v>
          </cell>
          <cell r="DN14057">
            <v>0</v>
          </cell>
        </row>
        <row r="14058">
          <cell r="E14058">
            <v>0</v>
          </cell>
          <cell r="F14058">
            <v>0</v>
          </cell>
          <cell r="DN14058">
            <v>0</v>
          </cell>
        </row>
        <row r="14059">
          <cell r="E14059">
            <v>0</v>
          </cell>
          <cell r="F14059">
            <v>0</v>
          </cell>
          <cell r="DN14059">
            <v>0</v>
          </cell>
        </row>
        <row r="14060">
          <cell r="E14060">
            <v>0</v>
          </cell>
          <cell r="F14060">
            <v>0</v>
          </cell>
          <cell r="DN14060">
            <v>0</v>
          </cell>
        </row>
        <row r="14061">
          <cell r="E14061">
            <v>0</v>
          </cell>
          <cell r="F14061">
            <v>0</v>
          </cell>
          <cell r="DN14061">
            <v>0</v>
          </cell>
        </row>
        <row r="14062">
          <cell r="E14062">
            <v>0</v>
          </cell>
          <cell r="F14062">
            <v>0</v>
          </cell>
          <cell r="DN14062">
            <v>0</v>
          </cell>
        </row>
        <row r="14063">
          <cell r="E14063">
            <v>0</v>
          </cell>
          <cell r="F14063">
            <v>0</v>
          </cell>
          <cell r="DN14063">
            <v>0</v>
          </cell>
        </row>
        <row r="14064">
          <cell r="E14064">
            <v>0</v>
          </cell>
          <cell r="F14064">
            <v>0</v>
          </cell>
          <cell r="DN14064">
            <v>0</v>
          </cell>
        </row>
        <row r="14065">
          <cell r="E14065">
            <v>0</v>
          </cell>
          <cell r="F14065">
            <v>0</v>
          </cell>
          <cell r="DN14065">
            <v>0</v>
          </cell>
        </row>
        <row r="14066">
          <cell r="E14066">
            <v>0</v>
          </cell>
          <cell r="F14066">
            <v>0</v>
          </cell>
          <cell r="DN14066">
            <v>0</v>
          </cell>
        </row>
        <row r="14067">
          <cell r="E14067">
            <v>0</v>
          </cell>
          <cell r="F14067">
            <v>0</v>
          </cell>
          <cell r="DN14067">
            <v>0</v>
          </cell>
        </row>
        <row r="14068">
          <cell r="E14068">
            <v>0</v>
          </cell>
          <cell r="F14068">
            <v>0</v>
          </cell>
          <cell r="DN14068">
            <v>0</v>
          </cell>
        </row>
        <row r="14069">
          <cell r="E14069">
            <v>0</v>
          </cell>
          <cell r="F14069">
            <v>0</v>
          </cell>
          <cell r="DN14069">
            <v>0</v>
          </cell>
        </row>
        <row r="14070">
          <cell r="E14070">
            <v>0</v>
          </cell>
          <cell r="F14070">
            <v>0</v>
          </cell>
          <cell r="DN14070">
            <v>0</v>
          </cell>
        </row>
        <row r="14071">
          <cell r="E14071">
            <v>0</v>
          </cell>
          <cell r="F14071">
            <v>0</v>
          </cell>
          <cell r="DN14071">
            <v>0</v>
          </cell>
        </row>
        <row r="14072">
          <cell r="E14072">
            <v>0</v>
          </cell>
          <cell r="F14072">
            <v>0</v>
          </cell>
          <cell r="DN14072">
            <v>0</v>
          </cell>
        </row>
        <row r="14073">
          <cell r="E14073">
            <v>0</v>
          </cell>
          <cell r="F14073">
            <v>0</v>
          </cell>
          <cell r="DN14073">
            <v>0</v>
          </cell>
        </row>
        <row r="14074">
          <cell r="E14074">
            <v>0</v>
          </cell>
          <cell r="F14074">
            <v>0</v>
          </cell>
          <cell r="DN14074">
            <v>0</v>
          </cell>
        </row>
        <row r="14075">
          <cell r="E14075">
            <v>0</v>
          </cell>
          <cell r="F14075">
            <v>0</v>
          </cell>
          <cell r="DN14075">
            <v>0</v>
          </cell>
        </row>
        <row r="14076">
          <cell r="E14076">
            <v>0</v>
          </cell>
          <cell r="F14076">
            <v>0</v>
          </cell>
          <cell r="DN14076">
            <v>0</v>
          </cell>
        </row>
        <row r="14077">
          <cell r="E14077">
            <v>0</v>
          </cell>
          <cell r="F14077">
            <v>0</v>
          </cell>
          <cell r="DN14077">
            <v>0</v>
          </cell>
        </row>
        <row r="14078">
          <cell r="E14078">
            <v>0</v>
          </cell>
          <cell r="F14078">
            <v>0</v>
          </cell>
          <cell r="DN14078">
            <v>0</v>
          </cell>
        </row>
        <row r="14079">
          <cell r="E14079">
            <v>0</v>
          </cell>
          <cell r="F14079">
            <v>0</v>
          </cell>
          <cell r="DN14079">
            <v>0</v>
          </cell>
        </row>
        <row r="14080">
          <cell r="E14080">
            <v>0</v>
          </cell>
          <cell r="F14080">
            <v>0</v>
          </cell>
          <cell r="DN14080">
            <v>0</v>
          </cell>
        </row>
        <row r="14081">
          <cell r="E14081">
            <v>0</v>
          </cell>
          <cell r="F14081">
            <v>0</v>
          </cell>
          <cell r="DN14081">
            <v>0</v>
          </cell>
        </row>
        <row r="14082">
          <cell r="E14082">
            <v>0</v>
          </cell>
          <cell r="F14082">
            <v>0</v>
          </cell>
          <cell r="DN14082">
            <v>0</v>
          </cell>
        </row>
        <row r="14083">
          <cell r="E14083">
            <v>0</v>
          </cell>
          <cell r="F14083">
            <v>0</v>
          </cell>
          <cell r="DN14083">
            <v>0</v>
          </cell>
        </row>
        <row r="14084">
          <cell r="E14084">
            <v>0</v>
          </cell>
          <cell r="F14084">
            <v>0</v>
          </cell>
          <cell r="DN14084">
            <v>0</v>
          </cell>
        </row>
        <row r="14085">
          <cell r="E14085">
            <v>0</v>
          </cell>
          <cell r="F14085">
            <v>0</v>
          </cell>
          <cell r="DN14085">
            <v>0</v>
          </cell>
        </row>
        <row r="14086">
          <cell r="E14086">
            <v>0</v>
          </cell>
          <cell r="F14086">
            <v>0</v>
          </cell>
          <cell r="DN14086">
            <v>0</v>
          </cell>
        </row>
        <row r="14087">
          <cell r="E14087">
            <v>0</v>
          </cell>
          <cell r="F14087">
            <v>0</v>
          </cell>
          <cell r="DN14087">
            <v>0</v>
          </cell>
        </row>
        <row r="14088">
          <cell r="E14088">
            <v>0</v>
          </cell>
          <cell r="F14088">
            <v>0</v>
          </cell>
          <cell r="DN14088">
            <v>0</v>
          </cell>
        </row>
        <row r="14089">
          <cell r="E14089">
            <v>0</v>
          </cell>
          <cell r="F14089">
            <v>0</v>
          </cell>
          <cell r="DN14089">
            <v>0</v>
          </cell>
        </row>
        <row r="14090">
          <cell r="E14090">
            <v>0</v>
          </cell>
          <cell r="F14090">
            <v>0</v>
          </cell>
          <cell r="DN14090">
            <v>0</v>
          </cell>
        </row>
        <row r="14091">
          <cell r="E14091">
            <v>0</v>
          </cell>
          <cell r="F14091">
            <v>0</v>
          </cell>
          <cell r="DN14091">
            <v>0</v>
          </cell>
        </row>
        <row r="14092">
          <cell r="E14092">
            <v>0</v>
          </cell>
          <cell r="F14092">
            <v>0</v>
          </cell>
          <cell r="DN14092">
            <v>0</v>
          </cell>
        </row>
        <row r="14093">
          <cell r="E14093">
            <v>0</v>
          </cell>
          <cell r="F14093">
            <v>0</v>
          </cell>
          <cell r="DN14093">
            <v>0</v>
          </cell>
        </row>
        <row r="14094">
          <cell r="E14094">
            <v>0</v>
          </cell>
          <cell r="F14094">
            <v>0</v>
          </cell>
          <cell r="DN14094">
            <v>0</v>
          </cell>
        </row>
        <row r="14095">
          <cell r="E14095">
            <v>0</v>
          </cell>
          <cell r="F14095">
            <v>0</v>
          </cell>
          <cell r="DN14095">
            <v>0</v>
          </cell>
        </row>
        <row r="14096">
          <cell r="E14096">
            <v>0</v>
          </cell>
          <cell r="F14096">
            <v>0</v>
          </cell>
          <cell r="DN14096">
            <v>0</v>
          </cell>
        </row>
        <row r="14097">
          <cell r="E14097">
            <v>0</v>
          </cell>
          <cell r="F14097">
            <v>0</v>
          </cell>
          <cell r="DN14097">
            <v>0</v>
          </cell>
        </row>
        <row r="14098">
          <cell r="E14098">
            <v>0</v>
          </cell>
          <cell r="F14098">
            <v>0</v>
          </cell>
          <cell r="DN14098">
            <v>0</v>
          </cell>
        </row>
        <row r="14099">
          <cell r="E14099">
            <v>0</v>
          </cell>
          <cell r="F14099">
            <v>0</v>
          </cell>
          <cell r="DN14099">
            <v>0</v>
          </cell>
        </row>
        <row r="14100">
          <cell r="E14100">
            <v>0</v>
          </cell>
          <cell r="F14100">
            <v>0</v>
          </cell>
          <cell r="DN14100">
            <v>0</v>
          </cell>
        </row>
        <row r="14101">
          <cell r="E14101">
            <v>0</v>
          </cell>
          <cell r="F14101">
            <v>0</v>
          </cell>
          <cell r="DN14101">
            <v>0</v>
          </cell>
        </row>
        <row r="14102">
          <cell r="E14102">
            <v>0</v>
          </cell>
          <cell r="F14102">
            <v>0</v>
          </cell>
          <cell r="DN14102">
            <v>0</v>
          </cell>
        </row>
        <row r="14103">
          <cell r="E14103">
            <v>0</v>
          </cell>
          <cell r="F14103">
            <v>0</v>
          </cell>
          <cell r="DN14103">
            <v>0</v>
          </cell>
        </row>
        <row r="14104">
          <cell r="E14104">
            <v>0</v>
          </cell>
          <cell r="F14104">
            <v>0</v>
          </cell>
          <cell r="DN14104">
            <v>0</v>
          </cell>
        </row>
        <row r="14105">
          <cell r="E14105">
            <v>0</v>
          </cell>
          <cell r="F14105">
            <v>0</v>
          </cell>
          <cell r="DN14105">
            <v>0</v>
          </cell>
        </row>
        <row r="14106">
          <cell r="E14106">
            <v>0</v>
          </cell>
          <cell r="F14106">
            <v>0</v>
          </cell>
          <cell r="DN14106">
            <v>0</v>
          </cell>
        </row>
        <row r="14107">
          <cell r="E14107">
            <v>0</v>
          </cell>
          <cell r="F14107">
            <v>0</v>
          </cell>
          <cell r="DN14107">
            <v>0</v>
          </cell>
        </row>
        <row r="14108">
          <cell r="E14108">
            <v>0</v>
          </cell>
          <cell r="F14108">
            <v>0</v>
          </cell>
          <cell r="DN14108">
            <v>0</v>
          </cell>
        </row>
        <row r="14109">
          <cell r="E14109">
            <v>0</v>
          </cell>
          <cell r="F14109">
            <v>0</v>
          </cell>
          <cell r="DN14109">
            <v>0</v>
          </cell>
        </row>
        <row r="14110">
          <cell r="E14110">
            <v>0</v>
          </cell>
          <cell r="F14110">
            <v>0</v>
          </cell>
          <cell r="DN14110">
            <v>0</v>
          </cell>
        </row>
        <row r="14111">
          <cell r="E14111">
            <v>0</v>
          </cell>
          <cell r="F14111">
            <v>0</v>
          </cell>
          <cell r="DN14111">
            <v>0</v>
          </cell>
        </row>
        <row r="14112">
          <cell r="E14112">
            <v>0</v>
          </cell>
          <cell r="F14112">
            <v>0</v>
          </cell>
          <cell r="DN14112">
            <v>0</v>
          </cell>
        </row>
        <row r="14113">
          <cell r="E14113">
            <v>0</v>
          </cell>
          <cell r="F14113">
            <v>0</v>
          </cell>
          <cell r="DN14113">
            <v>0</v>
          </cell>
        </row>
        <row r="14114">
          <cell r="E14114">
            <v>0</v>
          </cell>
          <cell r="F14114">
            <v>0</v>
          </cell>
          <cell r="DN14114">
            <v>0</v>
          </cell>
        </row>
        <row r="14115">
          <cell r="E14115">
            <v>0</v>
          </cell>
          <cell r="F14115">
            <v>0</v>
          </cell>
          <cell r="DN14115">
            <v>0</v>
          </cell>
        </row>
        <row r="14116">
          <cell r="E14116">
            <v>0</v>
          </cell>
          <cell r="F14116">
            <v>0</v>
          </cell>
          <cell r="DN14116">
            <v>0</v>
          </cell>
        </row>
        <row r="14117">
          <cell r="E14117">
            <v>0</v>
          </cell>
          <cell r="F14117">
            <v>0</v>
          </cell>
          <cell r="DN14117">
            <v>0</v>
          </cell>
        </row>
        <row r="14118">
          <cell r="E14118">
            <v>0</v>
          </cell>
          <cell r="F14118">
            <v>0</v>
          </cell>
          <cell r="DN14118">
            <v>0</v>
          </cell>
        </row>
        <row r="14119">
          <cell r="E14119">
            <v>0</v>
          </cell>
          <cell r="F14119">
            <v>0</v>
          </cell>
          <cell r="DN14119">
            <v>0</v>
          </cell>
        </row>
        <row r="14120">
          <cell r="E14120">
            <v>0</v>
          </cell>
          <cell r="F14120">
            <v>0</v>
          </cell>
          <cell r="DN14120">
            <v>0</v>
          </cell>
        </row>
        <row r="14121">
          <cell r="E14121">
            <v>0</v>
          </cell>
          <cell r="F14121">
            <v>0</v>
          </cell>
          <cell r="DN14121">
            <v>0</v>
          </cell>
        </row>
        <row r="14122">
          <cell r="E14122">
            <v>0</v>
          </cell>
          <cell r="F14122">
            <v>0</v>
          </cell>
          <cell r="DN14122">
            <v>0</v>
          </cell>
        </row>
        <row r="14123">
          <cell r="E14123">
            <v>0</v>
          </cell>
          <cell r="F14123">
            <v>0</v>
          </cell>
          <cell r="DN14123">
            <v>0</v>
          </cell>
        </row>
        <row r="14124">
          <cell r="E14124">
            <v>0</v>
          </cell>
          <cell r="F14124">
            <v>0</v>
          </cell>
          <cell r="DN14124">
            <v>0</v>
          </cell>
        </row>
        <row r="14125">
          <cell r="E14125">
            <v>0</v>
          </cell>
          <cell r="F14125">
            <v>0</v>
          </cell>
          <cell r="DN14125">
            <v>0</v>
          </cell>
        </row>
        <row r="14126">
          <cell r="E14126">
            <v>0</v>
          </cell>
          <cell r="F14126">
            <v>0</v>
          </cell>
          <cell r="DN14126">
            <v>0</v>
          </cell>
        </row>
        <row r="14127">
          <cell r="E14127">
            <v>0</v>
          </cell>
          <cell r="F14127">
            <v>0</v>
          </cell>
          <cell r="DN14127">
            <v>0</v>
          </cell>
        </row>
        <row r="14128">
          <cell r="E14128">
            <v>0</v>
          </cell>
          <cell r="F14128">
            <v>0</v>
          </cell>
          <cell r="DN14128">
            <v>0</v>
          </cell>
        </row>
        <row r="14129">
          <cell r="E14129">
            <v>0</v>
          </cell>
          <cell r="F14129">
            <v>0</v>
          </cell>
          <cell r="DN14129">
            <v>0</v>
          </cell>
        </row>
        <row r="14130">
          <cell r="E14130">
            <v>0</v>
          </cell>
          <cell r="F14130">
            <v>0</v>
          </cell>
          <cell r="DN14130">
            <v>0</v>
          </cell>
        </row>
        <row r="14131">
          <cell r="E14131">
            <v>0</v>
          </cell>
          <cell r="F14131">
            <v>0</v>
          </cell>
          <cell r="DN14131">
            <v>0</v>
          </cell>
        </row>
        <row r="14132">
          <cell r="E14132">
            <v>0</v>
          </cell>
          <cell r="F14132">
            <v>0</v>
          </cell>
          <cell r="DN14132">
            <v>0</v>
          </cell>
        </row>
        <row r="14133">
          <cell r="E14133">
            <v>0</v>
          </cell>
          <cell r="F14133">
            <v>0</v>
          </cell>
          <cell r="DN14133">
            <v>0</v>
          </cell>
        </row>
        <row r="14134">
          <cell r="E14134">
            <v>0</v>
          </cell>
          <cell r="F14134">
            <v>0</v>
          </cell>
          <cell r="DN14134">
            <v>0</v>
          </cell>
        </row>
        <row r="14135">
          <cell r="E14135">
            <v>0</v>
          </cell>
          <cell r="F14135">
            <v>0</v>
          </cell>
          <cell r="DN14135">
            <v>0</v>
          </cell>
        </row>
        <row r="14136">
          <cell r="E14136">
            <v>0</v>
          </cell>
          <cell r="F14136">
            <v>0</v>
          </cell>
          <cell r="DN14136">
            <v>0</v>
          </cell>
        </row>
        <row r="14137">
          <cell r="E14137">
            <v>0</v>
          </cell>
          <cell r="F14137">
            <v>0</v>
          </cell>
          <cell r="DN14137">
            <v>0</v>
          </cell>
        </row>
        <row r="14138">
          <cell r="E14138">
            <v>0</v>
          </cell>
          <cell r="F14138">
            <v>0</v>
          </cell>
          <cell r="DN14138">
            <v>0</v>
          </cell>
        </row>
        <row r="14139">
          <cell r="E14139">
            <v>0</v>
          </cell>
          <cell r="F14139">
            <v>0</v>
          </cell>
          <cell r="DN14139">
            <v>0</v>
          </cell>
        </row>
        <row r="14140">
          <cell r="E14140">
            <v>0</v>
          </cell>
          <cell r="F14140">
            <v>0</v>
          </cell>
          <cell r="DN14140">
            <v>0</v>
          </cell>
        </row>
        <row r="14141">
          <cell r="E14141">
            <v>0</v>
          </cell>
          <cell r="F14141">
            <v>0</v>
          </cell>
          <cell r="DN14141">
            <v>0</v>
          </cell>
        </row>
        <row r="14142">
          <cell r="E14142">
            <v>0</v>
          </cell>
          <cell r="F14142">
            <v>0</v>
          </cell>
          <cell r="DN14142">
            <v>0</v>
          </cell>
        </row>
        <row r="14143">
          <cell r="E14143">
            <v>0</v>
          </cell>
          <cell r="F14143">
            <v>0</v>
          </cell>
          <cell r="DN14143">
            <v>0</v>
          </cell>
        </row>
        <row r="14144">
          <cell r="E14144">
            <v>0</v>
          </cell>
          <cell r="F14144">
            <v>0</v>
          </cell>
          <cell r="DN14144">
            <v>0</v>
          </cell>
        </row>
        <row r="14145">
          <cell r="E14145">
            <v>0</v>
          </cell>
          <cell r="F14145">
            <v>0</v>
          </cell>
          <cell r="DN14145">
            <v>0</v>
          </cell>
        </row>
        <row r="14146">
          <cell r="E14146">
            <v>0</v>
          </cell>
          <cell r="F14146">
            <v>0</v>
          </cell>
          <cell r="DN14146">
            <v>0</v>
          </cell>
        </row>
        <row r="14147">
          <cell r="E14147">
            <v>0</v>
          </cell>
          <cell r="F14147">
            <v>0</v>
          </cell>
          <cell r="DN14147">
            <v>0</v>
          </cell>
        </row>
        <row r="14148">
          <cell r="E14148">
            <v>0</v>
          </cell>
          <cell r="F14148">
            <v>0</v>
          </cell>
          <cell r="DN14148">
            <v>0</v>
          </cell>
        </row>
        <row r="14149">
          <cell r="E14149">
            <v>0</v>
          </cell>
          <cell r="F14149">
            <v>0</v>
          </cell>
          <cell r="DN14149">
            <v>0</v>
          </cell>
        </row>
        <row r="14150">
          <cell r="E14150">
            <v>0</v>
          </cell>
          <cell r="F14150">
            <v>0</v>
          </cell>
          <cell r="DN14150">
            <v>0</v>
          </cell>
        </row>
        <row r="14151">
          <cell r="E14151">
            <v>0</v>
          </cell>
          <cell r="F14151">
            <v>0</v>
          </cell>
          <cell r="DN14151">
            <v>0</v>
          </cell>
        </row>
        <row r="14152">
          <cell r="E14152">
            <v>0</v>
          </cell>
          <cell r="F14152">
            <v>0</v>
          </cell>
          <cell r="DN14152">
            <v>0</v>
          </cell>
        </row>
        <row r="14153">
          <cell r="E14153">
            <v>0</v>
          </cell>
          <cell r="F14153">
            <v>0</v>
          </cell>
          <cell r="DN14153">
            <v>0</v>
          </cell>
        </row>
        <row r="14154">
          <cell r="E14154">
            <v>0</v>
          </cell>
          <cell r="F14154">
            <v>0</v>
          </cell>
          <cell r="DN14154">
            <v>0</v>
          </cell>
        </row>
        <row r="14155">
          <cell r="E14155">
            <v>0</v>
          </cell>
          <cell r="F14155">
            <v>0</v>
          </cell>
          <cell r="DN14155">
            <v>0</v>
          </cell>
        </row>
        <row r="14156">
          <cell r="E14156">
            <v>0</v>
          </cell>
          <cell r="F14156">
            <v>0</v>
          </cell>
          <cell r="DN14156">
            <v>0</v>
          </cell>
        </row>
        <row r="14157">
          <cell r="E14157">
            <v>0</v>
          </cell>
          <cell r="F14157">
            <v>0</v>
          </cell>
          <cell r="DN14157">
            <v>0</v>
          </cell>
        </row>
        <row r="14158">
          <cell r="E14158">
            <v>0</v>
          </cell>
          <cell r="F14158">
            <v>0</v>
          </cell>
          <cell r="DN14158">
            <v>0</v>
          </cell>
        </row>
        <row r="14159">
          <cell r="E14159">
            <v>0</v>
          </cell>
          <cell r="F14159">
            <v>0</v>
          </cell>
          <cell r="DN14159">
            <v>0</v>
          </cell>
        </row>
        <row r="14160">
          <cell r="E14160">
            <v>0</v>
          </cell>
          <cell r="F14160">
            <v>0</v>
          </cell>
          <cell r="DN14160">
            <v>0</v>
          </cell>
        </row>
        <row r="14161">
          <cell r="E14161">
            <v>0</v>
          </cell>
          <cell r="F14161">
            <v>0</v>
          </cell>
          <cell r="DN14161">
            <v>0</v>
          </cell>
        </row>
        <row r="14162">
          <cell r="E14162">
            <v>0</v>
          </cell>
          <cell r="F14162">
            <v>0</v>
          </cell>
          <cell r="DN14162">
            <v>0</v>
          </cell>
        </row>
        <row r="14163">
          <cell r="E14163">
            <v>0</v>
          </cell>
          <cell r="F14163">
            <v>0</v>
          </cell>
          <cell r="DN14163">
            <v>0</v>
          </cell>
        </row>
        <row r="14164">
          <cell r="E14164">
            <v>0</v>
          </cell>
          <cell r="F14164">
            <v>0</v>
          </cell>
          <cell r="DN14164">
            <v>0</v>
          </cell>
        </row>
        <row r="14165">
          <cell r="E14165">
            <v>0</v>
          </cell>
          <cell r="F14165">
            <v>0</v>
          </cell>
          <cell r="DN14165">
            <v>0</v>
          </cell>
        </row>
        <row r="14166">
          <cell r="E14166">
            <v>0</v>
          </cell>
          <cell r="F14166">
            <v>0</v>
          </cell>
          <cell r="DN14166">
            <v>0</v>
          </cell>
        </row>
        <row r="14167">
          <cell r="E14167">
            <v>0</v>
          </cell>
          <cell r="F14167">
            <v>0</v>
          </cell>
          <cell r="DN14167">
            <v>0</v>
          </cell>
        </row>
        <row r="14168">
          <cell r="E14168">
            <v>0</v>
          </cell>
          <cell r="F14168">
            <v>0</v>
          </cell>
          <cell r="DN14168">
            <v>0</v>
          </cell>
        </row>
        <row r="14169">
          <cell r="E14169">
            <v>0</v>
          </cell>
          <cell r="F14169">
            <v>0</v>
          </cell>
          <cell r="DN14169">
            <v>0</v>
          </cell>
        </row>
        <row r="14170">
          <cell r="E14170">
            <v>0</v>
          </cell>
          <cell r="F14170">
            <v>0</v>
          </cell>
          <cell r="DN14170">
            <v>0</v>
          </cell>
        </row>
        <row r="14171">
          <cell r="E14171">
            <v>0</v>
          </cell>
          <cell r="F14171">
            <v>0</v>
          </cell>
          <cell r="DN14171">
            <v>0</v>
          </cell>
        </row>
        <row r="14172">
          <cell r="E14172">
            <v>0</v>
          </cell>
          <cell r="F14172">
            <v>0</v>
          </cell>
          <cell r="DN14172">
            <v>0</v>
          </cell>
        </row>
        <row r="14173">
          <cell r="E14173">
            <v>0</v>
          </cell>
          <cell r="F14173">
            <v>0</v>
          </cell>
          <cell r="DN14173">
            <v>0</v>
          </cell>
        </row>
        <row r="14174">
          <cell r="E14174">
            <v>0</v>
          </cell>
          <cell r="F14174">
            <v>0</v>
          </cell>
          <cell r="DN14174">
            <v>0</v>
          </cell>
        </row>
        <row r="14175">
          <cell r="E14175">
            <v>0</v>
          </cell>
          <cell r="F14175">
            <v>0</v>
          </cell>
          <cell r="DN14175">
            <v>0</v>
          </cell>
        </row>
        <row r="14176">
          <cell r="E14176">
            <v>0</v>
          </cell>
          <cell r="F14176">
            <v>0</v>
          </cell>
          <cell r="DN14176">
            <v>0</v>
          </cell>
        </row>
        <row r="14177">
          <cell r="E14177">
            <v>0</v>
          </cell>
          <cell r="F14177">
            <v>0</v>
          </cell>
          <cell r="DN14177">
            <v>0</v>
          </cell>
        </row>
        <row r="14178">
          <cell r="E14178">
            <v>0</v>
          </cell>
          <cell r="F14178">
            <v>0</v>
          </cell>
          <cell r="DN14178">
            <v>0</v>
          </cell>
        </row>
        <row r="14179">
          <cell r="E14179">
            <v>0</v>
          </cell>
          <cell r="F14179">
            <v>0</v>
          </cell>
          <cell r="DN14179">
            <v>0</v>
          </cell>
        </row>
        <row r="14180">
          <cell r="E14180">
            <v>0</v>
          </cell>
          <cell r="F14180">
            <v>0</v>
          </cell>
          <cell r="DN14180">
            <v>0</v>
          </cell>
        </row>
        <row r="14181">
          <cell r="E14181">
            <v>0</v>
          </cell>
          <cell r="F14181">
            <v>0</v>
          </cell>
          <cell r="DN14181">
            <v>0</v>
          </cell>
        </row>
        <row r="14182">
          <cell r="E14182">
            <v>0</v>
          </cell>
          <cell r="F14182">
            <v>0</v>
          </cell>
          <cell r="DN14182">
            <v>0</v>
          </cell>
        </row>
        <row r="14183">
          <cell r="E14183">
            <v>0</v>
          </cell>
          <cell r="F14183">
            <v>0</v>
          </cell>
          <cell r="DN14183">
            <v>0</v>
          </cell>
        </row>
        <row r="14184">
          <cell r="E14184">
            <v>0</v>
          </cell>
          <cell r="F14184">
            <v>0</v>
          </cell>
          <cell r="DN14184">
            <v>0</v>
          </cell>
        </row>
        <row r="14185">
          <cell r="E14185">
            <v>0</v>
          </cell>
          <cell r="F14185">
            <v>0</v>
          </cell>
          <cell r="DN14185">
            <v>0</v>
          </cell>
        </row>
        <row r="14186">
          <cell r="E14186">
            <v>0</v>
          </cell>
          <cell r="F14186">
            <v>0</v>
          </cell>
          <cell r="DN14186">
            <v>0</v>
          </cell>
        </row>
        <row r="14187">
          <cell r="E14187">
            <v>0</v>
          </cell>
          <cell r="F14187">
            <v>0</v>
          </cell>
          <cell r="DN14187">
            <v>0</v>
          </cell>
        </row>
        <row r="14188">
          <cell r="E14188">
            <v>0</v>
          </cell>
          <cell r="F14188">
            <v>0</v>
          </cell>
          <cell r="DN14188">
            <v>0</v>
          </cell>
        </row>
        <row r="14189">
          <cell r="E14189">
            <v>0</v>
          </cell>
          <cell r="F14189">
            <v>0</v>
          </cell>
          <cell r="DN14189">
            <v>0</v>
          </cell>
        </row>
        <row r="14190">
          <cell r="E14190">
            <v>0</v>
          </cell>
          <cell r="F14190">
            <v>0</v>
          </cell>
          <cell r="DN14190">
            <v>0</v>
          </cell>
        </row>
        <row r="14191">
          <cell r="E14191">
            <v>0</v>
          </cell>
          <cell r="F14191">
            <v>0</v>
          </cell>
          <cell r="DN14191">
            <v>0</v>
          </cell>
        </row>
        <row r="14192">
          <cell r="E14192">
            <v>0</v>
          </cell>
          <cell r="F14192">
            <v>0</v>
          </cell>
          <cell r="DN14192">
            <v>0</v>
          </cell>
        </row>
        <row r="14193">
          <cell r="E14193">
            <v>0</v>
          </cell>
          <cell r="F14193">
            <v>0</v>
          </cell>
          <cell r="DN14193">
            <v>0</v>
          </cell>
        </row>
        <row r="14194">
          <cell r="E14194">
            <v>0</v>
          </cell>
          <cell r="F14194">
            <v>0</v>
          </cell>
          <cell r="DN14194">
            <v>0</v>
          </cell>
        </row>
        <row r="14195">
          <cell r="E14195">
            <v>0</v>
          </cell>
          <cell r="F14195">
            <v>0</v>
          </cell>
          <cell r="DN14195">
            <v>0</v>
          </cell>
        </row>
        <row r="14196">
          <cell r="E14196">
            <v>0</v>
          </cell>
          <cell r="F14196">
            <v>0</v>
          </cell>
          <cell r="DN14196">
            <v>0</v>
          </cell>
        </row>
        <row r="14197">
          <cell r="E14197">
            <v>0</v>
          </cell>
          <cell r="F14197">
            <v>0</v>
          </cell>
          <cell r="DN14197">
            <v>0</v>
          </cell>
        </row>
        <row r="14198">
          <cell r="E14198">
            <v>0</v>
          </cell>
          <cell r="F14198">
            <v>0</v>
          </cell>
          <cell r="DN14198">
            <v>0</v>
          </cell>
        </row>
        <row r="14199">
          <cell r="E14199">
            <v>0</v>
          </cell>
          <cell r="F14199">
            <v>0</v>
          </cell>
          <cell r="DN14199">
            <v>0</v>
          </cell>
        </row>
        <row r="14200">
          <cell r="E14200">
            <v>0</v>
          </cell>
          <cell r="F14200">
            <v>0</v>
          </cell>
          <cell r="DN14200">
            <v>0</v>
          </cell>
        </row>
        <row r="14201">
          <cell r="E14201">
            <v>0</v>
          </cell>
          <cell r="F14201">
            <v>0</v>
          </cell>
          <cell r="DN14201">
            <v>0</v>
          </cell>
        </row>
        <row r="14202">
          <cell r="E14202">
            <v>0</v>
          </cell>
          <cell r="F14202">
            <v>0</v>
          </cell>
          <cell r="DN14202">
            <v>0</v>
          </cell>
        </row>
        <row r="14203">
          <cell r="E14203">
            <v>0</v>
          </cell>
          <cell r="F14203">
            <v>0</v>
          </cell>
          <cell r="DN14203">
            <v>0</v>
          </cell>
        </row>
        <row r="14204">
          <cell r="E14204">
            <v>0</v>
          </cell>
          <cell r="F14204">
            <v>0</v>
          </cell>
          <cell r="DN14204">
            <v>0</v>
          </cell>
        </row>
        <row r="14205">
          <cell r="E14205">
            <v>0</v>
          </cell>
          <cell r="F14205">
            <v>0</v>
          </cell>
          <cell r="DN14205">
            <v>0</v>
          </cell>
        </row>
        <row r="14206">
          <cell r="E14206">
            <v>0</v>
          </cell>
          <cell r="F14206">
            <v>0</v>
          </cell>
          <cell r="DN14206">
            <v>0</v>
          </cell>
        </row>
        <row r="14207">
          <cell r="E14207">
            <v>0</v>
          </cell>
          <cell r="F14207">
            <v>0</v>
          </cell>
          <cell r="DN14207">
            <v>0</v>
          </cell>
        </row>
        <row r="14208">
          <cell r="E14208">
            <v>0</v>
          </cell>
          <cell r="F14208">
            <v>0</v>
          </cell>
          <cell r="DN14208">
            <v>0</v>
          </cell>
        </row>
        <row r="14209">
          <cell r="E14209">
            <v>0</v>
          </cell>
          <cell r="F14209">
            <v>0</v>
          </cell>
          <cell r="DN14209">
            <v>0</v>
          </cell>
        </row>
        <row r="14210">
          <cell r="E14210">
            <v>0</v>
          </cell>
          <cell r="F14210">
            <v>0</v>
          </cell>
          <cell r="DN14210">
            <v>0</v>
          </cell>
        </row>
        <row r="14211">
          <cell r="E14211">
            <v>0</v>
          </cell>
          <cell r="F14211">
            <v>0</v>
          </cell>
          <cell r="DN14211">
            <v>0</v>
          </cell>
        </row>
        <row r="14212">
          <cell r="E14212">
            <v>0</v>
          </cell>
          <cell r="F14212">
            <v>0</v>
          </cell>
          <cell r="DN14212">
            <v>0</v>
          </cell>
        </row>
        <row r="14213">
          <cell r="E14213">
            <v>0</v>
          </cell>
          <cell r="F14213">
            <v>0</v>
          </cell>
          <cell r="DN14213">
            <v>0</v>
          </cell>
        </row>
        <row r="14214">
          <cell r="E14214">
            <v>0</v>
          </cell>
          <cell r="F14214">
            <v>0</v>
          </cell>
          <cell r="DN14214">
            <v>0</v>
          </cell>
        </row>
        <row r="14215">
          <cell r="E14215">
            <v>0</v>
          </cell>
          <cell r="F14215">
            <v>0</v>
          </cell>
          <cell r="DN14215">
            <v>0</v>
          </cell>
        </row>
        <row r="14216">
          <cell r="E14216">
            <v>0</v>
          </cell>
          <cell r="F14216">
            <v>0</v>
          </cell>
          <cell r="DN14216">
            <v>0</v>
          </cell>
        </row>
        <row r="14217">
          <cell r="E14217">
            <v>0</v>
          </cell>
          <cell r="F14217">
            <v>0</v>
          </cell>
          <cell r="DN14217">
            <v>0</v>
          </cell>
        </row>
        <row r="14218">
          <cell r="E14218">
            <v>0</v>
          </cell>
          <cell r="F14218">
            <v>0</v>
          </cell>
          <cell r="DN14218">
            <v>0</v>
          </cell>
        </row>
        <row r="14219">
          <cell r="E14219">
            <v>0</v>
          </cell>
          <cell r="F14219">
            <v>0</v>
          </cell>
          <cell r="DN14219">
            <v>0</v>
          </cell>
        </row>
        <row r="14220">
          <cell r="E14220">
            <v>0</v>
          </cell>
          <cell r="F14220">
            <v>0</v>
          </cell>
          <cell r="DN14220">
            <v>0</v>
          </cell>
        </row>
        <row r="14221">
          <cell r="E14221">
            <v>0</v>
          </cell>
          <cell r="F14221">
            <v>0</v>
          </cell>
          <cell r="DN14221">
            <v>0</v>
          </cell>
        </row>
        <row r="14222">
          <cell r="E14222">
            <v>0</v>
          </cell>
          <cell r="F14222">
            <v>0</v>
          </cell>
          <cell r="DN14222">
            <v>0</v>
          </cell>
        </row>
        <row r="14223">
          <cell r="E14223">
            <v>0</v>
          </cell>
          <cell r="F14223">
            <v>0</v>
          </cell>
          <cell r="DN14223">
            <v>0</v>
          </cell>
        </row>
        <row r="14224">
          <cell r="E14224">
            <v>0</v>
          </cell>
          <cell r="F14224">
            <v>0</v>
          </cell>
          <cell r="DN14224">
            <v>0</v>
          </cell>
        </row>
        <row r="14225">
          <cell r="E14225">
            <v>0</v>
          </cell>
          <cell r="F14225">
            <v>0</v>
          </cell>
          <cell r="DN14225">
            <v>0</v>
          </cell>
        </row>
        <row r="14226">
          <cell r="E14226">
            <v>0</v>
          </cell>
          <cell r="F14226">
            <v>0</v>
          </cell>
          <cell r="DN14226">
            <v>0</v>
          </cell>
        </row>
        <row r="14227">
          <cell r="E14227">
            <v>0</v>
          </cell>
          <cell r="F14227">
            <v>0</v>
          </cell>
          <cell r="DN14227">
            <v>0</v>
          </cell>
        </row>
        <row r="14228">
          <cell r="E14228">
            <v>0</v>
          </cell>
          <cell r="F14228">
            <v>0</v>
          </cell>
          <cell r="DN14228">
            <v>0</v>
          </cell>
        </row>
        <row r="14229">
          <cell r="E14229">
            <v>0</v>
          </cell>
          <cell r="F14229">
            <v>0</v>
          </cell>
          <cell r="DN14229">
            <v>0</v>
          </cell>
        </row>
        <row r="14230">
          <cell r="E14230">
            <v>0</v>
          </cell>
          <cell r="F14230">
            <v>0</v>
          </cell>
          <cell r="DN14230">
            <v>0</v>
          </cell>
        </row>
        <row r="14231">
          <cell r="E14231">
            <v>0</v>
          </cell>
          <cell r="F14231">
            <v>0</v>
          </cell>
          <cell r="DN14231">
            <v>0</v>
          </cell>
        </row>
        <row r="14232">
          <cell r="E14232">
            <v>0</v>
          </cell>
          <cell r="F14232">
            <v>0</v>
          </cell>
          <cell r="DN14232">
            <v>0</v>
          </cell>
        </row>
        <row r="14233">
          <cell r="E14233">
            <v>0</v>
          </cell>
          <cell r="F14233">
            <v>0</v>
          </cell>
          <cell r="DN14233">
            <v>0</v>
          </cell>
        </row>
        <row r="14234">
          <cell r="E14234">
            <v>0</v>
          </cell>
          <cell r="F14234">
            <v>0</v>
          </cell>
          <cell r="DN14234">
            <v>0</v>
          </cell>
        </row>
        <row r="14235">
          <cell r="E14235">
            <v>0</v>
          </cell>
          <cell r="F14235">
            <v>0</v>
          </cell>
          <cell r="DN14235">
            <v>0</v>
          </cell>
        </row>
        <row r="14236">
          <cell r="E14236">
            <v>0</v>
          </cell>
          <cell r="F14236">
            <v>0</v>
          </cell>
          <cell r="DN14236">
            <v>0</v>
          </cell>
        </row>
        <row r="14237">
          <cell r="E14237">
            <v>0</v>
          </cell>
          <cell r="F14237">
            <v>0</v>
          </cell>
          <cell r="DN14237">
            <v>0</v>
          </cell>
        </row>
        <row r="14238">
          <cell r="E14238">
            <v>0</v>
          </cell>
          <cell r="F14238">
            <v>0</v>
          </cell>
          <cell r="DN14238">
            <v>0</v>
          </cell>
        </row>
        <row r="14239">
          <cell r="E14239">
            <v>0</v>
          </cell>
          <cell r="F14239">
            <v>0</v>
          </cell>
          <cell r="DN14239">
            <v>0</v>
          </cell>
        </row>
        <row r="14240">
          <cell r="E14240">
            <v>0</v>
          </cell>
          <cell r="F14240">
            <v>0</v>
          </cell>
          <cell r="DN14240">
            <v>0</v>
          </cell>
        </row>
        <row r="14241">
          <cell r="E14241">
            <v>0</v>
          </cell>
          <cell r="F14241">
            <v>0</v>
          </cell>
          <cell r="DN14241">
            <v>0</v>
          </cell>
        </row>
        <row r="14242">
          <cell r="E14242">
            <v>0</v>
          </cell>
          <cell r="F14242">
            <v>0</v>
          </cell>
          <cell r="DN14242">
            <v>0</v>
          </cell>
        </row>
        <row r="14243">
          <cell r="E14243">
            <v>0</v>
          </cell>
          <cell r="F14243">
            <v>0</v>
          </cell>
          <cell r="DN14243">
            <v>0</v>
          </cell>
        </row>
        <row r="14244">
          <cell r="E14244">
            <v>0</v>
          </cell>
          <cell r="F14244">
            <v>0</v>
          </cell>
          <cell r="DN14244">
            <v>0</v>
          </cell>
        </row>
        <row r="14245">
          <cell r="E14245">
            <v>0</v>
          </cell>
          <cell r="F14245">
            <v>0</v>
          </cell>
          <cell r="DN14245">
            <v>0</v>
          </cell>
        </row>
        <row r="14246">
          <cell r="E14246">
            <v>0</v>
          </cell>
          <cell r="F14246">
            <v>0</v>
          </cell>
          <cell r="DN14246">
            <v>0</v>
          </cell>
        </row>
        <row r="14247">
          <cell r="E14247">
            <v>0</v>
          </cell>
          <cell r="F14247">
            <v>0</v>
          </cell>
          <cell r="DN14247">
            <v>0</v>
          </cell>
        </row>
        <row r="14248">
          <cell r="E14248">
            <v>0</v>
          </cell>
          <cell r="F14248">
            <v>0</v>
          </cell>
          <cell r="DN14248">
            <v>0</v>
          </cell>
        </row>
        <row r="14249">
          <cell r="E14249">
            <v>0</v>
          </cell>
          <cell r="F14249">
            <v>0</v>
          </cell>
          <cell r="DN14249">
            <v>0</v>
          </cell>
        </row>
        <row r="14250">
          <cell r="E14250">
            <v>0</v>
          </cell>
          <cell r="F14250">
            <v>0</v>
          </cell>
          <cell r="DN14250">
            <v>0</v>
          </cell>
        </row>
        <row r="14251">
          <cell r="E14251">
            <v>0</v>
          </cell>
          <cell r="F14251">
            <v>0</v>
          </cell>
          <cell r="DN14251">
            <v>0</v>
          </cell>
        </row>
        <row r="14252">
          <cell r="E14252">
            <v>0</v>
          </cell>
          <cell r="F14252">
            <v>0</v>
          </cell>
          <cell r="DN14252">
            <v>0</v>
          </cell>
        </row>
        <row r="14253">
          <cell r="E14253">
            <v>0</v>
          </cell>
          <cell r="F14253">
            <v>0</v>
          </cell>
          <cell r="DN14253">
            <v>0</v>
          </cell>
        </row>
        <row r="14254">
          <cell r="E14254">
            <v>0</v>
          </cell>
          <cell r="F14254">
            <v>0</v>
          </cell>
          <cell r="DN14254">
            <v>0</v>
          </cell>
        </row>
        <row r="14255">
          <cell r="E14255">
            <v>0</v>
          </cell>
          <cell r="F14255">
            <v>0</v>
          </cell>
          <cell r="DN14255">
            <v>0</v>
          </cell>
        </row>
        <row r="14256">
          <cell r="E14256">
            <v>0</v>
          </cell>
          <cell r="F14256">
            <v>0</v>
          </cell>
          <cell r="DN14256">
            <v>0</v>
          </cell>
        </row>
        <row r="14257">
          <cell r="E14257">
            <v>0</v>
          </cell>
          <cell r="F14257">
            <v>0</v>
          </cell>
          <cell r="DN14257">
            <v>0</v>
          </cell>
        </row>
        <row r="14258">
          <cell r="E14258">
            <v>0</v>
          </cell>
          <cell r="F14258">
            <v>0</v>
          </cell>
          <cell r="DN14258">
            <v>0</v>
          </cell>
        </row>
        <row r="14259">
          <cell r="E14259">
            <v>0</v>
          </cell>
          <cell r="F14259">
            <v>0</v>
          </cell>
          <cell r="DN14259">
            <v>0</v>
          </cell>
        </row>
        <row r="14260">
          <cell r="E14260">
            <v>0</v>
          </cell>
          <cell r="F14260">
            <v>0</v>
          </cell>
          <cell r="DN14260">
            <v>0</v>
          </cell>
        </row>
        <row r="14261">
          <cell r="E14261">
            <v>0</v>
          </cell>
          <cell r="F14261">
            <v>0</v>
          </cell>
          <cell r="DN14261">
            <v>0</v>
          </cell>
        </row>
        <row r="14262">
          <cell r="E14262">
            <v>0</v>
          </cell>
          <cell r="F14262">
            <v>0</v>
          </cell>
          <cell r="DN14262">
            <v>0</v>
          </cell>
        </row>
        <row r="14263">
          <cell r="E14263">
            <v>0</v>
          </cell>
          <cell r="F14263">
            <v>0</v>
          </cell>
          <cell r="DN14263">
            <v>0</v>
          </cell>
        </row>
        <row r="14264">
          <cell r="E14264">
            <v>0</v>
          </cell>
          <cell r="F14264">
            <v>0</v>
          </cell>
          <cell r="DN14264">
            <v>0</v>
          </cell>
        </row>
        <row r="14265">
          <cell r="E14265">
            <v>0</v>
          </cell>
          <cell r="F14265">
            <v>0</v>
          </cell>
          <cell r="DN14265">
            <v>0</v>
          </cell>
        </row>
        <row r="14266">
          <cell r="E14266">
            <v>0</v>
          </cell>
          <cell r="F14266">
            <v>0</v>
          </cell>
          <cell r="DN14266">
            <v>0</v>
          </cell>
        </row>
        <row r="14267">
          <cell r="E14267">
            <v>0</v>
          </cell>
          <cell r="F14267">
            <v>0</v>
          </cell>
          <cell r="DN14267">
            <v>0</v>
          </cell>
        </row>
        <row r="14268">
          <cell r="E14268">
            <v>0</v>
          </cell>
          <cell r="F14268">
            <v>0</v>
          </cell>
          <cell r="DN14268">
            <v>0</v>
          </cell>
        </row>
        <row r="14269">
          <cell r="E14269">
            <v>0</v>
          </cell>
          <cell r="F14269">
            <v>0</v>
          </cell>
          <cell r="DN14269">
            <v>0</v>
          </cell>
        </row>
        <row r="14270">
          <cell r="E14270">
            <v>0</v>
          </cell>
          <cell r="F14270">
            <v>0</v>
          </cell>
          <cell r="DN14270">
            <v>0</v>
          </cell>
        </row>
        <row r="14271">
          <cell r="E14271">
            <v>0</v>
          </cell>
          <cell r="F14271">
            <v>0</v>
          </cell>
          <cell r="DN14271">
            <v>0</v>
          </cell>
        </row>
        <row r="14272">
          <cell r="E14272">
            <v>0</v>
          </cell>
          <cell r="F14272">
            <v>0</v>
          </cell>
          <cell r="DN14272">
            <v>0</v>
          </cell>
        </row>
        <row r="14273">
          <cell r="E14273">
            <v>0</v>
          </cell>
          <cell r="F14273">
            <v>0</v>
          </cell>
          <cell r="DN14273">
            <v>0</v>
          </cell>
        </row>
        <row r="14274">
          <cell r="E14274">
            <v>0</v>
          </cell>
          <cell r="F14274">
            <v>0</v>
          </cell>
          <cell r="DN14274">
            <v>0</v>
          </cell>
        </row>
        <row r="14275">
          <cell r="E14275">
            <v>0</v>
          </cell>
          <cell r="F14275">
            <v>0</v>
          </cell>
          <cell r="DN14275">
            <v>0</v>
          </cell>
        </row>
        <row r="14276">
          <cell r="E14276">
            <v>0</v>
          </cell>
          <cell r="F14276">
            <v>0</v>
          </cell>
          <cell r="DN14276">
            <v>0</v>
          </cell>
        </row>
        <row r="14277">
          <cell r="E14277">
            <v>0</v>
          </cell>
          <cell r="F14277">
            <v>0</v>
          </cell>
          <cell r="DN14277">
            <v>0</v>
          </cell>
        </row>
        <row r="14278">
          <cell r="E14278">
            <v>0</v>
          </cell>
          <cell r="F14278">
            <v>0</v>
          </cell>
          <cell r="DN14278">
            <v>0</v>
          </cell>
        </row>
        <row r="14279">
          <cell r="E14279">
            <v>0</v>
          </cell>
          <cell r="F14279">
            <v>0</v>
          </cell>
          <cell r="DN14279">
            <v>0</v>
          </cell>
        </row>
        <row r="14280">
          <cell r="E14280">
            <v>0</v>
          </cell>
          <cell r="F14280">
            <v>0</v>
          </cell>
          <cell r="DN14280">
            <v>0</v>
          </cell>
        </row>
        <row r="14281">
          <cell r="E14281">
            <v>0</v>
          </cell>
          <cell r="F14281">
            <v>0</v>
          </cell>
          <cell r="DN14281">
            <v>0</v>
          </cell>
        </row>
        <row r="14282">
          <cell r="E14282">
            <v>0</v>
          </cell>
          <cell r="F14282">
            <v>0</v>
          </cell>
          <cell r="DN14282">
            <v>0</v>
          </cell>
        </row>
        <row r="14283">
          <cell r="E14283">
            <v>0</v>
          </cell>
          <cell r="F14283">
            <v>0</v>
          </cell>
          <cell r="DN14283">
            <v>0</v>
          </cell>
        </row>
        <row r="14284">
          <cell r="E14284">
            <v>0</v>
          </cell>
          <cell r="F14284">
            <v>0</v>
          </cell>
          <cell r="DN14284">
            <v>0</v>
          </cell>
        </row>
        <row r="14285">
          <cell r="E14285">
            <v>0</v>
          </cell>
          <cell r="F14285">
            <v>0</v>
          </cell>
          <cell r="DN14285">
            <v>0</v>
          </cell>
        </row>
        <row r="14286">
          <cell r="E14286">
            <v>0</v>
          </cell>
          <cell r="F14286">
            <v>0</v>
          </cell>
          <cell r="DN14286">
            <v>0</v>
          </cell>
        </row>
        <row r="14287">
          <cell r="E14287">
            <v>0</v>
          </cell>
          <cell r="F14287">
            <v>0</v>
          </cell>
          <cell r="DN14287">
            <v>0</v>
          </cell>
        </row>
        <row r="14288">
          <cell r="E14288">
            <v>0</v>
          </cell>
          <cell r="F14288">
            <v>0</v>
          </cell>
          <cell r="DN14288">
            <v>0</v>
          </cell>
        </row>
        <row r="14289">
          <cell r="E14289">
            <v>0</v>
          </cell>
          <cell r="F14289">
            <v>0</v>
          </cell>
          <cell r="DN14289">
            <v>0</v>
          </cell>
        </row>
        <row r="14290">
          <cell r="E14290">
            <v>0</v>
          </cell>
          <cell r="F14290">
            <v>0</v>
          </cell>
          <cell r="DN14290">
            <v>0</v>
          </cell>
        </row>
        <row r="14291">
          <cell r="E14291">
            <v>0</v>
          </cell>
          <cell r="F14291">
            <v>0</v>
          </cell>
          <cell r="DN14291">
            <v>0</v>
          </cell>
        </row>
        <row r="14292">
          <cell r="E14292">
            <v>0</v>
          </cell>
          <cell r="F14292">
            <v>0</v>
          </cell>
          <cell r="DN14292">
            <v>0</v>
          </cell>
        </row>
        <row r="14293">
          <cell r="E14293">
            <v>0</v>
          </cell>
          <cell r="F14293">
            <v>0</v>
          </cell>
          <cell r="DN14293">
            <v>0</v>
          </cell>
        </row>
        <row r="14294">
          <cell r="E14294">
            <v>0</v>
          </cell>
          <cell r="F14294">
            <v>0</v>
          </cell>
          <cell r="DN14294">
            <v>0</v>
          </cell>
        </row>
        <row r="14295">
          <cell r="E14295">
            <v>0</v>
          </cell>
          <cell r="F14295">
            <v>0</v>
          </cell>
          <cell r="DN14295">
            <v>0</v>
          </cell>
        </row>
        <row r="14296">
          <cell r="E14296">
            <v>0</v>
          </cell>
          <cell r="F14296">
            <v>0</v>
          </cell>
          <cell r="DN14296">
            <v>0</v>
          </cell>
        </row>
        <row r="14297">
          <cell r="E14297">
            <v>0</v>
          </cell>
          <cell r="F14297">
            <v>0</v>
          </cell>
          <cell r="DN14297">
            <v>0</v>
          </cell>
        </row>
        <row r="14298">
          <cell r="E14298">
            <v>0</v>
          </cell>
          <cell r="F14298">
            <v>0</v>
          </cell>
          <cell r="DN14298">
            <v>0</v>
          </cell>
        </row>
        <row r="14299">
          <cell r="E14299">
            <v>0</v>
          </cell>
          <cell r="F14299">
            <v>0</v>
          </cell>
          <cell r="DN14299">
            <v>0</v>
          </cell>
        </row>
        <row r="14300">
          <cell r="E14300">
            <v>0</v>
          </cell>
          <cell r="F14300">
            <v>0</v>
          </cell>
          <cell r="DN14300">
            <v>0</v>
          </cell>
        </row>
        <row r="14301">
          <cell r="E14301">
            <v>0</v>
          </cell>
          <cell r="F14301">
            <v>0</v>
          </cell>
          <cell r="DN14301">
            <v>0</v>
          </cell>
        </row>
        <row r="14302">
          <cell r="E14302">
            <v>0</v>
          </cell>
          <cell r="F14302">
            <v>0</v>
          </cell>
          <cell r="DN14302">
            <v>0</v>
          </cell>
        </row>
        <row r="14303">
          <cell r="E14303">
            <v>0</v>
          </cell>
          <cell r="F14303">
            <v>0</v>
          </cell>
          <cell r="DN14303">
            <v>0</v>
          </cell>
        </row>
        <row r="14304">
          <cell r="E14304">
            <v>0</v>
          </cell>
          <cell r="F14304">
            <v>0</v>
          </cell>
          <cell r="DN14304">
            <v>0</v>
          </cell>
        </row>
        <row r="14305">
          <cell r="E14305">
            <v>0</v>
          </cell>
          <cell r="F14305">
            <v>0</v>
          </cell>
          <cell r="DN14305">
            <v>0</v>
          </cell>
        </row>
        <row r="14306">
          <cell r="E14306">
            <v>0</v>
          </cell>
          <cell r="F14306">
            <v>0</v>
          </cell>
          <cell r="DN14306">
            <v>0</v>
          </cell>
        </row>
        <row r="14307">
          <cell r="E14307">
            <v>0</v>
          </cell>
          <cell r="F14307">
            <v>0</v>
          </cell>
          <cell r="DN14307">
            <v>0</v>
          </cell>
        </row>
        <row r="14308">
          <cell r="E14308">
            <v>0</v>
          </cell>
          <cell r="F14308">
            <v>0</v>
          </cell>
          <cell r="DN14308">
            <v>0</v>
          </cell>
        </row>
        <row r="14309">
          <cell r="E14309">
            <v>0</v>
          </cell>
          <cell r="F14309">
            <v>0</v>
          </cell>
          <cell r="DN14309">
            <v>0</v>
          </cell>
        </row>
        <row r="14310">
          <cell r="E14310">
            <v>0</v>
          </cell>
          <cell r="F14310">
            <v>0</v>
          </cell>
          <cell r="DN14310">
            <v>0</v>
          </cell>
        </row>
        <row r="14311">
          <cell r="E14311">
            <v>0</v>
          </cell>
          <cell r="F14311">
            <v>0</v>
          </cell>
          <cell r="DN14311">
            <v>0</v>
          </cell>
        </row>
        <row r="14312">
          <cell r="E14312">
            <v>0</v>
          </cell>
          <cell r="F14312">
            <v>0</v>
          </cell>
          <cell r="DN14312">
            <v>0</v>
          </cell>
        </row>
        <row r="14313">
          <cell r="E14313">
            <v>0</v>
          </cell>
          <cell r="F14313">
            <v>0</v>
          </cell>
          <cell r="DN14313">
            <v>0</v>
          </cell>
        </row>
        <row r="14314">
          <cell r="E14314">
            <v>0</v>
          </cell>
          <cell r="F14314">
            <v>0</v>
          </cell>
          <cell r="DN14314">
            <v>0</v>
          </cell>
        </row>
        <row r="14315">
          <cell r="E14315">
            <v>0</v>
          </cell>
          <cell r="F14315">
            <v>0</v>
          </cell>
          <cell r="DN14315">
            <v>0</v>
          </cell>
        </row>
        <row r="14316">
          <cell r="E14316">
            <v>0</v>
          </cell>
          <cell r="F14316">
            <v>0</v>
          </cell>
          <cell r="DN14316">
            <v>0</v>
          </cell>
        </row>
        <row r="14317">
          <cell r="E14317">
            <v>0</v>
          </cell>
          <cell r="F14317">
            <v>0</v>
          </cell>
          <cell r="DN14317">
            <v>0</v>
          </cell>
        </row>
        <row r="14318">
          <cell r="E14318">
            <v>0</v>
          </cell>
          <cell r="F14318">
            <v>0</v>
          </cell>
          <cell r="DN14318">
            <v>0</v>
          </cell>
        </row>
        <row r="14319">
          <cell r="E14319">
            <v>0</v>
          </cell>
          <cell r="F14319">
            <v>0</v>
          </cell>
          <cell r="DN14319">
            <v>0</v>
          </cell>
        </row>
        <row r="14320">
          <cell r="E14320">
            <v>0</v>
          </cell>
          <cell r="F14320">
            <v>0</v>
          </cell>
          <cell r="DN14320">
            <v>0</v>
          </cell>
        </row>
        <row r="14321">
          <cell r="E14321">
            <v>0</v>
          </cell>
          <cell r="F14321">
            <v>0</v>
          </cell>
          <cell r="DN14321">
            <v>0</v>
          </cell>
        </row>
        <row r="14322">
          <cell r="E14322">
            <v>0</v>
          </cell>
          <cell r="F14322">
            <v>0</v>
          </cell>
          <cell r="DN14322">
            <v>0</v>
          </cell>
        </row>
        <row r="14323">
          <cell r="E14323">
            <v>0</v>
          </cell>
          <cell r="F14323">
            <v>0</v>
          </cell>
          <cell r="DN14323">
            <v>0</v>
          </cell>
        </row>
        <row r="14324">
          <cell r="E14324">
            <v>0</v>
          </cell>
          <cell r="F14324">
            <v>0</v>
          </cell>
          <cell r="DN14324">
            <v>0</v>
          </cell>
        </row>
        <row r="14325">
          <cell r="E14325">
            <v>0</v>
          </cell>
          <cell r="F14325">
            <v>0</v>
          </cell>
          <cell r="DN14325">
            <v>0</v>
          </cell>
        </row>
        <row r="14326">
          <cell r="E14326">
            <v>0</v>
          </cell>
          <cell r="F14326">
            <v>0</v>
          </cell>
          <cell r="DN14326">
            <v>0</v>
          </cell>
        </row>
        <row r="14327">
          <cell r="E14327">
            <v>0</v>
          </cell>
          <cell r="F14327">
            <v>0</v>
          </cell>
          <cell r="DN14327">
            <v>0</v>
          </cell>
        </row>
        <row r="14328">
          <cell r="E14328">
            <v>0</v>
          </cell>
          <cell r="F14328">
            <v>0</v>
          </cell>
          <cell r="DN14328">
            <v>0</v>
          </cell>
        </row>
        <row r="14329">
          <cell r="E14329">
            <v>0</v>
          </cell>
          <cell r="F14329">
            <v>0</v>
          </cell>
          <cell r="DN14329">
            <v>0</v>
          </cell>
        </row>
        <row r="14330">
          <cell r="E14330">
            <v>0</v>
          </cell>
          <cell r="F14330">
            <v>0</v>
          </cell>
          <cell r="DN14330">
            <v>0</v>
          </cell>
        </row>
        <row r="14331">
          <cell r="E14331">
            <v>0</v>
          </cell>
          <cell r="F14331">
            <v>0</v>
          </cell>
          <cell r="DN14331">
            <v>0</v>
          </cell>
        </row>
        <row r="14332">
          <cell r="E14332">
            <v>0</v>
          </cell>
          <cell r="F14332">
            <v>0</v>
          </cell>
          <cell r="DN14332">
            <v>0</v>
          </cell>
        </row>
        <row r="14333">
          <cell r="E14333">
            <v>0</v>
          </cell>
          <cell r="F14333">
            <v>0</v>
          </cell>
          <cell r="DN14333">
            <v>0</v>
          </cell>
        </row>
        <row r="14334">
          <cell r="E14334">
            <v>0</v>
          </cell>
          <cell r="F14334">
            <v>0</v>
          </cell>
          <cell r="DN14334">
            <v>0</v>
          </cell>
        </row>
        <row r="14335">
          <cell r="E14335">
            <v>0</v>
          </cell>
          <cell r="F14335">
            <v>0</v>
          </cell>
          <cell r="DN14335">
            <v>0</v>
          </cell>
        </row>
        <row r="14336">
          <cell r="E14336">
            <v>0</v>
          </cell>
          <cell r="F14336">
            <v>0</v>
          </cell>
          <cell r="DN14336">
            <v>0</v>
          </cell>
        </row>
        <row r="14337">
          <cell r="E14337">
            <v>0</v>
          </cell>
          <cell r="F14337">
            <v>0</v>
          </cell>
          <cell r="DN14337">
            <v>0</v>
          </cell>
        </row>
        <row r="14338">
          <cell r="E14338">
            <v>0</v>
          </cell>
          <cell r="F14338">
            <v>0</v>
          </cell>
          <cell r="DN14338">
            <v>0</v>
          </cell>
        </row>
        <row r="14339">
          <cell r="E14339">
            <v>0</v>
          </cell>
          <cell r="F14339">
            <v>0</v>
          </cell>
          <cell r="DN14339">
            <v>0</v>
          </cell>
        </row>
        <row r="14340">
          <cell r="E14340">
            <v>0</v>
          </cell>
          <cell r="F14340">
            <v>0</v>
          </cell>
          <cell r="DN14340">
            <v>0</v>
          </cell>
        </row>
        <row r="14341">
          <cell r="E14341">
            <v>0</v>
          </cell>
          <cell r="F14341">
            <v>0</v>
          </cell>
          <cell r="DN14341">
            <v>0</v>
          </cell>
        </row>
        <row r="14342">
          <cell r="E14342">
            <v>0</v>
          </cell>
          <cell r="F14342">
            <v>0</v>
          </cell>
          <cell r="DN14342">
            <v>0</v>
          </cell>
        </row>
        <row r="14343">
          <cell r="E14343">
            <v>0</v>
          </cell>
          <cell r="F14343">
            <v>0</v>
          </cell>
          <cell r="DN14343">
            <v>0</v>
          </cell>
        </row>
        <row r="14344">
          <cell r="E14344">
            <v>0</v>
          </cell>
          <cell r="F14344">
            <v>0</v>
          </cell>
          <cell r="DN14344">
            <v>0</v>
          </cell>
        </row>
        <row r="14345">
          <cell r="E14345">
            <v>0</v>
          </cell>
          <cell r="F14345">
            <v>0</v>
          </cell>
          <cell r="DN14345">
            <v>0</v>
          </cell>
        </row>
        <row r="14346">
          <cell r="E14346">
            <v>0</v>
          </cell>
          <cell r="F14346">
            <v>0</v>
          </cell>
          <cell r="DN14346">
            <v>0</v>
          </cell>
        </row>
        <row r="14347">
          <cell r="E14347">
            <v>0</v>
          </cell>
          <cell r="F14347">
            <v>0</v>
          </cell>
          <cell r="DN14347">
            <v>0</v>
          </cell>
        </row>
        <row r="14348">
          <cell r="E14348">
            <v>0</v>
          </cell>
          <cell r="F14348">
            <v>0</v>
          </cell>
          <cell r="DN14348">
            <v>0</v>
          </cell>
        </row>
        <row r="14349">
          <cell r="E14349">
            <v>0</v>
          </cell>
          <cell r="F14349">
            <v>0</v>
          </cell>
          <cell r="DN14349">
            <v>0</v>
          </cell>
        </row>
        <row r="14350">
          <cell r="E14350">
            <v>0</v>
          </cell>
          <cell r="F14350">
            <v>0</v>
          </cell>
          <cell r="DN14350">
            <v>0</v>
          </cell>
        </row>
        <row r="14351">
          <cell r="E14351">
            <v>0</v>
          </cell>
          <cell r="F14351">
            <v>0</v>
          </cell>
          <cell r="DN14351">
            <v>0</v>
          </cell>
        </row>
        <row r="14352">
          <cell r="E14352">
            <v>0</v>
          </cell>
          <cell r="F14352">
            <v>0</v>
          </cell>
          <cell r="DN14352">
            <v>0</v>
          </cell>
        </row>
        <row r="14353">
          <cell r="E14353">
            <v>0</v>
          </cell>
          <cell r="F14353">
            <v>0</v>
          </cell>
          <cell r="DN14353">
            <v>0</v>
          </cell>
        </row>
        <row r="14354">
          <cell r="E14354">
            <v>0</v>
          </cell>
          <cell r="F14354">
            <v>0</v>
          </cell>
          <cell r="DN14354">
            <v>0</v>
          </cell>
        </row>
        <row r="14355">
          <cell r="E14355">
            <v>0</v>
          </cell>
          <cell r="F14355">
            <v>0</v>
          </cell>
          <cell r="DN14355">
            <v>0</v>
          </cell>
        </row>
        <row r="14356">
          <cell r="E14356">
            <v>0</v>
          </cell>
          <cell r="F14356">
            <v>0</v>
          </cell>
          <cell r="DN14356">
            <v>0</v>
          </cell>
        </row>
        <row r="14357">
          <cell r="E14357">
            <v>0</v>
          </cell>
          <cell r="F14357">
            <v>0</v>
          </cell>
          <cell r="DN14357">
            <v>0</v>
          </cell>
        </row>
        <row r="14358">
          <cell r="E14358">
            <v>0</v>
          </cell>
          <cell r="F14358">
            <v>0</v>
          </cell>
          <cell r="DN14358">
            <v>0</v>
          </cell>
        </row>
        <row r="14359">
          <cell r="E14359">
            <v>0</v>
          </cell>
          <cell r="F14359">
            <v>0</v>
          </cell>
          <cell r="DN14359">
            <v>0</v>
          </cell>
        </row>
        <row r="14360">
          <cell r="E14360">
            <v>0</v>
          </cell>
          <cell r="F14360">
            <v>0</v>
          </cell>
          <cell r="DN14360">
            <v>0</v>
          </cell>
        </row>
        <row r="14361">
          <cell r="E14361">
            <v>0</v>
          </cell>
          <cell r="F14361">
            <v>0</v>
          </cell>
          <cell r="DN14361">
            <v>0</v>
          </cell>
        </row>
        <row r="14362">
          <cell r="E14362">
            <v>0</v>
          </cell>
          <cell r="F14362">
            <v>0</v>
          </cell>
          <cell r="DN14362">
            <v>0</v>
          </cell>
        </row>
        <row r="14363">
          <cell r="E14363">
            <v>0</v>
          </cell>
          <cell r="F14363">
            <v>0</v>
          </cell>
          <cell r="DN14363">
            <v>0</v>
          </cell>
        </row>
        <row r="14364">
          <cell r="E14364">
            <v>0</v>
          </cell>
          <cell r="F14364">
            <v>0</v>
          </cell>
          <cell r="DN14364">
            <v>0</v>
          </cell>
        </row>
        <row r="14365">
          <cell r="E14365">
            <v>0</v>
          </cell>
          <cell r="F14365">
            <v>0</v>
          </cell>
          <cell r="DN14365">
            <v>0</v>
          </cell>
        </row>
        <row r="14366">
          <cell r="E14366">
            <v>0</v>
          </cell>
          <cell r="F14366">
            <v>0</v>
          </cell>
          <cell r="DN14366">
            <v>0</v>
          </cell>
        </row>
        <row r="14367">
          <cell r="E14367">
            <v>0</v>
          </cell>
          <cell r="F14367">
            <v>0</v>
          </cell>
          <cell r="DN14367">
            <v>0</v>
          </cell>
        </row>
        <row r="14368">
          <cell r="E14368">
            <v>0</v>
          </cell>
          <cell r="F14368">
            <v>0</v>
          </cell>
          <cell r="DN14368">
            <v>0</v>
          </cell>
        </row>
        <row r="14369">
          <cell r="E14369">
            <v>0</v>
          </cell>
          <cell r="F14369">
            <v>0</v>
          </cell>
          <cell r="DN14369">
            <v>0</v>
          </cell>
        </row>
        <row r="14370">
          <cell r="E14370">
            <v>0</v>
          </cell>
          <cell r="F14370">
            <v>0</v>
          </cell>
          <cell r="DN14370">
            <v>0</v>
          </cell>
        </row>
        <row r="14371">
          <cell r="E14371">
            <v>0</v>
          </cell>
          <cell r="F14371">
            <v>0</v>
          </cell>
          <cell r="DN14371">
            <v>0</v>
          </cell>
        </row>
        <row r="14372">
          <cell r="E14372">
            <v>0</v>
          </cell>
          <cell r="F14372">
            <v>0</v>
          </cell>
          <cell r="DN14372">
            <v>0</v>
          </cell>
        </row>
        <row r="14373">
          <cell r="E14373">
            <v>0</v>
          </cell>
          <cell r="F14373">
            <v>0</v>
          </cell>
          <cell r="DN14373">
            <v>0</v>
          </cell>
        </row>
        <row r="14374">
          <cell r="E14374">
            <v>0</v>
          </cell>
          <cell r="F14374">
            <v>0</v>
          </cell>
          <cell r="DN14374">
            <v>0</v>
          </cell>
        </row>
        <row r="14375">
          <cell r="E14375">
            <v>0</v>
          </cell>
          <cell r="F14375">
            <v>0</v>
          </cell>
          <cell r="DN14375">
            <v>0</v>
          </cell>
        </row>
        <row r="14376">
          <cell r="E14376">
            <v>0</v>
          </cell>
          <cell r="F14376">
            <v>0</v>
          </cell>
          <cell r="DN14376">
            <v>0</v>
          </cell>
        </row>
        <row r="14377">
          <cell r="E14377">
            <v>0</v>
          </cell>
          <cell r="F14377">
            <v>0</v>
          </cell>
          <cell r="DN14377">
            <v>0</v>
          </cell>
        </row>
        <row r="14378">
          <cell r="E14378">
            <v>0</v>
          </cell>
          <cell r="F14378">
            <v>0</v>
          </cell>
          <cell r="DN14378">
            <v>0</v>
          </cell>
        </row>
        <row r="14379">
          <cell r="E14379">
            <v>0</v>
          </cell>
          <cell r="F14379">
            <v>0</v>
          </cell>
          <cell r="DN14379">
            <v>0</v>
          </cell>
        </row>
        <row r="14380">
          <cell r="E14380">
            <v>0</v>
          </cell>
          <cell r="F14380">
            <v>0</v>
          </cell>
          <cell r="DN14380">
            <v>0</v>
          </cell>
        </row>
        <row r="14381">
          <cell r="E14381">
            <v>0</v>
          </cell>
          <cell r="F14381">
            <v>0</v>
          </cell>
          <cell r="DN14381">
            <v>0</v>
          </cell>
        </row>
        <row r="14382">
          <cell r="E14382">
            <v>0</v>
          </cell>
          <cell r="F14382">
            <v>0</v>
          </cell>
          <cell r="DN14382">
            <v>0</v>
          </cell>
        </row>
        <row r="14383">
          <cell r="E14383">
            <v>0</v>
          </cell>
          <cell r="F14383">
            <v>0</v>
          </cell>
          <cell r="DN14383">
            <v>0</v>
          </cell>
        </row>
        <row r="14384">
          <cell r="E14384">
            <v>0</v>
          </cell>
          <cell r="F14384">
            <v>0</v>
          </cell>
          <cell r="DN14384">
            <v>0</v>
          </cell>
        </row>
        <row r="14385">
          <cell r="E14385">
            <v>0</v>
          </cell>
          <cell r="F14385">
            <v>0</v>
          </cell>
          <cell r="DN14385">
            <v>0</v>
          </cell>
        </row>
        <row r="14386">
          <cell r="E14386">
            <v>0</v>
          </cell>
          <cell r="F14386">
            <v>0</v>
          </cell>
          <cell r="DN14386">
            <v>0</v>
          </cell>
        </row>
        <row r="14387">
          <cell r="E14387">
            <v>0</v>
          </cell>
          <cell r="F14387">
            <v>0</v>
          </cell>
          <cell r="DN14387">
            <v>0</v>
          </cell>
        </row>
        <row r="14388">
          <cell r="E14388">
            <v>0</v>
          </cell>
          <cell r="F14388">
            <v>0</v>
          </cell>
          <cell r="DN14388">
            <v>0</v>
          </cell>
        </row>
        <row r="14389">
          <cell r="E14389">
            <v>0</v>
          </cell>
          <cell r="F14389">
            <v>0</v>
          </cell>
          <cell r="DN14389">
            <v>0</v>
          </cell>
        </row>
        <row r="14390">
          <cell r="E14390">
            <v>0</v>
          </cell>
          <cell r="F14390">
            <v>0</v>
          </cell>
          <cell r="DN14390">
            <v>0</v>
          </cell>
        </row>
        <row r="14391">
          <cell r="E14391">
            <v>0</v>
          </cell>
          <cell r="F14391">
            <v>0</v>
          </cell>
          <cell r="DN14391">
            <v>0</v>
          </cell>
        </row>
        <row r="14392">
          <cell r="E14392">
            <v>0</v>
          </cell>
          <cell r="F14392">
            <v>0</v>
          </cell>
          <cell r="DN14392">
            <v>0</v>
          </cell>
        </row>
        <row r="14393">
          <cell r="E14393">
            <v>0</v>
          </cell>
          <cell r="F14393">
            <v>0</v>
          </cell>
          <cell r="DN14393">
            <v>0</v>
          </cell>
        </row>
        <row r="14394">
          <cell r="E14394">
            <v>0</v>
          </cell>
          <cell r="F14394">
            <v>0</v>
          </cell>
          <cell r="DN14394">
            <v>0</v>
          </cell>
        </row>
        <row r="14395">
          <cell r="E14395">
            <v>0</v>
          </cell>
          <cell r="F14395">
            <v>0</v>
          </cell>
          <cell r="DN14395">
            <v>0</v>
          </cell>
        </row>
        <row r="14396">
          <cell r="E14396">
            <v>0</v>
          </cell>
          <cell r="F14396">
            <v>0</v>
          </cell>
          <cell r="DN14396">
            <v>0</v>
          </cell>
        </row>
        <row r="14397">
          <cell r="E14397">
            <v>0</v>
          </cell>
          <cell r="F14397">
            <v>0</v>
          </cell>
          <cell r="DN14397">
            <v>0</v>
          </cell>
        </row>
        <row r="14398">
          <cell r="E14398">
            <v>0</v>
          </cell>
          <cell r="F14398">
            <v>0</v>
          </cell>
          <cell r="DN14398">
            <v>0</v>
          </cell>
        </row>
        <row r="14399">
          <cell r="E14399">
            <v>0</v>
          </cell>
          <cell r="F14399">
            <v>0</v>
          </cell>
          <cell r="DN14399">
            <v>0</v>
          </cell>
        </row>
        <row r="14400">
          <cell r="E14400">
            <v>0</v>
          </cell>
          <cell r="F14400">
            <v>0</v>
          </cell>
          <cell r="DN14400">
            <v>0</v>
          </cell>
        </row>
        <row r="14401">
          <cell r="E14401">
            <v>0</v>
          </cell>
          <cell r="F14401">
            <v>0</v>
          </cell>
          <cell r="DN14401">
            <v>0</v>
          </cell>
        </row>
        <row r="14402">
          <cell r="E14402">
            <v>0</v>
          </cell>
          <cell r="F14402">
            <v>0</v>
          </cell>
          <cell r="DN14402">
            <v>0</v>
          </cell>
        </row>
        <row r="14403">
          <cell r="E14403">
            <v>0</v>
          </cell>
          <cell r="F14403">
            <v>0</v>
          </cell>
          <cell r="DN14403">
            <v>0</v>
          </cell>
        </row>
        <row r="14404">
          <cell r="E14404">
            <v>0</v>
          </cell>
          <cell r="F14404">
            <v>0</v>
          </cell>
          <cell r="DN14404">
            <v>0</v>
          </cell>
        </row>
        <row r="14405">
          <cell r="E14405">
            <v>0</v>
          </cell>
          <cell r="F14405">
            <v>0</v>
          </cell>
          <cell r="DN14405">
            <v>0</v>
          </cell>
        </row>
        <row r="14406">
          <cell r="E14406">
            <v>0</v>
          </cell>
          <cell r="F14406">
            <v>0</v>
          </cell>
          <cell r="DN14406">
            <v>0</v>
          </cell>
        </row>
        <row r="14407">
          <cell r="E14407">
            <v>0</v>
          </cell>
          <cell r="F14407">
            <v>0</v>
          </cell>
          <cell r="DN14407">
            <v>0</v>
          </cell>
        </row>
        <row r="14408">
          <cell r="E14408">
            <v>0</v>
          </cell>
          <cell r="F14408">
            <v>0</v>
          </cell>
          <cell r="DN14408">
            <v>0</v>
          </cell>
        </row>
        <row r="14409">
          <cell r="E14409">
            <v>0</v>
          </cell>
          <cell r="F14409">
            <v>0</v>
          </cell>
          <cell r="DN14409">
            <v>0</v>
          </cell>
        </row>
        <row r="14410">
          <cell r="E14410">
            <v>0</v>
          </cell>
          <cell r="F14410">
            <v>0</v>
          </cell>
          <cell r="DN14410">
            <v>0</v>
          </cell>
        </row>
        <row r="14411">
          <cell r="E14411">
            <v>0</v>
          </cell>
          <cell r="F14411">
            <v>0</v>
          </cell>
          <cell r="DN14411">
            <v>0</v>
          </cell>
        </row>
        <row r="14412">
          <cell r="E14412">
            <v>0</v>
          </cell>
          <cell r="F14412">
            <v>0</v>
          </cell>
          <cell r="DN14412">
            <v>0</v>
          </cell>
        </row>
        <row r="14413">
          <cell r="E14413">
            <v>0</v>
          </cell>
          <cell r="F14413">
            <v>0</v>
          </cell>
          <cell r="DN14413">
            <v>0</v>
          </cell>
        </row>
        <row r="14414">
          <cell r="E14414">
            <v>0</v>
          </cell>
          <cell r="F14414">
            <v>0</v>
          </cell>
          <cell r="DN14414">
            <v>0</v>
          </cell>
        </row>
        <row r="14415">
          <cell r="E14415">
            <v>0</v>
          </cell>
          <cell r="F14415">
            <v>0</v>
          </cell>
          <cell r="DN14415">
            <v>0</v>
          </cell>
        </row>
        <row r="14416">
          <cell r="E14416">
            <v>0</v>
          </cell>
          <cell r="F14416">
            <v>0</v>
          </cell>
          <cell r="DN14416">
            <v>0</v>
          </cell>
        </row>
        <row r="14417">
          <cell r="E14417">
            <v>0</v>
          </cell>
          <cell r="F14417">
            <v>0</v>
          </cell>
          <cell r="DN14417">
            <v>0</v>
          </cell>
        </row>
        <row r="14418">
          <cell r="E14418">
            <v>0</v>
          </cell>
          <cell r="F14418">
            <v>0</v>
          </cell>
          <cell r="DN14418">
            <v>0</v>
          </cell>
        </row>
        <row r="14419">
          <cell r="E14419">
            <v>0</v>
          </cell>
          <cell r="F14419">
            <v>0</v>
          </cell>
          <cell r="DN14419">
            <v>0</v>
          </cell>
        </row>
        <row r="14420">
          <cell r="E14420">
            <v>0</v>
          </cell>
          <cell r="F14420">
            <v>0</v>
          </cell>
          <cell r="DN14420">
            <v>0</v>
          </cell>
        </row>
        <row r="14421">
          <cell r="E14421">
            <v>0</v>
          </cell>
          <cell r="F14421">
            <v>0</v>
          </cell>
          <cell r="DN14421">
            <v>0</v>
          </cell>
        </row>
        <row r="14422">
          <cell r="E14422">
            <v>0</v>
          </cell>
          <cell r="F14422">
            <v>0</v>
          </cell>
          <cell r="DN14422">
            <v>0</v>
          </cell>
        </row>
        <row r="14423">
          <cell r="E14423">
            <v>0</v>
          </cell>
          <cell r="F14423">
            <v>0</v>
          </cell>
          <cell r="DN14423">
            <v>0</v>
          </cell>
        </row>
        <row r="14424">
          <cell r="E14424">
            <v>0</v>
          </cell>
          <cell r="F14424">
            <v>0</v>
          </cell>
          <cell r="DN14424">
            <v>0</v>
          </cell>
        </row>
        <row r="14425">
          <cell r="E14425">
            <v>0</v>
          </cell>
          <cell r="F14425">
            <v>0</v>
          </cell>
          <cell r="DN14425">
            <v>0</v>
          </cell>
        </row>
        <row r="14426">
          <cell r="E14426">
            <v>0</v>
          </cell>
          <cell r="F14426">
            <v>0</v>
          </cell>
          <cell r="DN14426">
            <v>0</v>
          </cell>
        </row>
        <row r="14427">
          <cell r="E14427">
            <v>0</v>
          </cell>
          <cell r="F14427">
            <v>0</v>
          </cell>
          <cell r="DN14427">
            <v>0</v>
          </cell>
        </row>
        <row r="14428">
          <cell r="E14428">
            <v>0</v>
          </cell>
          <cell r="F14428">
            <v>0</v>
          </cell>
          <cell r="DN14428">
            <v>0</v>
          </cell>
        </row>
        <row r="14429">
          <cell r="E14429">
            <v>0</v>
          </cell>
          <cell r="F14429">
            <v>0</v>
          </cell>
          <cell r="DN14429">
            <v>0</v>
          </cell>
        </row>
        <row r="14430">
          <cell r="E14430">
            <v>0</v>
          </cell>
          <cell r="F14430">
            <v>0</v>
          </cell>
          <cell r="DN14430">
            <v>0</v>
          </cell>
        </row>
        <row r="14431">
          <cell r="E14431">
            <v>0</v>
          </cell>
          <cell r="F14431">
            <v>0</v>
          </cell>
          <cell r="DN14431">
            <v>0</v>
          </cell>
        </row>
        <row r="14432">
          <cell r="E14432">
            <v>0</v>
          </cell>
          <cell r="F14432">
            <v>0</v>
          </cell>
          <cell r="DN14432">
            <v>0</v>
          </cell>
        </row>
        <row r="14433">
          <cell r="E14433">
            <v>0</v>
          </cell>
          <cell r="F14433">
            <v>0</v>
          </cell>
          <cell r="DN14433">
            <v>0</v>
          </cell>
        </row>
        <row r="14434">
          <cell r="E14434">
            <v>0</v>
          </cell>
          <cell r="F14434">
            <v>0</v>
          </cell>
          <cell r="DN14434">
            <v>0</v>
          </cell>
        </row>
        <row r="14435">
          <cell r="E14435">
            <v>0</v>
          </cell>
          <cell r="F14435">
            <v>0</v>
          </cell>
          <cell r="DN14435">
            <v>0</v>
          </cell>
        </row>
        <row r="14436">
          <cell r="E14436">
            <v>0</v>
          </cell>
          <cell r="F14436">
            <v>0</v>
          </cell>
          <cell r="DN14436">
            <v>0</v>
          </cell>
        </row>
        <row r="14437">
          <cell r="E14437">
            <v>0</v>
          </cell>
          <cell r="F14437">
            <v>0</v>
          </cell>
          <cell r="DN14437">
            <v>0</v>
          </cell>
        </row>
        <row r="14438">
          <cell r="E14438">
            <v>0</v>
          </cell>
          <cell r="F14438">
            <v>0</v>
          </cell>
          <cell r="DN14438">
            <v>0</v>
          </cell>
        </row>
        <row r="14439">
          <cell r="E14439">
            <v>0</v>
          </cell>
          <cell r="F14439">
            <v>0</v>
          </cell>
          <cell r="DN14439">
            <v>0</v>
          </cell>
        </row>
        <row r="14440">
          <cell r="E14440">
            <v>0</v>
          </cell>
          <cell r="F14440">
            <v>0</v>
          </cell>
          <cell r="DN14440">
            <v>0</v>
          </cell>
        </row>
        <row r="14441">
          <cell r="E14441">
            <v>0</v>
          </cell>
          <cell r="F14441">
            <v>0</v>
          </cell>
          <cell r="DN14441">
            <v>0</v>
          </cell>
        </row>
        <row r="14442">
          <cell r="E14442">
            <v>0</v>
          </cell>
          <cell r="F14442">
            <v>0</v>
          </cell>
          <cell r="DN14442">
            <v>0</v>
          </cell>
        </row>
        <row r="14443">
          <cell r="E14443">
            <v>0</v>
          </cell>
          <cell r="F14443">
            <v>0</v>
          </cell>
          <cell r="DN14443">
            <v>0</v>
          </cell>
        </row>
        <row r="14444">
          <cell r="E14444">
            <v>0</v>
          </cell>
          <cell r="F14444">
            <v>0</v>
          </cell>
          <cell r="DN14444">
            <v>0</v>
          </cell>
        </row>
        <row r="14445">
          <cell r="E14445">
            <v>0</v>
          </cell>
          <cell r="F14445">
            <v>0</v>
          </cell>
          <cell r="DN14445">
            <v>0</v>
          </cell>
        </row>
        <row r="14446">
          <cell r="E14446">
            <v>0</v>
          </cell>
          <cell r="F14446">
            <v>0</v>
          </cell>
          <cell r="DN14446">
            <v>0</v>
          </cell>
        </row>
        <row r="14447">
          <cell r="E14447">
            <v>0</v>
          </cell>
          <cell r="F14447">
            <v>0</v>
          </cell>
          <cell r="DN14447">
            <v>0</v>
          </cell>
        </row>
        <row r="14448">
          <cell r="E14448">
            <v>0</v>
          </cell>
          <cell r="F14448">
            <v>0</v>
          </cell>
          <cell r="DN14448">
            <v>0</v>
          </cell>
        </row>
        <row r="14449">
          <cell r="E14449">
            <v>0</v>
          </cell>
          <cell r="F14449">
            <v>0</v>
          </cell>
          <cell r="DN14449">
            <v>0</v>
          </cell>
        </row>
        <row r="14450">
          <cell r="E14450">
            <v>0</v>
          </cell>
          <cell r="F14450">
            <v>0</v>
          </cell>
          <cell r="DN14450">
            <v>0</v>
          </cell>
        </row>
        <row r="14451">
          <cell r="E14451">
            <v>0</v>
          </cell>
          <cell r="F14451">
            <v>0</v>
          </cell>
          <cell r="DN14451">
            <v>0</v>
          </cell>
        </row>
        <row r="14452">
          <cell r="E14452">
            <v>0</v>
          </cell>
          <cell r="F14452">
            <v>0</v>
          </cell>
          <cell r="DN14452">
            <v>0</v>
          </cell>
        </row>
        <row r="14453">
          <cell r="E14453">
            <v>0</v>
          </cell>
          <cell r="F14453">
            <v>0</v>
          </cell>
          <cell r="DN14453">
            <v>0</v>
          </cell>
        </row>
        <row r="14454">
          <cell r="E14454">
            <v>0</v>
          </cell>
          <cell r="F14454">
            <v>0</v>
          </cell>
          <cell r="DN14454">
            <v>0</v>
          </cell>
        </row>
        <row r="14455">
          <cell r="E14455">
            <v>0</v>
          </cell>
          <cell r="F14455">
            <v>0</v>
          </cell>
          <cell r="DN14455">
            <v>0</v>
          </cell>
        </row>
        <row r="14456">
          <cell r="E14456">
            <v>0</v>
          </cell>
          <cell r="F14456">
            <v>0</v>
          </cell>
          <cell r="DN14456">
            <v>0</v>
          </cell>
        </row>
        <row r="14457">
          <cell r="E14457">
            <v>0</v>
          </cell>
          <cell r="F14457">
            <v>0</v>
          </cell>
          <cell r="DN14457">
            <v>0</v>
          </cell>
        </row>
        <row r="14458">
          <cell r="E14458">
            <v>0</v>
          </cell>
          <cell r="F14458">
            <v>0</v>
          </cell>
          <cell r="DN14458">
            <v>0</v>
          </cell>
        </row>
        <row r="14459">
          <cell r="E14459">
            <v>0</v>
          </cell>
          <cell r="F14459">
            <v>0</v>
          </cell>
          <cell r="DN14459">
            <v>0</v>
          </cell>
        </row>
        <row r="14460">
          <cell r="E14460">
            <v>0</v>
          </cell>
          <cell r="F14460">
            <v>0</v>
          </cell>
          <cell r="DN14460">
            <v>0</v>
          </cell>
        </row>
        <row r="14461">
          <cell r="E14461">
            <v>0</v>
          </cell>
          <cell r="F14461">
            <v>0</v>
          </cell>
          <cell r="DN14461">
            <v>0</v>
          </cell>
        </row>
        <row r="14462">
          <cell r="E14462">
            <v>0</v>
          </cell>
          <cell r="F14462">
            <v>0</v>
          </cell>
          <cell r="DN14462">
            <v>0</v>
          </cell>
        </row>
        <row r="14463">
          <cell r="E14463">
            <v>0</v>
          </cell>
          <cell r="F14463">
            <v>0</v>
          </cell>
          <cell r="DN14463">
            <v>0</v>
          </cell>
        </row>
        <row r="14464">
          <cell r="E14464">
            <v>0</v>
          </cell>
          <cell r="F14464">
            <v>0</v>
          </cell>
          <cell r="DN14464">
            <v>0</v>
          </cell>
        </row>
        <row r="14465">
          <cell r="E14465">
            <v>0</v>
          </cell>
          <cell r="F14465">
            <v>0</v>
          </cell>
          <cell r="DN14465">
            <v>0</v>
          </cell>
        </row>
        <row r="14466">
          <cell r="E14466">
            <v>0</v>
          </cell>
          <cell r="F14466">
            <v>0</v>
          </cell>
          <cell r="DN14466">
            <v>0</v>
          </cell>
        </row>
        <row r="14467">
          <cell r="E14467">
            <v>0</v>
          </cell>
          <cell r="F14467">
            <v>0</v>
          </cell>
          <cell r="DN14467">
            <v>0</v>
          </cell>
        </row>
        <row r="14468">
          <cell r="E14468">
            <v>0</v>
          </cell>
          <cell r="F14468">
            <v>0</v>
          </cell>
          <cell r="DN14468">
            <v>0</v>
          </cell>
        </row>
        <row r="14469">
          <cell r="E14469">
            <v>0</v>
          </cell>
          <cell r="F14469">
            <v>0</v>
          </cell>
          <cell r="DN14469">
            <v>0</v>
          </cell>
        </row>
        <row r="14470">
          <cell r="E14470">
            <v>0</v>
          </cell>
          <cell r="F14470">
            <v>0</v>
          </cell>
          <cell r="DN14470">
            <v>0</v>
          </cell>
        </row>
        <row r="14471">
          <cell r="E14471">
            <v>0</v>
          </cell>
          <cell r="F14471">
            <v>0</v>
          </cell>
          <cell r="DN14471">
            <v>0</v>
          </cell>
        </row>
        <row r="14472">
          <cell r="E14472">
            <v>0</v>
          </cell>
          <cell r="F14472">
            <v>0</v>
          </cell>
          <cell r="DN14472">
            <v>0</v>
          </cell>
        </row>
        <row r="14473">
          <cell r="E14473">
            <v>0</v>
          </cell>
          <cell r="F14473">
            <v>0</v>
          </cell>
          <cell r="DN14473">
            <v>0</v>
          </cell>
        </row>
        <row r="14474">
          <cell r="E14474">
            <v>0</v>
          </cell>
          <cell r="F14474">
            <v>0</v>
          </cell>
          <cell r="DN14474">
            <v>0</v>
          </cell>
        </row>
        <row r="14475">
          <cell r="E14475">
            <v>0</v>
          </cell>
          <cell r="F14475">
            <v>0</v>
          </cell>
          <cell r="DN14475">
            <v>0</v>
          </cell>
        </row>
        <row r="14476">
          <cell r="E14476">
            <v>0</v>
          </cell>
          <cell r="F14476">
            <v>0</v>
          </cell>
          <cell r="DN14476">
            <v>0</v>
          </cell>
        </row>
        <row r="14477">
          <cell r="E14477">
            <v>0</v>
          </cell>
          <cell r="F14477">
            <v>0</v>
          </cell>
          <cell r="DN14477">
            <v>0</v>
          </cell>
        </row>
        <row r="14478">
          <cell r="E14478">
            <v>0</v>
          </cell>
          <cell r="F14478">
            <v>0</v>
          </cell>
          <cell r="DN14478">
            <v>0</v>
          </cell>
        </row>
        <row r="14479">
          <cell r="E14479">
            <v>0</v>
          </cell>
          <cell r="F14479">
            <v>0</v>
          </cell>
          <cell r="DN14479">
            <v>0</v>
          </cell>
        </row>
        <row r="14480">
          <cell r="E14480">
            <v>0</v>
          </cell>
          <cell r="F14480">
            <v>0</v>
          </cell>
          <cell r="DN14480">
            <v>0</v>
          </cell>
        </row>
        <row r="14481">
          <cell r="E14481">
            <v>0</v>
          </cell>
          <cell r="F14481">
            <v>0</v>
          </cell>
          <cell r="DN14481">
            <v>0</v>
          </cell>
        </row>
        <row r="14482">
          <cell r="E14482">
            <v>0</v>
          </cell>
          <cell r="F14482">
            <v>0</v>
          </cell>
          <cell r="DN14482">
            <v>0</v>
          </cell>
        </row>
        <row r="14483">
          <cell r="E14483">
            <v>0</v>
          </cell>
          <cell r="F14483">
            <v>0</v>
          </cell>
          <cell r="DN14483">
            <v>0</v>
          </cell>
        </row>
        <row r="14484">
          <cell r="E14484">
            <v>0</v>
          </cell>
          <cell r="F14484">
            <v>0</v>
          </cell>
          <cell r="DN14484">
            <v>0</v>
          </cell>
        </row>
        <row r="14485">
          <cell r="E14485">
            <v>0</v>
          </cell>
          <cell r="F14485">
            <v>0</v>
          </cell>
          <cell r="DN14485">
            <v>0</v>
          </cell>
        </row>
        <row r="14486">
          <cell r="E14486">
            <v>0</v>
          </cell>
          <cell r="F14486">
            <v>0</v>
          </cell>
          <cell r="DN14486">
            <v>0</v>
          </cell>
        </row>
        <row r="14487">
          <cell r="E14487">
            <v>0</v>
          </cell>
          <cell r="F14487">
            <v>0</v>
          </cell>
          <cell r="DN14487">
            <v>0</v>
          </cell>
        </row>
        <row r="14488">
          <cell r="E14488">
            <v>0</v>
          </cell>
          <cell r="F14488">
            <v>0</v>
          </cell>
          <cell r="DN14488">
            <v>0</v>
          </cell>
        </row>
        <row r="14489">
          <cell r="E14489">
            <v>0</v>
          </cell>
          <cell r="F14489">
            <v>0</v>
          </cell>
          <cell r="DN14489">
            <v>0</v>
          </cell>
        </row>
        <row r="14490">
          <cell r="E14490">
            <v>0</v>
          </cell>
          <cell r="F14490">
            <v>0</v>
          </cell>
          <cell r="DN14490">
            <v>0</v>
          </cell>
        </row>
        <row r="14491">
          <cell r="E14491">
            <v>0</v>
          </cell>
          <cell r="F14491">
            <v>0</v>
          </cell>
          <cell r="DN14491">
            <v>0</v>
          </cell>
        </row>
        <row r="14492">
          <cell r="E14492">
            <v>0</v>
          </cell>
          <cell r="F14492">
            <v>0</v>
          </cell>
          <cell r="DN14492">
            <v>0</v>
          </cell>
        </row>
        <row r="14493">
          <cell r="E14493">
            <v>0</v>
          </cell>
          <cell r="F14493">
            <v>0</v>
          </cell>
          <cell r="DN14493">
            <v>0</v>
          </cell>
        </row>
        <row r="14494">
          <cell r="E14494">
            <v>0</v>
          </cell>
          <cell r="F14494">
            <v>0</v>
          </cell>
          <cell r="DN14494">
            <v>0</v>
          </cell>
        </row>
        <row r="14495">
          <cell r="E14495">
            <v>0</v>
          </cell>
          <cell r="F14495">
            <v>0</v>
          </cell>
          <cell r="DN14495">
            <v>0</v>
          </cell>
        </row>
        <row r="14496">
          <cell r="E14496">
            <v>0</v>
          </cell>
          <cell r="F14496">
            <v>0</v>
          </cell>
          <cell r="DN14496">
            <v>0</v>
          </cell>
        </row>
        <row r="14497">
          <cell r="E14497">
            <v>0</v>
          </cell>
          <cell r="F14497">
            <v>0</v>
          </cell>
          <cell r="DN14497">
            <v>0</v>
          </cell>
        </row>
        <row r="14498">
          <cell r="E14498">
            <v>0</v>
          </cell>
          <cell r="F14498">
            <v>0</v>
          </cell>
          <cell r="DN14498">
            <v>0</v>
          </cell>
        </row>
        <row r="14499">
          <cell r="E14499">
            <v>0</v>
          </cell>
          <cell r="F14499">
            <v>0</v>
          </cell>
          <cell r="DN14499">
            <v>0</v>
          </cell>
        </row>
        <row r="14500">
          <cell r="E14500">
            <v>0</v>
          </cell>
          <cell r="F14500">
            <v>0</v>
          </cell>
          <cell r="DN14500">
            <v>0</v>
          </cell>
        </row>
        <row r="14501">
          <cell r="E14501">
            <v>0</v>
          </cell>
          <cell r="F14501">
            <v>0</v>
          </cell>
          <cell r="DN14501">
            <v>0</v>
          </cell>
        </row>
        <row r="14502">
          <cell r="E14502">
            <v>0</v>
          </cell>
          <cell r="F14502">
            <v>0</v>
          </cell>
          <cell r="DN14502">
            <v>0</v>
          </cell>
        </row>
        <row r="14503">
          <cell r="E14503">
            <v>0</v>
          </cell>
          <cell r="F14503">
            <v>0</v>
          </cell>
          <cell r="DN14503">
            <v>0</v>
          </cell>
        </row>
        <row r="14504">
          <cell r="E14504">
            <v>0</v>
          </cell>
          <cell r="F14504">
            <v>0</v>
          </cell>
          <cell r="DN14504">
            <v>0</v>
          </cell>
        </row>
        <row r="14505">
          <cell r="E14505">
            <v>0</v>
          </cell>
          <cell r="F14505">
            <v>0</v>
          </cell>
          <cell r="DN14505">
            <v>0</v>
          </cell>
        </row>
        <row r="14506">
          <cell r="E14506">
            <v>0</v>
          </cell>
          <cell r="F14506">
            <v>0</v>
          </cell>
          <cell r="DN14506">
            <v>0</v>
          </cell>
        </row>
        <row r="14507">
          <cell r="E14507">
            <v>0</v>
          </cell>
          <cell r="F14507">
            <v>0</v>
          </cell>
          <cell r="DN14507">
            <v>0</v>
          </cell>
        </row>
        <row r="14508">
          <cell r="E14508">
            <v>0</v>
          </cell>
          <cell r="F14508">
            <v>0</v>
          </cell>
          <cell r="DN14508">
            <v>0</v>
          </cell>
        </row>
        <row r="14509">
          <cell r="E14509">
            <v>0</v>
          </cell>
          <cell r="F14509">
            <v>0</v>
          </cell>
          <cell r="DN14509">
            <v>0</v>
          </cell>
        </row>
        <row r="14510">
          <cell r="E14510">
            <v>0</v>
          </cell>
          <cell r="F14510">
            <v>0</v>
          </cell>
          <cell r="DN14510">
            <v>0</v>
          </cell>
        </row>
        <row r="14511">
          <cell r="E14511">
            <v>0</v>
          </cell>
          <cell r="F14511">
            <v>0</v>
          </cell>
          <cell r="DN14511">
            <v>0</v>
          </cell>
        </row>
        <row r="14512">
          <cell r="E14512">
            <v>0</v>
          </cell>
          <cell r="F14512">
            <v>0</v>
          </cell>
          <cell r="DN14512">
            <v>0</v>
          </cell>
        </row>
        <row r="14513">
          <cell r="E14513">
            <v>0</v>
          </cell>
          <cell r="F14513">
            <v>0</v>
          </cell>
          <cell r="DN14513">
            <v>0</v>
          </cell>
        </row>
        <row r="14514">
          <cell r="E14514">
            <v>0</v>
          </cell>
          <cell r="F14514">
            <v>0</v>
          </cell>
          <cell r="DN14514">
            <v>0</v>
          </cell>
        </row>
        <row r="14515">
          <cell r="E14515">
            <v>0</v>
          </cell>
          <cell r="F14515">
            <v>0</v>
          </cell>
          <cell r="DN14515">
            <v>0</v>
          </cell>
        </row>
        <row r="14516">
          <cell r="E14516">
            <v>0</v>
          </cell>
          <cell r="F14516">
            <v>0</v>
          </cell>
          <cell r="DN14516">
            <v>0</v>
          </cell>
        </row>
        <row r="14517">
          <cell r="E14517">
            <v>0</v>
          </cell>
          <cell r="F14517">
            <v>0</v>
          </cell>
          <cell r="DN14517">
            <v>0</v>
          </cell>
        </row>
        <row r="14518">
          <cell r="E14518">
            <v>0</v>
          </cell>
          <cell r="F14518">
            <v>0</v>
          </cell>
          <cell r="DN14518">
            <v>0</v>
          </cell>
        </row>
        <row r="14519">
          <cell r="E14519">
            <v>0</v>
          </cell>
          <cell r="F14519">
            <v>0</v>
          </cell>
          <cell r="DN14519">
            <v>0</v>
          </cell>
        </row>
        <row r="14520">
          <cell r="E14520">
            <v>0</v>
          </cell>
          <cell r="F14520">
            <v>0</v>
          </cell>
          <cell r="DN14520">
            <v>0</v>
          </cell>
        </row>
        <row r="14521">
          <cell r="E14521">
            <v>0</v>
          </cell>
          <cell r="F14521">
            <v>0</v>
          </cell>
          <cell r="DN14521">
            <v>0</v>
          </cell>
        </row>
        <row r="14522">
          <cell r="E14522">
            <v>0</v>
          </cell>
          <cell r="F14522">
            <v>0</v>
          </cell>
          <cell r="DN14522">
            <v>0</v>
          </cell>
        </row>
        <row r="14523">
          <cell r="E14523">
            <v>0</v>
          </cell>
          <cell r="F14523">
            <v>0</v>
          </cell>
          <cell r="DN14523">
            <v>0</v>
          </cell>
        </row>
        <row r="14524">
          <cell r="E14524">
            <v>0</v>
          </cell>
          <cell r="F14524">
            <v>0</v>
          </cell>
          <cell r="DN14524">
            <v>0</v>
          </cell>
        </row>
        <row r="14525">
          <cell r="E14525">
            <v>0</v>
          </cell>
          <cell r="F14525">
            <v>0</v>
          </cell>
          <cell r="DN14525">
            <v>0</v>
          </cell>
        </row>
        <row r="14526">
          <cell r="E14526">
            <v>0</v>
          </cell>
          <cell r="F14526">
            <v>0</v>
          </cell>
          <cell r="DN14526">
            <v>0</v>
          </cell>
        </row>
        <row r="14527">
          <cell r="E14527">
            <v>0</v>
          </cell>
          <cell r="F14527">
            <v>0</v>
          </cell>
          <cell r="DN14527">
            <v>0</v>
          </cell>
        </row>
        <row r="14528">
          <cell r="E14528">
            <v>0</v>
          </cell>
          <cell r="F14528">
            <v>0</v>
          </cell>
          <cell r="DN14528">
            <v>0</v>
          </cell>
        </row>
        <row r="14529">
          <cell r="E14529">
            <v>0</v>
          </cell>
          <cell r="F14529">
            <v>0</v>
          </cell>
          <cell r="DN14529">
            <v>0</v>
          </cell>
        </row>
        <row r="14530">
          <cell r="E14530">
            <v>0</v>
          </cell>
          <cell r="F14530">
            <v>0</v>
          </cell>
          <cell r="DN14530">
            <v>0</v>
          </cell>
        </row>
        <row r="14531">
          <cell r="E14531">
            <v>0</v>
          </cell>
          <cell r="F14531">
            <v>0</v>
          </cell>
          <cell r="DN14531">
            <v>0</v>
          </cell>
        </row>
        <row r="14532">
          <cell r="E14532">
            <v>0</v>
          </cell>
          <cell r="F14532">
            <v>0</v>
          </cell>
          <cell r="DN14532">
            <v>0</v>
          </cell>
        </row>
        <row r="14533">
          <cell r="E14533">
            <v>0</v>
          </cell>
          <cell r="F14533">
            <v>0</v>
          </cell>
          <cell r="DN14533">
            <v>0</v>
          </cell>
        </row>
        <row r="14534">
          <cell r="E14534">
            <v>0</v>
          </cell>
          <cell r="F14534">
            <v>0</v>
          </cell>
          <cell r="DN14534">
            <v>0</v>
          </cell>
        </row>
        <row r="14535">
          <cell r="E14535">
            <v>0</v>
          </cell>
          <cell r="F14535">
            <v>0</v>
          </cell>
          <cell r="DN14535">
            <v>0</v>
          </cell>
        </row>
        <row r="14536">
          <cell r="E14536">
            <v>0</v>
          </cell>
          <cell r="F14536">
            <v>0</v>
          </cell>
          <cell r="DN14536">
            <v>0</v>
          </cell>
        </row>
        <row r="14537">
          <cell r="E14537">
            <v>0</v>
          </cell>
          <cell r="F14537">
            <v>0</v>
          </cell>
          <cell r="DN14537">
            <v>0</v>
          </cell>
        </row>
        <row r="14538">
          <cell r="E14538">
            <v>0</v>
          </cell>
          <cell r="F14538">
            <v>0</v>
          </cell>
          <cell r="DN14538">
            <v>0</v>
          </cell>
        </row>
        <row r="14539">
          <cell r="E14539">
            <v>0</v>
          </cell>
          <cell r="F14539">
            <v>0</v>
          </cell>
          <cell r="DN14539">
            <v>0</v>
          </cell>
        </row>
        <row r="14540">
          <cell r="E14540">
            <v>0</v>
          </cell>
          <cell r="F14540">
            <v>0</v>
          </cell>
          <cell r="DN14540">
            <v>0</v>
          </cell>
        </row>
        <row r="14541">
          <cell r="E14541">
            <v>0</v>
          </cell>
          <cell r="F14541">
            <v>0</v>
          </cell>
          <cell r="DN14541">
            <v>0</v>
          </cell>
        </row>
        <row r="14542">
          <cell r="E14542">
            <v>0</v>
          </cell>
          <cell r="F14542">
            <v>0</v>
          </cell>
          <cell r="DN14542">
            <v>0</v>
          </cell>
        </row>
        <row r="14543">
          <cell r="E14543">
            <v>0</v>
          </cell>
          <cell r="F14543">
            <v>0</v>
          </cell>
          <cell r="DN14543">
            <v>0</v>
          </cell>
        </row>
        <row r="14544">
          <cell r="E14544">
            <v>0</v>
          </cell>
          <cell r="F14544">
            <v>0</v>
          </cell>
          <cell r="DN14544">
            <v>0</v>
          </cell>
        </row>
        <row r="14545">
          <cell r="E14545">
            <v>0</v>
          </cell>
          <cell r="F14545">
            <v>0</v>
          </cell>
          <cell r="DN14545">
            <v>0</v>
          </cell>
        </row>
        <row r="14546">
          <cell r="E14546">
            <v>0</v>
          </cell>
          <cell r="F14546">
            <v>0</v>
          </cell>
          <cell r="DN14546">
            <v>0</v>
          </cell>
        </row>
        <row r="14547">
          <cell r="E14547">
            <v>0</v>
          </cell>
          <cell r="F14547">
            <v>0</v>
          </cell>
          <cell r="DN14547">
            <v>0</v>
          </cell>
        </row>
        <row r="14548">
          <cell r="E14548">
            <v>0</v>
          </cell>
          <cell r="F14548">
            <v>0</v>
          </cell>
          <cell r="DN14548">
            <v>0</v>
          </cell>
        </row>
        <row r="14549">
          <cell r="E14549">
            <v>0</v>
          </cell>
          <cell r="F14549">
            <v>0</v>
          </cell>
          <cell r="DN14549">
            <v>0</v>
          </cell>
        </row>
        <row r="14550">
          <cell r="E14550">
            <v>0</v>
          </cell>
          <cell r="F14550">
            <v>0</v>
          </cell>
          <cell r="DN14550">
            <v>0</v>
          </cell>
        </row>
        <row r="14551">
          <cell r="E14551">
            <v>0</v>
          </cell>
          <cell r="F14551">
            <v>0</v>
          </cell>
          <cell r="DN14551">
            <v>0</v>
          </cell>
        </row>
        <row r="14552">
          <cell r="E14552">
            <v>0</v>
          </cell>
          <cell r="F14552">
            <v>0</v>
          </cell>
          <cell r="DN14552">
            <v>0</v>
          </cell>
        </row>
        <row r="14553">
          <cell r="E14553">
            <v>0</v>
          </cell>
          <cell r="F14553">
            <v>0</v>
          </cell>
          <cell r="DN14553">
            <v>0</v>
          </cell>
        </row>
        <row r="14554">
          <cell r="E14554">
            <v>0</v>
          </cell>
          <cell r="F14554">
            <v>0</v>
          </cell>
          <cell r="DN14554">
            <v>0</v>
          </cell>
        </row>
        <row r="14555">
          <cell r="E14555">
            <v>0</v>
          </cell>
          <cell r="F14555">
            <v>0</v>
          </cell>
          <cell r="DN14555">
            <v>0</v>
          </cell>
        </row>
        <row r="14556">
          <cell r="E14556">
            <v>0</v>
          </cell>
          <cell r="F14556">
            <v>0</v>
          </cell>
          <cell r="DN14556">
            <v>0</v>
          </cell>
        </row>
        <row r="14557">
          <cell r="E14557">
            <v>0</v>
          </cell>
          <cell r="F14557">
            <v>0</v>
          </cell>
          <cell r="DN14557">
            <v>0</v>
          </cell>
        </row>
        <row r="14558">
          <cell r="E14558">
            <v>0</v>
          </cell>
          <cell r="F14558">
            <v>0</v>
          </cell>
          <cell r="DN14558">
            <v>0</v>
          </cell>
        </row>
        <row r="14559">
          <cell r="E14559">
            <v>0</v>
          </cell>
          <cell r="F14559">
            <v>0</v>
          </cell>
          <cell r="DN14559">
            <v>0</v>
          </cell>
        </row>
        <row r="14560">
          <cell r="E14560">
            <v>0</v>
          </cell>
          <cell r="F14560">
            <v>0</v>
          </cell>
          <cell r="DN14560">
            <v>0</v>
          </cell>
        </row>
        <row r="14561">
          <cell r="E14561">
            <v>0</v>
          </cell>
          <cell r="F14561">
            <v>0</v>
          </cell>
          <cell r="DN14561">
            <v>0</v>
          </cell>
        </row>
        <row r="14562">
          <cell r="E14562">
            <v>0</v>
          </cell>
          <cell r="F14562">
            <v>0</v>
          </cell>
          <cell r="DN14562">
            <v>0</v>
          </cell>
        </row>
        <row r="14563">
          <cell r="E14563">
            <v>0</v>
          </cell>
          <cell r="F14563">
            <v>0</v>
          </cell>
          <cell r="DN14563">
            <v>0</v>
          </cell>
        </row>
        <row r="14564">
          <cell r="E14564">
            <v>0</v>
          </cell>
          <cell r="F14564">
            <v>0</v>
          </cell>
          <cell r="DN14564">
            <v>0</v>
          </cell>
        </row>
        <row r="14565">
          <cell r="E14565">
            <v>0</v>
          </cell>
          <cell r="F14565">
            <v>0</v>
          </cell>
          <cell r="DN14565">
            <v>0</v>
          </cell>
        </row>
        <row r="14566">
          <cell r="E14566">
            <v>0</v>
          </cell>
          <cell r="F14566">
            <v>0</v>
          </cell>
          <cell r="DN14566">
            <v>0</v>
          </cell>
        </row>
        <row r="14567">
          <cell r="E14567">
            <v>0</v>
          </cell>
          <cell r="F14567">
            <v>0</v>
          </cell>
          <cell r="DN14567">
            <v>0</v>
          </cell>
        </row>
        <row r="14568">
          <cell r="E14568">
            <v>0</v>
          </cell>
          <cell r="F14568">
            <v>0</v>
          </cell>
          <cell r="DN14568">
            <v>0</v>
          </cell>
        </row>
        <row r="14569">
          <cell r="E14569">
            <v>0</v>
          </cell>
          <cell r="F14569">
            <v>0</v>
          </cell>
          <cell r="DN14569">
            <v>0</v>
          </cell>
        </row>
        <row r="14570">
          <cell r="E14570">
            <v>0</v>
          </cell>
          <cell r="F14570">
            <v>0</v>
          </cell>
          <cell r="DN14570">
            <v>0</v>
          </cell>
        </row>
        <row r="14571">
          <cell r="E14571">
            <v>0</v>
          </cell>
          <cell r="F14571">
            <v>0</v>
          </cell>
          <cell r="DN14571">
            <v>0</v>
          </cell>
        </row>
        <row r="14572">
          <cell r="E14572">
            <v>0</v>
          </cell>
          <cell r="F14572">
            <v>0</v>
          </cell>
          <cell r="DN14572">
            <v>0</v>
          </cell>
        </row>
        <row r="14573">
          <cell r="E14573">
            <v>0</v>
          </cell>
          <cell r="F14573">
            <v>0</v>
          </cell>
          <cell r="DN14573">
            <v>0</v>
          </cell>
        </row>
        <row r="14574">
          <cell r="E14574">
            <v>0</v>
          </cell>
          <cell r="F14574">
            <v>0</v>
          </cell>
          <cell r="DN14574">
            <v>0</v>
          </cell>
        </row>
        <row r="14575">
          <cell r="E14575">
            <v>0</v>
          </cell>
          <cell r="F14575">
            <v>0</v>
          </cell>
          <cell r="DN14575">
            <v>0</v>
          </cell>
        </row>
        <row r="14576">
          <cell r="E14576">
            <v>0</v>
          </cell>
          <cell r="F14576">
            <v>0</v>
          </cell>
          <cell r="DN14576">
            <v>0</v>
          </cell>
        </row>
        <row r="14577">
          <cell r="E14577">
            <v>0</v>
          </cell>
          <cell r="F14577">
            <v>0</v>
          </cell>
          <cell r="DN14577">
            <v>0</v>
          </cell>
        </row>
        <row r="14578">
          <cell r="E14578">
            <v>0</v>
          </cell>
          <cell r="F14578">
            <v>0</v>
          </cell>
          <cell r="DN14578">
            <v>0</v>
          </cell>
        </row>
        <row r="14579">
          <cell r="E14579">
            <v>0</v>
          </cell>
          <cell r="F14579">
            <v>0</v>
          </cell>
          <cell r="DN14579">
            <v>0</v>
          </cell>
        </row>
        <row r="14580">
          <cell r="E14580">
            <v>0</v>
          </cell>
          <cell r="F14580">
            <v>0</v>
          </cell>
          <cell r="DN14580">
            <v>0</v>
          </cell>
        </row>
        <row r="14581">
          <cell r="E14581">
            <v>0</v>
          </cell>
          <cell r="F14581">
            <v>0</v>
          </cell>
          <cell r="DN14581">
            <v>0</v>
          </cell>
        </row>
        <row r="14582">
          <cell r="E14582">
            <v>0</v>
          </cell>
          <cell r="F14582">
            <v>0</v>
          </cell>
          <cell r="DN14582">
            <v>0</v>
          </cell>
        </row>
        <row r="14583">
          <cell r="E14583">
            <v>0</v>
          </cell>
          <cell r="F14583">
            <v>0</v>
          </cell>
          <cell r="DN14583">
            <v>0</v>
          </cell>
        </row>
        <row r="14584">
          <cell r="E14584">
            <v>0</v>
          </cell>
          <cell r="F14584">
            <v>0</v>
          </cell>
          <cell r="DN14584">
            <v>0</v>
          </cell>
        </row>
        <row r="14585">
          <cell r="E14585">
            <v>0</v>
          </cell>
          <cell r="F14585">
            <v>0</v>
          </cell>
          <cell r="DN14585">
            <v>0</v>
          </cell>
        </row>
        <row r="14586">
          <cell r="E14586">
            <v>0</v>
          </cell>
          <cell r="F14586">
            <v>0</v>
          </cell>
          <cell r="DN14586">
            <v>0</v>
          </cell>
        </row>
        <row r="14587">
          <cell r="E14587">
            <v>0</v>
          </cell>
          <cell r="F14587">
            <v>0</v>
          </cell>
          <cell r="DN14587">
            <v>0</v>
          </cell>
        </row>
        <row r="14588">
          <cell r="E14588">
            <v>0</v>
          </cell>
          <cell r="F14588">
            <v>0</v>
          </cell>
          <cell r="DN14588">
            <v>0</v>
          </cell>
        </row>
        <row r="14589">
          <cell r="E14589">
            <v>0</v>
          </cell>
          <cell r="F14589">
            <v>0</v>
          </cell>
          <cell r="DN14589">
            <v>0</v>
          </cell>
        </row>
        <row r="14590">
          <cell r="E14590">
            <v>0</v>
          </cell>
          <cell r="F14590">
            <v>0</v>
          </cell>
          <cell r="DN14590">
            <v>0</v>
          </cell>
        </row>
        <row r="14591">
          <cell r="E14591">
            <v>0</v>
          </cell>
          <cell r="F14591">
            <v>0</v>
          </cell>
          <cell r="DN14591">
            <v>0</v>
          </cell>
        </row>
        <row r="14592">
          <cell r="E14592">
            <v>0</v>
          </cell>
          <cell r="F14592">
            <v>0</v>
          </cell>
          <cell r="DN14592">
            <v>0</v>
          </cell>
        </row>
        <row r="14593">
          <cell r="E14593">
            <v>0</v>
          </cell>
          <cell r="F14593">
            <v>0</v>
          </cell>
          <cell r="DN14593">
            <v>0</v>
          </cell>
        </row>
        <row r="14594">
          <cell r="E14594">
            <v>0</v>
          </cell>
          <cell r="F14594">
            <v>0</v>
          </cell>
          <cell r="DN14594">
            <v>0</v>
          </cell>
        </row>
        <row r="14595">
          <cell r="E14595">
            <v>0</v>
          </cell>
          <cell r="F14595">
            <v>0</v>
          </cell>
          <cell r="DN14595">
            <v>0</v>
          </cell>
        </row>
        <row r="14596">
          <cell r="E14596">
            <v>0</v>
          </cell>
          <cell r="F14596">
            <v>0</v>
          </cell>
          <cell r="DN14596">
            <v>0</v>
          </cell>
        </row>
        <row r="14597">
          <cell r="E14597">
            <v>0</v>
          </cell>
          <cell r="F14597">
            <v>0</v>
          </cell>
          <cell r="DN14597">
            <v>0</v>
          </cell>
        </row>
        <row r="14598">
          <cell r="E14598">
            <v>0</v>
          </cell>
          <cell r="F14598">
            <v>0</v>
          </cell>
          <cell r="DN14598">
            <v>0</v>
          </cell>
        </row>
        <row r="14599">
          <cell r="E14599">
            <v>0</v>
          </cell>
          <cell r="F14599">
            <v>0</v>
          </cell>
          <cell r="DN14599">
            <v>0</v>
          </cell>
        </row>
        <row r="14600">
          <cell r="E14600">
            <v>0</v>
          </cell>
          <cell r="F14600">
            <v>0</v>
          </cell>
          <cell r="DN14600">
            <v>0</v>
          </cell>
        </row>
        <row r="14601">
          <cell r="E14601">
            <v>0</v>
          </cell>
          <cell r="F14601">
            <v>0</v>
          </cell>
          <cell r="DN14601">
            <v>0</v>
          </cell>
        </row>
        <row r="14602">
          <cell r="E14602">
            <v>0</v>
          </cell>
          <cell r="F14602">
            <v>0</v>
          </cell>
          <cell r="DN14602">
            <v>0</v>
          </cell>
        </row>
        <row r="14603">
          <cell r="E14603">
            <v>0</v>
          </cell>
          <cell r="F14603">
            <v>0</v>
          </cell>
          <cell r="DN14603">
            <v>0</v>
          </cell>
        </row>
        <row r="14604">
          <cell r="E14604">
            <v>0</v>
          </cell>
          <cell r="F14604">
            <v>0</v>
          </cell>
          <cell r="DN14604">
            <v>0</v>
          </cell>
        </row>
        <row r="14605">
          <cell r="E14605">
            <v>0</v>
          </cell>
          <cell r="F14605">
            <v>0</v>
          </cell>
          <cell r="DN14605">
            <v>0</v>
          </cell>
        </row>
        <row r="14606">
          <cell r="E14606">
            <v>0</v>
          </cell>
          <cell r="F14606">
            <v>0</v>
          </cell>
          <cell r="DN14606">
            <v>0</v>
          </cell>
        </row>
        <row r="14607">
          <cell r="E14607">
            <v>0</v>
          </cell>
          <cell r="F14607">
            <v>0</v>
          </cell>
          <cell r="DN14607">
            <v>0</v>
          </cell>
        </row>
        <row r="14608">
          <cell r="E14608">
            <v>0</v>
          </cell>
          <cell r="F14608">
            <v>0</v>
          </cell>
          <cell r="DN14608">
            <v>0</v>
          </cell>
        </row>
        <row r="14609">
          <cell r="E14609">
            <v>0</v>
          </cell>
          <cell r="F14609">
            <v>0</v>
          </cell>
          <cell r="DN14609">
            <v>0</v>
          </cell>
        </row>
        <row r="14610">
          <cell r="E14610">
            <v>0</v>
          </cell>
          <cell r="F14610">
            <v>0</v>
          </cell>
          <cell r="DN14610">
            <v>0</v>
          </cell>
        </row>
        <row r="14611">
          <cell r="E14611">
            <v>0</v>
          </cell>
          <cell r="F14611">
            <v>0</v>
          </cell>
          <cell r="DN14611">
            <v>0</v>
          </cell>
        </row>
        <row r="14612">
          <cell r="E14612">
            <v>0</v>
          </cell>
          <cell r="F14612">
            <v>0</v>
          </cell>
          <cell r="DN14612">
            <v>0</v>
          </cell>
        </row>
        <row r="14613">
          <cell r="E14613">
            <v>0</v>
          </cell>
          <cell r="F14613">
            <v>0</v>
          </cell>
          <cell r="DN14613">
            <v>0</v>
          </cell>
        </row>
        <row r="14614">
          <cell r="E14614">
            <v>0</v>
          </cell>
          <cell r="F14614">
            <v>0</v>
          </cell>
          <cell r="DN14614">
            <v>0</v>
          </cell>
        </row>
        <row r="14615">
          <cell r="E14615">
            <v>0</v>
          </cell>
          <cell r="F14615">
            <v>0</v>
          </cell>
          <cell r="DN14615">
            <v>0</v>
          </cell>
        </row>
        <row r="14616">
          <cell r="E14616">
            <v>0</v>
          </cell>
          <cell r="F14616">
            <v>0</v>
          </cell>
          <cell r="DN14616">
            <v>0</v>
          </cell>
        </row>
        <row r="14617">
          <cell r="E14617">
            <v>0</v>
          </cell>
          <cell r="F14617">
            <v>0</v>
          </cell>
          <cell r="DN14617">
            <v>0</v>
          </cell>
        </row>
        <row r="14618">
          <cell r="E14618">
            <v>0</v>
          </cell>
          <cell r="F14618">
            <v>0</v>
          </cell>
          <cell r="DN14618">
            <v>0</v>
          </cell>
        </row>
        <row r="14619">
          <cell r="E14619">
            <v>0</v>
          </cell>
          <cell r="F14619">
            <v>0</v>
          </cell>
          <cell r="DN14619">
            <v>0</v>
          </cell>
        </row>
        <row r="14620">
          <cell r="E14620">
            <v>0</v>
          </cell>
          <cell r="F14620">
            <v>0</v>
          </cell>
          <cell r="DN14620">
            <v>0</v>
          </cell>
        </row>
        <row r="14621">
          <cell r="E14621">
            <v>0</v>
          </cell>
          <cell r="F14621">
            <v>0</v>
          </cell>
          <cell r="DN14621">
            <v>0</v>
          </cell>
        </row>
        <row r="14622">
          <cell r="E14622">
            <v>0</v>
          </cell>
          <cell r="F14622">
            <v>0</v>
          </cell>
          <cell r="DN14622">
            <v>0</v>
          </cell>
        </row>
        <row r="14623">
          <cell r="E14623">
            <v>0</v>
          </cell>
          <cell r="F14623">
            <v>0</v>
          </cell>
          <cell r="DN14623">
            <v>0</v>
          </cell>
        </row>
        <row r="14624">
          <cell r="E14624">
            <v>0</v>
          </cell>
          <cell r="F14624">
            <v>0</v>
          </cell>
          <cell r="DN14624">
            <v>0</v>
          </cell>
        </row>
        <row r="14625">
          <cell r="E14625">
            <v>0</v>
          </cell>
          <cell r="F14625">
            <v>0</v>
          </cell>
          <cell r="DN14625">
            <v>0</v>
          </cell>
        </row>
        <row r="14626">
          <cell r="E14626">
            <v>0</v>
          </cell>
          <cell r="F14626">
            <v>0</v>
          </cell>
          <cell r="DN14626">
            <v>0</v>
          </cell>
        </row>
        <row r="14627">
          <cell r="E14627">
            <v>0</v>
          </cell>
          <cell r="F14627">
            <v>0</v>
          </cell>
          <cell r="DN14627">
            <v>0</v>
          </cell>
        </row>
        <row r="14628">
          <cell r="E14628">
            <v>0</v>
          </cell>
          <cell r="F14628">
            <v>0</v>
          </cell>
          <cell r="DN14628">
            <v>0</v>
          </cell>
        </row>
        <row r="14629">
          <cell r="E14629">
            <v>0</v>
          </cell>
          <cell r="F14629">
            <v>0</v>
          </cell>
          <cell r="DN14629">
            <v>0</v>
          </cell>
        </row>
        <row r="14630">
          <cell r="E14630">
            <v>0</v>
          </cell>
          <cell r="F14630">
            <v>0</v>
          </cell>
          <cell r="DN14630">
            <v>0</v>
          </cell>
        </row>
        <row r="14631">
          <cell r="E14631">
            <v>0</v>
          </cell>
          <cell r="F14631">
            <v>0</v>
          </cell>
          <cell r="DN14631">
            <v>0</v>
          </cell>
        </row>
        <row r="14632">
          <cell r="E14632">
            <v>0</v>
          </cell>
          <cell r="F14632">
            <v>0</v>
          </cell>
          <cell r="DN14632">
            <v>0</v>
          </cell>
        </row>
        <row r="14633">
          <cell r="E14633">
            <v>0</v>
          </cell>
          <cell r="F14633">
            <v>0</v>
          </cell>
          <cell r="DN14633">
            <v>0</v>
          </cell>
        </row>
        <row r="14634">
          <cell r="E14634">
            <v>0</v>
          </cell>
          <cell r="F14634">
            <v>0</v>
          </cell>
          <cell r="DN14634">
            <v>0</v>
          </cell>
        </row>
        <row r="14635">
          <cell r="E14635">
            <v>0</v>
          </cell>
          <cell r="F14635">
            <v>0</v>
          </cell>
          <cell r="DN14635">
            <v>0</v>
          </cell>
        </row>
        <row r="14636">
          <cell r="E14636">
            <v>0</v>
          </cell>
          <cell r="F14636">
            <v>0</v>
          </cell>
          <cell r="DN14636">
            <v>0</v>
          </cell>
        </row>
        <row r="14637">
          <cell r="E14637">
            <v>0</v>
          </cell>
          <cell r="F14637">
            <v>0</v>
          </cell>
          <cell r="DN14637">
            <v>0</v>
          </cell>
        </row>
        <row r="14638">
          <cell r="E14638">
            <v>0</v>
          </cell>
          <cell r="F14638">
            <v>0</v>
          </cell>
          <cell r="DN14638">
            <v>0</v>
          </cell>
        </row>
        <row r="14639">
          <cell r="E14639">
            <v>0</v>
          </cell>
          <cell r="F14639">
            <v>0</v>
          </cell>
          <cell r="DN14639">
            <v>0</v>
          </cell>
        </row>
        <row r="14640">
          <cell r="E14640">
            <v>0</v>
          </cell>
          <cell r="F14640">
            <v>0</v>
          </cell>
          <cell r="DN14640">
            <v>0</v>
          </cell>
        </row>
        <row r="14641">
          <cell r="E14641">
            <v>0</v>
          </cell>
          <cell r="F14641">
            <v>0</v>
          </cell>
          <cell r="DN14641">
            <v>0</v>
          </cell>
        </row>
        <row r="14642">
          <cell r="E14642">
            <v>0</v>
          </cell>
          <cell r="F14642">
            <v>0</v>
          </cell>
          <cell r="DN14642">
            <v>0</v>
          </cell>
        </row>
        <row r="14643">
          <cell r="E14643">
            <v>0</v>
          </cell>
          <cell r="F14643">
            <v>0</v>
          </cell>
          <cell r="DN14643">
            <v>0</v>
          </cell>
        </row>
        <row r="14644">
          <cell r="E14644">
            <v>0</v>
          </cell>
          <cell r="F14644">
            <v>0</v>
          </cell>
          <cell r="DN14644">
            <v>0</v>
          </cell>
        </row>
        <row r="14645">
          <cell r="E14645">
            <v>0</v>
          </cell>
          <cell r="F14645">
            <v>0</v>
          </cell>
          <cell r="DN14645">
            <v>0</v>
          </cell>
        </row>
        <row r="14646">
          <cell r="E14646">
            <v>0</v>
          </cell>
          <cell r="F14646">
            <v>0</v>
          </cell>
          <cell r="DN14646">
            <v>0</v>
          </cell>
        </row>
        <row r="14647">
          <cell r="E14647">
            <v>0</v>
          </cell>
          <cell r="F14647">
            <v>0</v>
          </cell>
          <cell r="DN14647">
            <v>0</v>
          </cell>
        </row>
        <row r="14648">
          <cell r="E14648">
            <v>0</v>
          </cell>
          <cell r="F14648">
            <v>0</v>
          </cell>
          <cell r="DN14648">
            <v>0</v>
          </cell>
        </row>
        <row r="14649">
          <cell r="E14649">
            <v>0</v>
          </cell>
          <cell r="F14649">
            <v>0</v>
          </cell>
          <cell r="DN14649">
            <v>0</v>
          </cell>
        </row>
        <row r="14650">
          <cell r="E14650">
            <v>0</v>
          </cell>
          <cell r="F14650">
            <v>0</v>
          </cell>
          <cell r="DN14650">
            <v>0</v>
          </cell>
        </row>
        <row r="14651">
          <cell r="E14651">
            <v>0</v>
          </cell>
          <cell r="F14651">
            <v>0</v>
          </cell>
          <cell r="DN14651">
            <v>0</v>
          </cell>
        </row>
        <row r="14652">
          <cell r="E14652">
            <v>0</v>
          </cell>
          <cell r="F14652">
            <v>0</v>
          </cell>
          <cell r="DN14652">
            <v>0</v>
          </cell>
        </row>
        <row r="14653">
          <cell r="E14653">
            <v>0</v>
          </cell>
          <cell r="F14653">
            <v>0</v>
          </cell>
          <cell r="DN14653">
            <v>0</v>
          </cell>
        </row>
        <row r="14654">
          <cell r="E14654">
            <v>0</v>
          </cell>
          <cell r="F14654">
            <v>0</v>
          </cell>
          <cell r="DN14654">
            <v>0</v>
          </cell>
        </row>
        <row r="14655">
          <cell r="E14655">
            <v>0</v>
          </cell>
          <cell r="F14655">
            <v>0</v>
          </cell>
          <cell r="DN14655">
            <v>0</v>
          </cell>
        </row>
        <row r="14656">
          <cell r="E14656">
            <v>0</v>
          </cell>
          <cell r="F14656">
            <v>0</v>
          </cell>
          <cell r="DN14656">
            <v>0</v>
          </cell>
        </row>
        <row r="14657">
          <cell r="E14657">
            <v>0</v>
          </cell>
          <cell r="F14657">
            <v>0</v>
          </cell>
          <cell r="DN14657">
            <v>0</v>
          </cell>
        </row>
        <row r="14658">
          <cell r="E14658">
            <v>0</v>
          </cell>
          <cell r="F14658">
            <v>0</v>
          </cell>
          <cell r="DN14658">
            <v>0</v>
          </cell>
        </row>
        <row r="14659">
          <cell r="E14659">
            <v>0</v>
          </cell>
          <cell r="F14659">
            <v>0</v>
          </cell>
          <cell r="DN14659">
            <v>0</v>
          </cell>
        </row>
        <row r="14660">
          <cell r="E14660">
            <v>0</v>
          </cell>
          <cell r="F14660">
            <v>0</v>
          </cell>
          <cell r="DN14660">
            <v>0</v>
          </cell>
        </row>
        <row r="14661">
          <cell r="E14661">
            <v>0</v>
          </cell>
          <cell r="F14661">
            <v>0</v>
          </cell>
          <cell r="DN14661">
            <v>0</v>
          </cell>
        </row>
        <row r="14662">
          <cell r="E14662">
            <v>0</v>
          </cell>
          <cell r="F14662">
            <v>0</v>
          </cell>
          <cell r="DN14662">
            <v>0</v>
          </cell>
        </row>
        <row r="14663">
          <cell r="E14663">
            <v>0</v>
          </cell>
          <cell r="F14663">
            <v>0</v>
          </cell>
          <cell r="DN14663">
            <v>0</v>
          </cell>
        </row>
        <row r="14664">
          <cell r="E14664">
            <v>0</v>
          </cell>
          <cell r="F14664">
            <v>0</v>
          </cell>
          <cell r="DN14664">
            <v>0</v>
          </cell>
        </row>
        <row r="14665">
          <cell r="E14665">
            <v>0</v>
          </cell>
          <cell r="F14665">
            <v>0</v>
          </cell>
          <cell r="DN14665">
            <v>0</v>
          </cell>
        </row>
        <row r="14666">
          <cell r="E14666">
            <v>0</v>
          </cell>
          <cell r="F14666">
            <v>0</v>
          </cell>
          <cell r="DN14666">
            <v>0</v>
          </cell>
        </row>
        <row r="14667">
          <cell r="E14667">
            <v>0</v>
          </cell>
          <cell r="F14667">
            <v>0</v>
          </cell>
          <cell r="DN14667">
            <v>0</v>
          </cell>
        </row>
        <row r="14668">
          <cell r="E14668">
            <v>0</v>
          </cell>
          <cell r="F14668">
            <v>0</v>
          </cell>
          <cell r="DN14668">
            <v>0</v>
          </cell>
        </row>
        <row r="14669">
          <cell r="E14669">
            <v>0</v>
          </cell>
          <cell r="F14669">
            <v>0</v>
          </cell>
          <cell r="DN14669">
            <v>0</v>
          </cell>
        </row>
        <row r="14670">
          <cell r="E14670">
            <v>0</v>
          </cell>
          <cell r="F14670">
            <v>0</v>
          </cell>
          <cell r="DN14670">
            <v>0</v>
          </cell>
        </row>
        <row r="14671">
          <cell r="E14671">
            <v>0</v>
          </cell>
          <cell r="F14671">
            <v>0</v>
          </cell>
          <cell r="DN14671">
            <v>0</v>
          </cell>
        </row>
        <row r="14672">
          <cell r="E14672">
            <v>0</v>
          </cell>
          <cell r="F14672">
            <v>0</v>
          </cell>
          <cell r="DN14672">
            <v>0</v>
          </cell>
        </row>
        <row r="14673">
          <cell r="E14673">
            <v>0</v>
          </cell>
          <cell r="F14673">
            <v>0</v>
          </cell>
          <cell r="DN14673">
            <v>0</v>
          </cell>
        </row>
        <row r="14674">
          <cell r="E14674">
            <v>0</v>
          </cell>
          <cell r="F14674">
            <v>0</v>
          </cell>
          <cell r="DN14674">
            <v>0</v>
          </cell>
        </row>
        <row r="14675">
          <cell r="E14675">
            <v>0</v>
          </cell>
          <cell r="F14675">
            <v>0</v>
          </cell>
          <cell r="DN14675">
            <v>0</v>
          </cell>
        </row>
        <row r="14676">
          <cell r="E14676">
            <v>0</v>
          </cell>
          <cell r="F14676">
            <v>0</v>
          </cell>
          <cell r="DN14676">
            <v>0</v>
          </cell>
        </row>
        <row r="14677">
          <cell r="E14677">
            <v>0</v>
          </cell>
          <cell r="F14677">
            <v>0</v>
          </cell>
          <cell r="DN14677">
            <v>0</v>
          </cell>
        </row>
        <row r="14678">
          <cell r="E14678">
            <v>0</v>
          </cell>
          <cell r="F14678">
            <v>0</v>
          </cell>
          <cell r="DN14678">
            <v>0</v>
          </cell>
        </row>
        <row r="14679">
          <cell r="E14679">
            <v>0</v>
          </cell>
          <cell r="F14679">
            <v>0</v>
          </cell>
          <cell r="DN14679">
            <v>0</v>
          </cell>
        </row>
        <row r="14680">
          <cell r="E14680">
            <v>0</v>
          </cell>
          <cell r="F14680">
            <v>0</v>
          </cell>
          <cell r="DN14680">
            <v>0</v>
          </cell>
        </row>
        <row r="14681">
          <cell r="E14681">
            <v>0</v>
          </cell>
          <cell r="F14681">
            <v>0</v>
          </cell>
          <cell r="DN14681">
            <v>0</v>
          </cell>
        </row>
        <row r="14682">
          <cell r="E14682">
            <v>0</v>
          </cell>
          <cell r="F14682">
            <v>0</v>
          </cell>
          <cell r="DN14682">
            <v>0</v>
          </cell>
        </row>
        <row r="14683">
          <cell r="E14683">
            <v>0</v>
          </cell>
          <cell r="F14683">
            <v>0</v>
          </cell>
          <cell r="DN14683">
            <v>0</v>
          </cell>
        </row>
        <row r="14684">
          <cell r="E14684">
            <v>0</v>
          </cell>
          <cell r="F14684">
            <v>0</v>
          </cell>
          <cell r="DN14684">
            <v>0</v>
          </cell>
        </row>
        <row r="14685">
          <cell r="E14685">
            <v>0</v>
          </cell>
          <cell r="F14685">
            <v>0</v>
          </cell>
          <cell r="DN14685">
            <v>0</v>
          </cell>
        </row>
        <row r="14686">
          <cell r="E14686">
            <v>0</v>
          </cell>
          <cell r="F14686">
            <v>0</v>
          </cell>
          <cell r="DN14686">
            <v>0</v>
          </cell>
        </row>
        <row r="14687">
          <cell r="E14687">
            <v>0</v>
          </cell>
          <cell r="F14687">
            <v>0</v>
          </cell>
          <cell r="DN14687">
            <v>0</v>
          </cell>
        </row>
        <row r="14688">
          <cell r="E14688">
            <v>0</v>
          </cell>
          <cell r="F14688">
            <v>0</v>
          </cell>
          <cell r="DN14688">
            <v>0</v>
          </cell>
        </row>
        <row r="14689">
          <cell r="E14689">
            <v>0</v>
          </cell>
          <cell r="F14689">
            <v>0</v>
          </cell>
          <cell r="DN14689">
            <v>0</v>
          </cell>
        </row>
        <row r="14690">
          <cell r="E14690">
            <v>0</v>
          </cell>
          <cell r="F14690">
            <v>0</v>
          </cell>
          <cell r="DN14690">
            <v>0</v>
          </cell>
        </row>
        <row r="14691">
          <cell r="E14691">
            <v>0</v>
          </cell>
          <cell r="F14691">
            <v>0</v>
          </cell>
          <cell r="DN14691">
            <v>0</v>
          </cell>
        </row>
        <row r="14692">
          <cell r="E14692">
            <v>0</v>
          </cell>
          <cell r="F14692">
            <v>0</v>
          </cell>
          <cell r="DN14692">
            <v>0</v>
          </cell>
        </row>
        <row r="14693">
          <cell r="E14693">
            <v>0</v>
          </cell>
          <cell r="F14693">
            <v>0</v>
          </cell>
          <cell r="DN14693">
            <v>0</v>
          </cell>
        </row>
        <row r="14694">
          <cell r="E14694">
            <v>0</v>
          </cell>
          <cell r="F14694">
            <v>0</v>
          </cell>
          <cell r="DN14694">
            <v>0</v>
          </cell>
        </row>
        <row r="14695">
          <cell r="E14695">
            <v>0</v>
          </cell>
          <cell r="F14695">
            <v>0</v>
          </cell>
          <cell r="DN14695">
            <v>0</v>
          </cell>
        </row>
        <row r="14696">
          <cell r="E14696">
            <v>0</v>
          </cell>
          <cell r="F14696">
            <v>0</v>
          </cell>
          <cell r="DN14696">
            <v>0</v>
          </cell>
        </row>
        <row r="14697">
          <cell r="E14697">
            <v>0</v>
          </cell>
          <cell r="F14697">
            <v>0</v>
          </cell>
          <cell r="DN14697">
            <v>0</v>
          </cell>
        </row>
        <row r="14698">
          <cell r="E14698">
            <v>0</v>
          </cell>
          <cell r="F14698">
            <v>0</v>
          </cell>
          <cell r="DN14698">
            <v>0</v>
          </cell>
        </row>
        <row r="14699">
          <cell r="E14699">
            <v>0</v>
          </cell>
          <cell r="F14699">
            <v>0</v>
          </cell>
          <cell r="DN14699">
            <v>0</v>
          </cell>
        </row>
        <row r="14700">
          <cell r="E14700">
            <v>0</v>
          </cell>
          <cell r="F14700">
            <v>0</v>
          </cell>
          <cell r="DN14700">
            <v>0</v>
          </cell>
        </row>
        <row r="14701">
          <cell r="E14701">
            <v>0</v>
          </cell>
          <cell r="F14701">
            <v>0</v>
          </cell>
          <cell r="DN14701">
            <v>0</v>
          </cell>
        </row>
        <row r="14702">
          <cell r="E14702">
            <v>0</v>
          </cell>
          <cell r="F14702">
            <v>0</v>
          </cell>
          <cell r="DN14702">
            <v>0</v>
          </cell>
        </row>
        <row r="14703">
          <cell r="E14703">
            <v>0</v>
          </cell>
          <cell r="F14703">
            <v>0</v>
          </cell>
          <cell r="DN14703">
            <v>0</v>
          </cell>
        </row>
        <row r="14704">
          <cell r="E14704">
            <v>0</v>
          </cell>
          <cell r="F14704">
            <v>0</v>
          </cell>
          <cell r="DN14704">
            <v>0</v>
          </cell>
        </row>
        <row r="14705">
          <cell r="E14705">
            <v>0</v>
          </cell>
          <cell r="F14705">
            <v>0</v>
          </cell>
          <cell r="DN14705">
            <v>0</v>
          </cell>
        </row>
        <row r="14706">
          <cell r="E14706">
            <v>0</v>
          </cell>
          <cell r="F14706">
            <v>0</v>
          </cell>
          <cell r="DN14706">
            <v>0</v>
          </cell>
        </row>
        <row r="14707">
          <cell r="E14707">
            <v>0</v>
          </cell>
          <cell r="F14707">
            <v>0</v>
          </cell>
          <cell r="DN14707">
            <v>0</v>
          </cell>
        </row>
        <row r="14708">
          <cell r="E14708">
            <v>0</v>
          </cell>
          <cell r="F14708">
            <v>0</v>
          </cell>
          <cell r="DN14708">
            <v>0</v>
          </cell>
        </row>
        <row r="14709">
          <cell r="E14709">
            <v>0</v>
          </cell>
          <cell r="F14709">
            <v>0</v>
          </cell>
          <cell r="DN14709">
            <v>0</v>
          </cell>
        </row>
        <row r="14710">
          <cell r="E14710">
            <v>0</v>
          </cell>
          <cell r="F14710">
            <v>0</v>
          </cell>
          <cell r="DN14710">
            <v>0</v>
          </cell>
        </row>
        <row r="14711">
          <cell r="E14711">
            <v>0</v>
          </cell>
          <cell r="F14711">
            <v>0</v>
          </cell>
          <cell r="DN14711">
            <v>0</v>
          </cell>
        </row>
        <row r="14712">
          <cell r="E14712">
            <v>0</v>
          </cell>
          <cell r="F14712">
            <v>0</v>
          </cell>
          <cell r="DN14712">
            <v>0</v>
          </cell>
        </row>
        <row r="14713">
          <cell r="E14713">
            <v>0</v>
          </cell>
          <cell r="F14713">
            <v>0</v>
          </cell>
          <cell r="DN14713">
            <v>0</v>
          </cell>
        </row>
        <row r="14714">
          <cell r="E14714">
            <v>0</v>
          </cell>
          <cell r="F14714">
            <v>0</v>
          </cell>
          <cell r="DN14714">
            <v>0</v>
          </cell>
        </row>
        <row r="14715">
          <cell r="E14715">
            <v>0</v>
          </cell>
          <cell r="F14715">
            <v>0</v>
          </cell>
          <cell r="DN14715">
            <v>0</v>
          </cell>
        </row>
        <row r="14716">
          <cell r="E14716">
            <v>0</v>
          </cell>
          <cell r="F14716">
            <v>0</v>
          </cell>
          <cell r="DN14716">
            <v>0</v>
          </cell>
        </row>
        <row r="14717">
          <cell r="E14717">
            <v>0</v>
          </cell>
          <cell r="F14717">
            <v>0</v>
          </cell>
          <cell r="DN14717">
            <v>0</v>
          </cell>
        </row>
        <row r="14718">
          <cell r="E14718">
            <v>0</v>
          </cell>
          <cell r="F14718">
            <v>0</v>
          </cell>
          <cell r="DN14718">
            <v>0</v>
          </cell>
        </row>
        <row r="14719">
          <cell r="E14719">
            <v>0</v>
          </cell>
          <cell r="F14719">
            <v>0</v>
          </cell>
          <cell r="DN14719">
            <v>0</v>
          </cell>
        </row>
        <row r="14720">
          <cell r="E14720">
            <v>0</v>
          </cell>
          <cell r="F14720">
            <v>0</v>
          </cell>
          <cell r="DN14720">
            <v>0</v>
          </cell>
        </row>
        <row r="14721">
          <cell r="E14721">
            <v>0</v>
          </cell>
          <cell r="F14721">
            <v>0</v>
          </cell>
          <cell r="DN14721">
            <v>0</v>
          </cell>
        </row>
        <row r="14722">
          <cell r="E14722">
            <v>0</v>
          </cell>
          <cell r="F14722">
            <v>0</v>
          </cell>
          <cell r="DN14722">
            <v>0</v>
          </cell>
        </row>
        <row r="14723">
          <cell r="E14723">
            <v>0</v>
          </cell>
          <cell r="F14723">
            <v>0</v>
          </cell>
          <cell r="DN14723">
            <v>0</v>
          </cell>
        </row>
        <row r="14724">
          <cell r="E14724">
            <v>0</v>
          </cell>
          <cell r="F14724">
            <v>0</v>
          </cell>
          <cell r="DN14724">
            <v>0</v>
          </cell>
        </row>
        <row r="14725">
          <cell r="E14725">
            <v>0</v>
          </cell>
          <cell r="F14725">
            <v>0</v>
          </cell>
          <cell r="DN14725">
            <v>0</v>
          </cell>
        </row>
        <row r="14726">
          <cell r="E14726">
            <v>0</v>
          </cell>
          <cell r="F14726">
            <v>0</v>
          </cell>
          <cell r="DN14726">
            <v>0</v>
          </cell>
        </row>
        <row r="14727">
          <cell r="E14727">
            <v>0</v>
          </cell>
          <cell r="F14727">
            <v>0</v>
          </cell>
          <cell r="DN14727">
            <v>0</v>
          </cell>
        </row>
        <row r="14728">
          <cell r="E14728">
            <v>0</v>
          </cell>
          <cell r="F14728">
            <v>0</v>
          </cell>
          <cell r="DN14728">
            <v>0</v>
          </cell>
        </row>
        <row r="14729">
          <cell r="E14729">
            <v>0</v>
          </cell>
          <cell r="F14729">
            <v>0</v>
          </cell>
          <cell r="DN14729">
            <v>0</v>
          </cell>
        </row>
        <row r="14730">
          <cell r="E14730">
            <v>0</v>
          </cell>
          <cell r="F14730">
            <v>0</v>
          </cell>
          <cell r="DN14730">
            <v>0</v>
          </cell>
        </row>
        <row r="14731">
          <cell r="E14731">
            <v>0</v>
          </cell>
          <cell r="F14731">
            <v>0</v>
          </cell>
          <cell r="DN14731">
            <v>0</v>
          </cell>
        </row>
        <row r="14732">
          <cell r="E14732">
            <v>0</v>
          </cell>
          <cell r="F14732">
            <v>0</v>
          </cell>
          <cell r="DN14732">
            <v>0</v>
          </cell>
        </row>
        <row r="14733">
          <cell r="E14733">
            <v>0</v>
          </cell>
          <cell r="F14733">
            <v>0</v>
          </cell>
          <cell r="DN14733">
            <v>0</v>
          </cell>
        </row>
        <row r="14734">
          <cell r="E14734">
            <v>0</v>
          </cell>
          <cell r="F14734">
            <v>0</v>
          </cell>
          <cell r="DN14734">
            <v>0</v>
          </cell>
        </row>
        <row r="14735">
          <cell r="E14735">
            <v>0</v>
          </cell>
          <cell r="F14735">
            <v>0</v>
          </cell>
          <cell r="DN14735">
            <v>0</v>
          </cell>
        </row>
        <row r="14736">
          <cell r="E14736">
            <v>0</v>
          </cell>
          <cell r="F14736">
            <v>0</v>
          </cell>
          <cell r="DN14736">
            <v>0</v>
          </cell>
        </row>
        <row r="14737">
          <cell r="E14737">
            <v>0</v>
          </cell>
          <cell r="F14737">
            <v>0</v>
          </cell>
          <cell r="DN14737">
            <v>0</v>
          </cell>
        </row>
        <row r="14738">
          <cell r="E14738">
            <v>0</v>
          </cell>
          <cell r="F14738">
            <v>0</v>
          </cell>
          <cell r="DN14738">
            <v>0</v>
          </cell>
        </row>
        <row r="14739">
          <cell r="E14739">
            <v>0</v>
          </cell>
          <cell r="F14739">
            <v>0</v>
          </cell>
          <cell r="DN14739">
            <v>0</v>
          </cell>
        </row>
        <row r="14740">
          <cell r="E14740">
            <v>0</v>
          </cell>
          <cell r="F14740">
            <v>0</v>
          </cell>
          <cell r="DN14740">
            <v>0</v>
          </cell>
        </row>
        <row r="14741">
          <cell r="E14741">
            <v>0</v>
          </cell>
          <cell r="F14741">
            <v>0</v>
          </cell>
          <cell r="DN14741">
            <v>0</v>
          </cell>
        </row>
        <row r="14742">
          <cell r="E14742">
            <v>0</v>
          </cell>
          <cell r="F14742">
            <v>0</v>
          </cell>
          <cell r="DN14742">
            <v>0</v>
          </cell>
        </row>
        <row r="14743">
          <cell r="E14743">
            <v>0</v>
          </cell>
          <cell r="F14743">
            <v>0</v>
          </cell>
          <cell r="DN14743">
            <v>0</v>
          </cell>
        </row>
        <row r="14744">
          <cell r="E14744">
            <v>0</v>
          </cell>
          <cell r="F14744">
            <v>0</v>
          </cell>
          <cell r="DN14744">
            <v>0</v>
          </cell>
        </row>
        <row r="14745">
          <cell r="E14745">
            <v>0</v>
          </cell>
          <cell r="F14745">
            <v>0</v>
          </cell>
          <cell r="DN14745">
            <v>0</v>
          </cell>
        </row>
        <row r="14746">
          <cell r="E14746">
            <v>0</v>
          </cell>
          <cell r="F14746">
            <v>0</v>
          </cell>
          <cell r="DN14746">
            <v>0</v>
          </cell>
        </row>
        <row r="14747">
          <cell r="E14747">
            <v>0</v>
          </cell>
          <cell r="F14747">
            <v>0</v>
          </cell>
          <cell r="DN14747">
            <v>0</v>
          </cell>
        </row>
        <row r="14748">
          <cell r="E14748">
            <v>0</v>
          </cell>
          <cell r="F14748">
            <v>0</v>
          </cell>
          <cell r="DN14748">
            <v>0</v>
          </cell>
        </row>
        <row r="14749">
          <cell r="E14749">
            <v>0</v>
          </cell>
          <cell r="F14749">
            <v>0</v>
          </cell>
          <cell r="DN14749">
            <v>0</v>
          </cell>
        </row>
        <row r="14750">
          <cell r="E14750">
            <v>0</v>
          </cell>
          <cell r="F14750">
            <v>0</v>
          </cell>
          <cell r="DN14750">
            <v>0</v>
          </cell>
        </row>
        <row r="14751">
          <cell r="E14751">
            <v>0</v>
          </cell>
          <cell r="F14751">
            <v>0</v>
          </cell>
          <cell r="DN14751">
            <v>0</v>
          </cell>
        </row>
        <row r="14752">
          <cell r="E14752">
            <v>0</v>
          </cell>
          <cell r="F14752">
            <v>0</v>
          </cell>
          <cell r="DN14752">
            <v>0</v>
          </cell>
        </row>
        <row r="14753">
          <cell r="E14753">
            <v>0</v>
          </cell>
          <cell r="F14753">
            <v>0</v>
          </cell>
          <cell r="DN14753">
            <v>0</v>
          </cell>
        </row>
        <row r="14754">
          <cell r="E14754">
            <v>0</v>
          </cell>
          <cell r="F14754">
            <v>0</v>
          </cell>
          <cell r="DN14754">
            <v>0</v>
          </cell>
        </row>
        <row r="14755">
          <cell r="E14755">
            <v>0</v>
          </cell>
          <cell r="F14755">
            <v>0</v>
          </cell>
          <cell r="DN14755">
            <v>0</v>
          </cell>
        </row>
        <row r="14756">
          <cell r="E14756">
            <v>0</v>
          </cell>
          <cell r="F14756">
            <v>0</v>
          </cell>
          <cell r="DN14756">
            <v>0</v>
          </cell>
        </row>
        <row r="14757">
          <cell r="E14757">
            <v>0</v>
          </cell>
          <cell r="F14757">
            <v>0</v>
          </cell>
          <cell r="DN14757">
            <v>0</v>
          </cell>
        </row>
        <row r="14758">
          <cell r="E14758">
            <v>0</v>
          </cell>
          <cell r="F14758">
            <v>0</v>
          </cell>
          <cell r="DN14758">
            <v>0</v>
          </cell>
        </row>
        <row r="14759">
          <cell r="E14759">
            <v>0</v>
          </cell>
          <cell r="F14759">
            <v>0</v>
          </cell>
          <cell r="DN14759">
            <v>0</v>
          </cell>
        </row>
        <row r="14760">
          <cell r="E14760">
            <v>0</v>
          </cell>
          <cell r="F14760">
            <v>0</v>
          </cell>
          <cell r="DN14760">
            <v>0</v>
          </cell>
        </row>
        <row r="14761">
          <cell r="E14761">
            <v>0</v>
          </cell>
          <cell r="F14761">
            <v>0</v>
          </cell>
          <cell r="DN14761">
            <v>0</v>
          </cell>
        </row>
        <row r="14762">
          <cell r="E14762">
            <v>0</v>
          </cell>
          <cell r="F14762">
            <v>0</v>
          </cell>
          <cell r="DN14762">
            <v>0</v>
          </cell>
        </row>
        <row r="14763">
          <cell r="E14763">
            <v>0</v>
          </cell>
          <cell r="F14763">
            <v>0</v>
          </cell>
          <cell r="DN14763">
            <v>0</v>
          </cell>
        </row>
        <row r="14764">
          <cell r="E14764">
            <v>0</v>
          </cell>
          <cell r="F14764">
            <v>0</v>
          </cell>
          <cell r="DN14764">
            <v>0</v>
          </cell>
        </row>
        <row r="14765">
          <cell r="E14765">
            <v>0</v>
          </cell>
          <cell r="F14765">
            <v>0</v>
          </cell>
          <cell r="DN14765">
            <v>0</v>
          </cell>
        </row>
        <row r="14766">
          <cell r="E14766">
            <v>0</v>
          </cell>
          <cell r="F14766">
            <v>0</v>
          </cell>
          <cell r="DN14766">
            <v>0</v>
          </cell>
        </row>
        <row r="14767">
          <cell r="E14767">
            <v>0</v>
          </cell>
          <cell r="F14767">
            <v>0</v>
          </cell>
          <cell r="DN14767">
            <v>0</v>
          </cell>
        </row>
        <row r="14768">
          <cell r="E14768">
            <v>0</v>
          </cell>
          <cell r="F14768">
            <v>0</v>
          </cell>
          <cell r="DN14768">
            <v>0</v>
          </cell>
        </row>
        <row r="14769">
          <cell r="E14769">
            <v>0</v>
          </cell>
          <cell r="F14769">
            <v>0</v>
          </cell>
          <cell r="DN14769">
            <v>0</v>
          </cell>
        </row>
        <row r="14770">
          <cell r="E14770">
            <v>0</v>
          </cell>
          <cell r="F14770">
            <v>0</v>
          </cell>
          <cell r="DN14770">
            <v>0</v>
          </cell>
        </row>
        <row r="14771">
          <cell r="E14771">
            <v>0</v>
          </cell>
          <cell r="F14771">
            <v>0</v>
          </cell>
          <cell r="DN14771">
            <v>0</v>
          </cell>
        </row>
        <row r="14772">
          <cell r="E14772">
            <v>0</v>
          </cell>
          <cell r="F14772">
            <v>0</v>
          </cell>
          <cell r="DN14772">
            <v>0</v>
          </cell>
        </row>
        <row r="14773">
          <cell r="E14773">
            <v>0</v>
          </cell>
          <cell r="F14773">
            <v>0</v>
          </cell>
          <cell r="DN14773">
            <v>0</v>
          </cell>
        </row>
        <row r="14774">
          <cell r="E14774">
            <v>0</v>
          </cell>
          <cell r="F14774">
            <v>0</v>
          </cell>
          <cell r="DN14774">
            <v>0</v>
          </cell>
        </row>
        <row r="14775">
          <cell r="E14775">
            <v>0</v>
          </cell>
          <cell r="F14775">
            <v>0</v>
          </cell>
          <cell r="DN14775">
            <v>0</v>
          </cell>
        </row>
        <row r="14776">
          <cell r="E14776">
            <v>0</v>
          </cell>
          <cell r="F14776">
            <v>0</v>
          </cell>
          <cell r="DN14776">
            <v>0</v>
          </cell>
        </row>
        <row r="14777">
          <cell r="E14777">
            <v>0</v>
          </cell>
          <cell r="F14777">
            <v>0</v>
          </cell>
          <cell r="DN14777">
            <v>0</v>
          </cell>
        </row>
        <row r="14778">
          <cell r="E14778">
            <v>0</v>
          </cell>
          <cell r="F14778">
            <v>0</v>
          </cell>
          <cell r="DN14778">
            <v>0</v>
          </cell>
        </row>
        <row r="14779">
          <cell r="E14779">
            <v>0</v>
          </cell>
          <cell r="F14779">
            <v>0</v>
          </cell>
          <cell r="DN14779">
            <v>0</v>
          </cell>
        </row>
        <row r="14780">
          <cell r="E14780">
            <v>0</v>
          </cell>
          <cell r="F14780">
            <v>0</v>
          </cell>
          <cell r="DN14780">
            <v>0</v>
          </cell>
        </row>
        <row r="14781">
          <cell r="E14781">
            <v>0</v>
          </cell>
          <cell r="F14781">
            <v>0</v>
          </cell>
          <cell r="DN14781">
            <v>0</v>
          </cell>
        </row>
        <row r="14782">
          <cell r="E14782">
            <v>0</v>
          </cell>
          <cell r="F14782">
            <v>0</v>
          </cell>
          <cell r="DN14782">
            <v>0</v>
          </cell>
        </row>
        <row r="14783">
          <cell r="E14783">
            <v>0</v>
          </cell>
          <cell r="F14783">
            <v>0</v>
          </cell>
          <cell r="DN14783">
            <v>0</v>
          </cell>
        </row>
        <row r="14784">
          <cell r="E14784">
            <v>0</v>
          </cell>
          <cell r="F14784">
            <v>0</v>
          </cell>
          <cell r="DN14784">
            <v>0</v>
          </cell>
        </row>
        <row r="14785">
          <cell r="E14785">
            <v>0</v>
          </cell>
          <cell r="F14785">
            <v>0</v>
          </cell>
          <cell r="DN14785">
            <v>0</v>
          </cell>
        </row>
        <row r="14786">
          <cell r="E14786">
            <v>0</v>
          </cell>
          <cell r="F14786">
            <v>0</v>
          </cell>
          <cell r="DN14786">
            <v>0</v>
          </cell>
        </row>
        <row r="14787">
          <cell r="E14787">
            <v>0</v>
          </cell>
          <cell r="F14787">
            <v>0</v>
          </cell>
          <cell r="DN14787">
            <v>0</v>
          </cell>
        </row>
        <row r="14788">
          <cell r="E14788">
            <v>0</v>
          </cell>
          <cell r="F14788">
            <v>0</v>
          </cell>
          <cell r="DN14788">
            <v>0</v>
          </cell>
        </row>
        <row r="14789">
          <cell r="E14789">
            <v>0</v>
          </cell>
          <cell r="F14789">
            <v>0</v>
          </cell>
          <cell r="DN14789">
            <v>0</v>
          </cell>
        </row>
        <row r="14790">
          <cell r="E14790">
            <v>0</v>
          </cell>
          <cell r="F14790">
            <v>0</v>
          </cell>
          <cell r="DN14790">
            <v>0</v>
          </cell>
        </row>
        <row r="14791">
          <cell r="E14791">
            <v>0</v>
          </cell>
          <cell r="F14791">
            <v>0</v>
          </cell>
          <cell r="DN14791">
            <v>0</v>
          </cell>
        </row>
        <row r="14792">
          <cell r="E14792">
            <v>0</v>
          </cell>
          <cell r="F14792">
            <v>0</v>
          </cell>
          <cell r="DN14792">
            <v>0</v>
          </cell>
        </row>
        <row r="14793">
          <cell r="E14793">
            <v>0</v>
          </cell>
          <cell r="F14793">
            <v>0</v>
          </cell>
          <cell r="DN14793">
            <v>0</v>
          </cell>
        </row>
        <row r="14794">
          <cell r="E14794">
            <v>0</v>
          </cell>
          <cell r="F14794">
            <v>0</v>
          </cell>
          <cell r="DN14794">
            <v>0</v>
          </cell>
        </row>
        <row r="14795">
          <cell r="E14795">
            <v>0</v>
          </cell>
          <cell r="F14795">
            <v>0</v>
          </cell>
          <cell r="DN14795">
            <v>0</v>
          </cell>
        </row>
        <row r="14796">
          <cell r="E14796">
            <v>0</v>
          </cell>
          <cell r="F14796">
            <v>0</v>
          </cell>
          <cell r="DN14796">
            <v>0</v>
          </cell>
        </row>
        <row r="14797">
          <cell r="E14797">
            <v>0</v>
          </cell>
          <cell r="F14797">
            <v>0</v>
          </cell>
          <cell r="DN14797">
            <v>0</v>
          </cell>
        </row>
        <row r="14798">
          <cell r="E14798">
            <v>0</v>
          </cell>
          <cell r="F14798">
            <v>0</v>
          </cell>
          <cell r="DN14798">
            <v>0</v>
          </cell>
        </row>
        <row r="14799">
          <cell r="E14799">
            <v>0</v>
          </cell>
          <cell r="F14799">
            <v>0</v>
          </cell>
          <cell r="DN14799">
            <v>0</v>
          </cell>
        </row>
        <row r="14800">
          <cell r="E14800">
            <v>0</v>
          </cell>
          <cell r="F14800">
            <v>0</v>
          </cell>
          <cell r="DN14800">
            <v>0</v>
          </cell>
        </row>
        <row r="14801">
          <cell r="E14801">
            <v>0</v>
          </cell>
          <cell r="F14801">
            <v>0</v>
          </cell>
          <cell r="DN14801">
            <v>0</v>
          </cell>
        </row>
        <row r="14802">
          <cell r="E14802">
            <v>0</v>
          </cell>
          <cell r="F14802">
            <v>0</v>
          </cell>
          <cell r="DN14802">
            <v>0</v>
          </cell>
        </row>
        <row r="14803">
          <cell r="E14803">
            <v>0</v>
          </cell>
          <cell r="F14803">
            <v>0</v>
          </cell>
          <cell r="DN14803">
            <v>0</v>
          </cell>
        </row>
        <row r="14804">
          <cell r="E14804">
            <v>0</v>
          </cell>
          <cell r="F14804">
            <v>0</v>
          </cell>
          <cell r="DN14804">
            <v>0</v>
          </cell>
        </row>
        <row r="14805">
          <cell r="E14805">
            <v>0</v>
          </cell>
          <cell r="F14805">
            <v>0</v>
          </cell>
          <cell r="DN14805">
            <v>0</v>
          </cell>
        </row>
        <row r="14806">
          <cell r="E14806">
            <v>0</v>
          </cell>
          <cell r="F14806">
            <v>0</v>
          </cell>
          <cell r="DN14806">
            <v>0</v>
          </cell>
        </row>
        <row r="14807">
          <cell r="E14807">
            <v>0</v>
          </cell>
          <cell r="F14807">
            <v>0</v>
          </cell>
          <cell r="DN14807">
            <v>0</v>
          </cell>
        </row>
        <row r="14808">
          <cell r="E14808">
            <v>0</v>
          </cell>
          <cell r="F14808">
            <v>0</v>
          </cell>
          <cell r="DN14808">
            <v>0</v>
          </cell>
        </row>
        <row r="14809">
          <cell r="E14809">
            <v>0</v>
          </cell>
          <cell r="F14809">
            <v>0</v>
          </cell>
          <cell r="DN14809">
            <v>0</v>
          </cell>
        </row>
        <row r="14810">
          <cell r="E14810">
            <v>0</v>
          </cell>
          <cell r="F14810">
            <v>0</v>
          </cell>
          <cell r="DN14810">
            <v>0</v>
          </cell>
        </row>
        <row r="14811">
          <cell r="E14811">
            <v>0</v>
          </cell>
          <cell r="F14811">
            <v>0</v>
          </cell>
          <cell r="DN14811">
            <v>0</v>
          </cell>
        </row>
        <row r="14812">
          <cell r="E14812">
            <v>0</v>
          </cell>
          <cell r="F14812">
            <v>0</v>
          </cell>
          <cell r="DN14812">
            <v>0</v>
          </cell>
        </row>
        <row r="14813">
          <cell r="E14813">
            <v>0</v>
          </cell>
          <cell r="F14813">
            <v>0</v>
          </cell>
          <cell r="DN14813">
            <v>0</v>
          </cell>
        </row>
        <row r="14814">
          <cell r="E14814">
            <v>0</v>
          </cell>
          <cell r="F14814">
            <v>0</v>
          </cell>
          <cell r="DN14814">
            <v>0</v>
          </cell>
        </row>
        <row r="14815">
          <cell r="E14815">
            <v>0</v>
          </cell>
          <cell r="F14815">
            <v>0</v>
          </cell>
          <cell r="DN14815">
            <v>0</v>
          </cell>
        </row>
        <row r="14816">
          <cell r="E14816">
            <v>0</v>
          </cell>
          <cell r="F14816">
            <v>0</v>
          </cell>
          <cell r="DN14816">
            <v>0</v>
          </cell>
        </row>
        <row r="14817">
          <cell r="E14817">
            <v>0</v>
          </cell>
          <cell r="F14817">
            <v>0</v>
          </cell>
          <cell r="DN14817">
            <v>0</v>
          </cell>
        </row>
        <row r="14818">
          <cell r="E14818">
            <v>0</v>
          </cell>
          <cell r="F14818">
            <v>0</v>
          </cell>
          <cell r="DN14818">
            <v>0</v>
          </cell>
        </row>
        <row r="14819">
          <cell r="E14819">
            <v>0</v>
          </cell>
          <cell r="F14819">
            <v>0</v>
          </cell>
          <cell r="DN14819">
            <v>0</v>
          </cell>
        </row>
        <row r="14820">
          <cell r="E14820">
            <v>0</v>
          </cell>
          <cell r="F14820">
            <v>0</v>
          </cell>
          <cell r="DN14820">
            <v>0</v>
          </cell>
        </row>
        <row r="14821">
          <cell r="E14821">
            <v>0</v>
          </cell>
          <cell r="F14821">
            <v>0</v>
          </cell>
          <cell r="DN14821">
            <v>0</v>
          </cell>
        </row>
        <row r="14822">
          <cell r="E14822">
            <v>0</v>
          </cell>
          <cell r="F14822">
            <v>0</v>
          </cell>
          <cell r="DN14822">
            <v>0</v>
          </cell>
        </row>
        <row r="14823">
          <cell r="E14823">
            <v>0</v>
          </cell>
          <cell r="F14823">
            <v>0</v>
          </cell>
          <cell r="DN14823">
            <v>0</v>
          </cell>
        </row>
        <row r="14824">
          <cell r="E14824">
            <v>0</v>
          </cell>
          <cell r="F14824">
            <v>0</v>
          </cell>
          <cell r="DN14824">
            <v>0</v>
          </cell>
        </row>
        <row r="14825">
          <cell r="E14825">
            <v>0</v>
          </cell>
          <cell r="F14825">
            <v>0</v>
          </cell>
          <cell r="DN14825">
            <v>0</v>
          </cell>
        </row>
        <row r="14826">
          <cell r="E14826">
            <v>0</v>
          </cell>
          <cell r="F14826">
            <v>0</v>
          </cell>
          <cell r="DN14826">
            <v>0</v>
          </cell>
        </row>
        <row r="14827">
          <cell r="E14827">
            <v>0</v>
          </cell>
          <cell r="F14827">
            <v>0</v>
          </cell>
          <cell r="DN14827">
            <v>0</v>
          </cell>
        </row>
        <row r="14828">
          <cell r="E14828">
            <v>0</v>
          </cell>
          <cell r="F14828">
            <v>0</v>
          </cell>
          <cell r="DN14828">
            <v>0</v>
          </cell>
        </row>
        <row r="14829">
          <cell r="E14829">
            <v>0</v>
          </cell>
          <cell r="F14829">
            <v>0</v>
          </cell>
          <cell r="DN14829">
            <v>0</v>
          </cell>
        </row>
        <row r="14830">
          <cell r="E14830">
            <v>0</v>
          </cell>
          <cell r="F14830">
            <v>0</v>
          </cell>
          <cell r="DN14830">
            <v>0</v>
          </cell>
        </row>
        <row r="14831">
          <cell r="E14831">
            <v>0</v>
          </cell>
          <cell r="F14831">
            <v>0</v>
          </cell>
          <cell r="DN14831">
            <v>0</v>
          </cell>
        </row>
        <row r="14832">
          <cell r="E14832">
            <v>0</v>
          </cell>
          <cell r="F14832">
            <v>0</v>
          </cell>
          <cell r="DN14832">
            <v>0</v>
          </cell>
        </row>
        <row r="14833">
          <cell r="E14833">
            <v>0</v>
          </cell>
          <cell r="F14833">
            <v>0</v>
          </cell>
          <cell r="DN14833">
            <v>0</v>
          </cell>
        </row>
        <row r="14834">
          <cell r="E14834">
            <v>0</v>
          </cell>
          <cell r="F14834">
            <v>0</v>
          </cell>
          <cell r="DN14834">
            <v>0</v>
          </cell>
        </row>
        <row r="14835">
          <cell r="E14835">
            <v>0</v>
          </cell>
          <cell r="F14835">
            <v>0</v>
          </cell>
          <cell r="DN14835">
            <v>0</v>
          </cell>
        </row>
        <row r="14836">
          <cell r="E14836">
            <v>0</v>
          </cell>
          <cell r="F14836">
            <v>0</v>
          </cell>
          <cell r="DN14836">
            <v>0</v>
          </cell>
        </row>
        <row r="14837">
          <cell r="E14837">
            <v>0</v>
          </cell>
          <cell r="F14837">
            <v>0</v>
          </cell>
          <cell r="DN14837">
            <v>0</v>
          </cell>
        </row>
        <row r="14838">
          <cell r="E14838">
            <v>0</v>
          </cell>
          <cell r="F14838">
            <v>0</v>
          </cell>
          <cell r="DN14838">
            <v>0</v>
          </cell>
        </row>
        <row r="14839">
          <cell r="E14839">
            <v>0</v>
          </cell>
          <cell r="F14839">
            <v>0</v>
          </cell>
          <cell r="DN14839">
            <v>0</v>
          </cell>
        </row>
        <row r="14840">
          <cell r="E14840">
            <v>0</v>
          </cell>
          <cell r="F14840">
            <v>0</v>
          </cell>
          <cell r="DN14840">
            <v>0</v>
          </cell>
        </row>
        <row r="14841">
          <cell r="E14841">
            <v>0</v>
          </cell>
          <cell r="F14841">
            <v>0</v>
          </cell>
          <cell r="DN14841">
            <v>0</v>
          </cell>
        </row>
        <row r="14842">
          <cell r="E14842">
            <v>0</v>
          </cell>
          <cell r="F14842">
            <v>0</v>
          </cell>
          <cell r="DN14842">
            <v>0</v>
          </cell>
        </row>
        <row r="14843">
          <cell r="E14843">
            <v>0</v>
          </cell>
          <cell r="F14843">
            <v>0</v>
          </cell>
          <cell r="DN14843">
            <v>0</v>
          </cell>
        </row>
        <row r="14844">
          <cell r="E14844">
            <v>0</v>
          </cell>
          <cell r="F14844">
            <v>0</v>
          </cell>
          <cell r="DN14844">
            <v>0</v>
          </cell>
        </row>
        <row r="14845">
          <cell r="E14845">
            <v>0</v>
          </cell>
          <cell r="F14845">
            <v>0</v>
          </cell>
          <cell r="DN14845">
            <v>0</v>
          </cell>
        </row>
        <row r="14846">
          <cell r="E14846">
            <v>0</v>
          </cell>
          <cell r="F14846">
            <v>0</v>
          </cell>
          <cell r="DN14846">
            <v>0</v>
          </cell>
        </row>
        <row r="14847">
          <cell r="E14847">
            <v>0</v>
          </cell>
          <cell r="F14847">
            <v>0</v>
          </cell>
          <cell r="DN14847">
            <v>0</v>
          </cell>
        </row>
        <row r="14848">
          <cell r="E14848">
            <v>0</v>
          </cell>
          <cell r="F14848">
            <v>0</v>
          </cell>
          <cell r="DN14848">
            <v>0</v>
          </cell>
        </row>
        <row r="14849">
          <cell r="E14849">
            <v>0</v>
          </cell>
          <cell r="F14849">
            <v>0</v>
          </cell>
          <cell r="DN14849">
            <v>0</v>
          </cell>
        </row>
        <row r="14850">
          <cell r="E14850">
            <v>0</v>
          </cell>
          <cell r="F14850">
            <v>0</v>
          </cell>
          <cell r="DN14850">
            <v>0</v>
          </cell>
        </row>
        <row r="14851">
          <cell r="E14851">
            <v>0</v>
          </cell>
          <cell r="F14851">
            <v>0</v>
          </cell>
          <cell r="DN14851">
            <v>0</v>
          </cell>
        </row>
        <row r="14852">
          <cell r="E14852">
            <v>0</v>
          </cell>
          <cell r="F14852">
            <v>0</v>
          </cell>
          <cell r="DN14852">
            <v>0</v>
          </cell>
        </row>
        <row r="14853">
          <cell r="E14853">
            <v>0</v>
          </cell>
          <cell r="F14853">
            <v>0</v>
          </cell>
          <cell r="DN14853">
            <v>0</v>
          </cell>
        </row>
        <row r="14854">
          <cell r="E14854">
            <v>0</v>
          </cell>
          <cell r="F14854">
            <v>0</v>
          </cell>
          <cell r="DN14854">
            <v>0</v>
          </cell>
        </row>
        <row r="14855">
          <cell r="E14855">
            <v>0</v>
          </cell>
          <cell r="F14855">
            <v>0</v>
          </cell>
          <cell r="DN14855">
            <v>0</v>
          </cell>
        </row>
        <row r="14856">
          <cell r="E14856">
            <v>0</v>
          </cell>
          <cell r="F14856">
            <v>0</v>
          </cell>
          <cell r="DN14856">
            <v>0</v>
          </cell>
        </row>
        <row r="14857">
          <cell r="E14857">
            <v>0</v>
          </cell>
          <cell r="F14857">
            <v>0</v>
          </cell>
          <cell r="DN14857">
            <v>0</v>
          </cell>
        </row>
        <row r="14858">
          <cell r="E14858">
            <v>0</v>
          </cell>
          <cell r="F14858">
            <v>0</v>
          </cell>
          <cell r="DN14858">
            <v>0</v>
          </cell>
        </row>
        <row r="14859">
          <cell r="E14859">
            <v>0</v>
          </cell>
          <cell r="F14859">
            <v>0</v>
          </cell>
          <cell r="DN14859">
            <v>0</v>
          </cell>
        </row>
        <row r="14860">
          <cell r="E14860">
            <v>0</v>
          </cell>
          <cell r="F14860">
            <v>0</v>
          </cell>
          <cell r="DN14860">
            <v>0</v>
          </cell>
        </row>
        <row r="14861">
          <cell r="E14861">
            <v>0</v>
          </cell>
          <cell r="F14861">
            <v>0</v>
          </cell>
          <cell r="DN14861">
            <v>0</v>
          </cell>
        </row>
        <row r="14862">
          <cell r="E14862">
            <v>0</v>
          </cell>
          <cell r="F14862">
            <v>0</v>
          </cell>
          <cell r="DN14862">
            <v>0</v>
          </cell>
        </row>
        <row r="14863">
          <cell r="E14863">
            <v>0</v>
          </cell>
          <cell r="F14863">
            <v>0</v>
          </cell>
          <cell r="DN14863">
            <v>0</v>
          </cell>
        </row>
        <row r="14864">
          <cell r="E14864">
            <v>0</v>
          </cell>
          <cell r="F14864">
            <v>0</v>
          </cell>
          <cell r="DN14864">
            <v>0</v>
          </cell>
        </row>
        <row r="14865">
          <cell r="E14865">
            <v>0</v>
          </cell>
          <cell r="F14865">
            <v>0</v>
          </cell>
          <cell r="DN14865">
            <v>0</v>
          </cell>
        </row>
        <row r="14866">
          <cell r="E14866">
            <v>0</v>
          </cell>
          <cell r="F14866">
            <v>0</v>
          </cell>
          <cell r="DN14866">
            <v>0</v>
          </cell>
        </row>
        <row r="14867">
          <cell r="E14867">
            <v>0</v>
          </cell>
          <cell r="F14867">
            <v>0</v>
          </cell>
          <cell r="DN14867">
            <v>0</v>
          </cell>
        </row>
        <row r="14868">
          <cell r="E14868">
            <v>0</v>
          </cell>
          <cell r="F14868">
            <v>0</v>
          </cell>
          <cell r="DN14868">
            <v>0</v>
          </cell>
        </row>
        <row r="14869">
          <cell r="E14869">
            <v>0</v>
          </cell>
          <cell r="F14869">
            <v>0</v>
          </cell>
          <cell r="DN14869">
            <v>0</v>
          </cell>
        </row>
        <row r="14870">
          <cell r="E14870">
            <v>0</v>
          </cell>
          <cell r="F14870">
            <v>0</v>
          </cell>
          <cell r="DN14870">
            <v>0</v>
          </cell>
        </row>
        <row r="14871">
          <cell r="E14871">
            <v>0</v>
          </cell>
          <cell r="F14871">
            <v>0</v>
          </cell>
          <cell r="DN14871">
            <v>0</v>
          </cell>
        </row>
        <row r="14872">
          <cell r="E14872">
            <v>0</v>
          </cell>
          <cell r="F14872">
            <v>0</v>
          </cell>
          <cell r="DN14872">
            <v>0</v>
          </cell>
        </row>
        <row r="14873">
          <cell r="E14873">
            <v>0</v>
          </cell>
          <cell r="F14873">
            <v>0</v>
          </cell>
          <cell r="DN14873">
            <v>0</v>
          </cell>
        </row>
        <row r="14874">
          <cell r="E14874">
            <v>0</v>
          </cell>
          <cell r="F14874">
            <v>0</v>
          </cell>
          <cell r="DN14874">
            <v>0</v>
          </cell>
        </row>
        <row r="14875">
          <cell r="E14875">
            <v>0</v>
          </cell>
          <cell r="F14875">
            <v>0</v>
          </cell>
          <cell r="DN14875">
            <v>0</v>
          </cell>
        </row>
        <row r="14876">
          <cell r="E14876">
            <v>0</v>
          </cell>
          <cell r="F14876">
            <v>0</v>
          </cell>
          <cell r="DN14876">
            <v>0</v>
          </cell>
        </row>
        <row r="14877">
          <cell r="E14877">
            <v>0</v>
          </cell>
          <cell r="F14877">
            <v>0</v>
          </cell>
          <cell r="DN14877">
            <v>0</v>
          </cell>
        </row>
        <row r="14878">
          <cell r="E14878">
            <v>0</v>
          </cell>
          <cell r="F14878">
            <v>0</v>
          </cell>
          <cell r="DN14878">
            <v>0</v>
          </cell>
        </row>
        <row r="14879">
          <cell r="E14879">
            <v>0</v>
          </cell>
          <cell r="F14879">
            <v>0</v>
          </cell>
          <cell r="DN14879">
            <v>0</v>
          </cell>
        </row>
        <row r="14880">
          <cell r="E14880">
            <v>0</v>
          </cell>
          <cell r="F14880">
            <v>0</v>
          </cell>
          <cell r="DN14880">
            <v>0</v>
          </cell>
        </row>
        <row r="14881">
          <cell r="E14881">
            <v>0</v>
          </cell>
          <cell r="F14881">
            <v>0</v>
          </cell>
          <cell r="DN14881">
            <v>0</v>
          </cell>
        </row>
        <row r="14882">
          <cell r="E14882">
            <v>0</v>
          </cell>
          <cell r="F14882">
            <v>0</v>
          </cell>
          <cell r="DN14882">
            <v>0</v>
          </cell>
        </row>
        <row r="14883">
          <cell r="E14883">
            <v>0</v>
          </cell>
          <cell r="F14883">
            <v>0</v>
          </cell>
          <cell r="DN14883">
            <v>0</v>
          </cell>
        </row>
        <row r="14884">
          <cell r="E14884">
            <v>0</v>
          </cell>
          <cell r="F14884">
            <v>0</v>
          </cell>
          <cell r="DN14884">
            <v>0</v>
          </cell>
        </row>
        <row r="14885">
          <cell r="E14885">
            <v>0</v>
          </cell>
          <cell r="F14885">
            <v>0</v>
          </cell>
          <cell r="DN14885">
            <v>0</v>
          </cell>
        </row>
        <row r="14886">
          <cell r="E14886">
            <v>0</v>
          </cell>
          <cell r="F14886">
            <v>0</v>
          </cell>
          <cell r="DN14886">
            <v>0</v>
          </cell>
        </row>
        <row r="14887">
          <cell r="E14887">
            <v>0</v>
          </cell>
          <cell r="F14887">
            <v>0</v>
          </cell>
          <cell r="DN14887">
            <v>0</v>
          </cell>
        </row>
        <row r="14888">
          <cell r="E14888">
            <v>0</v>
          </cell>
          <cell r="F14888">
            <v>0</v>
          </cell>
          <cell r="DN14888">
            <v>0</v>
          </cell>
        </row>
        <row r="14889">
          <cell r="E14889">
            <v>0</v>
          </cell>
          <cell r="F14889">
            <v>0</v>
          </cell>
          <cell r="DN14889">
            <v>0</v>
          </cell>
        </row>
        <row r="14890">
          <cell r="E14890">
            <v>0</v>
          </cell>
          <cell r="F14890">
            <v>0</v>
          </cell>
          <cell r="DN14890">
            <v>0</v>
          </cell>
        </row>
        <row r="14891">
          <cell r="E14891">
            <v>0</v>
          </cell>
          <cell r="F14891">
            <v>0</v>
          </cell>
          <cell r="DN14891">
            <v>0</v>
          </cell>
        </row>
        <row r="14892">
          <cell r="E14892">
            <v>0</v>
          </cell>
          <cell r="F14892">
            <v>0</v>
          </cell>
          <cell r="DN14892">
            <v>0</v>
          </cell>
        </row>
        <row r="14893">
          <cell r="E14893">
            <v>0</v>
          </cell>
          <cell r="F14893">
            <v>0</v>
          </cell>
          <cell r="DN14893">
            <v>0</v>
          </cell>
        </row>
        <row r="14894">
          <cell r="E14894">
            <v>0</v>
          </cell>
          <cell r="F14894">
            <v>0</v>
          </cell>
          <cell r="DN14894">
            <v>0</v>
          </cell>
        </row>
        <row r="14895">
          <cell r="E14895">
            <v>0</v>
          </cell>
          <cell r="F14895">
            <v>0</v>
          </cell>
          <cell r="DN14895">
            <v>0</v>
          </cell>
        </row>
        <row r="14896">
          <cell r="E14896">
            <v>0</v>
          </cell>
          <cell r="F14896">
            <v>0</v>
          </cell>
          <cell r="DN14896">
            <v>0</v>
          </cell>
        </row>
        <row r="14897">
          <cell r="E14897">
            <v>0</v>
          </cell>
          <cell r="F14897">
            <v>0</v>
          </cell>
          <cell r="DN14897">
            <v>0</v>
          </cell>
        </row>
        <row r="14898">
          <cell r="E14898">
            <v>0</v>
          </cell>
          <cell r="F14898">
            <v>0</v>
          </cell>
          <cell r="DN14898">
            <v>0</v>
          </cell>
        </row>
        <row r="14899">
          <cell r="E14899">
            <v>0</v>
          </cell>
          <cell r="F14899">
            <v>0</v>
          </cell>
          <cell r="DN14899">
            <v>0</v>
          </cell>
        </row>
        <row r="14900">
          <cell r="E14900">
            <v>0</v>
          </cell>
          <cell r="F14900">
            <v>0</v>
          </cell>
          <cell r="DN14900">
            <v>0</v>
          </cell>
        </row>
        <row r="14901">
          <cell r="E14901">
            <v>0</v>
          </cell>
          <cell r="F14901">
            <v>0</v>
          </cell>
          <cell r="DN14901">
            <v>0</v>
          </cell>
        </row>
        <row r="14902">
          <cell r="E14902">
            <v>0</v>
          </cell>
          <cell r="F14902">
            <v>0</v>
          </cell>
          <cell r="DN14902">
            <v>0</v>
          </cell>
        </row>
        <row r="14903">
          <cell r="E14903">
            <v>0</v>
          </cell>
          <cell r="F14903">
            <v>0</v>
          </cell>
          <cell r="DN14903">
            <v>0</v>
          </cell>
        </row>
        <row r="14904">
          <cell r="E14904">
            <v>0</v>
          </cell>
          <cell r="F14904">
            <v>0</v>
          </cell>
          <cell r="DN14904">
            <v>0</v>
          </cell>
        </row>
        <row r="14905">
          <cell r="E14905">
            <v>0</v>
          </cell>
          <cell r="F14905">
            <v>0</v>
          </cell>
          <cell r="DN14905">
            <v>0</v>
          </cell>
        </row>
        <row r="14906">
          <cell r="E14906">
            <v>0</v>
          </cell>
          <cell r="F14906">
            <v>0</v>
          </cell>
          <cell r="DN14906">
            <v>0</v>
          </cell>
        </row>
        <row r="14907">
          <cell r="E14907">
            <v>0</v>
          </cell>
          <cell r="F14907">
            <v>0</v>
          </cell>
          <cell r="DN14907">
            <v>0</v>
          </cell>
        </row>
        <row r="14908">
          <cell r="E14908">
            <v>0</v>
          </cell>
          <cell r="F14908">
            <v>0</v>
          </cell>
          <cell r="DN14908">
            <v>0</v>
          </cell>
        </row>
        <row r="14909">
          <cell r="E14909">
            <v>0</v>
          </cell>
          <cell r="F14909">
            <v>0</v>
          </cell>
          <cell r="DN14909">
            <v>0</v>
          </cell>
        </row>
        <row r="14910">
          <cell r="E14910">
            <v>0</v>
          </cell>
          <cell r="F14910">
            <v>0</v>
          </cell>
          <cell r="DN14910">
            <v>0</v>
          </cell>
        </row>
        <row r="14911">
          <cell r="E14911">
            <v>0</v>
          </cell>
          <cell r="F14911">
            <v>0</v>
          </cell>
          <cell r="DN14911">
            <v>0</v>
          </cell>
        </row>
        <row r="14912">
          <cell r="E14912">
            <v>0</v>
          </cell>
          <cell r="F14912">
            <v>0</v>
          </cell>
          <cell r="DN14912">
            <v>0</v>
          </cell>
        </row>
        <row r="14913">
          <cell r="E14913">
            <v>0</v>
          </cell>
          <cell r="F14913">
            <v>0</v>
          </cell>
          <cell r="DN14913">
            <v>0</v>
          </cell>
        </row>
        <row r="14914">
          <cell r="E14914">
            <v>0</v>
          </cell>
          <cell r="F14914">
            <v>0</v>
          </cell>
          <cell r="DN14914">
            <v>0</v>
          </cell>
        </row>
        <row r="14915">
          <cell r="E14915">
            <v>0</v>
          </cell>
          <cell r="F14915">
            <v>0</v>
          </cell>
          <cell r="DN14915">
            <v>0</v>
          </cell>
        </row>
        <row r="14916">
          <cell r="E14916">
            <v>0</v>
          </cell>
          <cell r="F14916">
            <v>0</v>
          </cell>
          <cell r="DN14916">
            <v>0</v>
          </cell>
        </row>
        <row r="14917">
          <cell r="E14917">
            <v>0</v>
          </cell>
          <cell r="F14917">
            <v>0</v>
          </cell>
          <cell r="DN14917">
            <v>0</v>
          </cell>
        </row>
        <row r="14918">
          <cell r="E14918">
            <v>0</v>
          </cell>
          <cell r="F14918">
            <v>0</v>
          </cell>
          <cell r="DN14918">
            <v>0</v>
          </cell>
        </row>
        <row r="14919">
          <cell r="E14919">
            <v>0</v>
          </cell>
          <cell r="F14919">
            <v>0</v>
          </cell>
          <cell r="DN14919">
            <v>0</v>
          </cell>
        </row>
        <row r="14920">
          <cell r="E14920">
            <v>0</v>
          </cell>
          <cell r="F14920">
            <v>0</v>
          </cell>
          <cell r="DN14920">
            <v>0</v>
          </cell>
        </row>
        <row r="14921">
          <cell r="E14921">
            <v>0</v>
          </cell>
          <cell r="F14921">
            <v>0</v>
          </cell>
          <cell r="DN14921">
            <v>0</v>
          </cell>
        </row>
        <row r="14922">
          <cell r="E14922">
            <v>0</v>
          </cell>
          <cell r="F14922">
            <v>0</v>
          </cell>
          <cell r="DN14922">
            <v>0</v>
          </cell>
        </row>
        <row r="14923">
          <cell r="E14923">
            <v>0</v>
          </cell>
          <cell r="F14923">
            <v>0</v>
          </cell>
          <cell r="DN14923">
            <v>0</v>
          </cell>
        </row>
        <row r="14924">
          <cell r="E14924">
            <v>0</v>
          </cell>
          <cell r="F14924">
            <v>0</v>
          </cell>
          <cell r="DN14924">
            <v>0</v>
          </cell>
        </row>
        <row r="14925">
          <cell r="E14925">
            <v>0</v>
          </cell>
          <cell r="F14925">
            <v>0</v>
          </cell>
          <cell r="DN14925">
            <v>0</v>
          </cell>
        </row>
        <row r="14926">
          <cell r="E14926">
            <v>0</v>
          </cell>
          <cell r="F14926">
            <v>0</v>
          </cell>
          <cell r="DN14926">
            <v>0</v>
          </cell>
        </row>
        <row r="14927">
          <cell r="E14927">
            <v>0</v>
          </cell>
          <cell r="F14927">
            <v>0</v>
          </cell>
          <cell r="DN14927">
            <v>0</v>
          </cell>
        </row>
        <row r="14928">
          <cell r="E14928">
            <v>0</v>
          </cell>
          <cell r="F14928">
            <v>0</v>
          </cell>
          <cell r="DN14928">
            <v>0</v>
          </cell>
        </row>
        <row r="14929">
          <cell r="E14929">
            <v>0</v>
          </cell>
          <cell r="F14929">
            <v>0</v>
          </cell>
          <cell r="DN14929">
            <v>0</v>
          </cell>
        </row>
        <row r="14930">
          <cell r="E14930">
            <v>0</v>
          </cell>
          <cell r="F14930">
            <v>0</v>
          </cell>
          <cell r="DN14930">
            <v>0</v>
          </cell>
        </row>
        <row r="14931">
          <cell r="E14931">
            <v>0</v>
          </cell>
          <cell r="F14931">
            <v>0</v>
          </cell>
          <cell r="DN14931">
            <v>0</v>
          </cell>
        </row>
        <row r="14932">
          <cell r="E14932">
            <v>0</v>
          </cell>
          <cell r="F14932">
            <v>0</v>
          </cell>
          <cell r="DN14932">
            <v>0</v>
          </cell>
        </row>
        <row r="14933">
          <cell r="E14933">
            <v>0</v>
          </cell>
          <cell r="F14933">
            <v>0</v>
          </cell>
          <cell r="DN14933">
            <v>0</v>
          </cell>
        </row>
        <row r="14934">
          <cell r="E14934">
            <v>0</v>
          </cell>
          <cell r="F14934">
            <v>0</v>
          </cell>
          <cell r="DN14934">
            <v>0</v>
          </cell>
        </row>
        <row r="14935">
          <cell r="E14935">
            <v>0</v>
          </cell>
          <cell r="F14935">
            <v>0</v>
          </cell>
          <cell r="DN14935">
            <v>0</v>
          </cell>
        </row>
        <row r="14936">
          <cell r="E14936">
            <v>0</v>
          </cell>
          <cell r="F14936">
            <v>0</v>
          </cell>
          <cell r="DN14936">
            <v>0</v>
          </cell>
        </row>
        <row r="14937">
          <cell r="E14937">
            <v>0</v>
          </cell>
          <cell r="F14937">
            <v>0</v>
          </cell>
          <cell r="DN14937">
            <v>0</v>
          </cell>
        </row>
        <row r="14938">
          <cell r="E14938">
            <v>0</v>
          </cell>
          <cell r="F14938">
            <v>0</v>
          </cell>
          <cell r="DN14938">
            <v>0</v>
          </cell>
        </row>
        <row r="14939">
          <cell r="E14939">
            <v>0</v>
          </cell>
          <cell r="F14939">
            <v>0</v>
          </cell>
          <cell r="DN14939">
            <v>0</v>
          </cell>
        </row>
        <row r="14940">
          <cell r="E14940">
            <v>0</v>
          </cell>
          <cell r="F14940">
            <v>0</v>
          </cell>
          <cell r="DN14940">
            <v>0</v>
          </cell>
        </row>
        <row r="14941">
          <cell r="E14941">
            <v>0</v>
          </cell>
          <cell r="F14941">
            <v>0</v>
          </cell>
          <cell r="DN14941">
            <v>0</v>
          </cell>
        </row>
        <row r="14942">
          <cell r="E14942">
            <v>0</v>
          </cell>
          <cell r="F14942">
            <v>0</v>
          </cell>
          <cell r="DN14942">
            <v>0</v>
          </cell>
        </row>
        <row r="14943">
          <cell r="E14943">
            <v>0</v>
          </cell>
          <cell r="F14943">
            <v>0</v>
          </cell>
          <cell r="DN14943">
            <v>0</v>
          </cell>
        </row>
        <row r="14944">
          <cell r="E14944">
            <v>0</v>
          </cell>
          <cell r="F14944">
            <v>0</v>
          </cell>
          <cell r="DN14944">
            <v>0</v>
          </cell>
        </row>
        <row r="14945">
          <cell r="E14945">
            <v>0</v>
          </cell>
          <cell r="F14945">
            <v>0</v>
          </cell>
          <cell r="DN14945">
            <v>0</v>
          </cell>
        </row>
        <row r="14946">
          <cell r="E14946">
            <v>0</v>
          </cell>
          <cell r="F14946">
            <v>0</v>
          </cell>
          <cell r="DN14946">
            <v>0</v>
          </cell>
        </row>
        <row r="14947">
          <cell r="E14947">
            <v>0</v>
          </cell>
          <cell r="F14947">
            <v>0</v>
          </cell>
          <cell r="DN14947">
            <v>0</v>
          </cell>
        </row>
        <row r="14948">
          <cell r="E14948">
            <v>0</v>
          </cell>
          <cell r="F14948">
            <v>0</v>
          </cell>
          <cell r="DN14948">
            <v>0</v>
          </cell>
        </row>
        <row r="14949">
          <cell r="E14949">
            <v>0</v>
          </cell>
          <cell r="F14949">
            <v>0</v>
          </cell>
          <cell r="DN14949">
            <v>0</v>
          </cell>
        </row>
        <row r="14950">
          <cell r="E14950">
            <v>0</v>
          </cell>
          <cell r="F14950">
            <v>0</v>
          </cell>
          <cell r="DN14950">
            <v>0</v>
          </cell>
        </row>
        <row r="14951">
          <cell r="E14951">
            <v>0</v>
          </cell>
          <cell r="F14951">
            <v>0</v>
          </cell>
          <cell r="DN14951">
            <v>0</v>
          </cell>
        </row>
        <row r="14952">
          <cell r="E14952">
            <v>0</v>
          </cell>
          <cell r="F14952">
            <v>0</v>
          </cell>
          <cell r="DN14952">
            <v>0</v>
          </cell>
        </row>
        <row r="14953">
          <cell r="E14953">
            <v>0</v>
          </cell>
          <cell r="F14953">
            <v>0</v>
          </cell>
          <cell r="DN14953">
            <v>0</v>
          </cell>
        </row>
        <row r="14954">
          <cell r="E14954">
            <v>0</v>
          </cell>
          <cell r="F14954">
            <v>0</v>
          </cell>
          <cell r="DN14954">
            <v>0</v>
          </cell>
        </row>
        <row r="14955">
          <cell r="E14955">
            <v>0</v>
          </cell>
          <cell r="F14955">
            <v>0</v>
          </cell>
          <cell r="DN14955">
            <v>0</v>
          </cell>
        </row>
        <row r="14956">
          <cell r="E14956">
            <v>0</v>
          </cell>
          <cell r="F14956">
            <v>0</v>
          </cell>
          <cell r="DN14956">
            <v>0</v>
          </cell>
        </row>
        <row r="14957">
          <cell r="E14957">
            <v>0</v>
          </cell>
          <cell r="F14957">
            <v>0</v>
          </cell>
          <cell r="DN14957">
            <v>0</v>
          </cell>
        </row>
        <row r="14958">
          <cell r="E14958">
            <v>0</v>
          </cell>
          <cell r="F14958">
            <v>0</v>
          </cell>
          <cell r="DN14958">
            <v>0</v>
          </cell>
        </row>
        <row r="14959">
          <cell r="E14959">
            <v>0</v>
          </cell>
          <cell r="F14959">
            <v>0</v>
          </cell>
          <cell r="DN14959">
            <v>0</v>
          </cell>
        </row>
        <row r="14960">
          <cell r="E14960">
            <v>0</v>
          </cell>
          <cell r="F14960">
            <v>0</v>
          </cell>
          <cell r="DN14960">
            <v>0</v>
          </cell>
        </row>
        <row r="14961">
          <cell r="E14961">
            <v>0</v>
          </cell>
          <cell r="F14961">
            <v>0</v>
          </cell>
          <cell r="DN14961">
            <v>0</v>
          </cell>
        </row>
        <row r="14962">
          <cell r="E14962">
            <v>0</v>
          </cell>
          <cell r="F14962">
            <v>0</v>
          </cell>
          <cell r="DN14962">
            <v>0</v>
          </cell>
        </row>
        <row r="14963">
          <cell r="E14963">
            <v>0</v>
          </cell>
          <cell r="F14963">
            <v>0</v>
          </cell>
          <cell r="DN14963">
            <v>0</v>
          </cell>
        </row>
        <row r="14964">
          <cell r="E14964">
            <v>0</v>
          </cell>
          <cell r="F14964">
            <v>0</v>
          </cell>
          <cell r="DN14964">
            <v>0</v>
          </cell>
        </row>
        <row r="14965">
          <cell r="E14965">
            <v>0</v>
          </cell>
          <cell r="F14965">
            <v>0</v>
          </cell>
          <cell r="DN14965">
            <v>0</v>
          </cell>
        </row>
        <row r="14966">
          <cell r="E14966">
            <v>0</v>
          </cell>
          <cell r="F14966">
            <v>0</v>
          </cell>
          <cell r="DN14966">
            <v>0</v>
          </cell>
        </row>
        <row r="14967">
          <cell r="E14967">
            <v>0</v>
          </cell>
          <cell r="F14967">
            <v>0</v>
          </cell>
          <cell r="DN14967">
            <v>0</v>
          </cell>
        </row>
        <row r="14968">
          <cell r="E14968">
            <v>0</v>
          </cell>
          <cell r="F14968">
            <v>0</v>
          </cell>
          <cell r="DN14968">
            <v>0</v>
          </cell>
        </row>
        <row r="14969">
          <cell r="E14969">
            <v>0</v>
          </cell>
          <cell r="F14969">
            <v>0</v>
          </cell>
          <cell r="DN14969">
            <v>0</v>
          </cell>
        </row>
        <row r="14970">
          <cell r="E14970">
            <v>0</v>
          </cell>
          <cell r="F14970">
            <v>0</v>
          </cell>
          <cell r="DN14970">
            <v>0</v>
          </cell>
        </row>
        <row r="14971">
          <cell r="E14971">
            <v>0</v>
          </cell>
          <cell r="F14971">
            <v>0</v>
          </cell>
          <cell r="DN14971">
            <v>0</v>
          </cell>
        </row>
        <row r="14972">
          <cell r="E14972">
            <v>0</v>
          </cell>
          <cell r="F14972">
            <v>0</v>
          </cell>
          <cell r="DN14972">
            <v>0</v>
          </cell>
        </row>
        <row r="14973">
          <cell r="E14973">
            <v>0</v>
          </cell>
          <cell r="F14973">
            <v>0</v>
          </cell>
          <cell r="DN14973">
            <v>0</v>
          </cell>
        </row>
        <row r="14974">
          <cell r="E14974">
            <v>0</v>
          </cell>
          <cell r="F14974">
            <v>0</v>
          </cell>
          <cell r="DN14974">
            <v>0</v>
          </cell>
        </row>
        <row r="14975">
          <cell r="E14975">
            <v>0</v>
          </cell>
          <cell r="F14975">
            <v>0</v>
          </cell>
          <cell r="DN14975">
            <v>0</v>
          </cell>
        </row>
        <row r="14976">
          <cell r="E14976">
            <v>0</v>
          </cell>
          <cell r="F14976">
            <v>0</v>
          </cell>
          <cell r="DN14976">
            <v>0</v>
          </cell>
        </row>
        <row r="14977">
          <cell r="E14977">
            <v>0</v>
          </cell>
          <cell r="F14977">
            <v>0</v>
          </cell>
          <cell r="DN14977">
            <v>0</v>
          </cell>
        </row>
        <row r="14978">
          <cell r="E14978">
            <v>0</v>
          </cell>
          <cell r="F14978">
            <v>0</v>
          </cell>
          <cell r="DN14978">
            <v>0</v>
          </cell>
        </row>
        <row r="14979">
          <cell r="E14979">
            <v>0</v>
          </cell>
          <cell r="F14979">
            <v>0</v>
          </cell>
          <cell r="DN14979">
            <v>0</v>
          </cell>
        </row>
        <row r="14980">
          <cell r="E14980">
            <v>0</v>
          </cell>
          <cell r="F14980">
            <v>0</v>
          </cell>
          <cell r="DN14980">
            <v>0</v>
          </cell>
        </row>
        <row r="14981">
          <cell r="E14981">
            <v>0</v>
          </cell>
          <cell r="F14981">
            <v>0</v>
          </cell>
          <cell r="DN14981">
            <v>0</v>
          </cell>
        </row>
        <row r="14982">
          <cell r="E14982">
            <v>0</v>
          </cell>
          <cell r="F14982">
            <v>0</v>
          </cell>
          <cell r="DN14982">
            <v>0</v>
          </cell>
        </row>
        <row r="14983">
          <cell r="E14983">
            <v>0</v>
          </cell>
          <cell r="F14983">
            <v>0</v>
          </cell>
          <cell r="DN14983">
            <v>0</v>
          </cell>
        </row>
        <row r="14984">
          <cell r="E14984">
            <v>0</v>
          </cell>
          <cell r="F14984">
            <v>0</v>
          </cell>
          <cell r="DN14984">
            <v>0</v>
          </cell>
        </row>
        <row r="14985">
          <cell r="E14985">
            <v>0</v>
          </cell>
          <cell r="F14985">
            <v>0</v>
          </cell>
          <cell r="DN14985">
            <v>0</v>
          </cell>
        </row>
        <row r="14986">
          <cell r="E14986">
            <v>0</v>
          </cell>
          <cell r="F14986">
            <v>0</v>
          </cell>
          <cell r="DN14986">
            <v>0</v>
          </cell>
        </row>
        <row r="14987">
          <cell r="E14987">
            <v>0</v>
          </cell>
          <cell r="F14987">
            <v>0</v>
          </cell>
          <cell r="DN14987">
            <v>0</v>
          </cell>
        </row>
        <row r="14988">
          <cell r="E14988">
            <v>0</v>
          </cell>
          <cell r="F14988">
            <v>0</v>
          </cell>
          <cell r="DN14988">
            <v>0</v>
          </cell>
        </row>
        <row r="14989">
          <cell r="E14989">
            <v>0</v>
          </cell>
          <cell r="F14989">
            <v>0</v>
          </cell>
          <cell r="DN14989">
            <v>0</v>
          </cell>
        </row>
        <row r="14990">
          <cell r="E14990">
            <v>0</v>
          </cell>
          <cell r="F14990">
            <v>0</v>
          </cell>
          <cell r="DN14990">
            <v>0</v>
          </cell>
        </row>
        <row r="14991">
          <cell r="E14991">
            <v>0</v>
          </cell>
          <cell r="F14991">
            <v>0</v>
          </cell>
          <cell r="DN14991">
            <v>0</v>
          </cell>
        </row>
        <row r="14992">
          <cell r="E14992">
            <v>0</v>
          </cell>
          <cell r="F14992">
            <v>0</v>
          </cell>
          <cell r="DN14992">
            <v>0</v>
          </cell>
        </row>
        <row r="14993">
          <cell r="E14993">
            <v>0</v>
          </cell>
          <cell r="F14993">
            <v>0</v>
          </cell>
          <cell r="DN14993">
            <v>0</v>
          </cell>
        </row>
        <row r="14994">
          <cell r="E14994">
            <v>0</v>
          </cell>
          <cell r="F14994">
            <v>0</v>
          </cell>
          <cell r="DN14994">
            <v>0</v>
          </cell>
        </row>
        <row r="14995">
          <cell r="E14995">
            <v>0</v>
          </cell>
          <cell r="F14995">
            <v>0</v>
          </cell>
          <cell r="DN14995">
            <v>0</v>
          </cell>
        </row>
        <row r="14996">
          <cell r="E14996">
            <v>0</v>
          </cell>
          <cell r="F14996">
            <v>0</v>
          </cell>
          <cell r="DN14996">
            <v>0</v>
          </cell>
        </row>
        <row r="14997">
          <cell r="E14997">
            <v>0</v>
          </cell>
          <cell r="F14997">
            <v>0</v>
          </cell>
          <cell r="DN14997">
            <v>0</v>
          </cell>
        </row>
        <row r="14998">
          <cell r="E14998">
            <v>0</v>
          </cell>
          <cell r="F14998">
            <v>0</v>
          </cell>
          <cell r="DN14998">
            <v>0</v>
          </cell>
        </row>
        <row r="14999">
          <cell r="E14999">
            <v>0</v>
          </cell>
          <cell r="F14999">
            <v>0</v>
          </cell>
          <cell r="DN14999">
            <v>0</v>
          </cell>
        </row>
        <row r="15000">
          <cell r="E15000">
            <v>0</v>
          </cell>
          <cell r="F15000">
            <v>0</v>
          </cell>
          <cell r="DN15000">
            <v>0</v>
          </cell>
        </row>
        <row r="15001">
          <cell r="E15001">
            <v>0</v>
          </cell>
          <cell r="F15001">
            <v>0</v>
          </cell>
          <cell r="DN15001">
            <v>0</v>
          </cell>
        </row>
        <row r="15002">
          <cell r="E15002">
            <v>0</v>
          </cell>
          <cell r="F15002">
            <v>0</v>
          </cell>
          <cell r="DN15002">
            <v>0</v>
          </cell>
        </row>
        <row r="15003">
          <cell r="E15003">
            <v>0</v>
          </cell>
          <cell r="F15003">
            <v>0</v>
          </cell>
          <cell r="DN15003">
            <v>0</v>
          </cell>
        </row>
        <row r="15004">
          <cell r="E15004">
            <v>0</v>
          </cell>
          <cell r="F15004">
            <v>0</v>
          </cell>
          <cell r="DN15004">
            <v>0</v>
          </cell>
        </row>
        <row r="15005">
          <cell r="E15005">
            <v>0</v>
          </cell>
          <cell r="F15005">
            <v>0</v>
          </cell>
          <cell r="DN15005">
            <v>0</v>
          </cell>
        </row>
        <row r="15006">
          <cell r="E15006">
            <v>0</v>
          </cell>
          <cell r="F15006">
            <v>0</v>
          </cell>
          <cell r="DN15006">
            <v>0</v>
          </cell>
        </row>
        <row r="15007">
          <cell r="E15007">
            <v>0</v>
          </cell>
          <cell r="F15007">
            <v>0</v>
          </cell>
          <cell r="DN15007">
            <v>0</v>
          </cell>
        </row>
        <row r="15008">
          <cell r="E15008">
            <v>0</v>
          </cell>
          <cell r="F15008">
            <v>0</v>
          </cell>
          <cell r="DN15008">
            <v>0</v>
          </cell>
        </row>
        <row r="15009">
          <cell r="E15009">
            <v>0</v>
          </cell>
          <cell r="F15009">
            <v>0</v>
          </cell>
          <cell r="DN15009">
            <v>0</v>
          </cell>
        </row>
        <row r="15010">
          <cell r="E15010">
            <v>0</v>
          </cell>
          <cell r="F15010">
            <v>0</v>
          </cell>
          <cell r="DN15010">
            <v>0</v>
          </cell>
        </row>
        <row r="15011">
          <cell r="E15011">
            <v>0</v>
          </cell>
          <cell r="F15011">
            <v>0</v>
          </cell>
          <cell r="DN15011">
            <v>0</v>
          </cell>
        </row>
        <row r="15012">
          <cell r="E15012">
            <v>0</v>
          </cell>
          <cell r="F15012">
            <v>0</v>
          </cell>
          <cell r="DN15012">
            <v>0</v>
          </cell>
        </row>
        <row r="15013">
          <cell r="E15013">
            <v>0</v>
          </cell>
          <cell r="F15013">
            <v>0</v>
          </cell>
          <cell r="DN15013">
            <v>0</v>
          </cell>
        </row>
        <row r="15014">
          <cell r="E15014">
            <v>0</v>
          </cell>
          <cell r="F15014">
            <v>0</v>
          </cell>
          <cell r="DN15014">
            <v>0</v>
          </cell>
        </row>
        <row r="15015">
          <cell r="E15015">
            <v>0</v>
          </cell>
          <cell r="F15015">
            <v>0</v>
          </cell>
          <cell r="DN15015">
            <v>0</v>
          </cell>
        </row>
        <row r="15016">
          <cell r="E15016">
            <v>0</v>
          </cell>
          <cell r="F15016">
            <v>0</v>
          </cell>
          <cell r="DN15016">
            <v>0</v>
          </cell>
        </row>
        <row r="15017">
          <cell r="E15017">
            <v>0</v>
          </cell>
          <cell r="F15017">
            <v>0</v>
          </cell>
          <cell r="DN15017">
            <v>0</v>
          </cell>
        </row>
        <row r="15018">
          <cell r="E15018">
            <v>0</v>
          </cell>
          <cell r="F15018">
            <v>0</v>
          </cell>
          <cell r="DN15018">
            <v>0</v>
          </cell>
        </row>
        <row r="15019">
          <cell r="E15019">
            <v>0</v>
          </cell>
          <cell r="F15019">
            <v>0</v>
          </cell>
          <cell r="DN15019">
            <v>0</v>
          </cell>
        </row>
        <row r="15020">
          <cell r="E15020">
            <v>0</v>
          </cell>
          <cell r="F15020">
            <v>0</v>
          </cell>
          <cell r="DN15020">
            <v>0</v>
          </cell>
        </row>
        <row r="15021">
          <cell r="E15021">
            <v>0</v>
          </cell>
          <cell r="F15021">
            <v>0</v>
          </cell>
          <cell r="DN15021">
            <v>0</v>
          </cell>
        </row>
        <row r="15022">
          <cell r="E15022">
            <v>0</v>
          </cell>
          <cell r="F15022">
            <v>0</v>
          </cell>
          <cell r="DN15022">
            <v>0</v>
          </cell>
        </row>
        <row r="15023">
          <cell r="E15023">
            <v>0</v>
          </cell>
          <cell r="F15023">
            <v>0</v>
          </cell>
          <cell r="DN15023">
            <v>0</v>
          </cell>
        </row>
        <row r="15024">
          <cell r="E15024">
            <v>0</v>
          </cell>
          <cell r="F15024">
            <v>0</v>
          </cell>
          <cell r="DN15024">
            <v>0</v>
          </cell>
        </row>
        <row r="15025">
          <cell r="E15025">
            <v>0</v>
          </cell>
          <cell r="F15025">
            <v>0</v>
          </cell>
          <cell r="DN15025">
            <v>0</v>
          </cell>
        </row>
        <row r="15026">
          <cell r="E15026">
            <v>0</v>
          </cell>
          <cell r="F15026">
            <v>0</v>
          </cell>
          <cell r="DN15026">
            <v>0</v>
          </cell>
        </row>
        <row r="15027">
          <cell r="E15027">
            <v>0</v>
          </cell>
          <cell r="F15027">
            <v>0</v>
          </cell>
          <cell r="DN15027">
            <v>0</v>
          </cell>
        </row>
        <row r="15028">
          <cell r="E15028">
            <v>0</v>
          </cell>
          <cell r="F15028">
            <v>0</v>
          </cell>
          <cell r="DN15028">
            <v>0</v>
          </cell>
        </row>
        <row r="15029">
          <cell r="E15029">
            <v>0</v>
          </cell>
          <cell r="F15029">
            <v>0</v>
          </cell>
          <cell r="DN15029">
            <v>0</v>
          </cell>
        </row>
        <row r="15030">
          <cell r="E15030">
            <v>0</v>
          </cell>
          <cell r="F15030">
            <v>0</v>
          </cell>
          <cell r="DN15030">
            <v>0</v>
          </cell>
        </row>
        <row r="15031">
          <cell r="E15031">
            <v>0</v>
          </cell>
          <cell r="F15031">
            <v>0</v>
          </cell>
          <cell r="DN15031">
            <v>0</v>
          </cell>
        </row>
        <row r="15032">
          <cell r="E15032">
            <v>0</v>
          </cell>
          <cell r="F15032">
            <v>0</v>
          </cell>
          <cell r="DN15032">
            <v>0</v>
          </cell>
        </row>
        <row r="15033">
          <cell r="E15033">
            <v>0</v>
          </cell>
          <cell r="F15033">
            <v>0</v>
          </cell>
          <cell r="DN15033">
            <v>0</v>
          </cell>
        </row>
        <row r="15034">
          <cell r="E15034">
            <v>0</v>
          </cell>
          <cell r="F15034">
            <v>0</v>
          </cell>
          <cell r="DN15034">
            <v>0</v>
          </cell>
        </row>
        <row r="15035">
          <cell r="E15035">
            <v>0</v>
          </cell>
          <cell r="F15035">
            <v>0</v>
          </cell>
          <cell r="DN15035">
            <v>0</v>
          </cell>
        </row>
        <row r="15036">
          <cell r="E15036">
            <v>0</v>
          </cell>
          <cell r="F15036">
            <v>0</v>
          </cell>
          <cell r="DN15036">
            <v>0</v>
          </cell>
        </row>
        <row r="15037">
          <cell r="E15037">
            <v>0</v>
          </cell>
          <cell r="F15037">
            <v>0</v>
          </cell>
          <cell r="DN15037">
            <v>0</v>
          </cell>
        </row>
        <row r="15038">
          <cell r="E15038">
            <v>0</v>
          </cell>
          <cell r="F15038">
            <v>0</v>
          </cell>
          <cell r="DN15038">
            <v>0</v>
          </cell>
        </row>
        <row r="15039">
          <cell r="E15039">
            <v>0</v>
          </cell>
          <cell r="F15039">
            <v>0</v>
          </cell>
          <cell r="DN15039">
            <v>0</v>
          </cell>
        </row>
        <row r="15040">
          <cell r="E15040">
            <v>0</v>
          </cell>
          <cell r="F15040">
            <v>0</v>
          </cell>
          <cell r="DN15040">
            <v>0</v>
          </cell>
        </row>
        <row r="15041">
          <cell r="E15041">
            <v>0</v>
          </cell>
          <cell r="F15041">
            <v>0</v>
          </cell>
          <cell r="DN15041">
            <v>0</v>
          </cell>
        </row>
        <row r="15042">
          <cell r="E15042">
            <v>0</v>
          </cell>
          <cell r="F15042">
            <v>0</v>
          </cell>
          <cell r="DN15042">
            <v>0</v>
          </cell>
        </row>
        <row r="15043">
          <cell r="E15043">
            <v>0</v>
          </cell>
          <cell r="F15043">
            <v>0</v>
          </cell>
          <cell r="DN15043">
            <v>0</v>
          </cell>
        </row>
        <row r="15044">
          <cell r="E15044">
            <v>0</v>
          </cell>
          <cell r="F15044">
            <v>0</v>
          </cell>
          <cell r="DN15044">
            <v>0</v>
          </cell>
        </row>
        <row r="15045">
          <cell r="E15045">
            <v>0</v>
          </cell>
          <cell r="F15045">
            <v>0</v>
          </cell>
          <cell r="DN15045">
            <v>0</v>
          </cell>
        </row>
        <row r="15046">
          <cell r="E15046">
            <v>0</v>
          </cell>
          <cell r="F15046">
            <v>0</v>
          </cell>
          <cell r="DN15046">
            <v>0</v>
          </cell>
        </row>
        <row r="15047">
          <cell r="E15047">
            <v>0</v>
          </cell>
          <cell r="F15047">
            <v>0</v>
          </cell>
          <cell r="DN15047">
            <v>0</v>
          </cell>
        </row>
        <row r="15048">
          <cell r="E15048">
            <v>0</v>
          </cell>
          <cell r="F15048">
            <v>0</v>
          </cell>
          <cell r="DN15048">
            <v>0</v>
          </cell>
        </row>
        <row r="15049">
          <cell r="E15049">
            <v>0</v>
          </cell>
          <cell r="F15049">
            <v>0</v>
          </cell>
          <cell r="DN15049">
            <v>0</v>
          </cell>
        </row>
        <row r="15050">
          <cell r="E15050">
            <v>0</v>
          </cell>
          <cell r="F15050">
            <v>0</v>
          </cell>
          <cell r="DN15050">
            <v>0</v>
          </cell>
        </row>
        <row r="15051">
          <cell r="E15051">
            <v>0</v>
          </cell>
          <cell r="F15051">
            <v>0</v>
          </cell>
          <cell r="DN15051">
            <v>0</v>
          </cell>
        </row>
        <row r="15052">
          <cell r="E15052">
            <v>0</v>
          </cell>
          <cell r="F15052">
            <v>0</v>
          </cell>
          <cell r="DN15052">
            <v>0</v>
          </cell>
        </row>
        <row r="15053">
          <cell r="E15053">
            <v>0</v>
          </cell>
          <cell r="F15053">
            <v>0</v>
          </cell>
          <cell r="DN15053">
            <v>0</v>
          </cell>
        </row>
        <row r="15054">
          <cell r="E15054">
            <v>0</v>
          </cell>
          <cell r="F15054">
            <v>0</v>
          </cell>
          <cell r="DN15054">
            <v>0</v>
          </cell>
        </row>
        <row r="15055">
          <cell r="E15055">
            <v>0</v>
          </cell>
          <cell r="F15055">
            <v>0</v>
          </cell>
          <cell r="DN15055">
            <v>0</v>
          </cell>
        </row>
        <row r="15056">
          <cell r="E15056">
            <v>0</v>
          </cell>
          <cell r="F15056">
            <v>0</v>
          </cell>
          <cell r="DN15056">
            <v>0</v>
          </cell>
        </row>
        <row r="15057">
          <cell r="E15057">
            <v>0</v>
          </cell>
          <cell r="F15057">
            <v>0</v>
          </cell>
          <cell r="DN15057">
            <v>0</v>
          </cell>
        </row>
        <row r="15058">
          <cell r="E15058">
            <v>0</v>
          </cell>
          <cell r="F15058">
            <v>0</v>
          </cell>
          <cell r="DN15058">
            <v>0</v>
          </cell>
        </row>
        <row r="15059">
          <cell r="E15059">
            <v>0</v>
          </cell>
          <cell r="F15059">
            <v>0</v>
          </cell>
          <cell r="DN15059">
            <v>0</v>
          </cell>
        </row>
        <row r="15060">
          <cell r="E15060">
            <v>0</v>
          </cell>
          <cell r="F15060">
            <v>0</v>
          </cell>
          <cell r="DN15060">
            <v>0</v>
          </cell>
        </row>
        <row r="15061">
          <cell r="E15061">
            <v>0</v>
          </cell>
          <cell r="F15061">
            <v>0</v>
          </cell>
          <cell r="DN15061">
            <v>0</v>
          </cell>
        </row>
        <row r="15062">
          <cell r="E15062">
            <v>0</v>
          </cell>
          <cell r="F15062">
            <v>0</v>
          </cell>
          <cell r="DN15062">
            <v>0</v>
          </cell>
        </row>
        <row r="15063">
          <cell r="E15063">
            <v>0</v>
          </cell>
          <cell r="F15063">
            <v>0</v>
          </cell>
          <cell r="DN15063">
            <v>0</v>
          </cell>
        </row>
        <row r="15064">
          <cell r="E15064">
            <v>0</v>
          </cell>
          <cell r="F15064">
            <v>0</v>
          </cell>
          <cell r="DN15064">
            <v>0</v>
          </cell>
        </row>
        <row r="15065">
          <cell r="E15065">
            <v>0</v>
          </cell>
          <cell r="F15065">
            <v>0</v>
          </cell>
          <cell r="DN15065">
            <v>0</v>
          </cell>
        </row>
        <row r="15066">
          <cell r="E15066">
            <v>0</v>
          </cell>
          <cell r="F15066">
            <v>0</v>
          </cell>
          <cell r="DN15066">
            <v>0</v>
          </cell>
        </row>
        <row r="15067">
          <cell r="E15067">
            <v>0</v>
          </cell>
          <cell r="F15067">
            <v>0</v>
          </cell>
          <cell r="DN15067">
            <v>0</v>
          </cell>
        </row>
        <row r="15068">
          <cell r="E15068">
            <v>0</v>
          </cell>
          <cell r="F15068">
            <v>0</v>
          </cell>
          <cell r="DN15068">
            <v>0</v>
          </cell>
        </row>
        <row r="15069">
          <cell r="E15069">
            <v>0</v>
          </cell>
          <cell r="F15069">
            <v>0</v>
          </cell>
          <cell r="DN15069">
            <v>0</v>
          </cell>
        </row>
        <row r="15070">
          <cell r="E15070">
            <v>0</v>
          </cell>
          <cell r="F15070">
            <v>0</v>
          </cell>
          <cell r="DN15070">
            <v>0</v>
          </cell>
        </row>
        <row r="15071">
          <cell r="E15071">
            <v>0</v>
          </cell>
          <cell r="F15071">
            <v>0</v>
          </cell>
          <cell r="DN15071">
            <v>0</v>
          </cell>
        </row>
        <row r="15072">
          <cell r="E15072">
            <v>0</v>
          </cell>
          <cell r="F15072">
            <v>0</v>
          </cell>
          <cell r="DN15072">
            <v>0</v>
          </cell>
        </row>
        <row r="15073">
          <cell r="E15073">
            <v>0</v>
          </cell>
          <cell r="F15073">
            <v>0</v>
          </cell>
          <cell r="DN15073">
            <v>0</v>
          </cell>
        </row>
        <row r="15074">
          <cell r="E15074">
            <v>0</v>
          </cell>
          <cell r="F15074">
            <v>0</v>
          </cell>
          <cell r="DN15074">
            <v>0</v>
          </cell>
        </row>
        <row r="15075">
          <cell r="E15075">
            <v>0</v>
          </cell>
          <cell r="F15075">
            <v>0</v>
          </cell>
          <cell r="DN15075">
            <v>0</v>
          </cell>
        </row>
        <row r="15076">
          <cell r="E15076">
            <v>0</v>
          </cell>
          <cell r="F15076">
            <v>0</v>
          </cell>
          <cell r="DN15076">
            <v>0</v>
          </cell>
        </row>
        <row r="15077">
          <cell r="E15077">
            <v>0</v>
          </cell>
          <cell r="F15077">
            <v>0</v>
          </cell>
          <cell r="DN15077">
            <v>0</v>
          </cell>
        </row>
        <row r="15078">
          <cell r="E15078">
            <v>0</v>
          </cell>
          <cell r="F15078">
            <v>0</v>
          </cell>
          <cell r="DN15078">
            <v>0</v>
          </cell>
        </row>
        <row r="15079">
          <cell r="E15079">
            <v>0</v>
          </cell>
          <cell r="F15079">
            <v>0</v>
          </cell>
          <cell r="DN15079">
            <v>0</v>
          </cell>
        </row>
        <row r="15080">
          <cell r="E15080">
            <v>0</v>
          </cell>
          <cell r="F15080">
            <v>0</v>
          </cell>
          <cell r="DN15080">
            <v>0</v>
          </cell>
        </row>
        <row r="15081">
          <cell r="E15081">
            <v>0</v>
          </cell>
          <cell r="F15081">
            <v>0</v>
          </cell>
          <cell r="DN15081">
            <v>0</v>
          </cell>
        </row>
        <row r="15082">
          <cell r="E15082">
            <v>0</v>
          </cell>
          <cell r="F15082">
            <v>0</v>
          </cell>
          <cell r="DN15082">
            <v>0</v>
          </cell>
        </row>
        <row r="15083">
          <cell r="E15083">
            <v>0</v>
          </cell>
          <cell r="F15083">
            <v>0</v>
          </cell>
          <cell r="DN15083">
            <v>0</v>
          </cell>
        </row>
        <row r="15084">
          <cell r="E15084">
            <v>0</v>
          </cell>
          <cell r="F15084">
            <v>0</v>
          </cell>
          <cell r="DN15084">
            <v>0</v>
          </cell>
        </row>
        <row r="15085">
          <cell r="E15085">
            <v>0</v>
          </cell>
          <cell r="F15085">
            <v>0</v>
          </cell>
          <cell r="DN15085">
            <v>0</v>
          </cell>
        </row>
        <row r="15086">
          <cell r="E15086">
            <v>0</v>
          </cell>
          <cell r="F15086">
            <v>0</v>
          </cell>
          <cell r="DN15086">
            <v>0</v>
          </cell>
        </row>
        <row r="15087">
          <cell r="E15087">
            <v>0</v>
          </cell>
          <cell r="F15087">
            <v>0</v>
          </cell>
          <cell r="DN15087">
            <v>0</v>
          </cell>
        </row>
        <row r="15088">
          <cell r="E15088">
            <v>0</v>
          </cell>
          <cell r="F15088">
            <v>0</v>
          </cell>
          <cell r="DN15088">
            <v>0</v>
          </cell>
        </row>
        <row r="15089">
          <cell r="E15089">
            <v>0</v>
          </cell>
          <cell r="F15089">
            <v>0</v>
          </cell>
          <cell r="DN15089">
            <v>0</v>
          </cell>
        </row>
        <row r="15090">
          <cell r="E15090">
            <v>0</v>
          </cell>
          <cell r="F15090">
            <v>0</v>
          </cell>
          <cell r="DN15090">
            <v>0</v>
          </cell>
        </row>
        <row r="15091">
          <cell r="E15091">
            <v>0</v>
          </cell>
          <cell r="F15091">
            <v>0</v>
          </cell>
          <cell r="DN15091">
            <v>0</v>
          </cell>
        </row>
        <row r="15092">
          <cell r="E15092">
            <v>0</v>
          </cell>
          <cell r="F15092">
            <v>0</v>
          </cell>
          <cell r="DN15092">
            <v>0</v>
          </cell>
        </row>
        <row r="15093">
          <cell r="E15093">
            <v>0</v>
          </cell>
          <cell r="F15093">
            <v>0</v>
          </cell>
          <cell r="DN15093">
            <v>0</v>
          </cell>
        </row>
        <row r="15094">
          <cell r="E15094">
            <v>0</v>
          </cell>
          <cell r="F15094">
            <v>0</v>
          </cell>
          <cell r="DN15094">
            <v>0</v>
          </cell>
        </row>
        <row r="15095">
          <cell r="E15095">
            <v>0</v>
          </cell>
          <cell r="F15095">
            <v>0</v>
          </cell>
          <cell r="DN15095">
            <v>0</v>
          </cell>
        </row>
        <row r="15096">
          <cell r="E15096">
            <v>0</v>
          </cell>
          <cell r="F15096">
            <v>0</v>
          </cell>
          <cell r="DN15096">
            <v>0</v>
          </cell>
        </row>
        <row r="15097">
          <cell r="E15097">
            <v>0</v>
          </cell>
          <cell r="F15097">
            <v>0</v>
          </cell>
          <cell r="DN15097">
            <v>0</v>
          </cell>
        </row>
        <row r="15098">
          <cell r="E15098">
            <v>0</v>
          </cell>
          <cell r="F15098">
            <v>0</v>
          </cell>
          <cell r="DN15098">
            <v>0</v>
          </cell>
        </row>
        <row r="15099">
          <cell r="E15099">
            <v>0</v>
          </cell>
          <cell r="F15099">
            <v>0</v>
          </cell>
          <cell r="DN15099">
            <v>0</v>
          </cell>
        </row>
        <row r="15100">
          <cell r="E15100">
            <v>0</v>
          </cell>
          <cell r="F15100">
            <v>0</v>
          </cell>
          <cell r="DN15100">
            <v>0</v>
          </cell>
        </row>
        <row r="15101">
          <cell r="E15101">
            <v>0</v>
          </cell>
          <cell r="F15101">
            <v>0</v>
          </cell>
          <cell r="DN15101">
            <v>0</v>
          </cell>
        </row>
        <row r="15102">
          <cell r="E15102">
            <v>0</v>
          </cell>
          <cell r="F15102">
            <v>0</v>
          </cell>
          <cell r="DN15102">
            <v>0</v>
          </cell>
        </row>
        <row r="15103">
          <cell r="E15103">
            <v>0</v>
          </cell>
          <cell r="F15103">
            <v>0</v>
          </cell>
          <cell r="DN15103">
            <v>0</v>
          </cell>
        </row>
        <row r="15104">
          <cell r="E15104">
            <v>0</v>
          </cell>
          <cell r="F15104">
            <v>0</v>
          </cell>
          <cell r="DN15104">
            <v>0</v>
          </cell>
        </row>
        <row r="15105">
          <cell r="E15105">
            <v>0</v>
          </cell>
          <cell r="F15105">
            <v>0</v>
          </cell>
          <cell r="DN15105">
            <v>0</v>
          </cell>
        </row>
        <row r="15106">
          <cell r="E15106">
            <v>0</v>
          </cell>
          <cell r="F15106">
            <v>0</v>
          </cell>
          <cell r="DN15106">
            <v>0</v>
          </cell>
        </row>
        <row r="15107">
          <cell r="E15107">
            <v>0</v>
          </cell>
          <cell r="F15107">
            <v>0</v>
          </cell>
          <cell r="DN15107">
            <v>0</v>
          </cell>
        </row>
        <row r="15108">
          <cell r="E15108">
            <v>0</v>
          </cell>
          <cell r="F15108">
            <v>0</v>
          </cell>
          <cell r="DN15108">
            <v>0</v>
          </cell>
        </row>
        <row r="15109">
          <cell r="E15109">
            <v>0</v>
          </cell>
          <cell r="F15109">
            <v>0</v>
          </cell>
          <cell r="DN15109">
            <v>0</v>
          </cell>
        </row>
        <row r="15110">
          <cell r="E15110">
            <v>0</v>
          </cell>
          <cell r="F15110">
            <v>0</v>
          </cell>
          <cell r="DN15110">
            <v>0</v>
          </cell>
        </row>
        <row r="15111">
          <cell r="E15111">
            <v>0</v>
          </cell>
          <cell r="F15111">
            <v>0</v>
          </cell>
          <cell r="DN15111">
            <v>0</v>
          </cell>
        </row>
        <row r="15112">
          <cell r="E15112">
            <v>0</v>
          </cell>
          <cell r="F15112">
            <v>0</v>
          </cell>
          <cell r="DN15112">
            <v>0</v>
          </cell>
        </row>
        <row r="15113">
          <cell r="E15113">
            <v>0</v>
          </cell>
          <cell r="F15113">
            <v>0</v>
          </cell>
          <cell r="DN15113">
            <v>0</v>
          </cell>
        </row>
        <row r="15114">
          <cell r="E15114">
            <v>0</v>
          </cell>
          <cell r="F15114">
            <v>0</v>
          </cell>
          <cell r="DN15114">
            <v>0</v>
          </cell>
        </row>
        <row r="15115">
          <cell r="E15115">
            <v>0</v>
          </cell>
          <cell r="F15115">
            <v>0</v>
          </cell>
          <cell r="DN15115">
            <v>0</v>
          </cell>
        </row>
        <row r="15116">
          <cell r="E15116">
            <v>0</v>
          </cell>
          <cell r="F15116">
            <v>0</v>
          </cell>
          <cell r="DN15116">
            <v>0</v>
          </cell>
        </row>
        <row r="15117">
          <cell r="E15117">
            <v>0</v>
          </cell>
          <cell r="F15117">
            <v>0</v>
          </cell>
          <cell r="DN15117">
            <v>0</v>
          </cell>
        </row>
        <row r="15118">
          <cell r="E15118">
            <v>0</v>
          </cell>
          <cell r="F15118">
            <v>0</v>
          </cell>
          <cell r="DN15118">
            <v>0</v>
          </cell>
        </row>
        <row r="15119">
          <cell r="E15119">
            <v>0</v>
          </cell>
          <cell r="F15119">
            <v>0</v>
          </cell>
          <cell r="DN15119">
            <v>0</v>
          </cell>
        </row>
        <row r="15120">
          <cell r="E15120">
            <v>0</v>
          </cell>
          <cell r="F15120">
            <v>0</v>
          </cell>
          <cell r="DN15120">
            <v>0</v>
          </cell>
        </row>
        <row r="15121">
          <cell r="E15121">
            <v>0</v>
          </cell>
          <cell r="F15121">
            <v>0</v>
          </cell>
          <cell r="DN15121">
            <v>0</v>
          </cell>
        </row>
        <row r="15122">
          <cell r="E15122">
            <v>0</v>
          </cell>
          <cell r="F15122">
            <v>0</v>
          </cell>
          <cell r="DN15122">
            <v>0</v>
          </cell>
        </row>
        <row r="15123">
          <cell r="E15123">
            <v>0</v>
          </cell>
          <cell r="F15123">
            <v>0</v>
          </cell>
          <cell r="DN15123">
            <v>0</v>
          </cell>
        </row>
        <row r="15124">
          <cell r="E15124">
            <v>0</v>
          </cell>
          <cell r="F15124">
            <v>0</v>
          </cell>
          <cell r="DN15124">
            <v>0</v>
          </cell>
        </row>
        <row r="15125">
          <cell r="E15125">
            <v>0</v>
          </cell>
          <cell r="F15125">
            <v>0</v>
          </cell>
          <cell r="DN15125">
            <v>0</v>
          </cell>
        </row>
        <row r="15126">
          <cell r="E15126">
            <v>0</v>
          </cell>
          <cell r="F15126">
            <v>0</v>
          </cell>
          <cell r="DN15126">
            <v>0</v>
          </cell>
        </row>
        <row r="15127">
          <cell r="E15127">
            <v>0</v>
          </cell>
          <cell r="F15127">
            <v>0</v>
          </cell>
          <cell r="DN15127">
            <v>0</v>
          </cell>
        </row>
        <row r="15128">
          <cell r="E15128">
            <v>0</v>
          </cell>
          <cell r="F15128">
            <v>0</v>
          </cell>
          <cell r="DN15128">
            <v>0</v>
          </cell>
        </row>
        <row r="15129">
          <cell r="E15129">
            <v>0</v>
          </cell>
          <cell r="F15129">
            <v>0</v>
          </cell>
          <cell r="DN15129">
            <v>0</v>
          </cell>
        </row>
        <row r="15130">
          <cell r="E15130">
            <v>0</v>
          </cell>
          <cell r="F15130">
            <v>0</v>
          </cell>
          <cell r="DN15130">
            <v>0</v>
          </cell>
        </row>
        <row r="15131">
          <cell r="E15131">
            <v>0</v>
          </cell>
          <cell r="F15131">
            <v>0</v>
          </cell>
          <cell r="DN15131">
            <v>0</v>
          </cell>
        </row>
        <row r="15132">
          <cell r="E15132">
            <v>0</v>
          </cell>
          <cell r="F15132">
            <v>0</v>
          </cell>
          <cell r="DN15132">
            <v>0</v>
          </cell>
        </row>
        <row r="15133">
          <cell r="E15133">
            <v>0</v>
          </cell>
          <cell r="F15133">
            <v>0</v>
          </cell>
          <cell r="DN15133">
            <v>0</v>
          </cell>
        </row>
        <row r="15134">
          <cell r="E15134">
            <v>0</v>
          </cell>
          <cell r="F15134">
            <v>0</v>
          </cell>
          <cell r="DN15134">
            <v>0</v>
          </cell>
        </row>
        <row r="15135">
          <cell r="E15135">
            <v>0</v>
          </cell>
          <cell r="F15135">
            <v>0</v>
          </cell>
          <cell r="DN15135">
            <v>0</v>
          </cell>
        </row>
        <row r="15136">
          <cell r="E15136">
            <v>0</v>
          </cell>
          <cell r="F15136">
            <v>0</v>
          </cell>
          <cell r="DN15136">
            <v>0</v>
          </cell>
        </row>
        <row r="15137">
          <cell r="E15137">
            <v>0</v>
          </cell>
          <cell r="F15137">
            <v>0</v>
          </cell>
          <cell r="DN15137">
            <v>0</v>
          </cell>
        </row>
        <row r="15138">
          <cell r="E15138">
            <v>0</v>
          </cell>
          <cell r="F15138">
            <v>0</v>
          </cell>
          <cell r="DN15138">
            <v>0</v>
          </cell>
        </row>
        <row r="15139">
          <cell r="E15139">
            <v>0</v>
          </cell>
          <cell r="F15139">
            <v>0</v>
          </cell>
          <cell r="DN15139">
            <v>0</v>
          </cell>
        </row>
        <row r="15140">
          <cell r="E15140">
            <v>0</v>
          </cell>
          <cell r="F15140">
            <v>0</v>
          </cell>
          <cell r="DN15140">
            <v>0</v>
          </cell>
        </row>
        <row r="15141">
          <cell r="E15141">
            <v>0</v>
          </cell>
          <cell r="F15141">
            <v>0</v>
          </cell>
          <cell r="DN15141">
            <v>0</v>
          </cell>
        </row>
        <row r="15142">
          <cell r="E15142">
            <v>0</v>
          </cell>
          <cell r="F15142">
            <v>0</v>
          </cell>
          <cell r="DN15142">
            <v>0</v>
          </cell>
        </row>
        <row r="15143">
          <cell r="E15143">
            <v>0</v>
          </cell>
          <cell r="F15143">
            <v>0</v>
          </cell>
          <cell r="DN15143">
            <v>0</v>
          </cell>
        </row>
        <row r="15144">
          <cell r="E15144">
            <v>0</v>
          </cell>
          <cell r="F15144">
            <v>0</v>
          </cell>
          <cell r="DN15144">
            <v>0</v>
          </cell>
        </row>
        <row r="15145">
          <cell r="E15145">
            <v>0</v>
          </cell>
          <cell r="F15145">
            <v>0</v>
          </cell>
          <cell r="DN15145">
            <v>0</v>
          </cell>
        </row>
        <row r="15146">
          <cell r="E15146">
            <v>0</v>
          </cell>
          <cell r="F15146">
            <v>0</v>
          </cell>
          <cell r="DN15146">
            <v>0</v>
          </cell>
        </row>
        <row r="15147">
          <cell r="E15147">
            <v>0</v>
          </cell>
          <cell r="F15147">
            <v>0</v>
          </cell>
          <cell r="DN15147">
            <v>0</v>
          </cell>
        </row>
        <row r="15148">
          <cell r="E15148">
            <v>0</v>
          </cell>
          <cell r="F15148">
            <v>0</v>
          </cell>
          <cell r="DN15148">
            <v>0</v>
          </cell>
        </row>
        <row r="15149">
          <cell r="E15149">
            <v>0</v>
          </cell>
          <cell r="F15149">
            <v>0</v>
          </cell>
          <cell r="DN15149">
            <v>0</v>
          </cell>
        </row>
        <row r="15150">
          <cell r="E15150">
            <v>0</v>
          </cell>
          <cell r="F15150">
            <v>0</v>
          </cell>
          <cell r="DN15150">
            <v>0</v>
          </cell>
        </row>
        <row r="15151">
          <cell r="E15151">
            <v>0</v>
          </cell>
          <cell r="F15151">
            <v>0</v>
          </cell>
          <cell r="DN15151">
            <v>0</v>
          </cell>
        </row>
        <row r="15152">
          <cell r="E15152">
            <v>0</v>
          </cell>
          <cell r="F15152">
            <v>0</v>
          </cell>
          <cell r="DN15152">
            <v>0</v>
          </cell>
        </row>
        <row r="15153">
          <cell r="E15153">
            <v>0</v>
          </cell>
          <cell r="F15153">
            <v>0</v>
          </cell>
          <cell r="DN15153">
            <v>0</v>
          </cell>
        </row>
        <row r="15154">
          <cell r="E15154">
            <v>0</v>
          </cell>
          <cell r="F15154">
            <v>0</v>
          </cell>
          <cell r="DN15154">
            <v>0</v>
          </cell>
        </row>
        <row r="15155">
          <cell r="E15155">
            <v>0</v>
          </cell>
          <cell r="F15155">
            <v>0</v>
          </cell>
          <cell r="DN15155">
            <v>0</v>
          </cell>
        </row>
        <row r="15156">
          <cell r="E15156">
            <v>0</v>
          </cell>
          <cell r="F15156">
            <v>0</v>
          </cell>
          <cell r="DN15156">
            <v>0</v>
          </cell>
        </row>
        <row r="15157">
          <cell r="E15157">
            <v>0</v>
          </cell>
          <cell r="F15157">
            <v>0</v>
          </cell>
          <cell r="DN15157">
            <v>0</v>
          </cell>
        </row>
        <row r="15158">
          <cell r="E15158">
            <v>0</v>
          </cell>
          <cell r="F15158">
            <v>0</v>
          </cell>
          <cell r="DN15158">
            <v>0</v>
          </cell>
        </row>
        <row r="15159">
          <cell r="E15159">
            <v>0</v>
          </cell>
          <cell r="F15159">
            <v>0</v>
          </cell>
          <cell r="DN15159">
            <v>0</v>
          </cell>
        </row>
        <row r="15160">
          <cell r="E15160">
            <v>0</v>
          </cell>
          <cell r="F15160">
            <v>0</v>
          </cell>
          <cell r="DN15160">
            <v>0</v>
          </cell>
        </row>
        <row r="15161">
          <cell r="E15161">
            <v>0</v>
          </cell>
          <cell r="F15161">
            <v>0</v>
          </cell>
          <cell r="DN15161">
            <v>0</v>
          </cell>
        </row>
        <row r="15162">
          <cell r="E15162">
            <v>0</v>
          </cell>
          <cell r="F15162">
            <v>0</v>
          </cell>
          <cell r="DN15162">
            <v>0</v>
          </cell>
        </row>
        <row r="15163">
          <cell r="E15163">
            <v>0</v>
          </cell>
          <cell r="F15163">
            <v>0</v>
          </cell>
          <cell r="DN15163">
            <v>0</v>
          </cell>
        </row>
        <row r="15164">
          <cell r="E15164">
            <v>0</v>
          </cell>
          <cell r="F15164">
            <v>0</v>
          </cell>
          <cell r="DN15164">
            <v>0</v>
          </cell>
        </row>
        <row r="15165">
          <cell r="E15165">
            <v>0</v>
          </cell>
          <cell r="F15165">
            <v>0</v>
          </cell>
          <cell r="DN15165">
            <v>0</v>
          </cell>
        </row>
        <row r="15166">
          <cell r="E15166">
            <v>0</v>
          </cell>
          <cell r="F15166">
            <v>0</v>
          </cell>
          <cell r="DN15166">
            <v>0</v>
          </cell>
        </row>
        <row r="15167">
          <cell r="E15167">
            <v>0</v>
          </cell>
          <cell r="F15167">
            <v>0</v>
          </cell>
          <cell r="DN15167">
            <v>0</v>
          </cell>
        </row>
        <row r="15168">
          <cell r="E15168">
            <v>0</v>
          </cell>
          <cell r="F15168">
            <v>0</v>
          </cell>
          <cell r="DN15168">
            <v>0</v>
          </cell>
        </row>
        <row r="15169">
          <cell r="E15169">
            <v>0</v>
          </cell>
          <cell r="F15169">
            <v>0</v>
          </cell>
          <cell r="DN15169">
            <v>0</v>
          </cell>
        </row>
        <row r="15170">
          <cell r="E15170">
            <v>0</v>
          </cell>
          <cell r="F15170">
            <v>0</v>
          </cell>
          <cell r="DN15170">
            <v>0</v>
          </cell>
        </row>
        <row r="15171">
          <cell r="E15171">
            <v>0</v>
          </cell>
          <cell r="F15171">
            <v>0</v>
          </cell>
          <cell r="DN15171">
            <v>0</v>
          </cell>
        </row>
        <row r="15172">
          <cell r="E15172">
            <v>0</v>
          </cell>
          <cell r="F15172">
            <v>0</v>
          </cell>
          <cell r="DN15172">
            <v>0</v>
          </cell>
        </row>
        <row r="15173">
          <cell r="E15173">
            <v>0</v>
          </cell>
          <cell r="F15173">
            <v>0</v>
          </cell>
          <cell r="DN15173">
            <v>0</v>
          </cell>
        </row>
        <row r="15174">
          <cell r="E15174">
            <v>0</v>
          </cell>
          <cell r="F15174">
            <v>0</v>
          </cell>
          <cell r="DN15174">
            <v>0</v>
          </cell>
        </row>
        <row r="15175">
          <cell r="E15175">
            <v>0</v>
          </cell>
          <cell r="F15175">
            <v>0</v>
          </cell>
          <cell r="DN15175">
            <v>0</v>
          </cell>
        </row>
        <row r="15176">
          <cell r="E15176">
            <v>0</v>
          </cell>
          <cell r="F15176">
            <v>0</v>
          </cell>
          <cell r="DN15176">
            <v>0</v>
          </cell>
        </row>
        <row r="15177">
          <cell r="E15177">
            <v>0</v>
          </cell>
          <cell r="F15177">
            <v>0</v>
          </cell>
          <cell r="DN15177">
            <v>0</v>
          </cell>
        </row>
        <row r="15178">
          <cell r="E15178">
            <v>0</v>
          </cell>
          <cell r="F15178">
            <v>0</v>
          </cell>
          <cell r="DN15178">
            <v>0</v>
          </cell>
        </row>
        <row r="15179">
          <cell r="E15179">
            <v>0</v>
          </cell>
          <cell r="F15179">
            <v>0</v>
          </cell>
          <cell r="DN15179">
            <v>0</v>
          </cell>
        </row>
        <row r="15180">
          <cell r="E15180">
            <v>0</v>
          </cell>
          <cell r="F15180">
            <v>0</v>
          </cell>
          <cell r="DN15180">
            <v>0</v>
          </cell>
        </row>
        <row r="15181">
          <cell r="E15181">
            <v>0</v>
          </cell>
          <cell r="F15181">
            <v>0</v>
          </cell>
          <cell r="DN15181">
            <v>0</v>
          </cell>
        </row>
        <row r="15182">
          <cell r="E15182">
            <v>0</v>
          </cell>
          <cell r="F15182">
            <v>0</v>
          </cell>
          <cell r="DN15182">
            <v>0</v>
          </cell>
        </row>
        <row r="15183">
          <cell r="E15183">
            <v>0</v>
          </cell>
          <cell r="F15183">
            <v>0</v>
          </cell>
          <cell r="DN15183">
            <v>0</v>
          </cell>
        </row>
        <row r="15184">
          <cell r="E15184">
            <v>0</v>
          </cell>
          <cell r="F15184">
            <v>0</v>
          </cell>
          <cell r="DN15184">
            <v>0</v>
          </cell>
        </row>
        <row r="15185">
          <cell r="E15185">
            <v>0</v>
          </cell>
          <cell r="F15185">
            <v>0</v>
          </cell>
          <cell r="DN15185">
            <v>0</v>
          </cell>
        </row>
        <row r="15186">
          <cell r="E15186">
            <v>0</v>
          </cell>
          <cell r="F15186">
            <v>0</v>
          </cell>
          <cell r="DN15186">
            <v>0</v>
          </cell>
        </row>
        <row r="15187">
          <cell r="E15187">
            <v>0</v>
          </cell>
          <cell r="F15187">
            <v>0</v>
          </cell>
          <cell r="DN15187">
            <v>0</v>
          </cell>
        </row>
        <row r="15188">
          <cell r="E15188">
            <v>0</v>
          </cell>
          <cell r="F15188">
            <v>0</v>
          </cell>
          <cell r="DN15188">
            <v>0</v>
          </cell>
        </row>
        <row r="15189">
          <cell r="E15189">
            <v>0</v>
          </cell>
          <cell r="F15189">
            <v>0</v>
          </cell>
          <cell r="DN15189">
            <v>0</v>
          </cell>
        </row>
        <row r="15190">
          <cell r="E15190">
            <v>0</v>
          </cell>
          <cell r="F15190">
            <v>0</v>
          </cell>
          <cell r="DN15190">
            <v>0</v>
          </cell>
        </row>
        <row r="15191">
          <cell r="E15191">
            <v>0</v>
          </cell>
          <cell r="F15191">
            <v>0</v>
          </cell>
          <cell r="DN15191">
            <v>0</v>
          </cell>
        </row>
        <row r="15192">
          <cell r="E15192">
            <v>0</v>
          </cell>
          <cell r="F15192">
            <v>0</v>
          </cell>
          <cell r="DN15192">
            <v>0</v>
          </cell>
        </row>
        <row r="15193">
          <cell r="E15193">
            <v>0</v>
          </cell>
          <cell r="F15193">
            <v>0</v>
          </cell>
          <cell r="DN15193">
            <v>0</v>
          </cell>
        </row>
        <row r="15194">
          <cell r="E15194">
            <v>0</v>
          </cell>
          <cell r="F15194">
            <v>0</v>
          </cell>
          <cell r="DN15194">
            <v>0</v>
          </cell>
        </row>
        <row r="15195">
          <cell r="E15195">
            <v>0</v>
          </cell>
          <cell r="F15195">
            <v>0</v>
          </cell>
          <cell r="DN15195">
            <v>0</v>
          </cell>
        </row>
        <row r="15196">
          <cell r="E15196">
            <v>0</v>
          </cell>
          <cell r="F15196">
            <v>0</v>
          </cell>
          <cell r="DN15196">
            <v>0</v>
          </cell>
        </row>
        <row r="15197">
          <cell r="E15197">
            <v>0</v>
          </cell>
          <cell r="F15197">
            <v>0</v>
          </cell>
          <cell r="DN15197">
            <v>0</v>
          </cell>
        </row>
        <row r="15198">
          <cell r="E15198">
            <v>0</v>
          </cell>
          <cell r="F15198">
            <v>0</v>
          </cell>
          <cell r="DN15198">
            <v>0</v>
          </cell>
        </row>
        <row r="15199">
          <cell r="E15199">
            <v>0</v>
          </cell>
          <cell r="F15199">
            <v>0</v>
          </cell>
          <cell r="DN15199">
            <v>0</v>
          </cell>
        </row>
        <row r="15200">
          <cell r="E15200">
            <v>0</v>
          </cell>
          <cell r="F15200">
            <v>0</v>
          </cell>
          <cell r="DN15200">
            <v>0</v>
          </cell>
        </row>
        <row r="15201">
          <cell r="E15201">
            <v>0</v>
          </cell>
          <cell r="F15201">
            <v>0</v>
          </cell>
          <cell r="DN15201">
            <v>0</v>
          </cell>
        </row>
        <row r="15202">
          <cell r="E15202">
            <v>0</v>
          </cell>
          <cell r="F15202">
            <v>0</v>
          </cell>
          <cell r="DN15202">
            <v>0</v>
          </cell>
        </row>
        <row r="15203">
          <cell r="E15203">
            <v>0</v>
          </cell>
          <cell r="F15203">
            <v>0</v>
          </cell>
          <cell r="DN15203">
            <v>0</v>
          </cell>
        </row>
        <row r="15204">
          <cell r="E15204">
            <v>0</v>
          </cell>
          <cell r="F15204">
            <v>0</v>
          </cell>
          <cell r="DN15204">
            <v>0</v>
          </cell>
        </row>
        <row r="15205">
          <cell r="E15205">
            <v>0</v>
          </cell>
          <cell r="F15205">
            <v>0</v>
          </cell>
          <cell r="DN15205">
            <v>0</v>
          </cell>
        </row>
        <row r="15206">
          <cell r="E15206">
            <v>0</v>
          </cell>
          <cell r="F15206">
            <v>0</v>
          </cell>
          <cell r="DN15206">
            <v>0</v>
          </cell>
        </row>
        <row r="15207">
          <cell r="E15207">
            <v>0</v>
          </cell>
          <cell r="F15207">
            <v>0</v>
          </cell>
          <cell r="DN15207">
            <v>0</v>
          </cell>
        </row>
        <row r="15208">
          <cell r="E15208">
            <v>0</v>
          </cell>
          <cell r="F15208">
            <v>0</v>
          </cell>
          <cell r="DN15208">
            <v>0</v>
          </cell>
        </row>
        <row r="15209">
          <cell r="E15209">
            <v>0</v>
          </cell>
          <cell r="F15209">
            <v>0</v>
          </cell>
          <cell r="DN15209">
            <v>0</v>
          </cell>
        </row>
        <row r="15210">
          <cell r="E15210">
            <v>0</v>
          </cell>
          <cell r="F15210">
            <v>0</v>
          </cell>
          <cell r="DN15210">
            <v>0</v>
          </cell>
        </row>
        <row r="15211">
          <cell r="E15211">
            <v>0</v>
          </cell>
          <cell r="F15211">
            <v>0</v>
          </cell>
          <cell r="DN15211">
            <v>0</v>
          </cell>
        </row>
        <row r="15212">
          <cell r="E15212">
            <v>0</v>
          </cell>
          <cell r="F15212">
            <v>0</v>
          </cell>
          <cell r="DN15212">
            <v>0</v>
          </cell>
        </row>
        <row r="15213">
          <cell r="E15213">
            <v>0</v>
          </cell>
          <cell r="F15213">
            <v>0</v>
          </cell>
          <cell r="DN15213">
            <v>0</v>
          </cell>
        </row>
        <row r="15214">
          <cell r="E15214">
            <v>0</v>
          </cell>
          <cell r="F15214">
            <v>0</v>
          </cell>
          <cell r="DN15214">
            <v>0</v>
          </cell>
        </row>
        <row r="15215">
          <cell r="E15215">
            <v>0</v>
          </cell>
          <cell r="F15215">
            <v>0</v>
          </cell>
          <cell r="DN15215">
            <v>0</v>
          </cell>
        </row>
        <row r="15216">
          <cell r="E15216">
            <v>0</v>
          </cell>
          <cell r="F15216">
            <v>0</v>
          </cell>
          <cell r="DN15216">
            <v>0</v>
          </cell>
        </row>
        <row r="15217">
          <cell r="E15217">
            <v>0</v>
          </cell>
          <cell r="F15217">
            <v>0</v>
          </cell>
          <cell r="DN15217">
            <v>0</v>
          </cell>
        </row>
        <row r="15218">
          <cell r="E15218">
            <v>0</v>
          </cell>
          <cell r="F15218">
            <v>0</v>
          </cell>
          <cell r="DN15218">
            <v>0</v>
          </cell>
        </row>
        <row r="15219">
          <cell r="E15219">
            <v>0</v>
          </cell>
          <cell r="F15219">
            <v>0</v>
          </cell>
          <cell r="DN15219">
            <v>0</v>
          </cell>
        </row>
        <row r="15220">
          <cell r="E15220">
            <v>0</v>
          </cell>
          <cell r="F15220">
            <v>0</v>
          </cell>
          <cell r="DN15220">
            <v>0</v>
          </cell>
        </row>
        <row r="15221">
          <cell r="E15221">
            <v>0</v>
          </cell>
          <cell r="F15221">
            <v>0</v>
          </cell>
          <cell r="DN15221">
            <v>0</v>
          </cell>
        </row>
        <row r="15222">
          <cell r="E15222">
            <v>0</v>
          </cell>
          <cell r="F15222">
            <v>0</v>
          </cell>
          <cell r="DN15222">
            <v>0</v>
          </cell>
        </row>
        <row r="15223">
          <cell r="E15223">
            <v>0</v>
          </cell>
          <cell r="F15223">
            <v>0</v>
          </cell>
          <cell r="DN15223">
            <v>0</v>
          </cell>
        </row>
        <row r="15224">
          <cell r="E15224">
            <v>0</v>
          </cell>
          <cell r="F15224">
            <v>0</v>
          </cell>
          <cell r="DN15224">
            <v>0</v>
          </cell>
        </row>
        <row r="15225">
          <cell r="E15225">
            <v>0</v>
          </cell>
          <cell r="F15225">
            <v>0</v>
          </cell>
          <cell r="DN15225">
            <v>0</v>
          </cell>
        </row>
        <row r="15226">
          <cell r="E15226">
            <v>0</v>
          </cell>
          <cell r="F15226">
            <v>0</v>
          </cell>
          <cell r="DN15226">
            <v>0</v>
          </cell>
        </row>
        <row r="15227">
          <cell r="E15227">
            <v>0</v>
          </cell>
          <cell r="F15227">
            <v>0</v>
          </cell>
          <cell r="DN15227">
            <v>0</v>
          </cell>
        </row>
        <row r="15228">
          <cell r="E15228">
            <v>0</v>
          </cell>
          <cell r="F15228">
            <v>0</v>
          </cell>
          <cell r="DN15228">
            <v>0</v>
          </cell>
        </row>
        <row r="15229">
          <cell r="E15229">
            <v>0</v>
          </cell>
          <cell r="F15229">
            <v>0</v>
          </cell>
          <cell r="DN15229">
            <v>0</v>
          </cell>
        </row>
        <row r="15230">
          <cell r="E15230">
            <v>0</v>
          </cell>
          <cell r="F15230">
            <v>0</v>
          </cell>
          <cell r="DN15230">
            <v>0</v>
          </cell>
        </row>
        <row r="15231">
          <cell r="E15231">
            <v>0</v>
          </cell>
          <cell r="F15231">
            <v>0</v>
          </cell>
          <cell r="DN15231">
            <v>0</v>
          </cell>
        </row>
        <row r="15232">
          <cell r="E15232">
            <v>0</v>
          </cell>
          <cell r="F15232">
            <v>0</v>
          </cell>
          <cell r="DN15232">
            <v>0</v>
          </cell>
        </row>
        <row r="15233">
          <cell r="E15233">
            <v>0</v>
          </cell>
          <cell r="F15233">
            <v>0</v>
          </cell>
          <cell r="DN15233">
            <v>0</v>
          </cell>
        </row>
        <row r="15234">
          <cell r="E15234">
            <v>0</v>
          </cell>
          <cell r="F15234">
            <v>0</v>
          </cell>
          <cell r="DN15234">
            <v>0</v>
          </cell>
        </row>
        <row r="15235">
          <cell r="E15235">
            <v>0</v>
          </cell>
          <cell r="F15235">
            <v>0</v>
          </cell>
          <cell r="DN15235">
            <v>0</v>
          </cell>
        </row>
        <row r="15236">
          <cell r="E15236">
            <v>0</v>
          </cell>
          <cell r="F15236">
            <v>0</v>
          </cell>
          <cell r="DN15236">
            <v>0</v>
          </cell>
        </row>
        <row r="15237">
          <cell r="E15237">
            <v>0</v>
          </cell>
          <cell r="F15237">
            <v>0</v>
          </cell>
          <cell r="DN15237">
            <v>0</v>
          </cell>
        </row>
        <row r="15238">
          <cell r="E15238">
            <v>0</v>
          </cell>
          <cell r="F15238">
            <v>0</v>
          </cell>
          <cell r="DN15238">
            <v>0</v>
          </cell>
        </row>
        <row r="15239">
          <cell r="E15239">
            <v>0</v>
          </cell>
          <cell r="F15239">
            <v>0</v>
          </cell>
          <cell r="DN15239">
            <v>0</v>
          </cell>
        </row>
        <row r="15240">
          <cell r="E15240">
            <v>0</v>
          </cell>
          <cell r="F15240">
            <v>0</v>
          </cell>
          <cell r="DN15240">
            <v>0</v>
          </cell>
        </row>
        <row r="15241">
          <cell r="E15241">
            <v>0</v>
          </cell>
          <cell r="F15241">
            <v>0</v>
          </cell>
          <cell r="DN15241">
            <v>0</v>
          </cell>
        </row>
        <row r="15242">
          <cell r="E15242">
            <v>0</v>
          </cell>
          <cell r="F15242">
            <v>0</v>
          </cell>
          <cell r="DN15242">
            <v>0</v>
          </cell>
        </row>
        <row r="15243">
          <cell r="E15243">
            <v>0</v>
          </cell>
          <cell r="F15243">
            <v>0</v>
          </cell>
          <cell r="DN15243">
            <v>0</v>
          </cell>
        </row>
        <row r="15244">
          <cell r="E15244">
            <v>0</v>
          </cell>
          <cell r="F15244">
            <v>0</v>
          </cell>
          <cell r="DN15244">
            <v>0</v>
          </cell>
        </row>
        <row r="15245">
          <cell r="E15245">
            <v>0</v>
          </cell>
          <cell r="F15245">
            <v>0</v>
          </cell>
          <cell r="DN15245">
            <v>0</v>
          </cell>
        </row>
        <row r="15246">
          <cell r="E15246">
            <v>0</v>
          </cell>
          <cell r="F15246">
            <v>0</v>
          </cell>
          <cell r="DN15246">
            <v>0</v>
          </cell>
        </row>
        <row r="15247">
          <cell r="E15247">
            <v>0</v>
          </cell>
          <cell r="F15247">
            <v>0</v>
          </cell>
          <cell r="DN15247">
            <v>0</v>
          </cell>
        </row>
        <row r="15248">
          <cell r="E15248">
            <v>0</v>
          </cell>
          <cell r="F15248">
            <v>0</v>
          </cell>
          <cell r="DN15248">
            <v>0</v>
          </cell>
        </row>
        <row r="15249">
          <cell r="E15249">
            <v>0</v>
          </cell>
          <cell r="F15249">
            <v>0</v>
          </cell>
          <cell r="DN15249">
            <v>0</v>
          </cell>
        </row>
        <row r="15250">
          <cell r="E15250">
            <v>0</v>
          </cell>
          <cell r="F15250">
            <v>0</v>
          </cell>
          <cell r="DN15250">
            <v>0</v>
          </cell>
        </row>
        <row r="15251">
          <cell r="E15251">
            <v>0</v>
          </cell>
          <cell r="F15251">
            <v>0</v>
          </cell>
          <cell r="DN15251">
            <v>0</v>
          </cell>
        </row>
        <row r="15252">
          <cell r="E15252">
            <v>0</v>
          </cell>
          <cell r="F15252">
            <v>0</v>
          </cell>
          <cell r="DN15252">
            <v>0</v>
          </cell>
        </row>
        <row r="15253">
          <cell r="E15253">
            <v>0</v>
          </cell>
          <cell r="F15253">
            <v>0</v>
          </cell>
          <cell r="DN15253">
            <v>0</v>
          </cell>
        </row>
        <row r="15254">
          <cell r="E15254">
            <v>0</v>
          </cell>
          <cell r="F15254">
            <v>0</v>
          </cell>
          <cell r="DN15254">
            <v>0</v>
          </cell>
        </row>
        <row r="15255">
          <cell r="E15255">
            <v>0</v>
          </cell>
          <cell r="F15255">
            <v>0</v>
          </cell>
          <cell r="DN15255">
            <v>0</v>
          </cell>
        </row>
        <row r="15256">
          <cell r="E15256">
            <v>0</v>
          </cell>
          <cell r="F15256">
            <v>0</v>
          </cell>
          <cell r="DN15256">
            <v>0</v>
          </cell>
        </row>
        <row r="15257">
          <cell r="E15257">
            <v>0</v>
          </cell>
          <cell r="F15257">
            <v>0</v>
          </cell>
          <cell r="DN15257">
            <v>0</v>
          </cell>
        </row>
        <row r="15258">
          <cell r="E15258">
            <v>0</v>
          </cell>
          <cell r="F15258">
            <v>0</v>
          </cell>
          <cell r="DN15258">
            <v>0</v>
          </cell>
        </row>
        <row r="15259">
          <cell r="E15259">
            <v>0</v>
          </cell>
          <cell r="F15259">
            <v>0</v>
          </cell>
          <cell r="DN15259">
            <v>0</v>
          </cell>
        </row>
        <row r="15260">
          <cell r="E15260">
            <v>0</v>
          </cell>
          <cell r="F15260">
            <v>0</v>
          </cell>
          <cell r="DN15260">
            <v>0</v>
          </cell>
        </row>
        <row r="15261">
          <cell r="E15261">
            <v>0</v>
          </cell>
          <cell r="F15261">
            <v>0</v>
          </cell>
          <cell r="DN15261">
            <v>0</v>
          </cell>
        </row>
        <row r="15262">
          <cell r="E15262">
            <v>0</v>
          </cell>
          <cell r="F15262">
            <v>0</v>
          </cell>
          <cell r="DN15262">
            <v>0</v>
          </cell>
        </row>
        <row r="15263">
          <cell r="E15263">
            <v>0</v>
          </cell>
          <cell r="F15263">
            <v>0</v>
          </cell>
          <cell r="DN15263">
            <v>0</v>
          </cell>
        </row>
        <row r="15264">
          <cell r="E15264">
            <v>0</v>
          </cell>
          <cell r="F15264">
            <v>0</v>
          </cell>
          <cell r="DN15264">
            <v>0</v>
          </cell>
        </row>
        <row r="15265">
          <cell r="E15265">
            <v>0</v>
          </cell>
          <cell r="F15265">
            <v>0</v>
          </cell>
          <cell r="DN15265">
            <v>0</v>
          </cell>
        </row>
        <row r="15266">
          <cell r="E15266">
            <v>0</v>
          </cell>
          <cell r="F15266">
            <v>0</v>
          </cell>
          <cell r="DN15266">
            <v>0</v>
          </cell>
        </row>
        <row r="15267">
          <cell r="E15267">
            <v>0</v>
          </cell>
          <cell r="F15267">
            <v>0</v>
          </cell>
          <cell r="DN15267">
            <v>0</v>
          </cell>
        </row>
        <row r="15268">
          <cell r="E15268">
            <v>0</v>
          </cell>
          <cell r="F15268">
            <v>0</v>
          </cell>
          <cell r="DN15268">
            <v>0</v>
          </cell>
        </row>
        <row r="15269">
          <cell r="E15269">
            <v>0</v>
          </cell>
          <cell r="F15269">
            <v>0</v>
          </cell>
          <cell r="DN15269">
            <v>0</v>
          </cell>
        </row>
        <row r="15270">
          <cell r="E15270">
            <v>0</v>
          </cell>
          <cell r="F15270">
            <v>0</v>
          </cell>
          <cell r="DN15270">
            <v>0</v>
          </cell>
        </row>
        <row r="15271">
          <cell r="E15271">
            <v>0</v>
          </cell>
          <cell r="F15271">
            <v>0</v>
          </cell>
          <cell r="DN15271">
            <v>0</v>
          </cell>
        </row>
        <row r="15272">
          <cell r="E15272">
            <v>0</v>
          </cell>
          <cell r="F15272">
            <v>0</v>
          </cell>
          <cell r="DN15272">
            <v>0</v>
          </cell>
        </row>
        <row r="15273">
          <cell r="E15273">
            <v>0</v>
          </cell>
          <cell r="F15273">
            <v>0</v>
          </cell>
          <cell r="DN15273">
            <v>0</v>
          </cell>
        </row>
        <row r="15274">
          <cell r="E15274">
            <v>0</v>
          </cell>
          <cell r="F15274">
            <v>0</v>
          </cell>
          <cell r="DN15274">
            <v>0</v>
          </cell>
        </row>
        <row r="15275">
          <cell r="E15275">
            <v>0</v>
          </cell>
          <cell r="F15275">
            <v>0</v>
          </cell>
          <cell r="DN15275">
            <v>0</v>
          </cell>
        </row>
        <row r="15276">
          <cell r="E15276">
            <v>0</v>
          </cell>
          <cell r="F15276">
            <v>0</v>
          </cell>
          <cell r="DN15276">
            <v>0</v>
          </cell>
        </row>
        <row r="15277">
          <cell r="E15277">
            <v>0</v>
          </cell>
          <cell r="F15277">
            <v>0</v>
          </cell>
          <cell r="DN15277">
            <v>0</v>
          </cell>
        </row>
        <row r="15278">
          <cell r="E15278">
            <v>0</v>
          </cell>
          <cell r="F15278">
            <v>0</v>
          </cell>
          <cell r="DN15278">
            <v>0</v>
          </cell>
        </row>
        <row r="15279">
          <cell r="E15279">
            <v>0</v>
          </cell>
          <cell r="F15279">
            <v>0</v>
          </cell>
          <cell r="DN15279">
            <v>0</v>
          </cell>
        </row>
        <row r="15280">
          <cell r="E15280">
            <v>0</v>
          </cell>
          <cell r="F15280">
            <v>0</v>
          </cell>
          <cell r="DN15280">
            <v>0</v>
          </cell>
        </row>
        <row r="15281">
          <cell r="E15281">
            <v>0</v>
          </cell>
          <cell r="F15281">
            <v>0</v>
          </cell>
          <cell r="DN15281">
            <v>0</v>
          </cell>
        </row>
        <row r="15282">
          <cell r="E15282">
            <v>0</v>
          </cell>
          <cell r="F15282">
            <v>0</v>
          </cell>
          <cell r="DN15282">
            <v>0</v>
          </cell>
        </row>
        <row r="15283">
          <cell r="E15283">
            <v>0</v>
          </cell>
          <cell r="F15283">
            <v>0</v>
          </cell>
          <cell r="DN15283">
            <v>0</v>
          </cell>
        </row>
        <row r="15284">
          <cell r="E15284">
            <v>0</v>
          </cell>
          <cell r="F15284">
            <v>0</v>
          </cell>
          <cell r="DN15284">
            <v>0</v>
          </cell>
        </row>
        <row r="15285">
          <cell r="E15285">
            <v>0</v>
          </cell>
          <cell r="F15285">
            <v>0</v>
          </cell>
          <cell r="DN15285">
            <v>0</v>
          </cell>
        </row>
        <row r="15286">
          <cell r="E15286">
            <v>0</v>
          </cell>
          <cell r="F15286">
            <v>0</v>
          </cell>
          <cell r="DN15286">
            <v>0</v>
          </cell>
        </row>
        <row r="15287">
          <cell r="E15287">
            <v>0</v>
          </cell>
          <cell r="F15287">
            <v>0</v>
          </cell>
          <cell r="DN15287">
            <v>0</v>
          </cell>
        </row>
        <row r="15288">
          <cell r="E15288">
            <v>0</v>
          </cell>
          <cell r="F15288">
            <v>0</v>
          </cell>
          <cell r="DN15288">
            <v>0</v>
          </cell>
        </row>
        <row r="15289">
          <cell r="E15289">
            <v>0</v>
          </cell>
          <cell r="F15289">
            <v>0</v>
          </cell>
          <cell r="DN15289">
            <v>0</v>
          </cell>
        </row>
        <row r="15290">
          <cell r="E15290">
            <v>0</v>
          </cell>
          <cell r="F15290">
            <v>0</v>
          </cell>
          <cell r="DN15290">
            <v>0</v>
          </cell>
        </row>
        <row r="15291">
          <cell r="E15291">
            <v>0</v>
          </cell>
          <cell r="F15291">
            <v>0</v>
          </cell>
          <cell r="DN15291">
            <v>0</v>
          </cell>
        </row>
        <row r="15292">
          <cell r="E15292">
            <v>0</v>
          </cell>
          <cell r="F15292">
            <v>0</v>
          </cell>
          <cell r="DN15292">
            <v>0</v>
          </cell>
        </row>
        <row r="15293">
          <cell r="E15293">
            <v>0</v>
          </cell>
          <cell r="F15293">
            <v>0</v>
          </cell>
          <cell r="DN15293">
            <v>0</v>
          </cell>
        </row>
        <row r="15294">
          <cell r="E15294">
            <v>0</v>
          </cell>
          <cell r="F15294">
            <v>0</v>
          </cell>
          <cell r="DN15294">
            <v>0</v>
          </cell>
        </row>
        <row r="15295">
          <cell r="E15295">
            <v>0</v>
          </cell>
          <cell r="F15295">
            <v>0</v>
          </cell>
          <cell r="DN15295">
            <v>0</v>
          </cell>
        </row>
        <row r="15296">
          <cell r="E15296">
            <v>0</v>
          </cell>
          <cell r="F15296">
            <v>0</v>
          </cell>
          <cell r="DN15296">
            <v>0</v>
          </cell>
        </row>
        <row r="15297">
          <cell r="E15297">
            <v>0</v>
          </cell>
          <cell r="F15297">
            <v>0</v>
          </cell>
          <cell r="DN15297">
            <v>0</v>
          </cell>
        </row>
        <row r="15298">
          <cell r="E15298">
            <v>0</v>
          </cell>
          <cell r="F15298">
            <v>0</v>
          </cell>
          <cell r="DN15298">
            <v>0</v>
          </cell>
        </row>
        <row r="15299">
          <cell r="E15299">
            <v>0</v>
          </cell>
          <cell r="F15299">
            <v>0</v>
          </cell>
          <cell r="DN15299">
            <v>0</v>
          </cell>
        </row>
        <row r="15300">
          <cell r="E15300">
            <v>0</v>
          </cell>
          <cell r="F15300">
            <v>0</v>
          </cell>
          <cell r="DN15300">
            <v>0</v>
          </cell>
        </row>
        <row r="15301">
          <cell r="E15301">
            <v>0</v>
          </cell>
          <cell r="F15301">
            <v>0</v>
          </cell>
          <cell r="DN15301">
            <v>0</v>
          </cell>
        </row>
        <row r="15302">
          <cell r="E15302">
            <v>0</v>
          </cell>
          <cell r="F15302">
            <v>0</v>
          </cell>
          <cell r="DN15302">
            <v>0</v>
          </cell>
        </row>
        <row r="15303">
          <cell r="E15303">
            <v>0</v>
          </cell>
          <cell r="F15303">
            <v>0</v>
          </cell>
          <cell r="DN15303">
            <v>0</v>
          </cell>
        </row>
        <row r="15304">
          <cell r="E15304">
            <v>0</v>
          </cell>
          <cell r="F15304">
            <v>0</v>
          </cell>
          <cell r="DN15304">
            <v>0</v>
          </cell>
        </row>
        <row r="15305">
          <cell r="E15305">
            <v>0</v>
          </cell>
          <cell r="F15305">
            <v>0</v>
          </cell>
          <cell r="DN15305">
            <v>0</v>
          </cell>
        </row>
        <row r="15306">
          <cell r="E15306">
            <v>0</v>
          </cell>
          <cell r="F15306">
            <v>0</v>
          </cell>
          <cell r="DN15306">
            <v>0</v>
          </cell>
        </row>
        <row r="15307">
          <cell r="E15307">
            <v>0</v>
          </cell>
          <cell r="F15307">
            <v>0</v>
          </cell>
          <cell r="DN15307">
            <v>0</v>
          </cell>
        </row>
        <row r="15308">
          <cell r="E15308">
            <v>0</v>
          </cell>
          <cell r="F15308">
            <v>0</v>
          </cell>
          <cell r="DN15308">
            <v>0</v>
          </cell>
        </row>
        <row r="15309">
          <cell r="E15309">
            <v>0</v>
          </cell>
          <cell r="F15309">
            <v>0</v>
          </cell>
          <cell r="DN15309">
            <v>0</v>
          </cell>
        </row>
        <row r="15310">
          <cell r="E15310">
            <v>0</v>
          </cell>
          <cell r="F15310">
            <v>0</v>
          </cell>
          <cell r="DN15310">
            <v>0</v>
          </cell>
        </row>
        <row r="15311">
          <cell r="E15311">
            <v>0</v>
          </cell>
          <cell r="F15311">
            <v>0</v>
          </cell>
          <cell r="DN15311">
            <v>0</v>
          </cell>
        </row>
        <row r="15312">
          <cell r="E15312">
            <v>0</v>
          </cell>
          <cell r="F15312">
            <v>0</v>
          </cell>
          <cell r="DN15312">
            <v>0</v>
          </cell>
        </row>
        <row r="15313">
          <cell r="E15313">
            <v>0</v>
          </cell>
          <cell r="F15313">
            <v>0</v>
          </cell>
          <cell r="DN15313">
            <v>0</v>
          </cell>
        </row>
        <row r="15314">
          <cell r="E15314">
            <v>0</v>
          </cell>
          <cell r="F15314">
            <v>0</v>
          </cell>
          <cell r="DN15314">
            <v>0</v>
          </cell>
        </row>
        <row r="15315">
          <cell r="E15315">
            <v>0</v>
          </cell>
          <cell r="F15315">
            <v>0</v>
          </cell>
          <cell r="DN15315">
            <v>0</v>
          </cell>
        </row>
        <row r="15316">
          <cell r="E15316">
            <v>0</v>
          </cell>
          <cell r="F15316">
            <v>0</v>
          </cell>
          <cell r="DN15316">
            <v>0</v>
          </cell>
        </row>
        <row r="15317">
          <cell r="E15317">
            <v>0</v>
          </cell>
          <cell r="F15317">
            <v>0</v>
          </cell>
          <cell r="DN15317">
            <v>0</v>
          </cell>
        </row>
        <row r="15318">
          <cell r="E15318">
            <v>0</v>
          </cell>
          <cell r="F15318">
            <v>0</v>
          </cell>
          <cell r="DN15318">
            <v>0</v>
          </cell>
        </row>
        <row r="15319">
          <cell r="E15319">
            <v>0</v>
          </cell>
          <cell r="F15319">
            <v>0</v>
          </cell>
          <cell r="DN15319">
            <v>0</v>
          </cell>
        </row>
        <row r="15320">
          <cell r="E15320">
            <v>0</v>
          </cell>
          <cell r="F15320">
            <v>0</v>
          </cell>
          <cell r="DN15320">
            <v>0</v>
          </cell>
        </row>
        <row r="15321">
          <cell r="E15321">
            <v>0</v>
          </cell>
          <cell r="F15321">
            <v>0</v>
          </cell>
          <cell r="DN15321">
            <v>0</v>
          </cell>
        </row>
        <row r="15322">
          <cell r="E15322">
            <v>0</v>
          </cell>
          <cell r="F15322">
            <v>0</v>
          </cell>
          <cell r="DN15322">
            <v>0</v>
          </cell>
        </row>
        <row r="15323">
          <cell r="E15323">
            <v>0</v>
          </cell>
          <cell r="F15323">
            <v>0</v>
          </cell>
          <cell r="DN15323">
            <v>0</v>
          </cell>
        </row>
        <row r="15324">
          <cell r="E15324">
            <v>0</v>
          </cell>
          <cell r="F15324">
            <v>0</v>
          </cell>
          <cell r="DN15324">
            <v>0</v>
          </cell>
        </row>
        <row r="15325">
          <cell r="E15325">
            <v>0</v>
          </cell>
          <cell r="F15325">
            <v>0</v>
          </cell>
          <cell r="DN15325">
            <v>0</v>
          </cell>
        </row>
        <row r="15326">
          <cell r="E15326">
            <v>0</v>
          </cell>
          <cell r="F15326">
            <v>0</v>
          </cell>
          <cell r="DN15326">
            <v>0</v>
          </cell>
        </row>
        <row r="15327">
          <cell r="E15327">
            <v>0</v>
          </cell>
          <cell r="F15327">
            <v>0</v>
          </cell>
          <cell r="DN15327">
            <v>0</v>
          </cell>
        </row>
        <row r="15328">
          <cell r="E15328">
            <v>0</v>
          </cell>
          <cell r="F15328">
            <v>0</v>
          </cell>
          <cell r="DN15328">
            <v>0</v>
          </cell>
        </row>
        <row r="15329">
          <cell r="E15329">
            <v>0</v>
          </cell>
          <cell r="F15329">
            <v>0</v>
          </cell>
          <cell r="DN15329">
            <v>0</v>
          </cell>
        </row>
        <row r="15330">
          <cell r="E15330">
            <v>0</v>
          </cell>
          <cell r="F15330">
            <v>0</v>
          </cell>
          <cell r="DN15330">
            <v>0</v>
          </cell>
        </row>
        <row r="15331">
          <cell r="E15331">
            <v>0</v>
          </cell>
          <cell r="F15331">
            <v>0</v>
          </cell>
          <cell r="DN15331">
            <v>0</v>
          </cell>
        </row>
        <row r="15332">
          <cell r="E15332">
            <v>0</v>
          </cell>
          <cell r="F15332">
            <v>0</v>
          </cell>
          <cell r="DN15332">
            <v>0</v>
          </cell>
        </row>
        <row r="15333">
          <cell r="E15333">
            <v>0</v>
          </cell>
          <cell r="F15333">
            <v>0</v>
          </cell>
          <cell r="DN15333">
            <v>0</v>
          </cell>
        </row>
        <row r="15334">
          <cell r="E15334">
            <v>0</v>
          </cell>
          <cell r="F15334">
            <v>0</v>
          </cell>
          <cell r="DN15334">
            <v>0</v>
          </cell>
        </row>
        <row r="15335">
          <cell r="E15335">
            <v>0</v>
          </cell>
          <cell r="F15335">
            <v>0</v>
          </cell>
          <cell r="DN15335">
            <v>0</v>
          </cell>
        </row>
        <row r="15336">
          <cell r="E15336">
            <v>0</v>
          </cell>
          <cell r="F15336">
            <v>0</v>
          </cell>
          <cell r="DN15336">
            <v>0</v>
          </cell>
        </row>
        <row r="15337">
          <cell r="E15337">
            <v>0</v>
          </cell>
          <cell r="F15337">
            <v>0</v>
          </cell>
          <cell r="DN15337">
            <v>0</v>
          </cell>
        </row>
        <row r="15338">
          <cell r="E15338">
            <v>0</v>
          </cell>
          <cell r="F15338">
            <v>0</v>
          </cell>
          <cell r="DN15338">
            <v>0</v>
          </cell>
        </row>
        <row r="15339">
          <cell r="E15339">
            <v>0</v>
          </cell>
          <cell r="F15339">
            <v>0</v>
          </cell>
          <cell r="DN15339">
            <v>0</v>
          </cell>
        </row>
        <row r="15340">
          <cell r="E15340">
            <v>0</v>
          </cell>
          <cell r="F15340">
            <v>0</v>
          </cell>
          <cell r="DN15340">
            <v>0</v>
          </cell>
        </row>
        <row r="15341">
          <cell r="E15341">
            <v>0</v>
          </cell>
          <cell r="F15341">
            <v>0</v>
          </cell>
          <cell r="DN15341">
            <v>0</v>
          </cell>
        </row>
        <row r="15342">
          <cell r="E15342">
            <v>0</v>
          </cell>
          <cell r="F15342">
            <v>0</v>
          </cell>
          <cell r="DN15342">
            <v>0</v>
          </cell>
        </row>
        <row r="15343">
          <cell r="E15343">
            <v>0</v>
          </cell>
          <cell r="F15343">
            <v>0</v>
          </cell>
          <cell r="DN15343">
            <v>0</v>
          </cell>
        </row>
        <row r="15344">
          <cell r="E15344">
            <v>0</v>
          </cell>
          <cell r="F15344">
            <v>0</v>
          </cell>
          <cell r="DN15344">
            <v>0</v>
          </cell>
        </row>
        <row r="15345">
          <cell r="E15345">
            <v>0</v>
          </cell>
          <cell r="F15345">
            <v>0</v>
          </cell>
          <cell r="DN15345">
            <v>0</v>
          </cell>
        </row>
        <row r="15346">
          <cell r="E15346">
            <v>0</v>
          </cell>
          <cell r="F15346">
            <v>0</v>
          </cell>
          <cell r="DN15346">
            <v>0</v>
          </cell>
        </row>
        <row r="15347">
          <cell r="E15347">
            <v>0</v>
          </cell>
          <cell r="F15347">
            <v>0</v>
          </cell>
          <cell r="DN15347">
            <v>0</v>
          </cell>
        </row>
        <row r="15348">
          <cell r="E15348">
            <v>0</v>
          </cell>
          <cell r="F15348">
            <v>0</v>
          </cell>
          <cell r="DN15348">
            <v>0</v>
          </cell>
        </row>
        <row r="15349">
          <cell r="E15349">
            <v>0</v>
          </cell>
          <cell r="F15349">
            <v>0</v>
          </cell>
          <cell r="DN15349">
            <v>0</v>
          </cell>
        </row>
        <row r="15350">
          <cell r="E15350">
            <v>0</v>
          </cell>
          <cell r="F15350">
            <v>0</v>
          </cell>
          <cell r="DN15350">
            <v>0</v>
          </cell>
        </row>
        <row r="15351">
          <cell r="E15351">
            <v>0</v>
          </cell>
          <cell r="F15351">
            <v>0</v>
          </cell>
          <cell r="DN15351">
            <v>0</v>
          </cell>
        </row>
        <row r="15352">
          <cell r="E15352">
            <v>0</v>
          </cell>
          <cell r="F15352">
            <v>0</v>
          </cell>
          <cell r="DN15352">
            <v>0</v>
          </cell>
        </row>
        <row r="15353">
          <cell r="E15353">
            <v>0</v>
          </cell>
          <cell r="F15353">
            <v>0</v>
          </cell>
          <cell r="DN15353">
            <v>0</v>
          </cell>
        </row>
        <row r="15354">
          <cell r="E15354">
            <v>0</v>
          </cell>
          <cell r="F15354">
            <v>0</v>
          </cell>
          <cell r="DN15354">
            <v>0</v>
          </cell>
        </row>
        <row r="15355">
          <cell r="E15355">
            <v>0</v>
          </cell>
          <cell r="F15355">
            <v>0</v>
          </cell>
          <cell r="DN15355">
            <v>0</v>
          </cell>
        </row>
        <row r="15356">
          <cell r="E15356">
            <v>0</v>
          </cell>
          <cell r="F15356">
            <v>0</v>
          </cell>
          <cell r="DN15356">
            <v>0</v>
          </cell>
        </row>
        <row r="15357">
          <cell r="E15357">
            <v>0</v>
          </cell>
          <cell r="F15357">
            <v>0</v>
          </cell>
          <cell r="DN15357">
            <v>0</v>
          </cell>
        </row>
        <row r="15358">
          <cell r="E15358">
            <v>0</v>
          </cell>
          <cell r="F15358">
            <v>0</v>
          </cell>
          <cell r="DN15358">
            <v>0</v>
          </cell>
        </row>
        <row r="15359">
          <cell r="E15359">
            <v>0</v>
          </cell>
          <cell r="F15359">
            <v>0</v>
          </cell>
          <cell r="DN15359">
            <v>0</v>
          </cell>
        </row>
        <row r="15360">
          <cell r="E15360">
            <v>0</v>
          </cell>
          <cell r="F15360">
            <v>0</v>
          </cell>
          <cell r="DN15360">
            <v>0</v>
          </cell>
        </row>
        <row r="15361">
          <cell r="E15361">
            <v>0</v>
          </cell>
          <cell r="F15361">
            <v>0</v>
          </cell>
          <cell r="DN15361">
            <v>0</v>
          </cell>
        </row>
        <row r="15362">
          <cell r="E15362">
            <v>0</v>
          </cell>
          <cell r="F15362">
            <v>0</v>
          </cell>
          <cell r="DN15362">
            <v>0</v>
          </cell>
        </row>
        <row r="15363">
          <cell r="E15363">
            <v>0</v>
          </cell>
          <cell r="F15363">
            <v>0</v>
          </cell>
          <cell r="DN15363">
            <v>0</v>
          </cell>
        </row>
        <row r="15364">
          <cell r="E15364">
            <v>0</v>
          </cell>
          <cell r="F15364">
            <v>0</v>
          </cell>
          <cell r="DN15364">
            <v>0</v>
          </cell>
        </row>
        <row r="15365">
          <cell r="E15365">
            <v>0</v>
          </cell>
          <cell r="F15365">
            <v>0</v>
          </cell>
          <cell r="DN15365">
            <v>0</v>
          </cell>
        </row>
        <row r="15366">
          <cell r="E15366">
            <v>0</v>
          </cell>
          <cell r="F15366">
            <v>0</v>
          </cell>
          <cell r="DN15366">
            <v>0</v>
          </cell>
        </row>
        <row r="15367">
          <cell r="E15367">
            <v>0</v>
          </cell>
          <cell r="F15367">
            <v>0</v>
          </cell>
          <cell r="DN15367">
            <v>0</v>
          </cell>
        </row>
        <row r="15368">
          <cell r="E15368">
            <v>0</v>
          </cell>
          <cell r="F15368">
            <v>0</v>
          </cell>
          <cell r="DN15368">
            <v>0</v>
          </cell>
        </row>
        <row r="15369">
          <cell r="E15369">
            <v>0</v>
          </cell>
          <cell r="F15369">
            <v>0</v>
          </cell>
          <cell r="DN15369">
            <v>0</v>
          </cell>
        </row>
        <row r="15370">
          <cell r="E15370">
            <v>0</v>
          </cell>
          <cell r="F15370">
            <v>0</v>
          </cell>
          <cell r="DN15370">
            <v>0</v>
          </cell>
        </row>
        <row r="15371">
          <cell r="E15371">
            <v>0</v>
          </cell>
          <cell r="F15371">
            <v>0</v>
          </cell>
          <cell r="DN15371">
            <v>0</v>
          </cell>
        </row>
        <row r="15372">
          <cell r="E15372">
            <v>0</v>
          </cell>
          <cell r="F15372">
            <v>0</v>
          </cell>
          <cell r="DN15372">
            <v>0</v>
          </cell>
        </row>
        <row r="15373">
          <cell r="E15373">
            <v>0</v>
          </cell>
          <cell r="F15373">
            <v>0</v>
          </cell>
          <cell r="DN15373">
            <v>0</v>
          </cell>
        </row>
        <row r="15374">
          <cell r="E15374">
            <v>0</v>
          </cell>
          <cell r="F15374">
            <v>0</v>
          </cell>
          <cell r="DN15374">
            <v>0</v>
          </cell>
        </row>
        <row r="15375">
          <cell r="E15375">
            <v>0</v>
          </cell>
          <cell r="F15375">
            <v>0</v>
          </cell>
          <cell r="DN15375">
            <v>0</v>
          </cell>
        </row>
        <row r="15376">
          <cell r="E15376">
            <v>0</v>
          </cell>
          <cell r="F15376">
            <v>0</v>
          </cell>
          <cell r="DN15376">
            <v>0</v>
          </cell>
        </row>
        <row r="15377">
          <cell r="E15377">
            <v>0</v>
          </cell>
          <cell r="F15377">
            <v>0</v>
          </cell>
          <cell r="DN15377">
            <v>0</v>
          </cell>
        </row>
        <row r="15378">
          <cell r="E15378">
            <v>0</v>
          </cell>
          <cell r="F15378">
            <v>0</v>
          </cell>
          <cell r="DN15378">
            <v>0</v>
          </cell>
        </row>
        <row r="15379">
          <cell r="E15379">
            <v>0</v>
          </cell>
          <cell r="F15379">
            <v>0</v>
          </cell>
          <cell r="DN15379">
            <v>0</v>
          </cell>
        </row>
        <row r="15380">
          <cell r="E15380">
            <v>0</v>
          </cell>
          <cell r="F15380">
            <v>0</v>
          </cell>
          <cell r="DN15380">
            <v>0</v>
          </cell>
        </row>
        <row r="15381">
          <cell r="E15381">
            <v>0</v>
          </cell>
          <cell r="F15381">
            <v>0</v>
          </cell>
          <cell r="DN15381">
            <v>0</v>
          </cell>
        </row>
        <row r="15382">
          <cell r="E15382">
            <v>0</v>
          </cell>
          <cell r="F15382">
            <v>0</v>
          </cell>
          <cell r="DN15382">
            <v>0</v>
          </cell>
        </row>
        <row r="15383">
          <cell r="E15383">
            <v>0</v>
          </cell>
          <cell r="F15383">
            <v>0</v>
          </cell>
          <cell r="DN15383">
            <v>0</v>
          </cell>
        </row>
        <row r="15384">
          <cell r="E15384">
            <v>0</v>
          </cell>
          <cell r="F15384">
            <v>0</v>
          </cell>
          <cell r="DN15384">
            <v>0</v>
          </cell>
        </row>
        <row r="15385">
          <cell r="E15385">
            <v>0</v>
          </cell>
          <cell r="F15385">
            <v>0</v>
          </cell>
          <cell r="DN15385">
            <v>0</v>
          </cell>
        </row>
        <row r="15386">
          <cell r="E15386">
            <v>0</v>
          </cell>
          <cell r="F15386">
            <v>0</v>
          </cell>
          <cell r="DN15386">
            <v>0</v>
          </cell>
        </row>
        <row r="15387">
          <cell r="E15387">
            <v>0</v>
          </cell>
          <cell r="F15387">
            <v>0</v>
          </cell>
          <cell r="DN15387">
            <v>0</v>
          </cell>
        </row>
        <row r="15388">
          <cell r="E15388">
            <v>0</v>
          </cell>
          <cell r="F15388">
            <v>0</v>
          </cell>
          <cell r="DN15388">
            <v>0</v>
          </cell>
        </row>
        <row r="15389">
          <cell r="E15389">
            <v>0</v>
          </cell>
          <cell r="F15389">
            <v>0</v>
          </cell>
          <cell r="DN15389">
            <v>0</v>
          </cell>
        </row>
        <row r="15390">
          <cell r="E15390">
            <v>0</v>
          </cell>
          <cell r="F15390">
            <v>0</v>
          </cell>
          <cell r="DN15390">
            <v>0</v>
          </cell>
        </row>
        <row r="15391">
          <cell r="E15391">
            <v>0</v>
          </cell>
          <cell r="F15391">
            <v>0</v>
          </cell>
          <cell r="DN15391">
            <v>0</v>
          </cell>
        </row>
        <row r="15392">
          <cell r="E15392">
            <v>0</v>
          </cell>
          <cell r="F15392">
            <v>0</v>
          </cell>
          <cell r="DN15392">
            <v>0</v>
          </cell>
        </row>
        <row r="15393">
          <cell r="E15393">
            <v>0</v>
          </cell>
          <cell r="F15393">
            <v>0</v>
          </cell>
          <cell r="DN15393">
            <v>0</v>
          </cell>
        </row>
        <row r="15394">
          <cell r="E15394">
            <v>0</v>
          </cell>
          <cell r="F15394">
            <v>0</v>
          </cell>
          <cell r="DN15394">
            <v>0</v>
          </cell>
        </row>
        <row r="15395">
          <cell r="E15395">
            <v>0</v>
          </cell>
          <cell r="F15395">
            <v>0</v>
          </cell>
          <cell r="DN15395">
            <v>0</v>
          </cell>
        </row>
        <row r="15396">
          <cell r="E15396">
            <v>0</v>
          </cell>
          <cell r="F15396">
            <v>0</v>
          </cell>
          <cell r="DN15396">
            <v>0</v>
          </cell>
        </row>
        <row r="15397">
          <cell r="E15397">
            <v>0</v>
          </cell>
          <cell r="F15397">
            <v>0</v>
          </cell>
          <cell r="DN15397">
            <v>0</v>
          </cell>
        </row>
        <row r="15398">
          <cell r="E15398">
            <v>0</v>
          </cell>
          <cell r="F15398">
            <v>0</v>
          </cell>
          <cell r="DN15398">
            <v>0</v>
          </cell>
        </row>
        <row r="15399">
          <cell r="E15399">
            <v>0</v>
          </cell>
          <cell r="F15399">
            <v>0</v>
          </cell>
          <cell r="DN15399">
            <v>0</v>
          </cell>
        </row>
        <row r="15400">
          <cell r="E15400">
            <v>0</v>
          </cell>
          <cell r="F15400">
            <v>0</v>
          </cell>
          <cell r="DN15400">
            <v>0</v>
          </cell>
        </row>
        <row r="15401">
          <cell r="E15401">
            <v>0</v>
          </cell>
          <cell r="F15401">
            <v>0</v>
          </cell>
          <cell r="DN15401">
            <v>0</v>
          </cell>
        </row>
        <row r="15402">
          <cell r="E15402">
            <v>0</v>
          </cell>
          <cell r="F15402">
            <v>0</v>
          </cell>
          <cell r="DN15402">
            <v>0</v>
          </cell>
        </row>
        <row r="15403">
          <cell r="E15403">
            <v>0</v>
          </cell>
          <cell r="F15403">
            <v>0</v>
          </cell>
          <cell r="DN15403">
            <v>0</v>
          </cell>
        </row>
        <row r="15404">
          <cell r="E15404">
            <v>0</v>
          </cell>
          <cell r="F15404">
            <v>0</v>
          </cell>
          <cell r="DN15404">
            <v>0</v>
          </cell>
        </row>
        <row r="15405">
          <cell r="E15405">
            <v>0</v>
          </cell>
          <cell r="F15405">
            <v>0</v>
          </cell>
          <cell r="DN15405">
            <v>0</v>
          </cell>
        </row>
        <row r="15406">
          <cell r="E15406">
            <v>0</v>
          </cell>
          <cell r="F15406">
            <v>0</v>
          </cell>
          <cell r="DN15406">
            <v>0</v>
          </cell>
        </row>
        <row r="15407">
          <cell r="E15407">
            <v>0</v>
          </cell>
          <cell r="F15407">
            <v>0</v>
          </cell>
          <cell r="DN15407">
            <v>0</v>
          </cell>
        </row>
        <row r="15408">
          <cell r="E15408">
            <v>0</v>
          </cell>
          <cell r="F15408">
            <v>0</v>
          </cell>
          <cell r="DN15408">
            <v>0</v>
          </cell>
        </row>
        <row r="15409">
          <cell r="E15409">
            <v>0</v>
          </cell>
          <cell r="F15409">
            <v>0</v>
          </cell>
          <cell r="DN15409">
            <v>0</v>
          </cell>
        </row>
        <row r="15410">
          <cell r="E15410">
            <v>0</v>
          </cell>
          <cell r="F15410">
            <v>0</v>
          </cell>
          <cell r="DN15410">
            <v>0</v>
          </cell>
        </row>
        <row r="15411">
          <cell r="E15411">
            <v>0</v>
          </cell>
          <cell r="F15411">
            <v>0</v>
          </cell>
          <cell r="DN15411">
            <v>0</v>
          </cell>
        </row>
        <row r="15412">
          <cell r="E15412">
            <v>0</v>
          </cell>
          <cell r="F15412">
            <v>0</v>
          </cell>
          <cell r="DN15412">
            <v>0</v>
          </cell>
        </row>
        <row r="15413">
          <cell r="E15413">
            <v>0</v>
          </cell>
          <cell r="F15413">
            <v>0</v>
          </cell>
          <cell r="DN15413">
            <v>0</v>
          </cell>
        </row>
        <row r="15414">
          <cell r="E15414">
            <v>0</v>
          </cell>
          <cell r="F15414">
            <v>0</v>
          </cell>
          <cell r="DN15414">
            <v>0</v>
          </cell>
        </row>
        <row r="15415">
          <cell r="E15415">
            <v>0</v>
          </cell>
          <cell r="F15415">
            <v>0</v>
          </cell>
          <cell r="DN15415">
            <v>0</v>
          </cell>
        </row>
        <row r="15416">
          <cell r="E15416">
            <v>0</v>
          </cell>
          <cell r="F15416">
            <v>0</v>
          </cell>
          <cell r="DN15416">
            <v>0</v>
          </cell>
        </row>
        <row r="15417">
          <cell r="E15417">
            <v>0</v>
          </cell>
          <cell r="F15417">
            <v>0</v>
          </cell>
          <cell r="DN15417">
            <v>0</v>
          </cell>
        </row>
        <row r="15418">
          <cell r="E15418">
            <v>0</v>
          </cell>
          <cell r="F15418">
            <v>0</v>
          </cell>
          <cell r="DN15418">
            <v>0</v>
          </cell>
        </row>
        <row r="15419">
          <cell r="E15419">
            <v>0</v>
          </cell>
          <cell r="F15419">
            <v>0</v>
          </cell>
          <cell r="DN15419">
            <v>0</v>
          </cell>
        </row>
        <row r="15420">
          <cell r="E15420">
            <v>0</v>
          </cell>
          <cell r="F15420">
            <v>0</v>
          </cell>
          <cell r="DN15420">
            <v>0</v>
          </cell>
        </row>
        <row r="15421">
          <cell r="E15421">
            <v>0</v>
          </cell>
          <cell r="F15421">
            <v>0</v>
          </cell>
          <cell r="DN15421">
            <v>0</v>
          </cell>
        </row>
        <row r="15422">
          <cell r="E15422">
            <v>0</v>
          </cell>
          <cell r="F15422">
            <v>0</v>
          </cell>
          <cell r="DN15422">
            <v>0</v>
          </cell>
        </row>
        <row r="15423">
          <cell r="E15423">
            <v>0</v>
          </cell>
          <cell r="F15423">
            <v>0</v>
          </cell>
          <cell r="DN15423">
            <v>0</v>
          </cell>
        </row>
        <row r="15424">
          <cell r="E15424">
            <v>0</v>
          </cell>
          <cell r="F15424">
            <v>0</v>
          </cell>
          <cell r="DN15424">
            <v>0</v>
          </cell>
        </row>
        <row r="15425">
          <cell r="E15425">
            <v>0</v>
          </cell>
          <cell r="F15425">
            <v>0</v>
          </cell>
          <cell r="DN15425">
            <v>0</v>
          </cell>
        </row>
        <row r="15426">
          <cell r="E15426">
            <v>0</v>
          </cell>
          <cell r="F15426">
            <v>0</v>
          </cell>
          <cell r="DN15426">
            <v>0</v>
          </cell>
        </row>
        <row r="15427">
          <cell r="E15427">
            <v>0</v>
          </cell>
          <cell r="F15427">
            <v>0</v>
          </cell>
          <cell r="DN15427">
            <v>0</v>
          </cell>
        </row>
        <row r="15428">
          <cell r="E15428">
            <v>0</v>
          </cell>
          <cell r="F15428">
            <v>0</v>
          </cell>
          <cell r="DN15428">
            <v>0</v>
          </cell>
        </row>
        <row r="15429">
          <cell r="E15429">
            <v>0</v>
          </cell>
          <cell r="F15429">
            <v>0</v>
          </cell>
          <cell r="DN15429">
            <v>0</v>
          </cell>
        </row>
        <row r="15430">
          <cell r="E15430">
            <v>0</v>
          </cell>
          <cell r="F15430">
            <v>0</v>
          </cell>
          <cell r="DN15430">
            <v>0</v>
          </cell>
        </row>
        <row r="15431">
          <cell r="E15431">
            <v>0</v>
          </cell>
          <cell r="F15431">
            <v>0</v>
          </cell>
          <cell r="DN15431">
            <v>0</v>
          </cell>
        </row>
        <row r="15432">
          <cell r="E15432">
            <v>0</v>
          </cell>
          <cell r="F15432">
            <v>0</v>
          </cell>
          <cell r="DN15432">
            <v>0</v>
          </cell>
        </row>
        <row r="15433">
          <cell r="E15433">
            <v>0</v>
          </cell>
          <cell r="F15433">
            <v>0</v>
          </cell>
          <cell r="DN15433">
            <v>0</v>
          </cell>
        </row>
        <row r="15434">
          <cell r="E15434">
            <v>0</v>
          </cell>
          <cell r="F15434">
            <v>0</v>
          </cell>
          <cell r="DN15434">
            <v>0</v>
          </cell>
        </row>
        <row r="15435">
          <cell r="E15435">
            <v>0</v>
          </cell>
          <cell r="F15435">
            <v>0</v>
          </cell>
          <cell r="DN15435">
            <v>0</v>
          </cell>
        </row>
        <row r="15436">
          <cell r="E15436">
            <v>0</v>
          </cell>
          <cell r="F15436">
            <v>0</v>
          </cell>
          <cell r="DN15436">
            <v>0</v>
          </cell>
        </row>
        <row r="15437">
          <cell r="E15437">
            <v>0</v>
          </cell>
          <cell r="F15437">
            <v>0</v>
          </cell>
          <cell r="DN15437">
            <v>0</v>
          </cell>
        </row>
        <row r="15438">
          <cell r="E15438">
            <v>0</v>
          </cell>
          <cell r="F15438">
            <v>0</v>
          </cell>
          <cell r="DN15438">
            <v>0</v>
          </cell>
        </row>
        <row r="15439">
          <cell r="E15439">
            <v>0</v>
          </cell>
          <cell r="F15439">
            <v>0</v>
          </cell>
          <cell r="DN15439">
            <v>0</v>
          </cell>
        </row>
        <row r="15440">
          <cell r="E15440">
            <v>0</v>
          </cell>
          <cell r="F15440">
            <v>0</v>
          </cell>
          <cell r="DN15440">
            <v>0</v>
          </cell>
        </row>
        <row r="15441">
          <cell r="E15441">
            <v>0</v>
          </cell>
          <cell r="F15441">
            <v>0</v>
          </cell>
          <cell r="DN15441">
            <v>0</v>
          </cell>
        </row>
        <row r="15442">
          <cell r="E15442">
            <v>0</v>
          </cell>
          <cell r="F15442">
            <v>0</v>
          </cell>
          <cell r="DN15442">
            <v>0</v>
          </cell>
        </row>
        <row r="15443">
          <cell r="E15443">
            <v>0</v>
          </cell>
          <cell r="F15443">
            <v>0</v>
          </cell>
          <cell r="DN15443">
            <v>0</v>
          </cell>
        </row>
        <row r="15444">
          <cell r="E15444">
            <v>0</v>
          </cell>
          <cell r="F15444">
            <v>0</v>
          </cell>
          <cell r="DN15444">
            <v>0</v>
          </cell>
        </row>
        <row r="15445">
          <cell r="E15445">
            <v>0</v>
          </cell>
          <cell r="F15445">
            <v>0</v>
          </cell>
          <cell r="DN15445">
            <v>0</v>
          </cell>
        </row>
        <row r="15446">
          <cell r="E15446">
            <v>0</v>
          </cell>
          <cell r="F15446">
            <v>0</v>
          </cell>
          <cell r="DN15446">
            <v>0</v>
          </cell>
        </row>
        <row r="15447">
          <cell r="E15447">
            <v>0</v>
          </cell>
          <cell r="F15447">
            <v>0</v>
          </cell>
          <cell r="DN15447">
            <v>0</v>
          </cell>
        </row>
        <row r="15448">
          <cell r="E15448">
            <v>0</v>
          </cell>
          <cell r="F15448">
            <v>0</v>
          </cell>
          <cell r="DN15448">
            <v>0</v>
          </cell>
        </row>
        <row r="15449">
          <cell r="E15449">
            <v>0</v>
          </cell>
          <cell r="F15449">
            <v>0</v>
          </cell>
          <cell r="DN15449">
            <v>0</v>
          </cell>
        </row>
        <row r="15450">
          <cell r="E15450">
            <v>0</v>
          </cell>
          <cell r="F15450">
            <v>0</v>
          </cell>
          <cell r="DN15450">
            <v>0</v>
          </cell>
        </row>
        <row r="15451">
          <cell r="E15451">
            <v>0</v>
          </cell>
          <cell r="F15451">
            <v>0</v>
          </cell>
          <cell r="DN15451">
            <v>0</v>
          </cell>
        </row>
        <row r="15452">
          <cell r="E15452">
            <v>0</v>
          </cell>
          <cell r="F15452">
            <v>0</v>
          </cell>
          <cell r="DN15452">
            <v>0</v>
          </cell>
        </row>
        <row r="15453">
          <cell r="E15453">
            <v>0</v>
          </cell>
          <cell r="F15453">
            <v>0</v>
          </cell>
          <cell r="DN15453">
            <v>0</v>
          </cell>
        </row>
        <row r="15454">
          <cell r="E15454">
            <v>0</v>
          </cell>
          <cell r="F15454">
            <v>0</v>
          </cell>
          <cell r="DN15454">
            <v>0</v>
          </cell>
        </row>
        <row r="15455">
          <cell r="E15455">
            <v>0</v>
          </cell>
          <cell r="F15455">
            <v>0</v>
          </cell>
          <cell r="DN15455">
            <v>0</v>
          </cell>
        </row>
        <row r="15456">
          <cell r="E15456">
            <v>0</v>
          </cell>
          <cell r="F15456">
            <v>0</v>
          </cell>
          <cell r="DN15456">
            <v>0</v>
          </cell>
        </row>
        <row r="15457">
          <cell r="E15457">
            <v>0</v>
          </cell>
          <cell r="F15457">
            <v>0</v>
          </cell>
          <cell r="DN15457">
            <v>0</v>
          </cell>
        </row>
        <row r="15458">
          <cell r="E15458">
            <v>0</v>
          </cell>
          <cell r="F15458">
            <v>0</v>
          </cell>
          <cell r="DN15458">
            <v>0</v>
          </cell>
        </row>
        <row r="15459">
          <cell r="E15459">
            <v>0</v>
          </cell>
          <cell r="F15459">
            <v>0</v>
          </cell>
          <cell r="DN15459">
            <v>0</v>
          </cell>
        </row>
        <row r="15460">
          <cell r="E15460">
            <v>0</v>
          </cell>
          <cell r="F15460">
            <v>0</v>
          </cell>
          <cell r="DN15460">
            <v>0</v>
          </cell>
        </row>
        <row r="15461">
          <cell r="E15461">
            <v>0</v>
          </cell>
          <cell r="F15461">
            <v>0</v>
          </cell>
          <cell r="DN15461">
            <v>0</v>
          </cell>
        </row>
        <row r="15462">
          <cell r="E15462">
            <v>0</v>
          </cell>
          <cell r="F15462">
            <v>0</v>
          </cell>
          <cell r="DN15462">
            <v>0</v>
          </cell>
        </row>
        <row r="15463">
          <cell r="E15463">
            <v>0</v>
          </cell>
          <cell r="F15463">
            <v>0</v>
          </cell>
          <cell r="DN15463">
            <v>0</v>
          </cell>
        </row>
        <row r="15464">
          <cell r="E15464">
            <v>0</v>
          </cell>
          <cell r="F15464">
            <v>0</v>
          </cell>
          <cell r="DN15464">
            <v>0</v>
          </cell>
        </row>
        <row r="15465">
          <cell r="E15465">
            <v>0</v>
          </cell>
          <cell r="F15465">
            <v>0</v>
          </cell>
          <cell r="DN15465">
            <v>0</v>
          </cell>
        </row>
        <row r="15466">
          <cell r="E15466">
            <v>0</v>
          </cell>
          <cell r="F15466">
            <v>0</v>
          </cell>
          <cell r="DN15466">
            <v>0</v>
          </cell>
        </row>
        <row r="15467">
          <cell r="E15467">
            <v>0</v>
          </cell>
          <cell r="F15467">
            <v>0</v>
          </cell>
          <cell r="DN15467">
            <v>0</v>
          </cell>
        </row>
        <row r="15468">
          <cell r="E15468">
            <v>0</v>
          </cell>
          <cell r="F15468">
            <v>0</v>
          </cell>
          <cell r="DN15468">
            <v>0</v>
          </cell>
        </row>
        <row r="15469">
          <cell r="E15469">
            <v>0</v>
          </cell>
          <cell r="F15469">
            <v>0</v>
          </cell>
          <cell r="DN15469">
            <v>0</v>
          </cell>
        </row>
        <row r="15470">
          <cell r="E15470">
            <v>0</v>
          </cell>
          <cell r="F15470">
            <v>0</v>
          </cell>
          <cell r="DN15470">
            <v>0</v>
          </cell>
        </row>
        <row r="15471">
          <cell r="E15471">
            <v>0</v>
          </cell>
          <cell r="F15471">
            <v>0</v>
          </cell>
          <cell r="DN15471">
            <v>0</v>
          </cell>
        </row>
        <row r="15472">
          <cell r="E15472">
            <v>0</v>
          </cell>
          <cell r="F15472">
            <v>0</v>
          </cell>
          <cell r="DN15472">
            <v>0</v>
          </cell>
        </row>
        <row r="15473">
          <cell r="E15473">
            <v>0</v>
          </cell>
          <cell r="F15473">
            <v>0</v>
          </cell>
          <cell r="DN15473">
            <v>0</v>
          </cell>
        </row>
        <row r="15474">
          <cell r="E15474">
            <v>0</v>
          </cell>
          <cell r="F15474">
            <v>0</v>
          </cell>
          <cell r="DN15474">
            <v>0</v>
          </cell>
        </row>
        <row r="15475">
          <cell r="E15475">
            <v>0</v>
          </cell>
          <cell r="F15475">
            <v>0</v>
          </cell>
          <cell r="DN15475">
            <v>0</v>
          </cell>
        </row>
        <row r="15476">
          <cell r="E15476">
            <v>0</v>
          </cell>
          <cell r="F15476">
            <v>0</v>
          </cell>
          <cell r="DN15476">
            <v>0</v>
          </cell>
        </row>
        <row r="15477">
          <cell r="E15477">
            <v>0</v>
          </cell>
          <cell r="F15477">
            <v>0</v>
          </cell>
          <cell r="DN15477">
            <v>0</v>
          </cell>
        </row>
        <row r="15478">
          <cell r="E15478">
            <v>0</v>
          </cell>
          <cell r="F15478">
            <v>0</v>
          </cell>
          <cell r="DN15478">
            <v>0</v>
          </cell>
        </row>
        <row r="15479">
          <cell r="E15479">
            <v>0</v>
          </cell>
          <cell r="F15479">
            <v>0</v>
          </cell>
          <cell r="DN15479">
            <v>0</v>
          </cell>
        </row>
        <row r="15480">
          <cell r="E15480">
            <v>0</v>
          </cell>
          <cell r="F15480">
            <v>0</v>
          </cell>
          <cell r="DN15480">
            <v>0</v>
          </cell>
        </row>
        <row r="15481">
          <cell r="E15481">
            <v>0</v>
          </cell>
          <cell r="F15481">
            <v>0</v>
          </cell>
          <cell r="DN15481">
            <v>0</v>
          </cell>
        </row>
        <row r="15482">
          <cell r="E15482">
            <v>0</v>
          </cell>
          <cell r="F15482">
            <v>0</v>
          </cell>
          <cell r="DN15482">
            <v>0</v>
          </cell>
        </row>
        <row r="15483">
          <cell r="E15483">
            <v>0</v>
          </cell>
          <cell r="F15483">
            <v>0</v>
          </cell>
          <cell r="DN15483">
            <v>0</v>
          </cell>
        </row>
        <row r="15484">
          <cell r="E15484">
            <v>0</v>
          </cell>
          <cell r="F15484">
            <v>0</v>
          </cell>
          <cell r="DN15484">
            <v>0</v>
          </cell>
        </row>
        <row r="15485">
          <cell r="E15485">
            <v>0</v>
          </cell>
          <cell r="F15485">
            <v>0</v>
          </cell>
          <cell r="DN15485">
            <v>0</v>
          </cell>
        </row>
        <row r="15486">
          <cell r="E15486">
            <v>0</v>
          </cell>
          <cell r="F15486">
            <v>0</v>
          </cell>
          <cell r="DN15486">
            <v>0</v>
          </cell>
        </row>
        <row r="15487">
          <cell r="E15487">
            <v>0</v>
          </cell>
          <cell r="F15487">
            <v>0</v>
          </cell>
          <cell r="DN15487">
            <v>0</v>
          </cell>
        </row>
        <row r="15488">
          <cell r="E15488">
            <v>0</v>
          </cell>
          <cell r="F15488">
            <v>0</v>
          </cell>
          <cell r="DN15488">
            <v>0</v>
          </cell>
        </row>
        <row r="15489">
          <cell r="E15489">
            <v>0</v>
          </cell>
          <cell r="F15489">
            <v>0</v>
          </cell>
          <cell r="DN15489">
            <v>0</v>
          </cell>
        </row>
        <row r="15490">
          <cell r="E15490">
            <v>0</v>
          </cell>
          <cell r="F15490">
            <v>0</v>
          </cell>
          <cell r="DN15490">
            <v>0</v>
          </cell>
        </row>
        <row r="15491">
          <cell r="E15491">
            <v>0</v>
          </cell>
          <cell r="F15491">
            <v>0</v>
          </cell>
          <cell r="DN15491">
            <v>0</v>
          </cell>
        </row>
        <row r="15492">
          <cell r="E15492">
            <v>0</v>
          </cell>
          <cell r="F15492">
            <v>0</v>
          </cell>
          <cell r="DN15492">
            <v>0</v>
          </cell>
        </row>
        <row r="15493">
          <cell r="E15493">
            <v>0</v>
          </cell>
          <cell r="F15493">
            <v>0</v>
          </cell>
          <cell r="DN15493">
            <v>0</v>
          </cell>
        </row>
        <row r="15494">
          <cell r="E15494">
            <v>0</v>
          </cell>
          <cell r="F15494">
            <v>0</v>
          </cell>
          <cell r="DN15494">
            <v>0</v>
          </cell>
        </row>
        <row r="15495">
          <cell r="E15495">
            <v>0</v>
          </cell>
          <cell r="F15495">
            <v>0</v>
          </cell>
          <cell r="DN15495">
            <v>0</v>
          </cell>
        </row>
        <row r="15496">
          <cell r="E15496">
            <v>0</v>
          </cell>
          <cell r="F15496">
            <v>0</v>
          </cell>
          <cell r="DN15496">
            <v>0</v>
          </cell>
        </row>
        <row r="15497">
          <cell r="E15497">
            <v>0</v>
          </cell>
          <cell r="F15497">
            <v>0</v>
          </cell>
          <cell r="DN15497">
            <v>0</v>
          </cell>
        </row>
        <row r="15498">
          <cell r="E15498">
            <v>0</v>
          </cell>
          <cell r="F15498">
            <v>0</v>
          </cell>
          <cell r="DN15498">
            <v>0</v>
          </cell>
        </row>
        <row r="15499">
          <cell r="E15499">
            <v>0</v>
          </cell>
          <cell r="F15499">
            <v>0</v>
          </cell>
          <cell r="DN15499">
            <v>0</v>
          </cell>
        </row>
        <row r="15500">
          <cell r="E15500">
            <v>0</v>
          </cell>
          <cell r="F15500">
            <v>0</v>
          </cell>
          <cell r="DN15500">
            <v>0</v>
          </cell>
        </row>
        <row r="15501">
          <cell r="E15501">
            <v>0</v>
          </cell>
          <cell r="F15501">
            <v>0</v>
          </cell>
          <cell r="DN15501">
            <v>0</v>
          </cell>
        </row>
        <row r="15502">
          <cell r="E15502">
            <v>0</v>
          </cell>
          <cell r="F15502">
            <v>0</v>
          </cell>
          <cell r="DN15502">
            <v>0</v>
          </cell>
        </row>
        <row r="15503">
          <cell r="E15503">
            <v>0</v>
          </cell>
          <cell r="F15503">
            <v>0</v>
          </cell>
          <cell r="DN15503">
            <v>0</v>
          </cell>
        </row>
        <row r="15504">
          <cell r="E15504">
            <v>0</v>
          </cell>
          <cell r="F15504">
            <v>0</v>
          </cell>
          <cell r="DN15504">
            <v>0</v>
          </cell>
        </row>
        <row r="15505">
          <cell r="E15505">
            <v>0</v>
          </cell>
          <cell r="F15505">
            <v>0</v>
          </cell>
          <cell r="DN15505">
            <v>0</v>
          </cell>
        </row>
        <row r="15506">
          <cell r="E15506">
            <v>0</v>
          </cell>
          <cell r="F15506">
            <v>0</v>
          </cell>
          <cell r="DN15506">
            <v>0</v>
          </cell>
        </row>
        <row r="15507">
          <cell r="E15507">
            <v>0</v>
          </cell>
          <cell r="F15507">
            <v>0</v>
          </cell>
          <cell r="DN15507">
            <v>0</v>
          </cell>
        </row>
        <row r="15508">
          <cell r="E15508">
            <v>0</v>
          </cell>
          <cell r="F15508">
            <v>0</v>
          </cell>
          <cell r="DN15508">
            <v>0</v>
          </cell>
        </row>
        <row r="15509">
          <cell r="E15509">
            <v>0</v>
          </cell>
          <cell r="F15509">
            <v>0</v>
          </cell>
          <cell r="DN15509">
            <v>0</v>
          </cell>
        </row>
        <row r="15510">
          <cell r="E15510">
            <v>0</v>
          </cell>
          <cell r="F15510">
            <v>0</v>
          </cell>
          <cell r="DN15510">
            <v>0</v>
          </cell>
        </row>
        <row r="15511">
          <cell r="E15511">
            <v>0</v>
          </cell>
          <cell r="F15511">
            <v>0</v>
          </cell>
          <cell r="DN15511">
            <v>0</v>
          </cell>
        </row>
        <row r="15512">
          <cell r="E15512">
            <v>0</v>
          </cell>
          <cell r="F15512">
            <v>0</v>
          </cell>
          <cell r="DN15512">
            <v>0</v>
          </cell>
        </row>
        <row r="15513">
          <cell r="E15513">
            <v>0</v>
          </cell>
          <cell r="F15513">
            <v>0</v>
          </cell>
          <cell r="DN15513">
            <v>0</v>
          </cell>
        </row>
        <row r="15514">
          <cell r="E15514">
            <v>0</v>
          </cell>
          <cell r="F15514">
            <v>0</v>
          </cell>
          <cell r="DN15514">
            <v>0</v>
          </cell>
        </row>
        <row r="15515">
          <cell r="E15515">
            <v>0</v>
          </cell>
          <cell r="F15515">
            <v>0</v>
          </cell>
          <cell r="DN15515">
            <v>0</v>
          </cell>
        </row>
        <row r="15516">
          <cell r="E15516">
            <v>0</v>
          </cell>
          <cell r="F15516">
            <v>0</v>
          </cell>
          <cell r="DN15516">
            <v>0</v>
          </cell>
        </row>
        <row r="15517">
          <cell r="E15517">
            <v>0</v>
          </cell>
          <cell r="F15517">
            <v>0</v>
          </cell>
          <cell r="DN15517">
            <v>0</v>
          </cell>
        </row>
        <row r="15518">
          <cell r="E15518">
            <v>0</v>
          </cell>
          <cell r="F15518">
            <v>0</v>
          </cell>
          <cell r="DN15518">
            <v>0</v>
          </cell>
        </row>
        <row r="15519">
          <cell r="E15519">
            <v>0</v>
          </cell>
          <cell r="F15519">
            <v>0</v>
          </cell>
          <cell r="DN15519">
            <v>0</v>
          </cell>
        </row>
        <row r="15520">
          <cell r="E15520">
            <v>0</v>
          </cell>
          <cell r="F15520">
            <v>0</v>
          </cell>
          <cell r="DN15520">
            <v>0</v>
          </cell>
        </row>
        <row r="15521">
          <cell r="E15521">
            <v>0</v>
          </cell>
          <cell r="F15521">
            <v>0</v>
          </cell>
          <cell r="DN15521">
            <v>0</v>
          </cell>
        </row>
        <row r="15522">
          <cell r="E15522">
            <v>0</v>
          </cell>
          <cell r="F15522">
            <v>0</v>
          </cell>
          <cell r="DN15522">
            <v>0</v>
          </cell>
        </row>
        <row r="15523">
          <cell r="E15523">
            <v>0</v>
          </cell>
          <cell r="F15523">
            <v>0</v>
          </cell>
          <cell r="DN15523">
            <v>0</v>
          </cell>
        </row>
        <row r="15524">
          <cell r="E15524">
            <v>0</v>
          </cell>
          <cell r="F15524">
            <v>0</v>
          </cell>
          <cell r="DN15524">
            <v>0</v>
          </cell>
        </row>
        <row r="15525">
          <cell r="E15525">
            <v>0</v>
          </cell>
          <cell r="F15525">
            <v>0</v>
          </cell>
          <cell r="DN15525">
            <v>0</v>
          </cell>
        </row>
        <row r="15526">
          <cell r="E15526">
            <v>0</v>
          </cell>
          <cell r="F15526">
            <v>0</v>
          </cell>
          <cell r="DN15526">
            <v>0</v>
          </cell>
        </row>
        <row r="15527">
          <cell r="E15527">
            <v>0</v>
          </cell>
          <cell r="F15527">
            <v>0</v>
          </cell>
          <cell r="DN15527">
            <v>0</v>
          </cell>
        </row>
        <row r="15528">
          <cell r="E15528">
            <v>0</v>
          </cell>
          <cell r="F15528">
            <v>0</v>
          </cell>
          <cell r="DN15528">
            <v>0</v>
          </cell>
        </row>
        <row r="15529">
          <cell r="E15529">
            <v>0</v>
          </cell>
          <cell r="F15529">
            <v>0</v>
          </cell>
          <cell r="DN15529">
            <v>0</v>
          </cell>
        </row>
        <row r="15530">
          <cell r="E15530">
            <v>0</v>
          </cell>
          <cell r="F15530">
            <v>0</v>
          </cell>
          <cell r="DN15530">
            <v>0</v>
          </cell>
        </row>
        <row r="15531">
          <cell r="E15531">
            <v>0</v>
          </cell>
          <cell r="F15531">
            <v>0</v>
          </cell>
          <cell r="DN15531">
            <v>0</v>
          </cell>
        </row>
        <row r="15532">
          <cell r="E15532">
            <v>0</v>
          </cell>
          <cell r="F15532">
            <v>0</v>
          </cell>
          <cell r="DN15532">
            <v>0</v>
          </cell>
        </row>
        <row r="15533">
          <cell r="E15533">
            <v>0</v>
          </cell>
          <cell r="F15533">
            <v>0</v>
          </cell>
          <cell r="DN15533">
            <v>0</v>
          </cell>
        </row>
        <row r="15534">
          <cell r="E15534">
            <v>0</v>
          </cell>
          <cell r="F15534">
            <v>0</v>
          </cell>
          <cell r="DN15534">
            <v>0</v>
          </cell>
        </row>
        <row r="15535">
          <cell r="E15535">
            <v>0</v>
          </cell>
          <cell r="F15535">
            <v>0</v>
          </cell>
          <cell r="DN15535">
            <v>0</v>
          </cell>
        </row>
        <row r="15536">
          <cell r="E15536">
            <v>0</v>
          </cell>
          <cell r="F15536">
            <v>0</v>
          </cell>
          <cell r="DN15536">
            <v>0</v>
          </cell>
        </row>
        <row r="15537">
          <cell r="E15537">
            <v>0</v>
          </cell>
          <cell r="F15537">
            <v>0</v>
          </cell>
          <cell r="DN15537">
            <v>0</v>
          </cell>
        </row>
        <row r="15538">
          <cell r="E15538">
            <v>0</v>
          </cell>
          <cell r="F15538">
            <v>0</v>
          </cell>
          <cell r="DN15538">
            <v>0</v>
          </cell>
        </row>
        <row r="15539">
          <cell r="E15539">
            <v>0</v>
          </cell>
          <cell r="F15539">
            <v>0</v>
          </cell>
          <cell r="DN15539">
            <v>0</v>
          </cell>
        </row>
        <row r="15540">
          <cell r="E15540">
            <v>0</v>
          </cell>
          <cell r="F15540">
            <v>0</v>
          </cell>
          <cell r="DN15540">
            <v>0</v>
          </cell>
        </row>
        <row r="15541">
          <cell r="E15541">
            <v>0</v>
          </cell>
          <cell r="F15541">
            <v>0</v>
          </cell>
          <cell r="DN15541">
            <v>0</v>
          </cell>
        </row>
        <row r="15542">
          <cell r="E15542">
            <v>0</v>
          </cell>
          <cell r="F15542">
            <v>0</v>
          </cell>
          <cell r="DN15542">
            <v>0</v>
          </cell>
        </row>
        <row r="15543">
          <cell r="E15543">
            <v>0</v>
          </cell>
          <cell r="F15543">
            <v>0</v>
          </cell>
          <cell r="DN15543">
            <v>0</v>
          </cell>
        </row>
        <row r="15544">
          <cell r="E15544">
            <v>0</v>
          </cell>
          <cell r="F15544">
            <v>0</v>
          </cell>
          <cell r="DN15544">
            <v>0</v>
          </cell>
        </row>
        <row r="15545">
          <cell r="E15545">
            <v>0</v>
          </cell>
          <cell r="F15545">
            <v>0</v>
          </cell>
          <cell r="DN15545">
            <v>0</v>
          </cell>
        </row>
        <row r="15546">
          <cell r="E15546">
            <v>0</v>
          </cell>
          <cell r="F15546">
            <v>0</v>
          </cell>
          <cell r="DN15546">
            <v>0</v>
          </cell>
        </row>
        <row r="15547">
          <cell r="E15547">
            <v>0</v>
          </cell>
          <cell r="F15547">
            <v>0</v>
          </cell>
          <cell r="DN15547">
            <v>0</v>
          </cell>
        </row>
        <row r="15548">
          <cell r="E15548">
            <v>0</v>
          </cell>
          <cell r="F15548">
            <v>0</v>
          </cell>
          <cell r="DN15548">
            <v>0</v>
          </cell>
        </row>
        <row r="15549">
          <cell r="E15549">
            <v>0</v>
          </cell>
          <cell r="F15549">
            <v>0</v>
          </cell>
          <cell r="DN15549">
            <v>0</v>
          </cell>
        </row>
        <row r="15550">
          <cell r="E15550">
            <v>0</v>
          </cell>
          <cell r="F15550">
            <v>0</v>
          </cell>
          <cell r="DN15550">
            <v>0</v>
          </cell>
        </row>
        <row r="15551">
          <cell r="E15551">
            <v>0</v>
          </cell>
          <cell r="F15551">
            <v>0</v>
          </cell>
          <cell r="DN15551">
            <v>0</v>
          </cell>
        </row>
        <row r="15552">
          <cell r="E15552">
            <v>0</v>
          </cell>
          <cell r="F15552">
            <v>0</v>
          </cell>
          <cell r="DN15552">
            <v>0</v>
          </cell>
        </row>
        <row r="15553">
          <cell r="E15553">
            <v>0</v>
          </cell>
          <cell r="F15553">
            <v>0</v>
          </cell>
          <cell r="DN15553">
            <v>0</v>
          </cell>
        </row>
        <row r="15554">
          <cell r="E15554">
            <v>0</v>
          </cell>
          <cell r="F15554">
            <v>0</v>
          </cell>
          <cell r="DN15554">
            <v>0</v>
          </cell>
        </row>
        <row r="15555">
          <cell r="E15555">
            <v>0</v>
          </cell>
          <cell r="F15555">
            <v>0</v>
          </cell>
          <cell r="DN15555">
            <v>0</v>
          </cell>
        </row>
        <row r="15556">
          <cell r="E15556">
            <v>0</v>
          </cell>
          <cell r="F15556">
            <v>0</v>
          </cell>
          <cell r="DN15556">
            <v>0</v>
          </cell>
        </row>
        <row r="15557">
          <cell r="E15557">
            <v>0</v>
          </cell>
          <cell r="F15557">
            <v>0</v>
          </cell>
          <cell r="DN15557">
            <v>0</v>
          </cell>
        </row>
        <row r="15558">
          <cell r="E15558">
            <v>0</v>
          </cell>
          <cell r="F15558">
            <v>0</v>
          </cell>
          <cell r="DN15558">
            <v>0</v>
          </cell>
        </row>
        <row r="15559">
          <cell r="E15559">
            <v>0</v>
          </cell>
          <cell r="F15559">
            <v>0</v>
          </cell>
          <cell r="DN15559">
            <v>0</v>
          </cell>
        </row>
        <row r="15560">
          <cell r="E15560">
            <v>0</v>
          </cell>
          <cell r="F15560">
            <v>0</v>
          </cell>
          <cell r="DN15560">
            <v>0</v>
          </cell>
        </row>
        <row r="15561">
          <cell r="E15561">
            <v>0</v>
          </cell>
          <cell r="F15561">
            <v>0</v>
          </cell>
          <cell r="DN15561">
            <v>0</v>
          </cell>
        </row>
        <row r="15562">
          <cell r="E15562">
            <v>0</v>
          </cell>
          <cell r="F15562">
            <v>0</v>
          </cell>
          <cell r="DN15562">
            <v>0</v>
          </cell>
        </row>
        <row r="15563">
          <cell r="E15563">
            <v>0</v>
          </cell>
          <cell r="F15563">
            <v>0</v>
          </cell>
          <cell r="DN15563">
            <v>0</v>
          </cell>
        </row>
        <row r="15564">
          <cell r="E15564">
            <v>0</v>
          </cell>
          <cell r="F15564">
            <v>0</v>
          </cell>
          <cell r="DN15564">
            <v>0</v>
          </cell>
        </row>
        <row r="15565">
          <cell r="E15565">
            <v>0</v>
          </cell>
          <cell r="F15565">
            <v>0</v>
          </cell>
          <cell r="DN15565">
            <v>0</v>
          </cell>
        </row>
        <row r="15566">
          <cell r="E15566">
            <v>0</v>
          </cell>
          <cell r="F15566">
            <v>0</v>
          </cell>
          <cell r="DN15566">
            <v>0</v>
          </cell>
        </row>
        <row r="15567">
          <cell r="E15567">
            <v>0</v>
          </cell>
          <cell r="F15567">
            <v>0</v>
          </cell>
          <cell r="DN15567">
            <v>0</v>
          </cell>
        </row>
        <row r="15568">
          <cell r="E15568">
            <v>0</v>
          </cell>
          <cell r="F15568">
            <v>0</v>
          </cell>
          <cell r="DN15568">
            <v>0</v>
          </cell>
        </row>
        <row r="15569">
          <cell r="E15569">
            <v>0</v>
          </cell>
          <cell r="F15569">
            <v>0</v>
          </cell>
          <cell r="DN15569">
            <v>0</v>
          </cell>
        </row>
        <row r="15570">
          <cell r="E15570">
            <v>0</v>
          </cell>
          <cell r="F15570">
            <v>0</v>
          </cell>
          <cell r="DN15570">
            <v>0</v>
          </cell>
        </row>
        <row r="15571">
          <cell r="E15571">
            <v>0</v>
          </cell>
          <cell r="F15571">
            <v>0</v>
          </cell>
          <cell r="DN15571">
            <v>0</v>
          </cell>
        </row>
        <row r="15572">
          <cell r="E15572">
            <v>0</v>
          </cell>
          <cell r="F15572">
            <v>0</v>
          </cell>
          <cell r="DN15572">
            <v>0</v>
          </cell>
        </row>
        <row r="15573">
          <cell r="E15573">
            <v>0</v>
          </cell>
          <cell r="F15573">
            <v>0</v>
          </cell>
          <cell r="DN15573">
            <v>0</v>
          </cell>
        </row>
        <row r="15574">
          <cell r="E15574">
            <v>0</v>
          </cell>
          <cell r="F15574">
            <v>0</v>
          </cell>
          <cell r="DN15574">
            <v>0</v>
          </cell>
        </row>
        <row r="15575">
          <cell r="E15575">
            <v>0</v>
          </cell>
          <cell r="F15575">
            <v>0</v>
          </cell>
          <cell r="DN15575">
            <v>0</v>
          </cell>
        </row>
        <row r="15576">
          <cell r="E15576">
            <v>0</v>
          </cell>
          <cell r="F15576">
            <v>0</v>
          </cell>
          <cell r="DN15576">
            <v>0</v>
          </cell>
        </row>
        <row r="15577">
          <cell r="E15577">
            <v>0</v>
          </cell>
          <cell r="F15577">
            <v>0</v>
          </cell>
          <cell r="DN15577">
            <v>0</v>
          </cell>
        </row>
        <row r="15578">
          <cell r="E15578">
            <v>0</v>
          </cell>
          <cell r="F15578">
            <v>0</v>
          </cell>
          <cell r="DN15578">
            <v>0</v>
          </cell>
        </row>
        <row r="15579">
          <cell r="E15579">
            <v>0</v>
          </cell>
          <cell r="F15579">
            <v>0</v>
          </cell>
          <cell r="DN15579">
            <v>0</v>
          </cell>
        </row>
        <row r="15580">
          <cell r="E15580">
            <v>0</v>
          </cell>
          <cell r="F15580">
            <v>0</v>
          </cell>
          <cell r="DN15580">
            <v>0</v>
          </cell>
        </row>
        <row r="15581">
          <cell r="E15581">
            <v>0</v>
          </cell>
          <cell r="F15581">
            <v>0</v>
          </cell>
          <cell r="DN15581">
            <v>0</v>
          </cell>
        </row>
        <row r="15582">
          <cell r="E15582">
            <v>0</v>
          </cell>
          <cell r="F15582">
            <v>0</v>
          </cell>
          <cell r="DN15582">
            <v>0</v>
          </cell>
        </row>
        <row r="15583">
          <cell r="E15583">
            <v>0</v>
          </cell>
          <cell r="F15583">
            <v>0</v>
          </cell>
          <cell r="DN15583">
            <v>0</v>
          </cell>
        </row>
        <row r="15584">
          <cell r="E15584">
            <v>0</v>
          </cell>
          <cell r="F15584">
            <v>0</v>
          </cell>
          <cell r="DN15584">
            <v>0</v>
          </cell>
        </row>
        <row r="15585">
          <cell r="E15585">
            <v>0</v>
          </cell>
          <cell r="F15585">
            <v>0</v>
          </cell>
          <cell r="DN15585">
            <v>0</v>
          </cell>
        </row>
        <row r="15586">
          <cell r="E15586">
            <v>0</v>
          </cell>
          <cell r="F15586">
            <v>0</v>
          </cell>
          <cell r="DN15586">
            <v>0</v>
          </cell>
        </row>
        <row r="15587">
          <cell r="E15587">
            <v>0</v>
          </cell>
          <cell r="F15587">
            <v>0</v>
          </cell>
          <cell r="DN15587">
            <v>0</v>
          </cell>
        </row>
        <row r="15588">
          <cell r="E15588">
            <v>0</v>
          </cell>
          <cell r="F15588">
            <v>0</v>
          </cell>
          <cell r="DN15588">
            <v>0</v>
          </cell>
        </row>
        <row r="15589">
          <cell r="E15589">
            <v>0</v>
          </cell>
          <cell r="F15589">
            <v>0</v>
          </cell>
          <cell r="DN15589">
            <v>0</v>
          </cell>
        </row>
        <row r="15590">
          <cell r="E15590">
            <v>0</v>
          </cell>
          <cell r="F15590">
            <v>0</v>
          </cell>
          <cell r="DN15590">
            <v>0</v>
          </cell>
        </row>
        <row r="15591">
          <cell r="E15591">
            <v>0</v>
          </cell>
          <cell r="F15591">
            <v>0</v>
          </cell>
          <cell r="DN15591">
            <v>0</v>
          </cell>
        </row>
        <row r="15592">
          <cell r="E15592">
            <v>0</v>
          </cell>
          <cell r="F15592">
            <v>0</v>
          </cell>
          <cell r="DN15592">
            <v>0</v>
          </cell>
        </row>
        <row r="15593">
          <cell r="E15593">
            <v>0</v>
          </cell>
          <cell r="F15593">
            <v>0</v>
          </cell>
          <cell r="DN15593">
            <v>0</v>
          </cell>
        </row>
        <row r="15594">
          <cell r="E15594">
            <v>0</v>
          </cell>
          <cell r="F15594">
            <v>0</v>
          </cell>
          <cell r="DN15594">
            <v>0</v>
          </cell>
        </row>
        <row r="15595">
          <cell r="E15595">
            <v>0</v>
          </cell>
          <cell r="F15595">
            <v>0</v>
          </cell>
          <cell r="DN15595">
            <v>0</v>
          </cell>
        </row>
        <row r="15596">
          <cell r="E15596">
            <v>0</v>
          </cell>
          <cell r="F15596">
            <v>0</v>
          </cell>
          <cell r="DN15596">
            <v>0</v>
          </cell>
        </row>
        <row r="15597">
          <cell r="E15597">
            <v>0</v>
          </cell>
          <cell r="F15597">
            <v>0</v>
          </cell>
          <cell r="DN15597">
            <v>0</v>
          </cell>
        </row>
        <row r="15598">
          <cell r="E15598">
            <v>0</v>
          </cell>
          <cell r="F15598">
            <v>0</v>
          </cell>
          <cell r="DN15598">
            <v>0</v>
          </cell>
        </row>
        <row r="15599">
          <cell r="E15599">
            <v>0</v>
          </cell>
          <cell r="F15599">
            <v>0</v>
          </cell>
          <cell r="DN15599">
            <v>0</v>
          </cell>
        </row>
        <row r="15600">
          <cell r="E15600">
            <v>0</v>
          </cell>
          <cell r="F15600">
            <v>0</v>
          </cell>
          <cell r="DN15600">
            <v>0</v>
          </cell>
        </row>
        <row r="15601">
          <cell r="E15601">
            <v>0</v>
          </cell>
          <cell r="F15601">
            <v>0</v>
          </cell>
          <cell r="DN15601">
            <v>0</v>
          </cell>
        </row>
        <row r="15602">
          <cell r="E15602">
            <v>0</v>
          </cell>
          <cell r="F15602">
            <v>0</v>
          </cell>
          <cell r="DN15602">
            <v>0</v>
          </cell>
        </row>
        <row r="15603">
          <cell r="E15603">
            <v>0</v>
          </cell>
          <cell r="F15603">
            <v>0</v>
          </cell>
          <cell r="DN15603">
            <v>0</v>
          </cell>
        </row>
        <row r="15604">
          <cell r="E15604">
            <v>0</v>
          </cell>
          <cell r="F15604">
            <v>0</v>
          </cell>
          <cell r="DN15604">
            <v>0</v>
          </cell>
        </row>
        <row r="15605">
          <cell r="E15605">
            <v>0</v>
          </cell>
          <cell r="F15605">
            <v>0</v>
          </cell>
          <cell r="DN15605">
            <v>0</v>
          </cell>
        </row>
        <row r="15606">
          <cell r="E15606">
            <v>0</v>
          </cell>
          <cell r="F15606">
            <v>0</v>
          </cell>
          <cell r="DN15606">
            <v>0</v>
          </cell>
        </row>
        <row r="15607">
          <cell r="E15607">
            <v>0</v>
          </cell>
          <cell r="F15607">
            <v>0</v>
          </cell>
          <cell r="DN15607">
            <v>0</v>
          </cell>
        </row>
        <row r="15608">
          <cell r="E15608">
            <v>0</v>
          </cell>
          <cell r="F15608">
            <v>0</v>
          </cell>
          <cell r="DN15608">
            <v>0</v>
          </cell>
        </row>
        <row r="15609">
          <cell r="E15609">
            <v>0</v>
          </cell>
          <cell r="F15609">
            <v>0</v>
          </cell>
          <cell r="DN15609">
            <v>0</v>
          </cell>
        </row>
        <row r="15610">
          <cell r="E15610">
            <v>0</v>
          </cell>
          <cell r="F15610">
            <v>0</v>
          </cell>
          <cell r="DN15610">
            <v>0</v>
          </cell>
        </row>
        <row r="15611">
          <cell r="E15611">
            <v>0</v>
          </cell>
          <cell r="F15611">
            <v>0</v>
          </cell>
          <cell r="DN15611">
            <v>0</v>
          </cell>
        </row>
        <row r="15612">
          <cell r="E15612">
            <v>0</v>
          </cell>
          <cell r="F15612">
            <v>0</v>
          </cell>
          <cell r="DN15612">
            <v>0</v>
          </cell>
        </row>
        <row r="15613">
          <cell r="E15613">
            <v>0</v>
          </cell>
          <cell r="F15613">
            <v>0</v>
          </cell>
          <cell r="DN15613">
            <v>0</v>
          </cell>
        </row>
        <row r="15614">
          <cell r="E15614">
            <v>0</v>
          </cell>
          <cell r="F15614">
            <v>0</v>
          </cell>
          <cell r="DN15614">
            <v>0</v>
          </cell>
        </row>
        <row r="15615">
          <cell r="E15615">
            <v>0</v>
          </cell>
          <cell r="F15615">
            <v>0</v>
          </cell>
          <cell r="DN15615">
            <v>0</v>
          </cell>
        </row>
        <row r="15616">
          <cell r="E15616">
            <v>0</v>
          </cell>
          <cell r="F15616">
            <v>0</v>
          </cell>
          <cell r="DN15616">
            <v>0</v>
          </cell>
        </row>
        <row r="15617">
          <cell r="E15617">
            <v>0</v>
          </cell>
          <cell r="F15617">
            <v>0</v>
          </cell>
          <cell r="DN15617">
            <v>0</v>
          </cell>
        </row>
        <row r="15618">
          <cell r="E15618">
            <v>0</v>
          </cell>
          <cell r="F15618">
            <v>0</v>
          </cell>
          <cell r="DN15618">
            <v>0</v>
          </cell>
        </row>
        <row r="15619">
          <cell r="E15619">
            <v>0</v>
          </cell>
          <cell r="F15619">
            <v>0</v>
          </cell>
          <cell r="DN15619">
            <v>0</v>
          </cell>
        </row>
        <row r="15620">
          <cell r="E15620">
            <v>0</v>
          </cell>
          <cell r="F15620">
            <v>0</v>
          </cell>
          <cell r="DN15620">
            <v>0</v>
          </cell>
        </row>
        <row r="15621">
          <cell r="E15621">
            <v>0</v>
          </cell>
          <cell r="F15621">
            <v>0</v>
          </cell>
          <cell r="DN15621">
            <v>0</v>
          </cell>
        </row>
        <row r="15622">
          <cell r="E15622">
            <v>0</v>
          </cell>
          <cell r="F15622">
            <v>0</v>
          </cell>
          <cell r="DN15622">
            <v>0</v>
          </cell>
        </row>
        <row r="15623">
          <cell r="E15623">
            <v>0</v>
          </cell>
          <cell r="F15623">
            <v>0</v>
          </cell>
          <cell r="DN15623">
            <v>0</v>
          </cell>
        </row>
        <row r="15624">
          <cell r="E15624">
            <v>0</v>
          </cell>
          <cell r="F15624">
            <v>0</v>
          </cell>
          <cell r="DN15624">
            <v>0</v>
          </cell>
        </row>
        <row r="15625">
          <cell r="E15625">
            <v>0</v>
          </cell>
          <cell r="F15625">
            <v>0</v>
          </cell>
          <cell r="DN15625">
            <v>0</v>
          </cell>
        </row>
        <row r="15626">
          <cell r="E15626">
            <v>0</v>
          </cell>
          <cell r="F15626">
            <v>0</v>
          </cell>
          <cell r="DN15626">
            <v>0</v>
          </cell>
        </row>
        <row r="15627">
          <cell r="E15627">
            <v>0</v>
          </cell>
          <cell r="F15627">
            <v>0</v>
          </cell>
          <cell r="DN15627">
            <v>0</v>
          </cell>
        </row>
        <row r="15628">
          <cell r="E15628">
            <v>0</v>
          </cell>
          <cell r="F15628">
            <v>0</v>
          </cell>
          <cell r="DN15628">
            <v>0</v>
          </cell>
        </row>
        <row r="15629">
          <cell r="E15629">
            <v>0</v>
          </cell>
          <cell r="F15629">
            <v>0</v>
          </cell>
          <cell r="DN15629">
            <v>0</v>
          </cell>
        </row>
        <row r="15630">
          <cell r="E15630">
            <v>0</v>
          </cell>
          <cell r="F15630">
            <v>0</v>
          </cell>
          <cell r="DN15630">
            <v>0</v>
          </cell>
        </row>
        <row r="15631">
          <cell r="E15631">
            <v>0</v>
          </cell>
          <cell r="F15631">
            <v>0</v>
          </cell>
          <cell r="DN15631">
            <v>0</v>
          </cell>
        </row>
        <row r="15632">
          <cell r="E15632">
            <v>0</v>
          </cell>
          <cell r="F15632">
            <v>0</v>
          </cell>
          <cell r="DN15632">
            <v>0</v>
          </cell>
        </row>
        <row r="15633">
          <cell r="E15633">
            <v>0</v>
          </cell>
          <cell r="F15633">
            <v>0</v>
          </cell>
          <cell r="DN15633">
            <v>0</v>
          </cell>
        </row>
        <row r="15634">
          <cell r="E15634">
            <v>0</v>
          </cell>
          <cell r="F15634">
            <v>0</v>
          </cell>
          <cell r="DN15634">
            <v>0</v>
          </cell>
        </row>
        <row r="15635">
          <cell r="E15635">
            <v>0</v>
          </cell>
          <cell r="F15635">
            <v>0</v>
          </cell>
          <cell r="DN15635">
            <v>0</v>
          </cell>
        </row>
        <row r="15636">
          <cell r="E15636">
            <v>0</v>
          </cell>
          <cell r="F15636">
            <v>0</v>
          </cell>
          <cell r="DN15636">
            <v>0</v>
          </cell>
        </row>
        <row r="15637">
          <cell r="E15637">
            <v>0</v>
          </cell>
          <cell r="F15637">
            <v>0</v>
          </cell>
          <cell r="DN15637">
            <v>0</v>
          </cell>
        </row>
        <row r="15638">
          <cell r="E15638">
            <v>0</v>
          </cell>
          <cell r="F15638">
            <v>0</v>
          </cell>
          <cell r="DN15638">
            <v>0</v>
          </cell>
        </row>
        <row r="15639">
          <cell r="E15639">
            <v>0</v>
          </cell>
          <cell r="F15639">
            <v>0</v>
          </cell>
          <cell r="DN15639">
            <v>0</v>
          </cell>
        </row>
        <row r="15640">
          <cell r="E15640">
            <v>0</v>
          </cell>
          <cell r="F15640">
            <v>0</v>
          </cell>
          <cell r="DN15640">
            <v>0</v>
          </cell>
        </row>
        <row r="15641">
          <cell r="E15641">
            <v>0</v>
          </cell>
          <cell r="F15641">
            <v>0</v>
          </cell>
          <cell r="DN15641">
            <v>0</v>
          </cell>
        </row>
        <row r="15642">
          <cell r="E15642">
            <v>0</v>
          </cell>
          <cell r="F15642">
            <v>0</v>
          </cell>
          <cell r="DN15642">
            <v>0</v>
          </cell>
        </row>
        <row r="15643">
          <cell r="E15643">
            <v>0</v>
          </cell>
          <cell r="F15643">
            <v>0</v>
          </cell>
          <cell r="DN15643">
            <v>0</v>
          </cell>
        </row>
        <row r="15644">
          <cell r="E15644">
            <v>0</v>
          </cell>
          <cell r="F15644">
            <v>0</v>
          </cell>
          <cell r="DN15644">
            <v>0</v>
          </cell>
        </row>
        <row r="15645">
          <cell r="E15645">
            <v>0</v>
          </cell>
          <cell r="F15645">
            <v>0</v>
          </cell>
          <cell r="DN15645">
            <v>0</v>
          </cell>
        </row>
        <row r="15646">
          <cell r="E15646">
            <v>0</v>
          </cell>
          <cell r="F15646">
            <v>0</v>
          </cell>
          <cell r="DN15646">
            <v>0</v>
          </cell>
        </row>
        <row r="15647">
          <cell r="E15647">
            <v>0</v>
          </cell>
          <cell r="F15647">
            <v>0</v>
          </cell>
          <cell r="DN15647">
            <v>0</v>
          </cell>
        </row>
        <row r="15648">
          <cell r="E15648">
            <v>0</v>
          </cell>
          <cell r="F15648">
            <v>0</v>
          </cell>
          <cell r="DN15648">
            <v>0</v>
          </cell>
        </row>
        <row r="15649">
          <cell r="E15649">
            <v>0</v>
          </cell>
          <cell r="F15649">
            <v>0</v>
          </cell>
          <cell r="DN15649">
            <v>0</v>
          </cell>
        </row>
        <row r="15650">
          <cell r="E15650">
            <v>0</v>
          </cell>
          <cell r="F15650">
            <v>0</v>
          </cell>
          <cell r="DN15650">
            <v>0</v>
          </cell>
        </row>
        <row r="15651">
          <cell r="E15651">
            <v>0</v>
          </cell>
          <cell r="F15651">
            <v>0</v>
          </cell>
          <cell r="DN15651">
            <v>0</v>
          </cell>
        </row>
        <row r="15652">
          <cell r="E15652">
            <v>0</v>
          </cell>
          <cell r="F15652">
            <v>0</v>
          </cell>
          <cell r="DN15652">
            <v>0</v>
          </cell>
        </row>
        <row r="15653">
          <cell r="E15653">
            <v>0</v>
          </cell>
          <cell r="F15653">
            <v>0</v>
          </cell>
          <cell r="DN15653">
            <v>0</v>
          </cell>
        </row>
        <row r="15654">
          <cell r="E15654">
            <v>0</v>
          </cell>
          <cell r="F15654">
            <v>0</v>
          </cell>
          <cell r="DN15654">
            <v>0</v>
          </cell>
        </row>
        <row r="15655">
          <cell r="E15655">
            <v>0</v>
          </cell>
          <cell r="F15655">
            <v>0</v>
          </cell>
          <cell r="DN15655">
            <v>0</v>
          </cell>
        </row>
        <row r="15656">
          <cell r="E15656">
            <v>0</v>
          </cell>
          <cell r="F15656">
            <v>0</v>
          </cell>
          <cell r="DN15656">
            <v>0</v>
          </cell>
        </row>
        <row r="15657">
          <cell r="E15657">
            <v>0</v>
          </cell>
          <cell r="F15657">
            <v>0</v>
          </cell>
          <cell r="DN15657">
            <v>0</v>
          </cell>
        </row>
        <row r="15658">
          <cell r="E15658">
            <v>0</v>
          </cell>
          <cell r="F15658">
            <v>0</v>
          </cell>
          <cell r="DN15658">
            <v>0</v>
          </cell>
        </row>
        <row r="15659">
          <cell r="E15659">
            <v>0</v>
          </cell>
          <cell r="F15659">
            <v>0</v>
          </cell>
          <cell r="DN15659">
            <v>0</v>
          </cell>
        </row>
        <row r="15660">
          <cell r="E15660">
            <v>0</v>
          </cell>
          <cell r="F15660">
            <v>0</v>
          </cell>
          <cell r="DN15660">
            <v>0</v>
          </cell>
        </row>
        <row r="15661">
          <cell r="E15661">
            <v>0</v>
          </cell>
          <cell r="F15661">
            <v>0</v>
          </cell>
          <cell r="DN15661">
            <v>0</v>
          </cell>
        </row>
        <row r="15662">
          <cell r="E15662">
            <v>0</v>
          </cell>
          <cell r="F15662">
            <v>0</v>
          </cell>
          <cell r="DN15662">
            <v>0</v>
          </cell>
        </row>
        <row r="15663">
          <cell r="E15663">
            <v>0</v>
          </cell>
          <cell r="F15663">
            <v>0</v>
          </cell>
          <cell r="DN15663">
            <v>0</v>
          </cell>
        </row>
        <row r="15664">
          <cell r="E15664">
            <v>0</v>
          </cell>
          <cell r="F15664">
            <v>0</v>
          </cell>
          <cell r="DN15664">
            <v>0</v>
          </cell>
        </row>
        <row r="15665">
          <cell r="E15665">
            <v>0</v>
          </cell>
          <cell r="F15665">
            <v>0</v>
          </cell>
          <cell r="DN15665">
            <v>0</v>
          </cell>
        </row>
        <row r="15666">
          <cell r="E15666">
            <v>0</v>
          </cell>
          <cell r="F15666">
            <v>0</v>
          </cell>
          <cell r="DN15666">
            <v>0</v>
          </cell>
        </row>
        <row r="15667">
          <cell r="E15667">
            <v>0</v>
          </cell>
          <cell r="F15667">
            <v>0</v>
          </cell>
          <cell r="DN15667">
            <v>0</v>
          </cell>
        </row>
        <row r="15668">
          <cell r="E15668">
            <v>0</v>
          </cell>
          <cell r="F15668">
            <v>0</v>
          </cell>
          <cell r="DN15668">
            <v>0</v>
          </cell>
        </row>
        <row r="15669">
          <cell r="E15669">
            <v>0</v>
          </cell>
          <cell r="F15669">
            <v>0</v>
          </cell>
          <cell r="DN15669">
            <v>0</v>
          </cell>
        </row>
        <row r="15670">
          <cell r="E15670">
            <v>0</v>
          </cell>
          <cell r="F15670">
            <v>0</v>
          </cell>
          <cell r="DN15670">
            <v>0</v>
          </cell>
        </row>
        <row r="15671">
          <cell r="E15671">
            <v>0</v>
          </cell>
          <cell r="F15671">
            <v>0</v>
          </cell>
          <cell r="DN15671">
            <v>0</v>
          </cell>
        </row>
        <row r="15672">
          <cell r="E15672">
            <v>0</v>
          </cell>
          <cell r="F15672">
            <v>0</v>
          </cell>
          <cell r="DN15672">
            <v>0</v>
          </cell>
        </row>
        <row r="15673">
          <cell r="E15673">
            <v>0</v>
          </cell>
          <cell r="F15673">
            <v>0</v>
          </cell>
          <cell r="DN15673">
            <v>0</v>
          </cell>
        </row>
        <row r="15674">
          <cell r="E15674">
            <v>0</v>
          </cell>
          <cell r="F15674">
            <v>0</v>
          </cell>
          <cell r="DN15674">
            <v>0</v>
          </cell>
        </row>
        <row r="15675">
          <cell r="E15675">
            <v>0</v>
          </cell>
          <cell r="F15675">
            <v>0</v>
          </cell>
          <cell r="DN15675">
            <v>0</v>
          </cell>
        </row>
        <row r="15676">
          <cell r="E15676">
            <v>0</v>
          </cell>
          <cell r="F15676">
            <v>0</v>
          </cell>
          <cell r="DN15676">
            <v>0</v>
          </cell>
        </row>
        <row r="15677">
          <cell r="E15677">
            <v>0</v>
          </cell>
          <cell r="F15677">
            <v>0</v>
          </cell>
          <cell r="DN15677">
            <v>0</v>
          </cell>
        </row>
        <row r="15678">
          <cell r="E15678">
            <v>0</v>
          </cell>
          <cell r="F15678">
            <v>0</v>
          </cell>
          <cell r="DN15678">
            <v>0</v>
          </cell>
        </row>
        <row r="15679">
          <cell r="E15679">
            <v>0</v>
          </cell>
          <cell r="F15679">
            <v>0</v>
          </cell>
          <cell r="DN15679">
            <v>0</v>
          </cell>
        </row>
        <row r="15680">
          <cell r="E15680">
            <v>0</v>
          </cell>
          <cell r="F15680">
            <v>0</v>
          </cell>
          <cell r="DN15680">
            <v>0</v>
          </cell>
        </row>
        <row r="15681">
          <cell r="E15681">
            <v>0</v>
          </cell>
          <cell r="F15681">
            <v>0</v>
          </cell>
          <cell r="DN15681">
            <v>0</v>
          </cell>
        </row>
        <row r="15682">
          <cell r="E15682">
            <v>0</v>
          </cell>
          <cell r="F15682">
            <v>0</v>
          </cell>
          <cell r="DN15682">
            <v>0</v>
          </cell>
        </row>
        <row r="15683">
          <cell r="E15683">
            <v>0</v>
          </cell>
          <cell r="F15683">
            <v>0</v>
          </cell>
          <cell r="DN15683">
            <v>0</v>
          </cell>
        </row>
        <row r="15684">
          <cell r="E15684">
            <v>0</v>
          </cell>
          <cell r="F15684">
            <v>0</v>
          </cell>
          <cell r="DN15684">
            <v>0</v>
          </cell>
        </row>
        <row r="15685">
          <cell r="E15685">
            <v>0</v>
          </cell>
          <cell r="F15685">
            <v>0</v>
          </cell>
          <cell r="DN15685">
            <v>0</v>
          </cell>
        </row>
        <row r="15686">
          <cell r="E15686">
            <v>0</v>
          </cell>
          <cell r="F15686">
            <v>0</v>
          </cell>
          <cell r="DN15686">
            <v>0</v>
          </cell>
        </row>
        <row r="15687">
          <cell r="E15687">
            <v>0</v>
          </cell>
          <cell r="F15687">
            <v>0</v>
          </cell>
          <cell r="DN15687">
            <v>0</v>
          </cell>
        </row>
        <row r="15688">
          <cell r="E15688">
            <v>0</v>
          </cell>
          <cell r="F15688">
            <v>0</v>
          </cell>
          <cell r="DN15688">
            <v>0</v>
          </cell>
        </row>
        <row r="15689">
          <cell r="E15689">
            <v>0</v>
          </cell>
          <cell r="F15689">
            <v>0</v>
          </cell>
          <cell r="DN15689">
            <v>0</v>
          </cell>
        </row>
        <row r="15690">
          <cell r="E15690">
            <v>0</v>
          </cell>
          <cell r="F15690">
            <v>0</v>
          </cell>
          <cell r="DN15690">
            <v>0</v>
          </cell>
        </row>
        <row r="15691">
          <cell r="E15691">
            <v>0</v>
          </cell>
          <cell r="F15691">
            <v>0</v>
          </cell>
          <cell r="DN15691">
            <v>0</v>
          </cell>
        </row>
        <row r="15692">
          <cell r="E15692">
            <v>0</v>
          </cell>
          <cell r="F15692">
            <v>0</v>
          </cell>
          <cell r="DN15692">
            <v>0</v>
          </cell>
        </row>
        <row r="15693">
          <cell r="E15693">
            <v>0</v>
          </cell>
          <cell r="F15693">
            <v>0</v>
          </cell>
          <cell r="DN15693">
            <v>0</v>
          </cell>
        </row>
        <row r="15694">
          <cell r="E15694">
            <v>0</v>
          </cell>
          <cell r="F15694">
            <v>0</v>
          </cell>
          <cell r="DN15694">
            <v>0</v>
          </cell>
        </row>
        <row r="15695">
          <cell r="E15695">
            <v>0</v>
          </cell>
          <cell r="F15695">
            <v>0</v>
          </cell>
          <cell r="DN15695">
            <v>0</v>
          </cell>
        </row>
        <row r="15696">
          <cell r="E15696">
            <v>0</v>
          </cell>
          <cell r="F15696">
            <v>0</v>
          </cell>
          <cell r="DN15696">
            <v>0</v>
          </cell>
        </row>
        <row r="15697">
          <cell r="E15697">
            <v>0</v>
          </cell>
          <cell r="F15697">
            <v>0</v>
          </cell>
          <cell r="DN15697">
            <v>0</v>
          </cell>
        </row>
        <row r="15698">
          <cell r="E15698">
            <v>0</v>
          </cell>
          <cell r="F15698">
            <v>0</v>
          </cell>
          <cell r="DN15698">
            <v>0</v>
          </cell>
        </row>
        <row r="15699">
          <cell r="E15699">
            <v>0</v>
          </cell>
          <cell r="F15699">
            <v>0</v>
          </cell>
          <cell r="DN15699">
            <v>0</v>
          </cell>
        </row>
        <row r="15700">
          <cell r="E15700">
            <v>0</v>
          </cell>
          <cell r="F15700">
            <v>0</v>
          </cell>
          <cell r="DN15700">
            <v>0</v>
          </cell>
        </row>
        <row r="15701">
          <cell r="E15701">
            <v>0</v>
          </cell>
          <cell r="F15701">
            <v>0</v>
          </cell>
          <cell r="DN15701">
            <v>0</v>
          </cell>
        </row>
        <row r="15702">
          <cell r="E15702">
            <v>0</v>
          </cell>
          <cell r="F15702">
            <v>0</v>
          </cell>
          <cell r="DN15702">
            <v>0</v>
          </cell>
        </row>
        <row r="15703">
          <cell r="E15703">
            <v>0</v>
          </cell>
          <cell r="F15703">
            <v>0</v>
          </cell>
          <cell r="DN15703">
            <v>0</v>
          </cell>
        </row>
        <row r="15704">
          <cell r="E15704">
            <v>0</v>
          </cell>
          <cell r="F15704">
            <v>0</v>
          </cell>
          <cell r="DN15704">
            <v>0</v>
          </cell>
        </row>
        <row r="15705">
          <cell r="E15705">
            <v>0</v>
          </cell>
          <cell r="F15705">
            <v>0</v>
          </cell>
          <cell r="DN15705">
            <v>0</v>
          </cell>
        </row>
        <row r="15706">
          <cell r="E15706">
            <v>0</v>
          </cell>
          <cell r="F15706">
            <v>0</v>
          </cell>
          <cell r="DN15706">
            <v>0</v>
          </cell>
        </row>
        <row r="15707">
          <cell r="E15707">
            <v>0</v>
          </cell>
          <cell r="F15707">
            <v>0</v>
          </cell>
          <cell r="DN15707">
            <v>0</v>
          </cell>
        </row>
        <row r="15708">
          <cell r="E15708">
            <v>0</v>
          </cell>
          <cell r="F15708">
            <v>0</v>
          </cell>
          <cell r="DN15708">
            <v>0</v>
          </cell>
        </row>
        <row r="15709">
          <cell r="E15709">
            <v>0</v>
          </cell>
          <cell r="F15709">
            <v>0</v>
          </cell>
          <cell r="DN15709">
            <v>0</v>
          </cell>
        </row>
        <row r="15710">
          <cell r="E15710">
            <v>0</v>
          </cell>
          <cell r="F15710">
            <v>0</v>
          </cell>
          <cell r="DN15710">
            <v>0</v>
          </cell>
        </row>
        <row r="15711">
          <cell r="E15711">
            <v>0</v>
          </cell>
          <cell r="F15711">
            <v>0</v>
          </cell>
          <cell r="DN15711">
            <v>0</v>
          </cell>
        </row>
        <row r="15712">
          <cell r="E15712">
            <v>0</v>
          </cell>
          <cell r="F15712">
            <v>0</v>
          </cell>
          <cell r="DN15712">
            <v>0</v>
          </cell>
        </row>
        <row r="15713">
          <cell r="E15713">
            <v>0</v>
          </cell>
          <cell r="F15713">
            <v>0</v>
          </cell>
          <cell r="DN15713">
            <v>0</v>
          </cell>
        </row>
        <row r="15714">
          <cell r="E15714">
            <v>0</v>
          </cell>
          <cell r="F15714">
            <v>0</v>
          </cell>
          <cell r="DN15714">
            <v>0</v>
          </cell>
        </row>
        <row r="15715">
          <cell r="E15715">
            <v>0</v>
          </cell>
          <cell r="F15715">
            <v>0</v>
          </cell>
          <cell r="DN15715">
            <v>0</v>
          </cell>
        </row>
        <row r="15716">
          <cell r="E15716">
            <v>0</v>
          </cell>
          <cell r="F15716">
            <v>0</v>
          </cell>
          <cell r="DN15716">
            <v>0</v>
          </cell>
        </row>
        <row r="15717">
          <cell r="E15717">
            <v>0</v>
          </cell>
          <cell r="F15717">
            <v>0</v>
          </cell>
          <cell r="DN15717">
            <v>0</v>
          </cell>
        </row>
        <row r="15718">
          <cell r="E15718">
            <v>0</v>
          </cell>
          <cell r="F15718">
            <v>0</v>
          </cell>
          <cell r="DN15718">
            <v>0</v>
          </cell>
        </row>
        <row r="15719">
          <cell r="E15719">
            <v>0</v>
          </cell>
          <cell r="F15719">
            <v>0</v>
          </cell>
          <cell r="DN15719">
            <v>0</v>
          </cell>
        </row>
        <row r="15720">
          <cell r="E15720">
            <v>0</v>
          </cell>
          <cell r="F15720">
            <v>0</v>
          </cell>
          <cell r="DN15720">
            <v>0</v>
          </cell>
        </row>
        <row r="15721">
          <cell r="E15721">
            <v>0</v>
          </cell>
          <cell r="F15721">
            <v>0</v>
          </cell>
          <cell r="DN15721">
            <v>0</v>
          </cell>
        </row>
        <row r="15722">
          <cell r="E15722">
            <v>0</v>
          </cell>
          <cell r="F15722">
            <v>0</v>
          </cell>
          <cell r="DN15722">
            <v>0</v>
          </cell>
        </row>
        <row r="15723">
          <cell r="E15723">
            <v>0</v>
          </cell>
          <cell r="F15723">
            <v>0</v>
          </cell>
          <cell r="DN15723">
            <v>0</v>
          </cell>
        </row>
        <row r="15724">
          <cell r="E15724">
            <v>0</v>
          </cell>
          <cell r="F15724">
            <v>0</v>
          </cell>
          <cell r="DN15724">
            <v>0</v>
          </cell>
        </row>
        <row r="15725">
          <cell r="E15725">
            <v>0</v>
          </cell>
          <cell r="F15725">
            <v>0</v>
          </cell>
          <cell r="DN15725">
            <v>0</v>
          </cell>
        </row>
        <row r="15726">
          <cell r="E15726">
            <v>0</v>
          </cell>
          <cell r="F15726">
            <v>0</v>
          </cell>
          <cell r="DN15726">
            <v>0</v>
          </cell>
        </row>
        <row r="15727">
          <cell r="E15727">
            <v>0</v>
          </cell>
          <cell r="F15727">
            <v>0</v>
          </cell>
          <cell r="DN15727">
            <v>0</v>
          </cell>
        </row>
        <row r="15728">
          <cell r="E15728">
            <v>0</v>
          </cell>
          <cell r="F15728">
            <v>0</v>
          </cell>
          <cell r="DN15728">
            <v>0</v>
          </cell>
        </row>
        <row r="15729">
          <cell r="E15729">
            <v>0</v>
          </cell>
          <cell r="F15729">
            <v>0</v>
          </cell>
          <cell r="DN15729">
            <v>0</v>
          </cell>
        </row>
        <row r="15730">
          <cell r="E15730">
            <v>0</v>
          </cell>
          <cell r="F15730">
            <v>0</v>
          </cell>
          <cell r="DN15730">
            <v>0</v>
          </cell>
        </row>
        <row r="15731">
          <cell r="E15731">
            <v>0</v>
          </cell>
          <cell r="F15731">
            <v>0</v>
          </cell>
          <cell r="DN15731">
            <v>0</v>
          </cell>
        </row>
        <row r="15732">
          <cell r="E15732">
            <v>0</v>
          </cell>
          <cell r="F15732">
            <v>0</v>
          </cell>
          <cell r="DN15732">
            <v>0</v>
          </cell>
        </row>
        <row r="15733">
          <cell r="E15733">
            <v>0</v>
          </cell>
          <cell r="F15733">
            <v>0</v>
          </cell>
          <cell r="DN15733">
            <v>0</v>
          </cell>
        </row>
        <row r="15734">
          <cell r="E15734">
            <v>0</v>
          </cell>
          <cell r="F15734">
            <v>0</v>
          </cell>
          <cell r="DN15734">
            <v>0</v>
          </cell>
        </row>
        <row r="15735">
          <cell r="E15735">
            <v>0</v>
          </cell>
          <cell r="F15735">
            <v>0</v>
          </cell>
          <cell r="DN15735">
            <v>0</v>
          </cell>
        </row>
        <row r="15736">
          <cell r="E15736">
            <v>0</v>
          </cell>
          <cell r="F15736">
            <v>0</v>
          </cell>
          <cell r="DN15736">
            <v>0</v>
          </cell>
        </row>
        <row r="15737">
          <cell r="E15737">
            <v>0</v>
          </cell>
          <cell r="F15737">
            <v>0</v>
          </cell>
          <cell r="DN15737">
            <v>0</v>
          </cell>
        </row>
        <row r="15738">
          <cell r="E15738">
            <v>0</v>
          </cell>
          <cell r="F15738">
            <v>0</v>
          </cell>
          <cell r="DN15738">
            <v>0</v>
          </cell>
        </row>
        <row r="15739">
          <cell r="E15739">
            <v>0</v>
          </cell>
          <cell r="F15739">
            <v>0</v>
          </cell>
          <cell r="DN15739">
            <v>0</v>
          </cell>
        </row>
        <row r="15740">
          <cell r="E15740">
            <v>0</v>
          </cell>
          <cell r="F15740">
            <v>0</v>
          </cell>
          <cell r="DN15740">
            <v>0</v>
          </cell>
        </row>
        <row r="15741">
          <cell r="E15741">
            <v>0</v>
          </cell>
          <cell r="F15741">
            <v>0</v>
          </cell>
          <cell r="DN15741">
            <v>0</v>
          </cell>
        </row>
        <row r="15742">
          <cell r="E15742">
            <v>0</v>
          </cell>
          <cell r="F15742">
            <v>0</v>
          </cell>
          <cell r="DN15742">
            <v>0</v>
          </cell>
        </row>
        <row r="15743">
          <cell r="E15743">
            <v>0</v>
          </cell>
          <cell r="F15743">
            <v>0</v>
          </cell>
          <cell r="DN15743">
            <v>0</v>
          </cell>
        </row>
        <row r="15744">
          <cell r="E15744">
            <v>0</v>
          </cell>
          <cell r="F15744">
            <v>0</v>
          </cell>
          <cell r="DN15744">
            <v>0</v>
          </cell>
        </row>
        <row r="15745">
          <cell r="E15745">
            <v>0</v>
          </cell>
          <cell r="F15745">
            <v>0</v>
          </cell>
          <cell r="DN15745">
            <v>0</v>
          </cell>
        </row>
        <row r="15746">
          <cell r="E15746">
            <v>0</v>
          </cell>
          <cell r="F15746">
            <v>0</v>
          </cell>
          <cell r="DN15746">
            <v>0</v>
          </cell>
        </row>
        <row r="15747">
          <cell r="E15747">
            <v>0</v>
          </cell>
          <cell r="F15747">
            <v>0</v>
          </cell>
          <cell r="DN15747">
            <v>0</v>
          </cell>
        </row>
        <row r="15748">
          <cell r="E15748">
            <v>0</v>
          </cell>
          <cell r="F15748">
            <v>0</v>
          </cell>
          <cell r="DN15748">
            <v>0</v>
          </cell>
        </row>
        <row r="15749">
          <cell r="E15749">
            <v>0</v>
          </cell>
          <cell r="F15749">
            <v>0</v>
          </cell>
          <cell r="DN15749">
            <v>0</v>
          </cell>
        </row>
        <row r="15750">
          <cell r="E15750">
            <v>0</v>
          </cell>
          <cell r="F15750">
            <v>0</v>
          </cell>
          <cell r="DN15750">
            <v>0</v>
          </cell>
        </row>
        <row r="15751">
          <cell r="E15751">
            <v>0</v>
          </cell>
          <cell r="F15751">
            <v>0</v>
          </cell>
          <cell r="DN15751">
            <v>0</v>
          </cell>
        </row>
        <row r="15752">
          <cell r="E15752">
            <v>0</v>
          </cell>
          <cell r="F15752">
            <v>0</v>
          </cell>
          <cell r="DN15752">
            <v>0</v>
          </cell>
        </row>
        <row r="15753">
          <cell r="E15753">
            <v>0</v>
          </cell>
          <cell r="F15753">
            <v>0</v>
          </cell>
          <cell r="DN15753">
            <v>0</v>
          </cell>
        </row>
        <row r="15754">
          <cell r="E15754">
            <v>0</v>
          </cell>
          <cell r="F15754">
            <v>0</v>
          </cell>
          <cell r="DN15754">
            <v>0</v>
          </cell>
        </row>
        <row r="15755">
          <cell r="E15755">
            <v>0</v>
          </cell>
          <cell r="F15755">
            <v>0</v>
          </cell>
          <cell r="DN15755">
            <v>0</v>
          </cell>
        </row>
        <row r="15756">
          <cell r="E15756">
            <v>0</v>
          </cell>
          <cell r="F15756">
            <v>0</v>
          </cell>
          <cell r="DN15756">
            <v>0</v>
          </cell>
        </row>
        <row r="15757">
          <cell r="E15757">
            <v>0</v>
          </cell>
          <cell r="F15757">
            <v>0</v>
          </cell>
          <cell r="DN15757">
            <v>0</v>
          </cell>
        </row>
        <row r="15758">
          <cell r="E15758">
            <v>0</v>
          </cell>
          <cell r="F15758">
            <v>0</v>
          </cell>
          <cell r="DN15758">
            <v>0</v>
          </cell>
        </row>
        <row r="15759">
          <cell r="E15759">
            <v>0</v>
          </cell>
          <cell r="F15759">
            <v>0</v>
          </cell>
          <cell r="DN15759">
            <v>0</v>
          </cell>
        </row>
        <row r="15760">
          <cell r="E15760">
            <v>0</v>
          </cell>
          <cell r="F15760">
            <v>0</v>
          </cell>
          <cell r="DN15760">
            <v>0</v>
          </cell>
        </row>
        <row r="15761">
          <cell r="E15761">
            <v>0</v>
          </cell>
          <cell r="F15761">
            <v>0</v>
          </cell>
          <cell r="DN15761">
            <v>0</v>
          </cell>
        </row>
        <row r="15762">
          <cell r="E15762">
            <v>0</v>
          </cell>
          <cell r="F15762">
            <v>0</v>
          </cell>
          <cell r="DN15762">
            <v>0</v>
          </cell>
        </row>
        <row r="15763">
          <cell r="E15763">
            <v>0</v>
          </cell>
          <cell r="F15763">
            <v>0</v>
          </cell>
          <cell r="DN15763">
            <v>0</v>
          </cell>
        </row>
        <row r="15764">
          <cell r="E15764">
            <v>0</v>
          </cell>
          <cell r="F15764">
            <v>0</v>
          </cell>
          <cell r="DN15764">
            <v>0</v>
          </cell>
        </row>
        <row r="15765">
          <cell r="E15765">
            <v>0</v>
          </cell>
          <cell r="F15765">
            <v>0</v>
          </cell>
          <cell r="DN15765">
            <v>0</v>
          </cell>
        </row>
        <row r="15766">
          <cell r="E15766">
            <v>0</v>
          </cell>
          <cell r="F15766">
            <v>0</v>
          </cell>
          <cell r="DN15766">
            <v>0</v>
          </cell>
        </row>
        <row r="15767">
          <cell r="E15767">
            <v>0</v>
          </cell>
          <cell r="F15767">
            <v>0</v>
          </cell>
          <cell r="DN15767">
            <v>0</v>
          </cell>
        </row>
        <row r="15768">
          <cell r="E15768">
            <v>0</v>
          </cell>
          <cell r="F15768">
            <v>0</v>
          </cell>
          <cell r="DN15768">
            <v>0</v>
          </cell>
        </row>
        <row r="15769">
          <cell r="E15769">
            <v>0</v>
          </cell>
          <cell r="F15769">
            <v>0</v>
          </cell>
          <cell r="DN15769">
            <v>0</v>
          </cell>
        </row>
        <row r="15770">
          <cell r="E15770">
            <v>0</v>
          </cell>
          <cell r="F15770">
            <v>0</v>
          </cell>
          <cell r="DN15770">
            <v>0</v>
          </cell>
        </row>
        <row r="15771">
          <cell r="E15771">
            <v>0</v>
          </cell>
          <cell r="F15771">
            <v>0</v>
          </cell>
          <cell r="DN15771">
            <v>0</v>
          </cell>
        </row>
        <row r="15772">
          <cell r="E15772">
            <v>0</v>
          </cell>
          <cell r="F15772">
            <v>0</v>
          </cell>
          <cell r="DN15772">
            <v>0</v>
          </cell>
        </row>
        <row r="15773">
          <cell r="E15773">
            <v>0</v>
          </cell>
          <cell r="F15773">
            <v>0</v>
          </cell>
          <cell r="DN15773">
            <v>0</v>
          </cell>
        </row>
        <row r="15774">
          <cell r="E15774">
            <v>0</v>
          </cell>
          <cell r="F15774">
            <v>0</v>
          </cell>
          <cell r="DN15774">
            <v>0</v>
          </cell>
        </row>
        <row r="15775">
          <cell r="E15775">
            <v>0</v>
          </cell>
          <cell r="F15775">
            <v>0</v>
          </cell>
          <cell r="DN15775">
            <v>0</v>
          </cell>
        </row>
        <row r="15776">
          <cell r="E15776">
            <v>0</v>
          </cell>
          <cell r="F15776">
            <v>0</v>
          </cell>
          <cell r="DN15776">
            <v>0</v>
          </cell>
        </row>
        <row r="15777">
          <cell r="E15777">
            <v>0</v>
          </cell>
          <cell r="F15777">
            <v>0</v>
          </cell>
          <cell r="DN15777">
            <v>0</v>
          </cell>
        </row>
        <row r="15778">
          <cell r="E15778">
            <v>0</v>
          </cell>
          <cell r="F15778">
            <v>0</v>
          </cell>
          <cell r="DN15778">
            <v>0</v>
          </cell>
        </row>
        <row r="15779">
          <cell r="E15779">
            <v>0</v>
          </cell>
          <cell r="F15779">
            <v>0</v>
          </cell>
          <cell r="DN15779">
            <v>0</v>
          </cell>
        </row>
        <row r="15780">
          <cell r="E15780">
            <v>0</v>
          </cell>
          <cell r="F15780">
            <v>0</v>
          </cell>
          <cell r="DN15780">
            <v>0</v>
          </cell>
        </row>
        <row r="15781">
          <cell r="E15781">
            <v>0</v>
          </cell>
          <cell r="F15781">
            <v>0</v>
          </cell>
          <cell r="DN15781">
            <v>0</v>
          </cell>
        </row>
        <row r="15782">
          <cell r="E15782">
            <v>0</v>
          </cell>
          <cell r="F15782">
            <v>0</v>
          </cell>
          <cell r="DN15782">
            <v>0</v>
          </cell>
        </row>
        <row r="15783">
          <cell r="E15783">
            <v>0</v>
          </cell>
          <cell r="F15783">
            <v>0</v>
          </cell>
          <cell r="DN15783">
            <v>0</v>
          </cell>
        </row>
        <row r="15784">
          <cell r="E15784">
            <v>0</v>
          </cell>
          <cell r="F15784">
            <v>0</v>
          </cell>
          <cell r="DN15784">
            <v>0</v>
          </cell>
        </row>
        <row r="15785">
          <cell r="E15785">
            <v>0</v>
          </cell>
          <cell r="F15785">
            <v>0</v>
          </cell>
          <cell r="DN15785">
            <v>0</v>
          </cell>
        </row>
        <row r="15786">
          <cell r="E15786">
            <v>0</v>
          </cell>
          <cell r="F15786">
            <v>0</v>
          </cell>
          <cell r="DN15786">
            <v>0</v>
          </cell>
        </row>
        <row r="15787">
          <cell r="E15787">
            <v>0</v>
          </cell>
          <cell r="F15787">
            <v>0</v>
          </cell>
          <cell r="DN15787">
            <v>0</v>
          </cell>
        </row>
        <row r="15788">
          <cell r="E15788">
            <v>0</v>
          </cell>
          <cell r="F15788">
            <v>0</v>
          </cell>
          <cell r="DN15788">
            <v>0</v>
          </cell>
        </row>
        <row r="15789">
          <cell r="E15789">
            <v>0</v>
          </cell>
          <cell r="F15789">
            <v>0</v>
          </cell>
          <cell r="DN15789">
            <v>0</v>
          </cell>
        </row>
        <row r="15790">
          <cell r="E15790">
            <v>0</v>
          </cell>
          <cell r="F15790">
            <v>0</v>
          </cell>
          <cell r="DN15790">
            <v>0</v>
          </cell>
        </row>
        <row r="15791">
          <cell r="E15791">
            <v>0</v>
          </cell>
          <cell r="F15791">
            <v>0</v>
          </cell>
          <cell r="DN15791">
            <v>0</v>
          </cell>
        </row>
        <row r="15792">
          <cell r="E15792">
            <v>0</v>
          </cell>
          <cell r="F15792">
            <v>0</v>
          </cell>
          <cell r="DN15792">
            <v>0</v>
          </cell>
        </row>
        <row r="15793">
          <cell r="E15793">
            <v>0</v>
          </cell>
          <cell r="F15793">
            <v>0</v>
          </cell>
          <cell r="DN15793">
            <v>0</v>
          </cell>
        </row>
        <row r="15794">
          <cell r="E15794">
            <v>0</v>
          </cell>
          <cell r="F15794">
            <v>0</v>
          </cell>
          <cell r="DN15794">
            <v>0</v>
          </cell>
        </row>
        <row r="15795">
          <cell r="E15795">
            <v>0</v>
          </cell>
          <cell r="F15795">
            <v>0</v>
          </cell>
          <cell r="DN15795">
            <v>0</v>
          </cell>
        </row>
        <row r="15796">
          <cell r="E15796">
            <v>0</v>
          </cell>
          <cell r="F15796">
            <v>0</v>
          </cell>
          <cell r="DN15796">
            <v>0</v>
          </cell>
        </row>
        <row r="15797">
          <cell r="E15797">
            <v>0</v>
          </cell>
          <cell r="F15797">
            <v>0</v>
          </cell>
          <cell r="DN15797">
            <v>0</v>
          </cell>
        </row>
        <row r="15798">
          <cell r="E15798">
            <v>0</v>
          </cell>
          <cell r="F15798">
            <v>0</v>
          </cell>
          <cell r="DN15798">
            <v>0</v>
          </cell>
        </row>
        <row r="15799">
          <cell r="E15799">
            <v>0</v>
          </cell>
          <cell r="F15799">
            <v>0</v>
          </cell>
          <cell r="DN15799">
            <v>0</v>
          </cell>
        </row>
        <row r="15800">
          <cell r="E15800">
            <v>0</v>
          </cell>
          <cell r="F15800">
            <v>0</v>
          </cell>
          <cell r="DN15800">
            <v>0</v>
          </cell>
        </row>
        <row r="15801">
          <cell r="E15801">
            <v>0</v>
          </cell>
          <cell r="F15801">
            <v>0</v>
          </cell>
          <cell r="DN15801">
            <v>0</v>
          </cell>
        </row>
        <row r="15802">
          <cell r="E15802">
            <v>0</v>
          </cell>
          <cell r="F15802">
            <v>0</v>
          </cell>
          <cell r="DN15802">
            <v>0</v>
          </cell>
        </row>
        <row r="15803">
          <cell r="E15803">
            <v>0</v>
          </cell>
          <cell r="F15803">
            <v>0</v>
          </cell>
          <cell r="DN15803">
            <v>0</v>
          </cell>
        </row>
        <row r="15804">
          <cell r="E15804">
            <v>0</v>
          </cell>
          <cell r="F15804">
            <v>0</v>
          </cell>
          <cell r="DN15804">
            <v>0</v>
          </cell>
        </row>
        <row r="15805">
          <cell r="E15805">
            <v>0</v>
          </cell>
          <cell r="F15805">
            <v>0</v>
          </cell>
          <cell r="DN15805">
            <v>0</v>
          </cell>
        </row>
        <row r="15806">
          <cell r="E15806">
            <v>0</v>
          </cell>
          <cell r="F15806">
            <v>0</v>
          </cell>
          <cell r="DN15806">
            <v>0</v>
          </cell>
        </row>
        <row r="15807">
          <cell r="E15807">
            <v>0</v>
          </cell>
          <cell r="F15807">
            <v>0</v>
          </cell>
          <cell r="DN15807">
            <v>0</v>
          </cell>
        </row>
        <row r="15808">
          <cell r="E15808">
            <v>0</v>
          </cell>
          <cell r="F15808">
            <v>0</v>
          </cell>
          <cell r="DN15808">
            <v>0</v>
          </cell>
        </row>
        <row r="15809">
          <cell r="E15809">
            <v>0</v>
          </cell>
          <cell r="F15809">
            <v>0</v>
          </cell>
          <cell r="DN15809">
            <v>0</v>
          </cell>
        </row>
        <row r="15810">
          <cell r="E15810">
            <v>0</v>
          </cell>
          <cell r="F15810">
            <v>0</v>
          </cell>
          <cell r="DN15810">
            <v>0</v>
          </cell>
        </row>
        <row r="15811">
          <cell r="E15811">
            <v>0</v>
          </cell>
          <cell r="F15811">
            <v>0</v>
          </cell>
          <cell r="DN15811">
            <v>0</v>
          </cell>
        </row>
        <row r="15812">
          <cell r="E15812">
            <v>0</v>
          </cell>
          <cell r="F15812">
            <v>0</v>
          </cell>
          <cell r="DN15812">
            <v>0</v>
          </cell>
        </row>
        <row r="15813">
          <cell r="E15813">
            <v>0</v>
          </cell>
          <cell r="F15813">
            <v>0</v>
          </cell>
          <cell r="DN15813">
            <v>0</v>
          </cell>
        </row>
        <row r="15814">
          <cell r="E15814">
            <v>0</v>
          </cell>
          <cell r="F15814">
            <v>0</v>
          </cell>
          <cell r="DN15814">
            <v>0</v>
          </cell>
        </row>
        <row r="15815">
          <cell r="E15815">
            <v>0</v>
          </cell>
          <cell r="F15815">
            <v>0</v>
          </cell>
          <cell r="DN15815">
            <v>0</v>
          </cell>
        </row>
        <row r="15816">
          <cell r="E15816">
            <v>0</v>
          </cell>
          <cell r="F15816">
            <v>0</v>
          </cell>
          <cell r="DN15816">
            <v>0</v>
          </cell>
        </row>
        <row r="15817">
          <cell r="E15817">
            <v>0</v>
          </cell>
          <cell r="F15817">
            <v>0</v>
          </cell>
          <cell r="DN15817">
            <v>0</v>
          </cell>
        </row>
        <row r="15818">
          <cell r="E15818">
            <v>0</v>
          </cell>
          <cell r="F15818">
            <v>0</v>
          </cell>
          <cell r="DN15818">
            <v>0</v>
          </cell>
        </row>
        <row r="15819">
          <cell r="E15819">
            <v>0</v>
          </cell>
          <cell r="F15819">
            <v>0</v>
          </cell>
          <cell r="DN15819">
            <v>0</v>
          </cell>
        </row>
        <row r="15820">
          <cell r="E15820">
            <v>0</v>
          </cell>
          <cell r="F15820">
            <v>0</v>
          </cell>
          <cell r="DN15820">
            <v>0</v>
          </cell>
        </row>
        <row r="15821">
          <cell r="E15821">
            <v>0</v>
          </cell>
          <cell r="F15821">
            <v>0</v>
          </cell>
          <cell r="DN15821">
            <v>0</v>
          </cell>
        </row>
        <row r="15822">
          <cell r="E15822">
            <v>0</v>
          </cell>
          <cell r="F15822">
            <v>0</v>
          </cell>
          <cell r="DN15822">
            <v>0</v>
          </cell>
        </row>
        <row r="15823">
          <cell r="E15823">
            <v>0</v>
          </cell>
          <cell r="F15823">
            <v>0</v>
          </cell>
          <cell r="DN15823">
            <v>0</v>
          </cell>
        </row>
        <row r="15824">
          <cell r="E15824">
            <v>0</v>
          </cell>
          <cell r="F15824">
            <v>0</v>
          </cell>
          <cell r="DN15824">
            <v>0</v>
          </cell>
        </row>
        <row r="15825">
          <cell r="E15825">
            <v>0</v>
          </cell>
          <cell r="F15825">
            <v>0</v>
          </cell>
          <cell r="DN15825">
            <v>0</v>
          </cell>
        </row>
        <row r="15826">
          <cell r="E15826">
            <v>0</v>
          </cell>
          <cell r="F15826">
            <v>0</v>
          </cell>
          <cell r="DN15826">
            <v>0</v>
          </cell>
        </row>
        <row r="15827">
          <cell r="E15827">
            <v>0</v>
          </cell>
          <cell r="F15827">
            <v>0</v>
          </cell>
          <cell r="DN15827">
            <v>0</v>
          </cell>
        </row>
        <row r="15828">
          <cell r="E15828">
            <v>0</v>
          </cell>
          <cell r="F15828">
            <v>0</v>
          </cell>
          <cell r="DN15828">
            <v>0</v>
          </cell>
        </row>
        <row r="15829">
          <cell r="E15829">
            <v>0</v>
          </cell>
          <cell r="F15829">
            <v>0</v>
          </cell>
          <cell r="DN15829">
            <v>0</v>
          </cell>
        </row>
        <row r="15830">
          <cell r="E15830">
            <v>0</v>
          </cell>
          <cell r="F15830">
            <v>0</v>
          </cell>
          <cell r="DN15830">
            <v>0</v>
          </cell>
        </row>
        <row r="15831">
          <cell r="E15831">
            <v>0</v>
          </cell>
          <cell r="F15831">
            <v>0</v>
          </cell>
          <cell r="DN15831">
            <v>0</v>
          </cell>
        </row>
        <row r="15832">
          <cell r="E15832">
            <v>0</v>
          </cell>
          <cell r="F15832">
            <v>0</v>
          </cell>
          <cell r="DN15832">
            <v>0</v>
          </cell>
        </row>
        <row r="15833">
          <cell r="E15833">
            <v>0</v>
          </cell>
          <cell r="F15833">
            <v>0</v>
          </cell>
          <cell r="DN15833">
            <v>0</v>
          </cell>
        </row>
        <row r="15834">
          <cell r="E15834">
            <v>0</v>
          </cell>
          <cell r="F15834">
            <v>0</v>
          </cell>
          <cell r="DN15834">
            <v>0</v>
          </cell>
        </row>
        <row r="15835">
          <cell r="E15835">
            <v>0</v>
          </cell>
          <cell r="F15835">
            <v>0</v>
          </cell>
          <cell r="DN15835">
            <v>0</v>
          </cell>
        </row>
        <row r="15836">
          <cell r="E15836">
            <v>0</v>
          </cell>
          <cell r="F15836">
            <v>0</v>
          </cell>
          <cell r="DN15836">
            <v>0</v>
          </cell>
        </row>
        <row r="15837">
          <cell r="E15837">
            <v>0</v>
          </cell>
          <cell r="F15837">
            <v>0</v>
          </cell>
          <cell r="DN15837">
            <v>0</v>
          </cell>
        </row>
        <row r="15838">
          <cell r="E15838">
            <v>0</v>
          </cell>
          <cell r="F15838">
            <v>0</v>
          </cell>
          <cell r="DN15838">
            <v>0</v>
          </cell>
        </row>
        <row r="15839">
          <cell r="E15839">
            <v>0</v>
          </cell>
          <cell r="F15839">
            <v>0</v>
          </cell>
          <cell r="DN15839">
            <v>0</v>
          </cell>
        </row>
        <row r="15840">
          <cell r="E15840">
            <v>0</v>
          </cell>
          <cell r="F15840">
            <v>0</v>
          </cell>
          <cell r="DN15840">
            <v>0</v>
          </cell>
        </row>
        <row r="15841">
          <cell r="E15841">
            <v>0</v>
          </cell>
          <cell r="F15841">
            <v>0</v>
          </cell>
          <cell r="DN15841">
            <v>0</v>
          </cell>
        </row>
        <row r="15842">
          <cell r="E15842">
            <v>0</v>
          </cell>
          <cell r="F15842">
            <v>0</v>
          </cell>
          <cell r="DN15842">
            <v>0</v>
          </cell>
        </row>
        <row r="15843">
          <cell r="E15843">
            <v>0</v>
          </cell>
          <cell r="F15843">
            <v>0</v>
          </cell>
          <cell r="DN15843">
            <v>0</v>
          </cell>
        </row>
        <row r="15844">
          <cell r="E15844">
            <v>0</v>
          </cell>
          <cell r="F15844">
            <v>0</v>
          </cell>
          <cell r="DN15844">
            <v>0</v>
          </cell>
        </row>
        <row r="15845">
          <cell r="E15845">
            <v>0</v>
          </cell>
          <cell r="F15845">
            <v>0</v>
          </cell>
          <cell r="DN15845">
            <v>0</v>
          </cell>
        </row>
        <row r="15846">
          <cell r="E15846">
            <v>0</v>
          </cell>
          <cell r="F15846">
            <v>0</v>
          </cell>
          <cell r="DN15846">
            <v>0</v>
          </cell>
        </row>
        <row r="15847">
          <cell r="E15847">
            <v>0</v>
          </cell>
          <cell r="F15847">
            <v>0</v>
          </cell>
          <cell r="DN15847">
            <v>0</v>
          </cell>
        </row>
        <row r="15848">
          <cell r="E15848">
            <v>0</v>
          </cell>
          <cell r="F15848">
            <v>0</v>
          </cell>
          <cell r="DN15848">
            <v>0</v>
          </cell>
        </row>
        <row r="15849">
          <cell r="E15849">
            <v>0</v>
          </cell>
          <cell r="F15849">
            <v>0</v>
          </cell>
          <cell r="DN15849">
            <v>0</v>
          </cell>
        </row>
        <row r="15850">
          <cell r="E15850">
            <v>0</v>
          </cell>
          <cell r="F15850">
            <v>0</v>
          </cell>
          <cell r="DN15850">
            <v>0</v>
          </cell>
        </row>
        <row r="15851">
          <cell r="E15851">
            <v>0</v>
          </cell>
          <cell r="F15851">
            <v>0</v>
          </cell>
          <cell r="DN15851">
            <v>0</v>
          </cell>
        </row>
        <row r="15852">
          <cell r="E15852">
            <v>0</v>
          </cell>
          <cell r="F15852">
            <v>0</v>
          </cell>
          <cell r="DN15852">
            <v>0</v>
          </cell>
        </row>
        <row r="15853">
          <cell r="E15853">
            <v>0</v>
          </cell>
          <cell r="F15853">
            <v>0</v>
          </cell>
          <cell r="DN15853">
            <v>0</v>
          </cell>
        </row>
        <row r="15854">
          <cell r="E15854">
            <v>0</v>
          </cell>
          <cell r="F15854">
            <v>0</v>
          </cell>
          <cell r="DN15854">
            <v>0</v>
          </cell>
        </row>
        <row r="15855">
          <cell r="E15855">
            <v>0</v>
          </cell>
          <cell r="F15855">
            <v>0</v>
          </cell>
          <cell r="DN15855">
            <v>0</v>
          </cell>
        </row>
        <row r="15856">
          <cell r="E15856">
            <v>0</v>
          </cell>
          <cell r="F15856">
            <v>0</v>
          </cell>
          <cell r="DN15856">
            <v>0</v>
          </cell>
        </row>
        <row r="15857">
          <cell r="E15857">
            <v>0</v>
          </cell>
          <cell r="F15857">
            <v>0</v>
          </cell>
          <cell r="DN15857">
            <v>0</v>
          </cell>
        </row>
        <row r="15858">
          <cell r="E15858">
            <v>0</v>
          </cell>
          <cell r="F15858">
            <v>0</v>
          </cell>
          <cell r="DN15858">
            <v>0</v>
          </cell>
        </row>
        <row r="15859">
          <cell r="E15859">
            <v>0</v>
          </cell>
          <cell r="F15859">
            <v>0</v>
          </cell>
          <cell r="DN15859">
            <v>0</v>
          </cell>
        </row>
        <row r="15860">
          <cell r="E15860">
            <v>0</v>
          </cell>
          <cell r="F15860">
            <v>0</v>
          </cell>
          <cell r="DN15860">
            <v>0</v>
          </cell>
        </row>
        <row r="15861">
          <cell r="E15861">
            <v>0</v>
          </cell>
          <cell r="F15861">
            <v>0</v>
          </cell>
          <cell r="DN15861">
            <v>0</v>
          </cell>
        </row>
        <row r="15862">
          <cell r="E15862">
            <v>0</v>
          </cell>
          <cell r="F15862">
            <v>0</v>
          </cell>
          <cell r="DN15862">
            <v>0</v>
          </cell>
        </row>
        <row r="15863">
          <cell r="E15863">
            <v>0</v>
          </cell>
          <cell r="F15863">
            <v>0</v>
          </cell>
          <cell r="DN15863">
            <v>0</v>
          </cell>
        </row>
        <row r="15864">
          <cell r="E15864">
            <v>0</v>
          </cell>
          <cell r="F15864">
            <v>0</v>
          </cell>
          <cell r="DN15864">
            <v>0</v>
          </cell>
        </row>
        <row r="15865">
          <cell r="E15865">
            <v>0</v>
          </cell>
          <cell r="F15865">
            <v>0</v>
          </cell>
          <cell r="DN15865">
            <v>0</v>
          </cell>
        </row>
        <row r="15866">
          <cell r="E15866">
            <v>0</v>
          </cell>
          <cell r="F15866">
            <v>0</v>
          </cell>
          <cell r="DN15866">
            <v>0</v>
          </cell>
        </row>
        <row r="15867">
          <cell r="E15867">
            <v>0</v>
          </cell>
          <cell r="F15867">
            <v>0</v>
          </cell>
          <cell r="DN15867">
            <v>0</v>
          </cell>
        </row>
        <row r="15868">
          <cell r="E15868">
            <v>0</v>
          </cell>
          <cell r="F15868">
            <v>0</v>
          </cell>
          <cell r="DN15868">
            <v>0</v>
          </cell>
        </row>
        <row r="15869">
          <cell r="E15869">
            <v>0</v>
          </cell>
          <cell r="F15869">
            <v>0</v>
          </cell>
          <cell r="DN15869">
            <v>0</v>
          </cell>
        </row>
        <row r="15870">
          <cell r="E15870">
            <v>0</v>
          </cell>
          <cell r="F15870">
            <v>0</v>
          </cell>
          <cell r="DN15870">
            <v>0</v>
          </cell>
        </row>
        <row r="15871">
          <cell r="E15871">
            <v>0</v>
          </cell>
          <cell r="F15871">
            <v>0</v>
          </cell>
          <cell r="DN15871">
            <v>0</v>
          </cell>
        </row>
        <row r="15872">
          <cell r="E15872">
            <v>0</v>
          </cell>
          <cell r="F15872">
            <v>0</v>
          </cell>
          <cell r="DN15872">
            <v>0</v>
          </cell>
        </row>
        <row r="15873">
          <cell r="E15873">
            <v>0</v>
          </cell>
          <cell r="F15873">
            <v>0</v>
          </cell>
          <cell r="DN15873">
            <v>0</v>
          </cell>
        </row>
        <row r="15874">
          <cell r="E15874">
            <v>0</v>
          </cell>
          <cell r="F15874">
            <v>0</v>
          </cell>
          <cell r="DN15874">
            <v>0</v>
          </cell>
        </row>
        <row r="15875">
          <cell r="E15875">
            <v>0</v>
          </cell>
          <cell r="F15875">
            <v>0</v>
          </cell>
          <cell r="DN15875">
            <v>0</v>
          </cell>
        </row>
        <row r="15876">
          <cell r="E15876">
            <v>0</v>
          </cell>
          <cell r="F15876">
            <v>0</v>
          </cell>
          <cell r="DN15876">
            <v>0</v>
          </cell>
        </row>
        <row r="15877">
          <cell r="E15877">
            <v>0</v>
          </cell>
          <cell r="F15877">
            <v>0</v>
          </cell>
          <cell r="DN15877">
            <v>0</v>
          </cell>
        </row>
        <row r="15878">
          <cell r="E15878">
            <v>0</v>
          </cell>
          <cell r="F15878">
            <v>0</v>
          </cell>
          <cell r="DN15878">
            <v>0</v>
          </cell>
        </row>
        <row r="15879">
          <cell r="E15879">
            <v>0</v>
          </cell>
          <cell r="F15879">
            <v>0</v>
          </cell>
          <cell r="DN15879">
            <v>0</v>
          </cell>
        </row>
        <row r="15880">
          <cell r="E15880">
            <v>0</v>
          </cell>
          <cell r="F15880">
            <v>0</v>
          </cell>
          <cell r="DN15880">
            <v>0</v>
          </cell>
        </row>
        <row r="15881">
          <cell r="E15881">
            <v>0</v>
          </cell>
          <cell r="F15881">
            <v>0</v>
          </cell>
          <cell r="DN15881">
            <v>0</v>
          </cell>
        </row>
        <row r="15882">
          <cell r="E15882">
            <v>0</v>
          </cell>
          <cell r="F15882">
            <v>0</v>
          </cell>
          <cell r="DN15882">
            <v>0</v>
          </cell>
        </row>
        <row r="15883">
          <cell r="E15883">
            <v>0</v>
          </cell>
          <cell r="F15883">
            <v>0</v>
          </cell>
          <cell r="DN15883">
            <v>0</v>
          </cell>
        </row>
        <row r="15884">
          <cell r="E15884">
            <v>0</v>
          </cell>
          <cell r="F15884">
            <v>0</v>
          </cell>
          <cell r="DN15884">
            <v>0</v>
          </cell>
        </row>
        <row r="15885">
          <cell r="E15885">
            <v>0</v>
          </cell>
          <cell r="F15885">
            <v>0</v>
          </cell>
          <cell r="DN15885">
            <v>0</v>
          </cell>
        </row>
        <row r="15886">
          <cell r="E15886">
            <v>0</v>
          </cell>
          <cell r="F15886">
            <v>0</v>
          </cell>
          <cell r="DN15886">
            <v>0</v>
          </cell>
        </row>
        <row r="15887">
          <cell r="E15887">
            <v>0</v>
          </cell>
          <cell r="F15887">
            <v>0</v>
          </cell>
          <cell r="DN15887">
            <v>0</v>
          </cell>
        </row>
        <row r="15888">
          <cell r="E15888">
            <v>0</v>
          </cell>
          <cell r="F15888">
            <v>0</v>
          </cell>
          <cell r="DN15888">
            <v>0</v>
          </cell>
        </row>
        <row r="15889">
          <cell r="E15889">
            <v>0</v>
          </cell>
          <cell r="F15889">
            <v>0</v>
          </cell>
          <cell r="DN15889">
            <v>0</v>
          </cell>
        </row>
        <row r="15890">
          <cell r="E15890">
            <v>0</v>
          </cell>
          <cell r="F15890">
            <v>0</v>
          </cell>
          <cell r="DN15890">
            <v>0</v>
          </cell>
        </row>
        <row r="15891">
          <cell r="E15891">
            <v>0</v>
          </cell>
          <cell r="F15891">
            <v>0</v>
          </cell>
          <cell r="DN15891">
            <v>0</v>
          </cell>
        </row>
        <row r="15892">
          <cell r="E15892">
            <v>0</v>
          </cell>
          <cell r="F15892">
            <v>0</v>
          </cell>
          <cell r="DN15892">
            <v>0</v>
          </cell>
        </row>
        <row r="15893">
          <cell r="E15893">
            <v>0</v>
          </cell>
          <cell r="F15893">
            <v>0</v>
          </cell>
          <cell r="DN15893">
            <v>0</v>
          </cell>
        </row>
        <row r="15894">
          <cell r="E15894">
            <v>0</v>
          </cell>
          <cell r="F15894">
            <v>0</v>
          </cell>
          <cell r="DN15894">
            <v>0</v>
          </cell>
        </row>
        <row r="15895">
          <cell r="E15895">
            <v>0</v>
          </cell>
          <cell r="F15895">
            <v>0</v>
          </cell>
          <cell r="DN15895">
            <v>0</v>
          </cell>
        </row>
        <row r="15896">
          <cell r="E15896">
            <v>0</v>
          </cell>
          <cell r="F15896">
            <v>0</v>
          </cell>
          <cell r="DN15896">
            <v>0</v>
          </cell>
        </row>
        <row r="15897">
          <cell r="E15897">
            <v>0</v>
          </cell>
          <cell r="F15897">
            <v>0</v>
          </cell>
          <cell r="DN15897">
            <v>0</v>
          </cell>
        </row>
        <row r="15898">
          <cell r="E15898">
            <v>0</v>
          </cell>
          <cell r="F15898">
            <v>0</v>
          </cell>
          <cell r="DN15898">
            <v>0</v>
          </cell>
        </row>
        <row r="15899">
          <cell r="E15899">
            <v>0</v>
          </cell>
          <cell r="F15899">
            <v>0</v>
          </cell>
          <cell r="DN15899">
            <v>0</v>
          </cell>
        </row>
        <row r="15900">
          <cell r="E15900">
            <v>0</v>
          </cell>
          <cell r="F15900">
            <v>0</v>
          </cell>
          <cell r="DN15900">
            <v>0</v>
          </cell>
        </row>
        <row r="15901">
          <cell r="E15901">
            <v>0</v>
          </cell>
          <cell r="F15901">
            <v>0</v>
          </cell>
          <cell r="DN15901">
            <v>0</v>
          </cell>
        </row>
        <row r="15902">
          <cell r="E15902">
            <v>0</v>
          </cell>
          <cell r="F15902">
            <v>0</v>
          </cell>
          <cell r="DN15902">
            <v>0</v>
          </cell>
        </row>
        <row r="15903">
          <cell r="E15903">
            <v>0</v>
          </cell>
          <cell r="F15903">
            <v>0</v>
          </cell>
          <cell r="DN15903">
            <v>0</v>
          </cell>
        </row>
        <row r="15904">
          <cell r="E15904">
            <v>0</v>
          </cell>
          <cell r="F15904">
            <v>0</v>
          </cell>
          <cell r="DN15904">
            <v>0</v>
          </cell>
        </row>
        <row r="15905">
          <cell r="E15905">
            <v>0</v>
          </cell>
          <cell r="F15905">
            <v>0</v>
          </cell>
          <cell r="DN15905">
            <v>0</v>
          </cell>
        </row>
        <row r="15906">
          <cell r="E15906">
            <v>0</v>
          </cell>
          <cell r="F15906">
            <v>0</v>
          </cell>
          <cell r="DN15906">
            <v>0</v>
          </cell>
        </row>
        <row r="15907">
          <cell r="E15907">
            <v>0</v>
          </cell>
          <cell r="F15907">
            <v>0</v>
          </cell>
          <cell r="DN15907">
            <v>0</v>
          </cell>
        </row>
        <row r="15908">
          <cell r="E15908">
            <v>0</v>
          </cell>
          <cell r="F15908">
            <v>0</v>
          </cell>
          <cell r="DN15908">
            <v>0</v>
          </cell>
        </row>
        <row r="15909">
          <cell r="E15909">
            <v>0</v>
          </cell>
          <cell r="F15909">
            <v>0</v>
          </cell>
          <cell r="DN15909">
            <v>0</v>
          </cell>
        </row>
        <row r="15910">
          <cell r="E15910">
            <v>0</v>
          </cell>
          <cell r="F15910">
            <v>0</v>
          </cell>
          <cell r="DN15910">
            <v>0</v>
          </cell>
        </row>
        <row r="15911">
          <cell r="E15911">
            <v>0</v>
          </cell>
          <cell r="F15911">
            <v>0</v>
          </cell>
          <cell r="DN15911">
            <v>0</v>
          </cell>
        </row>
        <row r="15912">
          <cell r="E15912">
            <v>0</v>
          </cell>
          <cell r="F15912">
            <v>0</v>
          </cell>
          <cell r="DN15912">
            <v>0</v>
          </cell>
        </row>
        <row r="15913">
          <cell r="E15913">
            <v>0</v>
          </cell>
          <cell r="F15913">
            <v>0</v>
          </cell>
          <cell r="DN15913">
            <v>0</v>
          </cell>
        </row>
        <row r="15914">
          <cell r="E15914">
            <v>0</v>
          </cell>
          <cell r="F15914">
            <v>0</v>
          </cell>
          <cell r="DN15914">
            <v>0</v>
          </cell>
        </row>
        <row r="15915">
          <cell r="E15915">
            <v>0</v>
          </cell>
          <cell r="F15915">
            <v>0</v>
          </cell>
          <cell r="DN15915">
            <v>0</v>
          </cell>
        </row>
        <row r="15916">
          <cell r="E15916">
            <v>0</v>
          </cell>
          <cell r="F15916">
            <v>0</v>
          </cell>
          <cell r="DN15916">
            <v>0</v>
          </cell>
        </row>
        <row r="15917">
          <cell r="E15917">
            <v>0</v>
          </cell>
          <cell r="F15917">
            <v>0</v>
          </cell>
          <cell r="DN15917">
            <v>0</v>
          </cell>
        </row>
        <row r="15918">
          <cell r="E15918">
            <v>0</v>
          </cell>
          <cell r="F15918">
            <v>0</v>
          </cell>
          <cell r="DN15918">
            <v>0</v>
          </cell>
        </row>
        <row r="15919">
          <cell r="E15919">
            <v>0</v>
          </cell>
          <cell r="F15919">
            <v>0</v>
          </cell>
          <cell r="DN15919">
            <v>0</v>
          </cell>
        </row>
        <row r="15920">
          <cell r="E15920">
            <v>0</v>
          </cell>
          <cell r="F15920">
            <v>0</v>
          </cell>
          <cell r="DN15920">
            <v>0</v>
          </cell>
        </row>
        <row r="15921">
          <cell r="E15921">
            <v>0</v>
          </cell>
          <cell r="F15921">
            <v>0</v>
          </cell>
          <cell r="DN15921">
            <v>0</v>
          </cell>
        </row>
        <row r="15922">
          <cell r="E15922">
            <v>0</v>
          </cell>
          <cell r="F15922">
            <v>0</v>
          </cell>
          <cell r="DN15922">
            <v>0</v>
          </cell>
        </row>
        <row r="15923">
          <cell r="E15923">
            <v>0</v>
          </cell>
          <cell r="F15923">
            <v>0</v>
          </cell>
          <cell r="DN15923">
            <v>0</v>
          </cell>
        </row>
        <row r="15924">
          <cell r="E15924">
            <v>0</v>
          </cell>
          <cell r="F15924">
            <v>0</v>
          </cell>
          <cell r="DN15924">
            <v>0</v>
          </cell>
        </row>
        <row r="15925">
          <cell r="E15925">
            <v>0</v>
          </cell>
          <cell r="F15925">
            <v>0</v>
          </cell>
          <cell r="DN15925">
            <v>0</v>
          </cell>
        </row>
        <row r="15926">
          <cell r="E15926">
            <v>0</v>
          </cell>
          <cell r="F15926">
            <v>0</v>
          </cell>
          <cell r="DN15926">
            <v>0</v>
          </cell>
        </row>
        <row r="15927">
          <cell r="E15927">
            <v>0</v>
          </cell>
          <cell r="F15927">
            <v>0</v>
          </cell>
          <cell r="DN15927">
            <v>0</v>
          </cell>
        </row>
        <row r="15928">
          <cell r="E15928">
            <v>0</v>
          </cell>
          <cell r="F15928">
            <v>0</v>
          </cell>
          <cell r="DN15928">
            <v>0</v>
          </cell>
        </row>
        <row r="15929">
          <cell r="E15929">
            <v>0</v>
          </cell>
          <cell r="F15929">
            <v>0</v>
          </cell>
          <cell r="DN15929">
            <v>0</v>
          </cell>
        </row>
        <row r="15930">
          <cell r="E15930">
            <v>0</v>
          </cell>
          <cell r="F15930">
            <v>0</v>
          </cell>
          <cell r="DN15930">
            <v>0</v>
          </cell>
        </row>
        <row r="15931">
          <cell r="E15931">
            <v>0</v>
          </cell>
          <cell r="F15931">
            <v>0</v>
          </cell>
          <cell r="DN15931">
            <v>0</v>
          </cell>
        </row>
        <row r="15932">
          <cell r="E15932">
            <v>0</v>
          </cell>
          <cell r="F15932">
            <v>0</v>
          </cell>
          <cell r="DN15932">
            <v>0</v>
          </cell>
        </row>
        <row r="15933">
          <cell r="E15933">
            <v>0</v>
          </cell>
          <cell r="F15933">
            <v>0</v>
          </cell>
          <cell r="DN15933">
            <v>0</v>
          </cell>
        </row>
        <row r="15934">
          <cell r="E15934">
            <v>0</v>
          </cell>
          <cell r="F15934">
            <v>0</v>
          </cell>
          <cell r="DN15934">
            <v>0</v>
          </cell>
        </row>
        <row r="15935">
          <cell r="E15935">
            <v>0</v>
          </cell>
          <cell r="F15935">
            <v>0</v>
          </cell>
          <cell r="DN15935">
            <v>0</v>
          </cell>
        </row>
        <row r="15936">
          <cell r="E15936">
            <v>0</v>
          </cell>
          <cell r="F15936">
            <v>0</v>
          </cell>
          <cell r="DN15936">
            <v>0</v>
          </cell>
        </row>
        <row r="15937">
          <cell r="E15937">
            <v>0</v>
          </cell>
          <cell r="F15937">
            <v>0</v>
          </cell>
          <cell r="DN15937">
            <v>0</v>
          </cell>
        </row>
        <row r="15938">
          <cell r="E15938">
            <v>0</v>
          </cell>
          <cell r="F15938">
            <v>0</v>
          </cell>
          <cell r="DN15938">
            <v>0</v>
          </cell>
        </row>
        <row r="15939">
          <cell r="E15939">
            <v>0</v>
          </cell>
          <cell r="F15939">
            <v>0</v>
          </cell>
          <cell r="DN15939">
            <v>0</v>
          </cell>
        </row>
        <row r="15940">
          <cell r="E15940">
            <v>0</v>
          </cell>
          <cell r="F15940">
            <v>0</v>
          </cell>
          <cell r="DN15940">
            <v>0</v>
          </cell>
        </row>
        <row r="15941">
          <cell r="E15941">
            <v>0</v>
          </cell>
          <cell r="F15941">
            <v>0</v>
          </cell>
          <cell r="DN15941">
            <v>0</v>
          </cell>
        </row>
        <row r="15942">
          <cell r="E15942">
            <v>0</v>
          </cell>
          <cell r="F15942">
            <v>0</v>
          </cell>
          <cell r="DN15942">
            <v>0</v>
          </cell>
        </row>
        <row r="15943">
          <cell r="E15943">
            <v>0</v>
          </cell>
          <cell r="F15943">
            <v>0</v>
          </cell>
          <cell r="DN15943">
            <v>0</v>
          </cell>
        </row>
        <row r="15944">
          <cell r="E15944">
            <v>0</v>
          </cell>
          <cell r="F15944">
            <v>0</v>
          </cell>
          <cell r="DN15944">
            <v>0</v>
          </cell>
        </row>
        <row r="15945">
          <cell r="E15945">
            <v>0</v>
          </cell>
          <cell r="F15945">
            <v>0</v>
          </cell>
          <cell r="DN15945">
            <v>0</v>
          </cell>
        </row>
        <row r="15946">
          <cell r="E15946">
            <v>0</v>
          </cell>
          <cell r="F15946">
            <v>0</v>
          </cell>
          <cell r="DN15946">
            <v>0</v>
          </cell>
        </row>
        <row r="15947">
          <cell r="E15947">
            <v>0</v>
          </cell>
          <cell r="F15947">
            <v>0</v>
          </cell>
          <cell r="DN15947">
            <v>0</v>
          </cell>
        </row>
        <row r="15948">
          <cell r="E15948">
            <v>0</v>
          </cell>
          <cell r="F15948">
            <v>0</v>
          </cell>
          <cell r="DN15948">
            <v>0</v>
          </cell>
        </row>
        <row r="15949">
          <cell r="E15949">
            <v>0</v>
          </cell>
          <cell r="F15949">
            <v>0</v>
          </cell>
          <cell r="DN15949">
            <v>0</v>
          </cell>
        </row>
        <row r="15950">
          <cell r="E15950">
            <v>0</v>
          </cell>
          <cell r="F15950">
            <v>0</v>
          </cell>
          <cell r="DN15950">
            <v>0</v>
          </cell>
        </row>
        <row r="15951">
          <cell r="E15951">
            <v>0</v>
          </cell>
          <cell r="F15951">
            <v>0</v>
          </cell>
          <cell r="DN15951">
            <v>0</v>
          </cell>
        </row>
        <row r="15952">
          <cell r="E15952">
            <v>0</v>
          </cell>
          <cell r="F15952">
            <v>0</v>
          </cell>
          <cell r="DN15952">
            <v>0</v>
          </cell>
        </row>
        <row r="15953">
          <cell r="E15953">
            <v>0</v>
          </cell>
          <cell r="F15953">
            <v>0</v>
          </cell>
          <cell r="DN15953">
            <v>0</v>
          </cell>
        </row>
        <row r="15954">
          <cell r="E15954">
            <v>0</v>
          </cell>
          <cell r="F15954">
            <v>0</v>
          </cell>
          <cell r="DN15954">
            <v>0</v>
          </cell>
        </row>
        <row r="15955">
          <cell r="E15955">
            <v>0</v>
          </cell>
          <cell r="F15955">
            <v>0</v>
          </cell>
          <cell r="DN15955">
            <v>0</v>
          </cell>
        </row>
        <row r="15956">
          <cell r="E15956">
            <v>0</v>
          </cell>
          <cell r="F15956">
            <v>0</v>
          </cell>
          <cell r="DN15956">
            <v>0</v>
          </cell>
        </row>
        <row r="15957">
          <cell r="E15957">
            <v>0</v>
          </cell>
          <cell r="F15957">
            <v>0</v>
          </cell>
          <cell r="DN15957">
            <v>0</v>
          </cell>
        </row>
        <row r="15958">
          <cell r="E15958">
            <v>0</v>
          </cell>
          <cell r="F15958">
            <v>0</v>
          </cell>
          <cell r="DN15958">
            <v>0</v>
          </cell>
        </row>
        <row r="15959">
          <cell r="E15959">
            <v>0</v>
          </cell>
          <cell r="F15959">
            <v>0</v>
          </cell>
          <cell r="DN15959">
            <v>0</v>
          </cell>
        </row>
        <row r="15960">
          <cell r="E15960">
            <v>0</v>
          </cell>
          <cell r="F15960">
            <v>0</v>
          </cell>
          <cell r="DN15960">
            <v>0</v>
          </cell>
        </row>
        <row r="15961">
          <cell r="E15961">
            <v>0</v>
          </cell>
          <cell r="F15961">
            <v>0</v>
          </cell>
          <cell r="DN15961">
            <v>0</v>
          </cell>
        </row>
        <row r="15962">
          <cell r="E15962">
            <v>0</v>
          </cell>
          <cell r="F15962">
            <v>0</v>
          </cell>
          <cell r="DN15962">
            <v>0</v>
          </cell>
        </row>
        <row r="15963">
          <cell r="E15963">
            <v>0</v>
          </cell>
          <cell r="F15963">
            <v>0</v>
          </cell>
          <cell r="DN15963">
            <v>0</v>
          </cell>
        </row>
        <row r="15964">
          <cell r="E15964">
            <v>0</v>
          </cell>
          <cell r="F15964">
            <v>0</v>
          </cell>
          <cell r="DN15964">
            <v>0</v>
          </cell>
        </row>
        <row r="15965">
          <cell r="E15965">
            <v>0</v>
          </cell>
          <cell r="F15965">
            <v>0</v>
          </cell>
          <cell r="DN15965">
            <v>0</v>
          </cell>
        </row>
        <row r="15966">
          <cell r="E15966">
            <v>0</v>
          </cell>
          <cell r="F15966">
            <v>0</v>
          </cell>
          <cell r="DN15966">
            <v>0</v>
          </cell>
        </row>
        <row r="15967">
          <cell r="E15967">
            <v>0</v>
          </cell>
          <cell r="F15967">
            <v>0</v>
          </cell>
          <cell r="DN15967">
            <v>0</v>
          </cell>
        </row>
        <row r="15968">
          <cell r="E15968">
            <v>0</v>
          </cell>
          <cell r="F15968">
            <v>0</v>
          </cell>
          <cell r="DN15968">
            <v>0</v>
          </cell>
        </row>
        <row r="15969">
          <cell r="E15969">
            <v>0</v>
          </cell>
          <cell r="F15969">
            <v>0</v>
          </cell>
          <cell r="DN15969">
            <v>0</v>
          </cell>
        </row>
        <row r="15970">
          <cell r="E15970">
            <v>0</v>
          </cell>
          <cell r="F15970">
            <v>0</v>
          </cell>
          <cell r="DN15970">
            <v>0</v>
          </cell>
        </row>
        <row r="15971">
          <cell r="E15971">
            <v>0</v>
          </cell>
          <cell r="F15971">
            <v>0</v>
          </cell>
          <cell r="DN15971">
            <v>0</v>
          </cell>
        </row>
        <row r="15972">
          <cell r="E15972">
            <v>0</v>
          </cell>
          <cell r="F15972">
            <v>0</v>
          </cell>
          <cell r="DN15972">
            <v>0</v>
          </cell>
        </row>
        <row r="15973">
          <cell r="E15973">
            <v>0</v>
          </cell>
          <cell r="F15973">
            <v>0</v>
          </cell>
          <cell r="DN15973">
            <v>0</v>
          </cell>
        </row>
        <row r="15974">
          <cell r="E15974">
            <v>0</v>
          </cell>
          <cell r="F15974">
            <v>0</v>
          </cell>
          <cell r="DN15974">
            <v>0</v>
          </cell>
        </row>
        <row r="15975">
          <cell r="E15975">
            <v>0</v>
          </cell>
          <cell r="F15975">
            <v>0</v>
          </cell>
          <cell r="DN15975">
            <v>0</v>
          </cell>
        </row>
        <row r="15976">
          <cell r="E15976">
            <v>0</v>
          </cell>
          <cell r="F15976">
            <v>0</v>
          </cell>
          <cell r="DN15976">
            <v>0</v>
          </cell>
        </row>
        <row r="15977">
          <cell r="E15977">
            <v>0</v>
          </cell>
          <cell r="F15977">
            <v>0</v>
          </cell>
          <cell r="DN15977">
            <v>0</v>
          </cell>
        </row>
        <row r="15978">
          <cell r="E15978">
            <v>0</v>
          </cell>
          <cell r="F15978">
            <v>0</v>
          </cell>
          <cell r="DN15978">
            <v>0</v>
          </cell>
        </row>
        <row r="15979">
          <cell r="E15979">
            <v>0</v>
          </cell>
          <cell r="F15979">
            <v>0</v>
          </cell>
          <cell r="DN15979">
            <v>0</v>
          </cell>
        </row>
        <row r="15980">
          <cell r="E15980">
            <v>0</v>
          </cell>
          <cell r="F15980">
            <v>0</v>
          </cell>
          <cell r="DN15980">
            <v>0</v>
          </cell>
        </row>
        <row r="15981">
          <cell r="E15981">
            <v>0</v>
          </cell>
          <cell r="F15981">
            <v>0</v>
          </cell>
          <cell r="DN15981">
            <v>0</v>
          </cell>
        </row>
        <row r="15982">
          <cell r="E15982">
            <v>0</v>
          </cell>
          <cell r="F15982">
            <v>0</v>
          </cell>
          <cell r="DN15982">
            <v>0</v>
          </cell>
        </row>
        <row r="15983">
          <cell r="E15983">
            <v>0</v>
          </cell>
          <cell r="F15983">
            <v>0</v>
          </cell>
          <cell r="DN15983">
            <v>0</v>
          </cell>
        </row>
        <row r="15984">
          <cell r="E15984">
            <v>0</v>
          </cell>
          <cell r="F15984">
            <v>0</v>
          </cell>
          <cell r="DN15984">
            <v>0</v>
          </cell>
        </row>
        <row r="15985">
          <cell r="E15985">
            <v>0</v>
          </cell>
          <cell r="F15985">
            <v>0</v>
          </cell>
          <cell r="DN15985">
            <v>0</v>
          </cell>
        </row>
        <row r="15986">
          <cell r="E15986">
            <v>0</v>
          </cell>
          <cell r="F15986">
            <v>0</v>
          </cell>
          <cell r="DN15986">
            <v>0</v>
          </cell>
        </row>
        <row r="15987">
          <cell r="E15987">
            <v>0</v>
          </cell>
          <cell r="F15987">
            <v>0</v>
          </cell>
          <cell r="DN15987">
            <v>0</v>
          </cell>
        </row>
        <row r="15988">
          <cell r="E15988">
            <v>0</v>
          </cell>
          <cell r="F15988">
            <v>0</v>
          </cell>
          <cell r="DN15988">
            <v>0</v>
          </cell>
        </row>
        <row r="15989">
          <cell r="E15989">
            <v>0</v>
          </cell>
          <cell r="F15989">
            <v>0</v>
          </cell>
          <cell r="DN15989">
            <v>0</v>
          </cell>
        </row>
        <row r="15990">
          <cell r="E15990">
            <v>0</v>
          </cell>
          <cell r="F15990">
            <v>0</v>
          </cell>
          <cell r="DN15990">
            <v>0</v>
          </cell>
        </row>
        <row r="15991">
          <cell r="E15991">
            <v>0</v>
          </cell>
          <cell r="F15991">
            <v>0</v>
          </cell>
          <cell r="DN15991">
            <v>0</v>
          </cell>
        </row>
        <row r="15992">
          <cell r="E15992">
            <v>0</v>
          </cell>
          <cell r="F15992">
            <v>0</v>
          </cell>
          <cell r="DN15992">
            <v>0</v>
          </cell>
        </row>
        <row r="15993">
          <cell r="E15993">
            <v>0</v>
          </cell>
          <cell r="F15993">
            <v>0</v>
          </cell>
          <cell r="DN15993">
            <v>0</v>
          </cell>
        </row>
        <row r="15994">
          <cell r="E15994">
            <v>0</v>
          </cell>
          <cell r="F15994">
            <v>0</v>
          </cell>
          <cell r="DN15994">
            <v>0</v>
          </cell>
        </row>
        <row r="15995">
          <cell r="E15995">
            <v>0</v>
          </cell>
          <cell r="F15995">
            <v>0</v>
          </cell>
          <cell r="DN15995">
            <v>0</v>
          </cell>
        </row>
        <row r="15996">
          <cell r="E15996">
            <v>0</v>
          </cell>
          <cell r="F15996">
            <v>0</v>
          </cell>
          <cell r="DN15996">
            <v>0</v>
          </cell>
        </row>
        <row r="15997">
          <cell r="E15997">
            <v>0</v>
          </cell>
          <cell r="F15997">
            <v>0</v>
          </cell>
          <cell r="DN15997">
            <v>0</v>
          </cell>
        </row>
        <row r="15998">
          <cell r="E15998">
            <v>0</v>
          </cell>
          <cell r="F15998">
            <v>0</v>
          </cell>
          <cell r="DN15998">
            <v>0</v>
          </cell>
        </row>
        <row r="15999">
          <cell r="E15999">
            <v>0</v>
          </cell>
          <cell r="F15999">
            <v>0</v>
          </cell>
          <cell r="DN15999">
            <v>0</v>
          </cell>
        </row>
        <row r="16000">
          <cell r="E16000">
            <v>0</v>
          </cell>
          <cell r="F16000">
            <v>0</v>
          </cell>
          <cell r="DN16000">
            <v>0</v>
          </cell>
        </row>
        <row r="16001">
          <cell r="E16001">
            <v>0</v>
          </cell>
          <cell r="F16001">
            <v>0</v>
          </cell>
          <cell r="DN16001">
            <v>0</v>
          </cell>
        </row>
        <row r="16002">
          <cell r="E16002">
            <v>0</v>
          </cell>
          <cell r="F16002">
            <v>0</v>
          </cell>
          <cell r="DN16002">
            <v>0</v>
          </cell>
        </row>
        <row r="16003">
          <cell r="E16003">
            <v>0</v>
          </cell>
          <cell r="F16003">
            <v>0</v>
          </cell>
          <cell r="DN16003">
            <v>0</v>
          </cell>
        </row>
        <row r="16004">
          <cell r="E16004">
            <v>0</v>
          </cell>
          <cell r="F16004">
            <v>0</v>
          </cell>
          <cell r="DN16004">
            <v>0</v>
          </cell>
        </row>
        <row r="16005">
          <cell r="E16005">
            <v>0</v>
          </cell>
          <cell r="F16005">
            <v>0</v>
          </cell>
          <cell r="DN16005">
            <v>0</v>
          </cell>
        </row>
        <row r="16006">
          <cell r="E16006">
            <v>0</v>
          </cell>
          <cell r="F16006">
            <v>0</v>
          </cell>
          <cell r="DN16006">
            <v>0</v>
          </cell>
        </row>
        <row r="16007">
          <cell r="E16007">
            <v>0</v>
          </cell>
          <cell r="F16007">
            <v>0</v>
          </cell>
          <cell r="DN16007">
            <v>0</v>
          </cell>
        </row>
        <row r="16008">
          <cell r="E16008">
            <v>0</v>
          </cell>
          <cell r="F16008">
            <v>0</v>
          </cell>
          <cell r="DN16008">
            <v>0</v>
          </cell>
        </row>
        <row r="16009">
          <cell r="E16009">
            <v>0</v>
          </cell>
          <cell r="F16009">
            <v>0</v>
          </cell>
          <cell r="DN16009">
            <v>0</v>
          </cell>
        </row>
        <row r="16010">
          <cell r="E16010">
            <v>0</v>
          </cell>
          <cell r="F16010">
            <v>0</v>
          </cell>
          <cell r="DN16010">
            <v>0</v>
          </cell>
        </row>
        <row r="16011">
          <cell r="E16011">
            <v>0</v>
          </cell>
          <cell r="F16011">
            <v>0</v>
          </cell>
          <cell r="DN16011">
            <v>0</v>
          </cell>
        </row>
        <row r="16012">
          <cell r="E16012">
            <v>0</v>
          </cell>
          <cell r="F16012">
            <v>0</v>
          </cell>
          <cell r="DN16012">
            <v>0</v>
          </cell>
        </row>
        <row r="16013">
          <cell r="E16013">
            <v>0</v>
          </cell>
          <cell r="F16013">
            <v>0</v>
          </cell>
          <cell r="DN16013">
            <v>0</v>
          </cell>
        </row>
        <row r="16014">
          <cell r="E16014">
            <v>0</v>
          </cell>
          <cell r="F16014">
            <v>0</v>
          </cell>
          <cell r="DN16014">
            <v>0</v>
          </cell>
        </row>
        <row r="16015">
          <cell r="E16015">
            <v>0</v>
          </cell>
          <cell r="F16015">
            <v>0</v>
          </cell>
          <cell r="DN16015">
            <v>0</v>
          </cell>
        </row>
        <row r="16016">
          <cell r="E16016">
            <v>0</v>
          </cell>
          <cell r="F16016">
            <v>0</v>
          </cell>
          <cell r="DN16016">
            <v>0</v>
          </cell>
        </row>
        <row r="16017">
          <cell r="E16017">
            <v>0</v>
          </cell>
          <cell r="F16017">
            <v>0</v>
          </cell>
          <cell r="DN16017">
            <v>0</v>
          </cell>
        </row>
        <row r="16018">
          <cell r="E16018">
            <v>0</v>
          </cell>
          <cell r="F16018">
            <v>0</v>
          </cell>
          <cell r="DN16018">
            <v>0</v>
          </cell>
        </row>
        <row r="16019">
          <cell r="E16019">
            <v>0</v>
          </cell>
          <cell r="F16019">
            <v>0</v>
          </cell>
          <cell r="DN16019">
            <v>0</v>
          </cell>
        </row>
        <row r="16020">
          <cell r="E16020">
            <v>0</v>
          </cell>
          <cell r="F16020">
            <v>0</v>
          </cell>
          <cell r="DN16020">
            <v>0</v>
          </cell>
        </row>
        <row r="16021">
          <cell r="E16021">
            <v>0</v>
          </cell>
          <cell r="F16021">
            <v>0</v>
          </cell>
          <cell r="DN16021">
            <v>0</v>
          </cell>
        </row>
        <row r="16022">
          <cell r="E16022">
            <v>0</v>
          </cell>
          <cell r="F16022">
            <v>0</v>
          </cell>
          <cell r="DN16022">
            <v>0</v>
          </cell>
        </row>
        <row r="16023">
          <cell r="E16023">
            <v>0</v>
          </cell>
          <cell r="F16023">
            <v>0</v>
          </cell>
          <cell r="DN16023">
            <v>0</v>
          </cell>
        </row>
        <row r="16024">
          <cell r="E16024">
            <v>0</v>
          </cell>
          <cell r="F16024">
            <v>0</v>
          </cell>
          <cell r="DN16024">
            <v>0</v>
          </cell>
        </row>
        <row r="16025">
          <cell r="E16025">
            <v>0</v>
          </cell>
          <cell r="F16025">
            <v>0</v>
          </cell>
          <cell r="DN16025">
            <v>0</v>
          </cell>
        </row>
        <row r="16026">
          <cell r="E16026">
            <v>0</v>
          </cell>
          <cell r="F16026">
            <v>0</v>
          </cell>
          <cell r="DN16026">
            <v>0</v>
          </cell>
        </row>
        <row r="16027">
          <cell r="E16027">
            <v>0</v>
          </cell>
          <cell r="F16027">
            <v>0</v>
          </cell>
          <cell r="DN16027">
            <v>0</v>
          </cell>
        </row>
        <row r="16028">
          <cell r="E16028">
            <v>0</v>
          </cell>
          <cell r="F16028">
            <v>0</v>
          </cell>
          <cell r="DN16028">
            <v>0</v>
          </cell>
        </row>
        <row r="16029">
          <cell r="E16029">
            <v>0</v>
          </cell>
          <cell r="F16029">
            <v>0</v>
          </cell>
          <cell r="DN16029">
            <v>0</v>
          </cell>
        </row>
        <row r="16030">
          <cell r="E16030">
            <v>0</v>
          </cell>
          <cell r="F16030">
            <v>0</v>
          </cell>
          <cell r="DN16030">
            <v>0</v>
          </cell>
        </row>
        <row r="16031">
          <cell r="E16031">
            <v>0</v>
          </cell>
          <cell r="F16031">
            <v>0</v>
          </cell>
          <cell r="DN16031">
            <v>0</v>
          </cell>
        </row>
        <row r="16032">
          <cell r="E16032">
            <v>0</v>
          </cell>
          <cell r="F16032">
            <v>0</v>
          </cell>
          <cell r="DN16032">
            <v>0</v>
          </cell>
        </row>
        <row r="16033">
          <cell r="E16033">
            <v>0</v>
          </cell>
          <cell r="F16033">
            <v>0</v>
          </cell>
          <cell r="DN16033">
            <v>0</v>
          </cell>
        </row>
        <row r="16034">
          <cell r="E16034">
            <v>0</v>
          </cell>
          <cell r="F16034">
            <v>0</v>
          </cell>
          <cell r="DN16034">
            <v>0</v>
          </cell>
        </row>
        <row r="16035">
          <cell r="E16035">
            <v>0</v>
          </cell>
          <cell r="F16035">
            <v>0</v>
          </cell>
          <cell r="DN16035">
            <v>0</v>
          </cell>
        </row>
        <row r="16036">
          <cell r="E16036">
            <v>0</v>
          </cell>
          <cell r="F16036">
            <v>0</v>
          </cell>
          <cell r="DN16036">
            <v>0</v>
          </cell>
        </row>
        <row r="16037">
          <cell r="E16037">
            <v>0</v>
          </cell>
          <cell r="F16037">
            <v>0</v>
          </cell>
          <cell r="DN16037">
            <v>0</v>
          </cell>
        </row>
        <row r="16038">
          <cell r="E16038">
            <v>0</v>
          </cell>
          <cell r="F16038">
            <v>0</v>
          </cell>
          <cell r="DN16038">
            <v>0</v>
          </cell>
        </row>
        <row r="16039">
          <cell r="E16039">
            <v>0</v>
          </cell>
          <cell r="F16039">
            <v>0</v>
          </cell>
          <cell r="DN16039">
            <v>0</v>
          </cell>
        </row>
        <row r="16040">
          <cell r="E16040">
            <v>0</v>
          </cell>
          <cell r="F16040">
            <v>0</v>
          </cell>
          <cell r="DN16040">
            <v>0</v>
          </cell>
        </row>
        <row r="16041">
          <cell r="E16041">
            <v>0</v>
          </cell>
          <cell r="F16041">
            <v>0</v>
          </cell>
          <cell r="DN16041">
            <v>0</v>
          </cell>
        </row>
        <row r="16042">
          <cell r="E16042">
            <v>0</v>
          </cell>
          <cell r="F16042">
            <v>0</v>
          </cell>
          <cell r="DN16042">
            <v>0</v>
          </cell>
        </row>
        <row r="16043">
          <cell r="E16043">
            <v>0</v>
          </cell>
          <cell r="F16043">
            <v>0</v>
          </cell>
          <cell r="DN16043">
            <v>0</v>
          </cell>
        </row>
        <row r="16044">
          <cell r="E16044">
            <v>0</v>
          </cell>
          <cell r="F16044">
            <v>0</v>
          </cell>
          <cell r="DN16044">
            <v>0</v>
          </cell>
        </row>
        <row r="16045">
          <cell r="E16045">
            <v>0</v>
          </cell>
          <cell r="F16045">
            <v>0</v>
          </cell>
          <cell r="DN16045">
            <v>0</v>
          </cell>
        </row>
        <row r="16046">
          <cell r="E16046">
            <v>0</v>
          </cell>
          <cell r="F16046">
            <v>0</v>
          </cell>
          <cell r="DN16046">
            <v>0</v>
          </cell>
        </row>
        <row r="16047">
          <cell r="E16047">
            <v>0</v>
          </cell>
          <cell r="F16047">
            <v>0</v>
          </cell>
          <cell r="DN16047">
            <v>0</v>
          </cell>
        </row>
        <row r="16048">
          <cell r="E16048">
            <v>0</v>
          </cell>
          <cell r="F16048">
            <v>0</v>
          </cell>
          <cell r="DN16048">
            <v>0</v>
          </cell>
        </row>
        <row r="16049">
          <cell r="E16049">
            <v>0</v>
          </cell>
          <cell r="F16049">
            <v>0</v>
          </cell>
          <cell r="DN16049">
            <v>0</v>
          </cell>
        </row>
        <row r="16050">
          <cell r="E16050">
            <v>0</v>
          </cell>
          <cell r="F16050">
            <v>0</v>
          </cell>
          <cell r="DN16050">
            <v>0</v>
          </cell>
        </row>
        <row r="16051">
          <cell r="E16051">
            <v>0</v>
          </cell>
          <cell r="F16051">
            <v>0</v>
          </cell>
          <cell r="DN16051">
            <v>0</v>
          </cell>
        </row>
        <row r="16052">
          <cell r="E16052">
            <v>0</v>
          </cell>
          <cell r="F16052">
            <v>0</v>
          </cell>
          <cell r="DN16052">
            <v>0</v>
          </cell>
        </row>
        <row r="16053">
          <cell r="E16053">
            <v>0</v>
          </cell>
          <cell r="F16053">
            <v>0</v>
          </cell>
          <cell r="DN16053">
            <v>0</v>
          </cell>
        </row>
        <row r="16054">
          <cell r="E16054">
            <v>0</v>
          </cell>
          <cell r="F16054">
            <v>0</v>
          </cell>
          <cell r="DN16054">
            <v>0</v>
          </cell>
        </row>
        <row r="16055">
          <cell r="E16055">
            <v>0</v>
          </cell>
          <cell r="F16055">
            <v>0</v>
          </cell>
          <cell r="DN16055">
            <v>0</v>
          </cell>
        </row>
        <row r="16056">
          <cell r="E16056">
            <v>0</v>
          </cell>
          <cell r="F16056">
            <v>0</v>
          </cell>
          <cell r="DN16056">
            <v>0</v>
          </cell>
        </row>
        <row r="16057">
          <cell r="E16057">
            <v>0</v>
          </cell>
          <cell r="F16057">
            <v>0</v>
          </cell>
          <cell r="DN16057">
            <v>0</v>
          </cell>
        </row>
        <row r="16058">
          <cell r="E16058">
            <v>0</v>
          </cell>
          <cell r="F16058">
            <v>0</v>
          </cell>
          <cell r="DN16058">
            <v>0</v>
          </cell>
        </row>
        <row r="16059">
          <cell r="E16059">
            <v>0</v>
          </cell>
          <cell r="F16059">
            <v>0</v>
          </cell>
          <cell r="DN16059">
            <v>0</v>
          </cell>
        </row>
        <row r="16060">
          <cell r="E16060">
            <v>0</v>
          </cell>
          <cell r="F16060">
            <v>0</v>
          </cell>
          <cell r="DN16060">
            <v>0</v>
          </cell>
        </row>
        <row r="16061">
          <cell r="E16061">
            <v>0</v>
          </cell>
          <cell r="F16061">
            <v>0</v>
          </cell>
          <cell r="DN16061">
            <v>0</v>
          </cell>
        </row>
        <row r="16062">
          <cell r="E16062">
            <v>0</v>
          </cell>
          <cell r="F16062">
            <v>0</v>
          </cell>
          <cell r="DN16062">
            <v>0</v>
          </cell>
        </row>
        <row r="16063">
          <cell r="E16063">
            <v>0</v>
          </cell>
          <cell r="F16063">
            <v>0</v>
          </cell>
          <cell r="DN16063">
            <v>0</v>
          </cell>
        </row>
        <row r="16064">
          <cell r="E16064">
            <v>0</v>
          </cell>
          <cell r="F16064">
            <v>0</v>
          </cell>
          <cell r="DN16064">
            <v>0</v>
          </cell>
        </row>
        <row r="16065">
          <cell r="E16065">
            <v>0</v>
          </cell>
          <cell r="F16065">
            <v>0</v>
          </cell>
          <cell r="DN16065">
            <v>0</v>
          </cell>
        </row>
        <row r="16066">
          <cell r="E16066">
            <v>0</v>
          </cell>
          <cell r="F16066">
            <v>0</v>
          </cell>
          <cell r="DN16066">
            <v>0</v>
          </cell>
        </row>
        <row r="16067">
          <cell r="E16067">
            <v>0</v>
          </cell>
          <cell r="F16067">
            <v>0</v>
          </cell>
          <cell r="DN16067">
            <v>0</v>
          </cell>
        </row>
        <row r="16068">
          <cell r="E16068">
            <v>0</v>
          </cell>
          <cell r="F16068">
            <v>0</v>
          </cell>
          <cell r="DN16068">
            <v>0</v>
          </cell>
        </row>
        <row r="16069">
          <cell r="E16069">
            <v>0</v>
          </cell>
          <cell r="F16069">
            <v>0</v>
          </cell>
          <cell r="DN16069">
            <v>0</v>
          </cell>
        </row>
        <row r="16070">
          <cell r="E16070">
            <v>0</v>
          </cell>
          <cell r="F16070">
            <v>0</v>
          </cell>
          <cell r="DN16070">
            <v>0</v>
          </cell>
        </row>
        <row r="16071">
          <cell r="E16071">
            <v>0</v>
          </cell>
          <cell r="F16071">
            <v>0</v>
          </cell>
          <cell r="DN16071">
            <v>0</v>
          </cell>
        </row>
        <row r="16072">
          <cell r="E16072">
            <v>0</v>
          </cell>
          <cell r="F16072">
            <v>0</v>
          </cell>
          <cell r="DN16072">
            <v>0</v>
          </cell>
        </row>
        <row r="16073">
          <cell r="E16073">
            <v>0</v>
          </cell>
          <cell r="F16073">
            <v>0</v>
          </cell>
          <cell r="DN16073">
            <v>0</v>
          </cell>
        </row>
        <row r="16074">
          <cell r="E16074">
            <v>0</v>
          </cell>
          <cell r="F16074">
            <v>0</v>
          </cell>
          <cell r="DN16074">
            <v>0</v>
          </cell>
        </row>
        <row r="16075">
          <cell r="E16075">
            <v>0</v>
          </cell>
          <cell r="F16075">
            <v>0</v>
          </cell>
          <cell r="DN16075">
            <v>0</v>
          </cell>
        </row>
        <row r="16076">
          <cell r="E16076">
            <v>0</v>
          </cell>
          <cell r="F16076">
            <v>0</v>
          </cell>
          <cell r="DN16076">
            <v>0</v>
          </cell>
        </row>
        <row r="16077">
          <cell r="E16077">
            <v>0</v>
          </cell>
          <cell r="F16077">
            <v>0</v>
          </cell>
          <cell r="DN16077">
            <v>0</v>
          </cell>
        </row>
        <row r="16078">
          <cell r="E16078">
            <v>0</v>
          </cell>
          <cell r="F16078">
            <v>0</v>
          </cell>
          <cell r="DN16078">
            <v>0</v>
          </cell>
        </row>
        <row r="16079">
          <cell r="E16079">
            <v>0</v>
          </cell>
          <cell r="F16079">
            <v>0</v>
          </cell>
          <cell r="DN16079">
            <v>0</v>
          </cell>
        </row>
        <row r="16080">
          <cell r="E16080">
            <v>0</v>
          </cell>
          <cell r="F16080">
            <v>0</v>
          </cell>
          <cell r="DN16080">
            <v>0</v>
          </cell>
        </row>
        <row r="16081">
          <cell r="E16081">
            <v>0</v>
          </cell>
          <cell r="F16081">
            <v>0</v>
          </cell>
          <cell r="DN16081">
            <v>0</v>
          </cell>
        </row>
        <row r="16082">
          <cell r="E16082">
            <v>0</v>
          </cell>
          <cell r="F16082">
            <v>0</v>
          </cell>
          <cell r="DN16082">
            <v>0</v>
          </cell>
        </row>
        <row r="16083">
          <cell r="E16083">
            <v>0</v>
          </cell>
          <cell r="F16083">
            <v>0</v>
          </cell>
          <cell r="DN16083">
            <v>0</v>
          </cell>
        </row>
        <row r="16084">
          <cell r="E16084">
            <v>0</v>
          </cell>
          <cell r="F16084">
            <v>0</v>
          </cell>
          <cell r="DN16084">
            <v>0</v>
          </cell>
        </row>
        <row r="16085">
          <cell r="E16085">
            <v>0</v>
          </cell>
          <cell r="F16085">
            <v>0</v>
          </cell>
          <cell r="DN16085">
            <v>0</v>
          </cell>
        </row>
        <row r="16086">
          <cell r="E16086">
            <v>0</v>
          </cell>
          <cell r="F16086">
            <v>0</v>
          </cell>
          <cell r="DN16086">
            <v>0</v>
          </cell>
        </row>
        <row r="16087">
          <cell r="E16087">
            <v>0</v>
          </cell>
          <cell r="F16087">
            <v>0</v>
          </cell>
          <cell r="DN16087">
            <v>0</v>
          </cell>
        </row>
        <row r="16088">
          <cell r="E16088">
            <v>0</v>
          </cell>
          <cell r="F16088">
            <v>0</v>
          </cell>
          <cell r="DN16088">
            <v>0</v>
          </cell>
        </row>
        <row r="16089">
          <cell r="E16089">
            <v>0</v>
          </cell>
          <cell r="F16089">
            <v>0</v>
          </cell>
          <cell r="DN16089">
            <v>0</v>
          </cell>
        </row>
        <row r="16090">
          <cell r="E16090">
            <v>0</v>
          </cell>
          <cell r="F16090">
            <v>0</v>
          </cell>
          <cell r="DN16090">
            <v>0</v>
          </cell>
        </row>
        <row r="16091">
          <cell r="E16091">
            <v>0</v>
          </cell>
          <cell r="F16091">
            <v>0</v>
          </cell>
          <cell r="DN16091">
            <v>0</v>
          </cell>
        </row>
        <row r="16092">
          <cell r="E16092">
            <v>0</v>
          </cell>
          <cell r="F16092">
            <v>0</v>
          </cell>
          <cell r="DN16092">
            <v>0</v>
          </cell>
        </row>
        <row r="16093">
          <cell r="E16093">
            <v>0</v>
          </cell>
          <cell r="F16093">
            <v>0</v>
          </cell>
          <cell r="DN16093">
            <v>0</v>
          </cell>
        </row>
        <row r="16094">
          <cell r="E16094">
            <v>0</v>
          </cell>
          <cell r="F16094">
            <v>0</v>
          </cell>
          <cell r="DN16094">
            <v>0</v>
          </cell>
        </row>
        <row r="16095">
          <cell r="E16095">
            <v>0</v>
          </cell>
          <cell r="F16095">
            <v>0</v>
          </cell>
          <cell r="DN16095">
            <v>0</v>
          </cell>
        </row>
        <row r="16096">
          <cell r="E16096">
            <v>0</v>
          </cell>
          <cell r="F16096">
            <v>0</v>
          </cell>
          <cell r="DN16096">
            <v>0</v>
          </cell>
        </row>
        <row r="16097">
          <cell r="E16097">
            <v>0</v>
          </cell>
          <cell r="F16097">
            <v>0</v>
          </cell>
          <cell r="DN16097">
            <v>0</v>
          </cell>
        </row>
        <row r="16098">
          <cell r="E16098">
            <v>0</v>
          </cell>
          <cell r="F16098">
            <v>0</v>
          </cell>
          <cell r="DN16098">
            <v>0</v>
          </cell>
        </row>
        <row r="16099">
          <cell r="E16099">
            <v>0</v>
          </cell>
          <cell r="F16099">
            <v>0</v>
          </cell>
          <cell r="DN16099">
            <v>0</v>
          </cell>
        </row>
        <row r="16100">
          <cell r="E16100">
            <v>0</v>
          </cell>
          <cell r="F16100">
            <v>0</v>
          </cell>
          <cell r="DN16100">
            <v>0</v>
          </cell>
        </row>
        <row r="16101">
          <cell r="E16101">
            <v>0</v>
          </cell>
          <cell r="F16101">
            <v>0</v>
          </cell>
          <cell r="DN16101">
            <v>0</v>
          </cell>
        </row>
        <row r="16102">
          <cell r="E16102">
            <v>0</v>
          </cell>
          <cell r="F16102">
            <v>0</v>
          </cell>
          <cell r="DN16102">
            <v>0</v>
          </cell>
        </row>
        <row r="16103">
          <cell r="E16103">
            <v>0</v>
          </cell>
          <cell r="F16103">
            <v>0</v>
          </cell>
          <cell r="DN16103">
            <v>0</v>
          </cell>
        </row>
        <row r="16104">
          <cell r="E16104">
            <v>0</v>
          </cell>
          <cell r="F16104">
            <v>0</v>
          </cell>
          <cell r="DN16104">
            <v>0</v>
          </cell>
        </row>
        <row r="16105">
          <cell r="E16105">
            <v>0</v>
          </cell>
          <cell r="F16105">
            <v>0</v>
          </cell>
          <cell r="DN16105">
            <v>0</v>
          </cell>
        </row>
        <row r="16106">
          <cell r="E16106">
            <v>0</v>
          </cell>
          <cell r="F16106">
            <v>0</v>
          </cell>
          <cell r="DN16106">
            <v>0</v>
          </cell>
        </row>
        <row r="16107">
          <cell r="E16107">
            <v>0</v>
          </cell>
          <cell r="F16107">
            <v>0</v>
          </cell>
          <cell r="DN16107">
            <v>0</v>
          </cell>
        </row>
        <row r="16108">
          <cell r="E16108">
            <v>0</v>
          </cell>
          <cell r="F16108">
            <v>0</v>
          </cell>
          <cell r="DN16108">
            <v>0</v>
          </cell>
        </row>
        <row r="16109">
          <cell r="E16109">
            <v>0</v>
          </cell>
          <cell r="F16109">
            <v>0</v>
          </cell>
          <cell r="DN16109">
            <v>0</v>
          </cell>
        </row>
        <row r="16110">
          <cell r="E16110">
            <v>0</v>
          </cell>
          <cell r="F16110">
            <v>0</v>
          </cell>
          <cell r="DN16110">
            <v>0</v>
          </cell>
        </row>
        <row r="16111">
          <cell r="E16111">
            <v>0</v>
          </cell>
          <cell r="F16111">
            <v>0</v>
          </cell>
          <cell r="DN16111">
            <v>0</v>
          </cell>
        </row>
        <row r="16112">
          <cell r="E16112">
            <v>0</v>
          </cell>
          <cell r="F16112">
            <v>0</v>
          </cell>
          <cell r="DN16112">
            <v>0</v>
          </cell>
        </row>
        <row r="16113">
          <cell r="E16113">
            <v>0</v>
          </cell>
          <cell r="F16113">
            <v>0</v>
          </cell>
          <cell r="DN16113">
            <v>0</v>
          </cell>
        </row>
        <row r="16114">
          <cell r="E16114">
            <v>0</v>
          </cell>
          <cell r="F16114">
            <v>0</v>
          </cell>
          <cell r="DN16114">
            <v>0</v>
          </cell>
        </row>
        <row r="16115">
          <cell r="E16115">
            <v>0</v>
          </cell>
          <cell r="F16115">
            <v>0</v>
          </cell>
          <cell r="DN16115">
            <v>0</v>
          </cell>
        </row>
        <row r="16116">
          <cell r="E16116">
            <v>0</v>
          </cell>
          <cell r="F16116">
            <v>0</v>
          </cell>
          <cell r="DN16116">
            <v>0</v>
          </cell>
        </row>
        <row r="16117">
          <cell r="E16117">
            <v>0</v>
          </cell>
          <cell r="F16117">
            <v>0</v>
          </cell>
          <cell r="DN16117">
            <v>0</v>
          </cell>
        </row>
        <row r="16118">
          <cell r="E16118">
            <v>0</v>
          </cell>
          <cell r="F16118">
            <v>0</v>
          </cell>
          <cell r="DN16118">
            <v>0</v>
          </cell>
        </row>
        <row r="16119">
          <cell r="E16119">
            <v>0</v>
          </cell>
          <cell r="F16119">
            <v>0</v>
          </cell>
          <cell r="DN16119">
            <v>0</v>
          </cell>
        </row>
        <row r="16120">
          <cell r="E16120">
            <v>0</v>
          </cell>
          <cell r="F16120">
            <v>0</v>
          </cell>
          <cell r="DN16120">
            <v>0</v>
          </cell>
        </row>
        <row r="16121">
          <cell r="E16121">
            <v>0</v>
          </cell>
          <cell r="F16121">
            <v>0</v>
          </cell>
          <cell r="DN16121">
            <v>0</v>
          </cell>
        </row>
        <row r="16122">
          <cell r="E16122">
            <v>0</v>
          </cell>
          <cell r="F16122">
            <v>0</v>
          </cell>
          <cell r="DN16122">
            <v>0</v>
          </cell>
        </row>
        <row r="16123">
          <cell r="E16123">
            <v>0</v>
          </cell>
          <cell r="F16123">
            <v>0</v>
          </cell>
          <cell r="DN16123">
            <v>0</v>
          </cell>
        </row>
        <row r="16124">
          <cell r="E16124">
            <v>0</v>
          </cell>
          <cell r="F16124">
            <v>0</v>
          </cell>
          <cell r="DN16124">
            <v>0</v>
          </cell>
        </row>
        <row r="16125">
          <cell r="E16125">
            <v>0</v>
          </cell>
          <cell r="F16125">
            <v>0</v>
          </cell>
          <cell r="DN16125">
            <v>0</v>
          </cell>
        </row>
        <row r="16126">
          <cell r="E16126">
            <v>0</v>
          </cell>
          <cell r="F16126">
            <v>0</v>
          </cell>
          <cell r="DN16126">
            <v>0</v>
          </cell>
        </row>
        <row r="16127">
          <cell r="E16127">
            <v>0</v>
          </cell>
          <cell r="F16127">
            <v>0</v>
          </cell>
          <cell r="DN16127">
            <v>0</v>
          </cell>
        </row>
        <row r="16128">
          <cell r="E16128">
            <v>0</v>
          </cell>
          <cell r="F16128">
            <v>0</v>
          </cell>
          <cell r="DN16128">
            <v>0</v>
          </cell>
        </row>
        <row r="16129">
          <cell r="E16129">
            <v>0</v>
          </cell>
          <cell r="F16129">
            <v>0</v>
          </cell>
          <cell r="DN16129">
            <v>0</v>
          </cell>
        </row>
        <row r="16130">
          <cell r="E16130">
            <v>0</v>
          </cell>
          <cell r="F16130">
            <v>0</v>
          </cell>
          <cell r="DN16130">
            <v>0</v>
          </cell>
        </row>
        <row r="16131">
          <cell r="E16131">
            <v>0</v>
          </cell>
          <cell r="F16131">
            <v>0</v>
          </cell>
          <cell r="DN16131">
            <v>0</v>
          </cell>
        </row>
        <row r="16132">
          <cell r="E16132">
            <v>0</v>
          </cell>
          <cell r="F16132">
            <v>0</v>
          </cell>
          <cell r="DN16132">
            <v>0</v>
          </cell>
        </row>
        <row r="16133">
          <cell r="E16133">
            <v>0</v>
          </cell>
          <cell r="F16133">
            <v>0</v>
          </cell>
          <cell r="DN16133">
            <v>0</v>
          </cell>
        </row>
        <row r="16134">
          <cell r="E16134">
            <v>0</v>
          </cell>
          <cell r="F16134">
            <v>0</v>
          </cell>
          <cell r="DN16134">
            <v>0</v>
          </cell>
        </row>
        <row r="16135">
          <cell r="E16135">
            <v>0</v>
          </cell>
          <cell r="F16135">
            <v>0</v>
          </cell>
          <cell r="DN16135">
            <v>0</v>
          </cell>
        </row>
        <row r="16136">
          <cell r="E16136">
            <v>0</v>
          </cell>
          <cell r="F16136">
            <v>0</v>
          </cell>
          <cell r="DN16136">
            <v>0</v>
          </cell>
        </row>
        <row r="16137">
          <cell r="E16137">
            <v>0</v>
          </cell>
          <cell r="F16137">
            <v>0</v>
          </cell>
          <cell r="DN16137">
            <v>0</v>
          </cell>
        </row>
        <row r="16138">
          <cell r="E16138">
            <v>0</v>
          </cell>
          <cell r="F16138">
            <v>0</v>
          </cell>
          <cell r="DN16138">
            <v>0</v>
          </cell>
        </row>
        <row r="16139">
          <cell r="E16139">
            <v>0</v>
          </cell>
          <cell r="F16139">
            <v>0</v>
          </cell>
          <cell r="DN16139">
            <v>0</v>
          </cell>
        </row>
        <row r="16140">
          <cell r="E16140">
            <v>0</v>
          </cell>
          <cell r="F16140">
            <v>0</v>
          </cell>
          <cell r="DN16140">
            <v>0</v>
          </cell>
        </row>
        <row r="16141">
          <cell r="E16141">
            <v>0</v>
          </cell>
          <cell r="F16141">
            <v>0</v>
          </cell>
          <cell r="DN16141">
            <v>0</v>
          </cell>
        </row>
        <row r="16142">
          <cell r="E16142">
            <v>0</v>
          </cell>
          <cell r="F16142">
            <v>0</v>
          </cell>
          <cell r="DN16142">
            <v>0</v>
          </cell>
        </row>
        <row r="16143">
          <cell r="E16143">
            <v>0</v>
          </cell>
          <cell r="F16143">
            <v>0</v>
          </cell>
          <cell r="DN16143">
            <v>0</v>
          </cell>
        </row>
        <row r="16144">
          <cell r="E16144">
            <v>0</v>
          </cell>
          <cell r="F16144">
            <v>0</v>
          </cell>
          <cell r="DN16144">
            <v>0</v>
          </cell>
        </row>
        <row r="16145">
          <cell r="E16145">
            <v>0</v>
          </cell>
          <cell r="F16145">
            <v>0</v>
          </cell>
          <cell r="DN16145">
            <v>0</v>
          </cell>
        </row>
        <row r="16146">
          <cell r="E16146">
            <v>0</v>
          </cell>
          <cell r="F16146">
            <v>0</v>
          </cell>
          <cell r="DN16146">
            <v>0</v>
          </cell>
        </row>
        <row r="16147">
          <cell r="E16147">
            <v>0</v>
          </cell>
          <cell r="F16147">
            <v>0</v>
          </cell>
          <cell r="DN16147">
            <v>0</v>
          </cell>
        </row>
        <row r="16148">
          <cell r="E16148">
            <v>0</v>
          </cell>
          <cell r="F16148">
            <v>0</v>
          </cell>
          <cell r="DN16148">
            <v>0</v>
          </cell>
        </row>
        <row r="16149">
          <cell r="E16149">
            <v>0</v>
          </cell>
          <cell r="F16149">
            <v>0</v>
          </cell>
          <cell r="DN16149">
            <v>0</v>
          </cell>
        </row>
        <row r="16150">
          <cell r="E16150">
            <v>0</v>
          </cell>
          <cell r="F16150">
            <v>0</v>
          </cell>
          <cell r="DN16150">
            <v>0</v>
          </cell>
        </row>
        <row r="16151">
          <cell r="E16151">
            <v>0</v>
          </cell>
          <cell r="F16151">
            <v>0</v>
          </cell>
          <cell r="DN16151">
            <v>0</v>
          </cell>
        </row>
        <row r="16152">
          <cell r="E16152">
            <v>0</v>
          </cell>
          <cell r="F16152">
            <v>0</v>
          </cell>
          <cell r="DN16152">
            <v>0</v>
          </cell>
        </row>
        <row r="16153">
          <cell r="E16153">
            <v>0</v>
          </cell>
          <cell r="F16153">
            <v>0</v>
          </cell>
          <cell r="DN16153">
            <v>0</v>
          </cell>
        </row>
        <row r="16154">
          <cell r="E16154">
            <v>0</v>
          </cell>
          <cell r="F16154">
            <v>0</v>
          </cell>
          <cell r="DN16154">
            <v>0</v>
          </cell>
        </row>
        <row r="16155">
          <cell r="E16155">
            <v>0</v>
          </cell>
          <cell r="F16155">
            <v>0</v>
          </cell>
          <cell r="DN16155">
            <v>0</v>
          </cell>
        </row>
        <row r="16156">
          <cell r="E16156">
            <v>0</v>
          </cell>
          <cell r="F16156">
            <v>0</v>
          </cell>
          <cell r="DN16156">
            <v>0</v>
          </cell>
        </row>
        <row r="16157">
          <cell r="E16157">
            <v>0</v>
          </cell>
          <cell r="F16157">
            <v>0</v>
          </cell>
          <cell r="DN16157">
            <v>0</v>
          </cell>
        </row>
        <row r="16158">
          <cell r="E16158">
            <v>0</v>
          </cell>
          <cell r="F16158">
            <v>0</v>
          </cell>
          <cell r="DN16158">
            <v>0</v>
          </cell>
        </row>
        <row r="16159">
          <cell r="E16159">
            <v>0</v>
          </cell>
          <cell r="F16159">
            <v>0</v>
          </cell>
          <cell r="DN16159">
            <v>0</v>
          </cell>
        </row>
        <row r="16160">
          <cell r="E16160">
            <v>0</v>
          </cell>
          <cell r="F16160">
            <v>0</v>
          </cell>
          <cell r="DN16160">
            <v>0</v>
          </cell>
        </row>
        <row r="16161">
          <cell r="E16161">
            <v>0</v>
          </cell>
          <cell r="F16161">
            <v>0</v>
          </cell>
          <cell r="DN16161">
            <v>0</v>
          </cell>
        </row>
        <row r="16162">
          <cell r="E16162">
            <v>0</v>
          </cell>
          <cell r="F16162">
            <v>0</v>
          </cell>
          <cell r="DN16162">
            <v>0</v>
          </cell>
        </row>
        <row r="16163">
          <cell r="E16163">
            <v>0</v>
          </cell>
          <cell r="F16163">
            <v>0</v>
          </cell>
          <cell r="DN16163">
            <v>0</v>
          </cell>
        </row>
        <row r="16164">
          <cell r="E16164">
            <v>0</v>
          </cell>
          <cell r="F16164">
            <v>0</v>
          </cell>
          <cell r="DN16164">
            <v>0</v>
          </cell>
        </row>
        <row r="16165">
          <cell r="E16165">
            <v>0</v>
          </cell>
          <cell r="F16165">
            <v>0</v>
          </cell>
          <cell r="DN16165">
            <v>0</v>
          </cell>
        </row>
        <row r="16166">
          <cell r="E16166">
            <v>0</v>
          </cell>
          <cell r="F16166">
            <v>0</v>
          </cell>
          <cell r="DN16166">
            <v>0</v>
          </cell>
        </row>
        <row r="16167">
          <cell r="E16167">
            <v>0</v>
          </cell>
          <cell r="F16167">
            <v>0</v>
          </cell>
          <cell r="DN16167">
            <v>0</v>
          </cell>
        </row>
        <row r="16168">
          <cell r="E16168">
            <v>0</v>
          </cell>
          <cell r="F16168">
            <v>0</v>
          </cell>
          <cell r="DN16168">
            <v>0</v>
          </cell>
        </row>
        <row r="16169">
          <cell r="E16169">
            <v>0</v>
          </cell>
          <cell r="F16169">
            <v>0</v>
          </cell>
          <cell r="DN16169">
            <v>0</v>
          </cell>
        </row>
        <row r="16170">
          <cell r="E16170">
            <v>0</v>
          </cell>
          <cell r="F16170">
            <v>0</v>
          </cell>
          <cell r="DN16170">
            <v>0</v>
          </cell>
        </row>
        <row r="16171">
          <cell r="E16171">
            <v>0</v>
          </cell>
          <cell r="F16171">
            <v>0</v>
          </cell>
          <cell r="DN16171">
            <v>0</v>
          </cell>
        </row>
        <row r="16172">
          <cell r="E16172">
            <v>0</v>
          </cell>
          <cell r="F16172">
            <v>0</v>
          </cell>
          <cell r="DN16172">
            <v>0</v>
          </cell>
        </row>
        <row r="16173">
          <cell r="E16173">
            <v>0</v>
          </cell>
          <cell r="F16173">
            <v>0</v>
          </cell>
          <cell r="DN16173">
            <v>0</v>
          </cell>
        </row>
        <row r="16174">
          <cell r="E16174">
            <v>0</v>
          </cell>
          <cell r="F16174">
            <v>0</v>
          </cell>
          <cell r="DN16174">
            <v>0</v>
          </cell>
        </row>
        <row r="16175">
          <cell r="E16175">
            <v>0</v>
          </cell>
          <cell r="F16175">
            <v>0</v>
          </cell>
          <cell r="DN16175">
            <v>0</v>
          </cell>
        </row>
        <row r="16176">
          <cell r="E16176">
            <v>0</v>
          </cell>
          <cell r="F16176">
            <v>0</v>
          </cell>
          <cell r="DN16176">
            <v>0</v>
          </cell>
        </row>
        <row r="16177">
          <cell r="E16177">
            <v>0</v>
          </cell>
          <cell r="F16177">
            <v>0</v>
          </cell>
          <cell r="DN16177">
            <v>0</v>
          </cell>
        </row>
        <row r="16178">
          <cell r="E16178">
            <v>0</v>
          </cell>
          <cell r="F16178">
            <v>0</v>
          </cell>
          <cell r="DN16178">
            <v>0</v>
          </cell>
        </row>
        <row r="16179">
          <cell r="E16179">
            <v>0</v>
          </cell>
          <cell r="F16179">
            <v>0</v>
          </cell>
          <cell r="DN16179">
            <v>0</v>
          </cell>
        </row>
        <row r="16180">
          <cell r="E16180">
            <v>0</v>
          </cell>
          <cell r="F16180">
            <v>0</v>
          </cell>
          <cell r="DN16180">
            <v>0</v>
          </cell>
        </row>
        <row r="16181">
          <cell r="E16181">
            <v>0</v>
          </cell>
          <cell r="F16181">
            <v>0</v>
          </cell>
          <cell r="DN16181">
            <v>0</v>
          </cell>
        </row>
        <row r="16182">
          <cell r="E16182">
            <v>0</v>
          </cell>
          <cell r="F16182">
            <v>0</v>
          </cell>
          <cell r="DN16182">
            <v>0</v>
          </cell>
        </row>
        <row r="16183">
          <cell r="E16183">
            <v>0</v>
          </cell>
          <cell r="F16183">
            <v>0</v>
          </cell>
          <cell r="DN16183">
            <v>0</v>
          </cell>
        </row>
        <row r="16184">
          <cell r="E16184">
            <v>0</v>
          </cell>
          <cell r="F16184">
            <v>0</v>
          </cell>
          <cell r="DN16184">
            <v>0</v>
          </cell>
        </row>
        <row r="16185">
          <cell r="E16185">
            <v>0</v>
          </cell>
          <cell r="F16185">
            <v>0</v>
          </cell>
          <cell r="DN16185">
            <v>0</v>
          </cell>
        </row>
        <row r="16186">
          <cell r="E16186">
            <v>0</v>
          </cell>
          <cell r="F16186">
            <v>0</v>
          </cell>
          <cell r="DN16186">
            <v>0</v>
          </cell>
        </row>
        <row r="16187">
          <cell r="E16187">
            <v>0</v>
          </cell>
          <cell r="F16187">
            <v>0</v>
          </cell>
          <cell r="DN16187">
            <v>0</v>
          </cell>
        </row>
        <row r="16188">
          <cell r="E16188">
            <v>0</v>
          </cell>
          <cell r="F16188">
            <v>0</v>
          </cell>
          <cell r="DN16188">
            <v>0</v>
          </cell>
        </row>
        <row r="16189">
          <cell r="E16189">
            <v>0</v>
          </cell>
          <cell r="F16189">
            <v>0</v>
          </cell>
          <cell r="DN16189">
            <v>0</v>
          </cell>
        </row>
        <row r="16190">
          <cell r="E16190">
            <v>0</v>
          </cell>
          <cell r="F16190">
            <v>0</v>
          </cell>
          <cell r="DN16190">
            <v>0</v>
          </cell>
        </row>
        <row r="16191">
          <cell r="E16191">
            <v>0</v>
          </cell>
          <cell r="F16191">
            <v>0</v>
          </cell>
          <cell r="DN16191">
            <v>0</v>
          </cell>
        </row>
        <row r="16192">
          <cell r="E16192">
            <v>0</v>
          </cell>
          <cell r="F16192">
            <v>0</v>
          </cell>
          <cell r="DN16192">
            <v>0</v>
          </cell>
        </row>
        <row r="16193">
          <cell r="E16193">
            <v>0</v>
          </cell>
          <cell r="F16193">
            <v>0</v>
          </cell>
          <cell r="DN16193">
            <v>0</v>
          </cell>
        </row>
        <row r="16194">
          <cell r="E16194">
            <v>0</v>
          </cell>
          <cell r="F16194">
            <v>0</v>
          </cell>
          <cell r="DN16194">
            <v>0</v>
          </cell>
        </row>
        <row r="16195">
          <cell r="E16195">
            <v>0</v>
          </cell>
          <cell r="F16195">
            <v>0</v>
          </cell>
          <cell r="DN16195">
            <v>0</v>
          </cell>
        </row>
        <row r="16196">
          <cell r="E16196">
            <v>0</v>
          </cell>
          <cell r="F16196">
            <v>0</v>
          </cell>
          <cell r="DN16196">
            <v>0</v>
          </cell>
        </row>
        <row r="16197">
          <cell r="E16197">
            <v>0</v>
          </cell>
          <cell r="F16197">
            <v>0</v>
          </cell>
          <cell r="DN16197">
            <v>0</v>
          </cell>
        </row>
        <row r="16198">
          <cell r="E16198">
            <v>0</v>
          </cell>
          <cell r="F16198">
            <v>0</v>
          </cell>
          <cell r="DN16198">
            <v>0</v>
          </cell>
        </row>
        <row r="16199">
          <cell r="E16199">
            <v>0</v>
          </cell>
          <cell r="F16199">
            <v>0</v>
          </cell>
          <cell r="DN16199">
            <v>0</v>
          </cell>
        </row>
        <row r="16200">
          <cell r="E16200">
            <v>0</v>
          </cell>
          <cell r="F16200">
            <v>0</v>
          </cell>
          <cell r="DN16200">
            <v>0</v>
          </cell>
        </row>
        <row r="16201">
          <cell r="E16201">
            <v>0</v>
          </cell>
          <cell r="F16201">
            <v>0</v>
          </cell>
          <cell r="DN16201">
            <v>0</v>
          </cell>
        </row>
        <row r="16202">
          <cell r="E16202">
            <v>0</v>
          </cell>
          <cell r="F16202">
            <v>0</v>
          </cell>
          <cell r="DN16202">
            <v>0</v>
          </cell>
        </row>
        <row r="16203">
          <cell r="E16203">
            <v>0</v>
          </cell>
          <cell r="F16203">
            <v>0</v>
          </cell>
          <cell r="DN16203">
            <v>0</v>
          </cell>
        </row>
        <row r="16204">
          <cell r="E16204">
            <v>0</v>
          </cell>
          <cell r="F16204">
            <v>0</v>
          </cell>
          <cell r="DN16204">
            <v>0</v>
          </cell>
        </row>
        <row r="16205">
          <cell r="E16205">
            <v>0</v>
          </cell>
          <cell r="F16205">
            <v>0</v>
          </cell>
          <cell r="DN16205">
            <v>0</v>
          </cell>
        </row>
        <row r="16206">
          <cell r="E16206">
            <v>0</v>
          </cell>
          <cell r="F16206">
            <v>0</v>
          </cell>
          <cell r="DN16206">
            <v>0</v>
          </cell>
        </row>
        <row r="16207">
          <cell r="E16207">
            <v>0</v>
          </cell>
          <cell r="F16207">
            <v>0</v>
          </cell>
          <cell r="DN16207">
            <v>0</v>
          </cell>
        </row>
        <row r="16208">
          <cell r="E16208">
            <v>0</v>
          </cell>
          <cell r="F16208">
            <v>0</v>
          </cell>
          <cell r="DN16208">
            <v>0</v>
          </cell>
        </row>
        <row r="16209">
          <cell r="E16209">
            <v>0</v>
          </cell>
          <cell r="F16209">
            <v>0</v>
          </cell>
          <cell r="DN16209">
            <v>0</v>
          </cell>
        </row>
        <row r="16210">
          <cell r="E16210">
            <v>0</v>
          </cell>
          <cell r="F16210">
            <v>0</v>
          </cell>
          <cell r="DN16210">
            <v>0</v>
          </cell>
        </row>
        <row r="16211">
          <cell r="E16211">
            <v>0</v>
          </cell>
          <cell r="F16211">
            <v>0</v>
          </cell>
          <cell r="DN16211">
            <v>0</v>
          </cell>
        </row>
        <row r="16212">
          <cell r="E16212">
            <v>0</v>
          </cell>
          <cell r="F16212">
            <v>0</v>
          </cell>
          <cell r="DN16212">
            <v>0</v>
          </cell>
        </row>
        <row r="16213">
          <cell r="E16213">
            <v>0</v>
          </cell>
          <cell r="F16213">
            <v>0</v>
          </cell>
          <cell r="DN16213">
            <v>0</v>
          </cell>
        </row>
        <row r="16214">
          <cell r="E16214">
            <v>0</v>
          </cell>
          <cell r="F16214">
            <v>0</v>
          </cell>
          <cell r="DN16214">
            <v>0</v>
          </cell>
        </row>
        <row r="16215">
          <cell r="E16215">
            <v>0</v>
          </cell>
          <cell r="F16215">
            <v>0</v>
          </cell>
          <cell r="DN16215">
            <v>0</v>
          </cell>
        </row>
        <row r="16216">
          <cell r="E16216">
            <v>0</v>
          </cell>
          <cell r="F16216">
            <v>0</v>
          </cell>
          <cell r="DN16216">
            <v>0</v>
          </cell>
        </row>
        <row r="16217">
          <cell r="E16217">
            <v>0</v>
          </cell>
          <cell r="F16217">
            <v>0</v>
          </cell>
          <cell r="DN16217">
            <v>0</v>
          </cell>
        </row>
        <row r="16218">
          <cell r="E16218">
            <v>0</v>
          </cell>
          <cell r="F16218">
            <v>0</v>
          </cell>
          <cell r="DN16218">
            <v>0</v>
          </cell>
        </row>
        <row r="16219">
          <cell r="E16219">
            <v>0</v>
          </cell>
          <cell r="F16219">
            <v>0</v>
          </cell>
          <cell r="DN16219">
            <v>0</v>
          </cell>
        </row>
        <row r="16220">
          <cell r="E16220">
            <v>0</v>
          </cell>
          <cell r="F16220">
            <v>0</v>
          </cell>
          <cell r="DN16220">
            <v>0</v>
          </cell>
        </row>
        <row r="16221">
          <cell r="E16221">
            <v>0</v>
          </cell>
          <cell r="F16221">
            <v>0</v>
          </cell>
          <cell r="DN16221">
            <v>0</v>
          </cell>
        </row>
        <row r="16222">
          <cell r="E16222">
            <v>0</v>
          </cell>
          <cell r="F16222">
            <v>0</v>
          </cell>
          <cell r="DN16222">
            <v>0</v>
          </cell>
        </row>
        <row r="16223">
          <cell r="E16223">
            <v>0</v>
          </cell>
          <cell r="F16223">
            <v>0</v>
          </cell>
          <cell r="DN16223">
            <v>0</v>
          </cell>
        </row>
        <row r="16224">
          <cell r="E16224">
            <v>0</v>
          </cell>
          <cell r="F16224">
            <v>0</v>
          </cell>
          <cell r="DN16224">
            <v>0</v>
          </cell>
        </row>
        <row r="16225">
          <cell r="E16225">
            <v>0</v>
          </cell>
          <cell r="F16225">
            <v>0</v>
          </cell>
          <cell r="DN16225">
            <v>0</v>
          </cell>
        </row>
        <row r="16226">
          <cell r="E16226">
            <v>0</v>
          </cell>
          <cell r="F16226">
            <v>0</v>
          </cell>
          <cell r="DN16226">
            <v>0</v>
          </cell>
        </row>
        <row r="16227">
          <cell r="E16227">
            <v>0</v>
          </cell>
          <cell r="F16227">
            <v>0</v>
          </cell>
          <cell r="DN16227">
            <v>0</v>
          </cell>
        </row>
        <row r="16228">
          <cell r="E16228">
            <v>0</v>
          </cell>
          <cell r="F16228">
            <v>0</v>
          </cell>
          <cell r="DN16228">
            <v>0</v>
          </cell>
        </row>
        <row r="16229">
          <cell r="E16229">
            <v>0</v>
          </cell>
          <cell r="F16229">
            <v>0</v>
          </cell>
          <cell r="DN16229">
            <v>0</v>
          </cell>
        </row>
        <row r="16230">
          <cell r="E16230">
            <v>0</v>
          </cell>
          <cell r="F16230">
            <v>0</v>
          </cell>
          <cell r="DN16230">
            <v>0</v>
          </cell>
        </row>
        <row r="16231">
          <cell r="E16231">
            <v>0</v>
          </cell>
          <cell r="F16231">
            <v>0</v>
          </cell>
          <cell r="DN16231">
            <v>0</v>
          </cell>
        </row>
        <row r="16232">
          <cell r="E16232">
            <v>0</v>
          </cell>
          <cell r="F16232">
            <v>0</v>
          </cell>
          <cell r="DN16232">
            <v>0</v>
          </cell>
        </row>
        <row r="16233">
          <cell r="E16233">
            <v>0</v>
          </cell>
          <cell r="F16233">
            <v>0</v>
          </cell>
          <cell r="DN16233">
            <v>0</v>
          </cell>
        </row>
        <row r="16234">
          <cell r="E16234">
            <v>0</v>
          </cell>
          <cell r="F16234">
            <v>0</v>
          </cell>
          <cell r="DN16234">
            <v>0</v>
          </cell>
        </row>
        <row r="16235">
          <cell r="E16235">
            <v>0</v>
          </cell>
          <cell r="F16235">
            <v>0</v>
          </cell>
          <cell r="DN16235">
            <v>0</v>
          </cell>
        </row>
        <row r="16236">
          <cell r="E16236">
            <v>0</v>
          </cell>
          <cell r="F16236">
            <v>0</v>
          </cell>
          <cell r="DN16236">
            <v>0</v>
          </cell>
        </row>
        <row r="16237">
          <cell r="E16237">
            <v>0</v>
          </cell>
          <cell r="F16237">
            <v>0</v>
          </cell>
          <cell r="DN16237">
            <v>0</v>
          </cell>
        </row>
        <row r="16238">
          <cell r="E16238">
            <v>0</v>
          </cell>
          <cell r="F16238">
            <v>0</v>
          </cell>
          <cell r="DN16238">
            <v>0</v>
          </cell>
        </row>
        <row r="16239">
          <cell r="E16239">
            <v>0</v>
          </cell>
          <cell r="F16239">
            <v>0</v>
          </cell>
          <cell r="DN16239">
            <v>0</v>
          </cell>
        </row>
        <row r="16240">
          <cell r="E16240">
            <v>0</v>
          </cell>
          <cell r="F16240">
            <v>0</v>
          </cell>
          <cell r="DN16240">
            <v>0</v>
          </cell>
        </row>
        <row r="16241">
          <cell r="E16241">
            <v>0</v>
          </cell>
          <cell r="F16241">
            <v>0</v>
          </cell>
          <cell r="DN16241">
            <v>0</v>
          </cell>
        </row>
        <row r="16242">
          <cell r="E16242">
            <v>0</v>
          </cell>
          <cell r="F16242">
            <v>0</v>
          </cell>
          <cell r="DN16242">
            <v>0</v>
          </cell>
        </row>
        <row r="16243">
          <cell r="E16243">
            <v>0</v>
          </cell>
          <cell r="F16243">
            <v>0</v>
          </cell>
          <cell r="DN16243">
            <v>0</v>
          </cell>
        </row>
        <row r="16244">
          <cell r="E16244">
            <v>0</v>
          </cell>
          <cell r="F16244">
            <v>0</v>
          </cell>
          <cell r="DN16244">
            <v>0</v>
          </cell>
        </row>
        <row r="16245">
          <cell r="E16245">
            <v>0</v>
          </cell>
          <cell r="F16245">
            <v>0</v>
          </cell>
          <cell r="DN16245">
            <v>0</v>
          </cell>
        </row>
        <row r="16246">
          <cell r="E16246">
            <v>0</v>
          </cell>
          <cell r="F16246">
            <v>0</v>
          </cell>
          <cell r="DN16246">
            <v>0</v>
          </cell>
        </row>
        <row r="16247">
          <cell r="E16247">
            <v>0</v>
          </cell>
          <cell r="F16247">
            <v>0</v>
          </cell>
          <cell r="DN16247">
            <v>0</v>
          </cell>
        </row>
        <row r="16248">
          <cell r="E16248">
            <v>0</v>
          </cell>
          <cell r="F16248">
            <v>0</v>
          </cell>
          <cell r="DN16248">
            <v>0</v>
          </cell>
        </row>
        <row r="16249">
          <cell r="E16249">
            <v>0</v>
          </cell>
          <cell r="F16249">
            <v>0</v>
          </cell>
          <cell r="DN16249">
            <v>0</v>
          </cell>
        </row>
        <row r="16250">
          <cell r="E16250">
            <v>0</v>
          </cell>
          <cell r="F16250">
            <v>0</v>
          </cell>
          <cell r="DN16250">
            <v>0</v>
          </cell>
        </row>
        <row r="16251">
          <cell r="E16251">
            <v>0</v>
          </cell>
          <cell r="F16251">
            <v>0</v>
          </cell>
          <cell r="DN16251">
            <v>0</v>
          </cell>
        </row>
        <row r="16252">
          <cell r="E16252">
            <v>0</v>
          </cell>
          <cell r="F16252">
            <v>0</v>
          </cell>
          <cell r="DN16252">
            <v>0</v>
          </cell>
        </row>
        <row r="16253">
          <cell r="E16253">
            <v>0</v>
          </cell>
          <cell r="F16253">
            <v>0</v>
          </cell>
          <cell r="DN16253">
            <v>0</v>
          </cell>
        </row>
        <row r="16254">
          <cell r="E16254">
            <v>0</v>
          </cell>
          <cell r="F16254">
            <v>0</v>
          </cell>
          <cell r="DN16254">
            <v>0</v>
          </cell>
        </row>
        <row r="16255">
          <cell r="E16255">
            <v>0</v>
          </cell>
          <cell r="F16255">
            <v>0</v>
          </cell>
          <cell r="DN16255">
            <v>0</v>
          </cell>
        </row>
        <row r="16256">
          <cell r="E16256">
            <v>0</v>
          </cell>
          <cell r="F16256">
            <v>0</v>
          </cell>
          <cell r="DN16256">
            <v>0</v>
          </cell>
        </row>
        <row r="16257">
          <cell r="E16257">
            <v>0</v>
          </cell>
          <cell r="F16257">
            <v>0</v>
          </cell>
          <cell r="DN16257">
            <v>0</v>
          </cell>
        </row>
        <row r="16258">
          <cell r="E16258">
            <v>0</v>
          </cell>
          <cell r="F16258">
            <v>0</v>
          </cell>
          <cell r="DN16258">
            <v>0</v>
          </cell>
        </row>
        <row r="16259">
          <cell r="E16259">
            <v>0</v>
          </cell>
          <cell r="F16259">
            <v>0</v>
          </cell>
          <cell r="DN16259">
            <v>0</v>
          </cell>
        </row>
        <row r="16260">
          <cell r="E16260">
            <v>0</v>
          </cell>
          <cell r="F16260">
            <v>0</v>
          </cell>
          <cell r="DN16260">
            <v>0</v>
          </cell>
        </row>
        <row r="16261">
          <cell r="E16261">
            <v>0</v>
          </cell>
          <cell r="F16261">
            <v>0</v>
          </cell>
          <cell r="DN16261">
            <v>0</v>
          </cell>
        </row>
        <row r="16262">
          <cell r="E16262">
            <v>0</v>
          </cell>
          <cell r="F16262">
            <v>0</v>
          </cell>
          <cell r="DN16262">
            <v>0</v>
          </cell>
        </row>
        <row r="16263">
          <cell r="E16263">
            <v>0</v>
          </cell>
          <cell r="F16263">
            <v>0</v>
          </cell>
          <cell r="DN16263">
            <v>0</v>
          </cell>
        </row>
        <row r="16264">
          <cell r="E16264">
            <v>0</v>
          </cell>
          <cell r="F16264">
            <v>0</v>
          </cell>
          <cell r="DN16264">
            <v>0</v>
          </cell>
        </row>
        <row r="16265">
          <cell r="E16265">
            <v>0</v>
          </cell>
          <cell r="F16265">
            <v>0</v>
          </cell>
          <cell r="DN16265">
            <v>0</v>
          </cell>
        </row>
        <row r="16266">
          <cell r="E16266">
            <v>0</v>
          </cell>
          <cell r="F16266">
            <v>0</v>
          </cell>
          <cell r="DN16266">
            <v>0</v>
          </cell>
        </row>
        <row r="16267">
          <cell r="E16267">
            <v>0</v>
          </cell>
          <cell r="F16267">
            <v>0</v>
          </cell>
          <cell r="DN16267">
            <v>0</v>
          </cell>
        </row>
        <row r="16268">
          <cell r="E16268">
            <v>0</v>
          </cell>
          <cell r="F16268">
            <v>0</v>
          </cell>
          <cell r="DN16268">
            <v>0</v>
          </cell>
        </row>
        <row r="16269">
          <cell r="E16269">
            <v>0</v>
          </cell>
          <cell r="F16269">
            <v>0</v>
          </cell>
          <cell r="DN16269">
            <v>0</v>
          </cell>
        </row>
        <row r="16270">
          <cell r="E16270">
            <v>0</v>
          </cell>
          <cell r="F16270">
            <v>0</v>
          </cell>
          <cell r="DN16270">
            <v>0</v>
          </cell>
        </row>
        <row r="16271">
          <cell r="E16271">
            <v>0</v>
          </cell>
          <cell r="F16271">
            <v>0</v>
          </cell>
          <cell r="DN16271">
            <v>0</v>
          </cell>
        </row>
        <row r="16272">
          <cell r="E16272">
            <v>0</v>
          </cell>
          <cell r="F16272">
            <v>0</v>
          </cell>
          <cell r="DN16272">
            <v>0</v>
          </cell>
        </row>
        <row r="16273">
          <cell r="E16273">
            <v>0</v>
          </cell>
          <cell r="F16273">
            <v>0</v>
          </cell>
          <cell r="DN16273">
            <v>0</v>
          </cell>
        </row>
        <row r="16274">
          <cell r="E16274">
            <v>0</v>
          </cell>
          <cell r="F16274">
            <v>0</v>
          </cell>
          <cell r="DN16274">
            <v>0</v>
          </cell>
        </row>
        <row r="16275">
          <cell r="E16275">
            <v>0</v>
          </cell>
          <cell r="F16275">
            <v>0</v>
          </cell>
          <cell r="DN16275">
            <v>0</v>
          </cell>
        </row>
        <row r="16276">
          <cell r="E16276">
            <v>0</v>
          </cell>
          <cell r="F16276">
            <v>0</v>
          </cell>
          <cell r="DN16276">
            <v>0</v>
          </cell>
        </row>
        <row r="16277">
          <cell r="E16277">
            <v>0</v>
          </cell>
          <cell r="F16277">
            <v>0</v>
          </cell>
          <cell r="DN16277">
            <v>0</v>
          </cell>
        </row>
        <row r="16278">
          <cell r="E16278">
            <v>0</v>
          </cell>
          <cell r="F16278">
            <v>0</v>
          </cell>
          <cell r="DN16278">
            <v>0</v>
          </cell>
        </row>
        <row r="16279">
          <cell r="E16279">
            <v>0</v>
          </cell>
          <cell r="F16279">
            <v>0</v>
          </cell>
          <cell r="DN16279">
            <v>0</v>
          </cell>
        </row>
        <row r="16280">
          <cell r="E16280">
            <v>0</v>
          </cell>
          <cell r="F16280">
            <v>0</v>
          </cell>
          <cell r="DN16280">
            <v>0</v>
          </cell>
        </row>
        <row r="16281">
          <cell r="E16281">
            <v>0</v>
          </cell>
          <cell r="F16281">
            <v>0</v>
          </cell>
          <cell r="DN16281">
            <v>0</v>
          </cell>
        </row>
        <row r="16282">
          <cell r="E16282">
            <v>0</v>
          </cell>
          <cell r="F16282">
            <v>0</v>
          </cell>
          <cell r="DN16282">
            <v>0</v>
          </cell>
        </row>
        <row r="16283">
          <cell r="E16283">
            <v>0</v>
          </cell>
          <cell r="F16283">
            <v>0</v>
          </cell>
          <cell r="DN16283">
            <v>0</v>
          </cell>
        </row>
        <row r="16284">
          <cell r="E16284">
            <v>0</v>
          </cell>
          <cell r="F16284">
            <v>0</v>
          </cell>
          <cell r="DN16284">
            <v>0</v>
          </cell>
        </row>
        <row r="16285">
          <cell r="E16285">
            <v>0</v>
          </cell>
          <cell r="F16285">
            <v>0</v>
          </cell>
          <cell r="DN16285">
            <v>0</v>
          </cell>
        </row>
        <row r="16286">
          <cell r="E16286">
            <v>0</v>
          </cell>
          <cell r="F16286">
            <v>0</v>
          </cell>
          <cell r="DN16286">
            <v>0</v>
          </cell>
        </row>
        <row r="16287">
          <cell r="E16287">
            <v>0</v>
          </cell>
          <cell r="F16287">
            <v>0</v>
          </cell>
          <cell r="DN16287">
            <v>0</v>
          </cell>
        </row>
        <row r="16288">
          <cell r="E16288">
            <v>0</v>
          </cell>
          <cell r="F16288">
            <v>0</v>
          </cell>
          <cell r="DN16288">
            <v>0</v>
          </cell>
        </row>
        <row r="16289">
          <cell r="E16289">
            <v>0</v>
          </cell>
          <cell r="F16289">
            <v>0</v>
          </cell>
          <cell r="DN16289">
            <v>0</v>
          </cell>
        </row>
        <row r="16290">
          <cell r="E16290">
            <v>0</v>
          </cell>
          <cell r="F16290">
            <v>0</v>
          </cell>
          <cell r="DN16290">
            <v>0</v>
          </cell>
        </row>
        <row r="16291">
          <cell r="E16291">
            <v>0</v>
          </cell>
          <cell r="F16291">
            <v>0</v>
          </cell>
          <cell r="DN16291">
            <v>0</v>
          </cell>
        </row>
        <row r="16292">
          <cell r="E16292">
            <v>0</v>
          </cell>
          <cell r="F16292">
            <v>0</v>
          </cell>
          <cell r="DN16292">
            <v>0</v>
          </cell>
        </row>
        <row r="16293">
          <cell r="E16293">
            <v>0</v>
          </cell>
          <cell r="F16293">
            <v>0</v>
          </cell>
          <cell r="DN16293">
            <v>0</v>
          </cell>
        </row>
        <row r="16294">
          <cell r="E16294">
            <v>0</v>
          </cell>
          <cell r="F16294">
            <v>0</v>
          </cell>
          <cell r="DN16294">
            <v>0</v>
          </cell>
        </row>
        <row r="16295">
          <cell r="E16295">
            <v>0</v>
          </cell>
          <cell r="F16295">
            <v>0</v>
          </cell>
          <cell r="DN16295">
            <v>0</v>
          </cell>
        </row>
        <row r="16296">
          <cell r="E16296">
            <v>0</v>
          </cell>
          <cell r="F16296">
            <v>0</v>
          </cell>
          <cell r="DN16296">
            <v>0</v>
          </cell>
        </row>
        <row r="16297">
          <cell r="E16297">
            <v>0</v>
          </cell>
          <cell r="F16297">
            <v>0</v>
          </cell>
          <cell r="DN16297">
            <v>0</v>
          </cell>
        </row>
        <row r="16298">
          <cell r="E16298">
            <v>0</v>
          </cell>
          <cell r="F16298">
            <v>0</v>
          </cell>
          <cell r="DN16298">
            <v>0</v>
          </cell>
        </row>
        <row r="16299">
          <cell r="E16299">
            <v>0</v>
          </cell>
          <cell r="F16299">
            <v>0</v>
          </cell>
          <cell r="DN16299">
            <v>0</v>
          </cell>
        </row>
        <row r="16300">
          <cell r="E16300">
            <v>0</v>
          </cell>
          <cell r="F16300">
            <v>0</v>
          </cell>
          <cell r="DN16300">
            <v>0</v>
          </cell>
        </row>
        <row r="16301">
          <cell r="E16301">
            <v>0</v>
          </cell>
          <cell r="F16301">
            <v>0</v>
          </cell>
          <cell r="DN16301">
            <v>0</v>
          </cell>
        </row>
        <row r="16302">
          <cell r="E16302">
            <v>0</v>
          </cell>
          <cell r="F16302">
            <v>0</v>
          </cell>
          <cell r="DN16302">
            <v>0</v>
          </cell>
        </row>
        <row r="16303">
          <cell r="E16303">
            <v>0</v>
          </cell>
          <cell r="F16303">
            <v>0</v>
          </cell>
          <cell r="DN16303">
            <v>0</v>
          </cell>
        </row>
        <row r="16304">
          <cell r="E16304">
            <v>0</v>
          </cell>
          <cell r="F16304">
            <v>0</v>
          </cell>
          <cell r="DN16304">
            <v>0</v>
          </cell>
        </row>
        <row r="16305">
          <cell r="E16305">
            <v>0</v>
          </cell>
          <cell r="F16305">
            <v>0</v>
          </cell>
          <cell r="DN16305">
            <v>0</v>
          </cell>
        </row>
        <row r="16306">
          <cell r="E16306">
            <v>0</v>
          </cell>
          <cell r="F16306">
            <v>0</v>
          </cell>
          <cell r="DN16306">
            <v>0</v>
          </cell>
        </row>
        <row r="16307">
          <cell r="E16307">
            <v>0</v>
          </cell>
          <cell r="F16307">
            <v>0</v>
          </cell>
          <cell r="DN16307">
            <v>0</v>
          </cell>
        </row>
        <row r="16308">
          <cell r="E16308">
            <v>0</v>
          </cell>
          <cell r="F16308">
            <v>0</v>
          </cell>
          <cell r="DN16308">
            <v>0</v>
          </cell>
        </row>
        <row r="16309">
          <cell r="E16309">
            <v>0</v>
          </cell>
          <cell r="F16309">
            <v>0</v>
          </cell>
          <cell r="DN16309">
            <v>0</v>
          </cell>
        </row>
        <row r="16310">
          <cell r="E16310">
            <v>0</v>
          </cell>
          <cell r="F16310">
            <v>0</v>
          </cell>
          <cell r="DN16310">
            <v>0</v>
          </cell>
        </row>
        <row r="16311">
          <cell r="E16311">
            <v>0</v>
          </cell>
          <cell r="F16311">
            <v>0</v>
          </cell>
          <cell r="DN16311">
            <v>0</v>
          </cell>
        </row>
        <row r="16312">
          <cell r="E16312">
            <v>0</v>
          </cell>
          <cell r="F16312">
            <v>0</v>
          </cell>
          <cell r="DN16312">
            <v>0</v>
          </cell>
        </row>
        <row r="16313">
          <cell r="E16313">
            <v>0</v>
          </cell>
          <cell r="F16313">
            <v>0</v>
          </cell>
          <cell r="DN16313">
            <v>0</v>
          </cell>
        </row>
        <row r="16314">
          <cell r="E16314">
            <v>0</v>
          </cell>
          <cell r="F16314">
            <v>0</v>
          </cell>
          <cell r="DN16314">
            <v>0</v>
          </cell>
        </row>
        <row r="16315">
          <cell r="E16315">
            <v>0</v>
          </cell>
          <cell r="F16315">
            <v>0</v>
          </cell>
          <cell r="DN16315">
            <v>0</v>
          </cell>
        </row>
        <row r="16316">
          <cell r="E16316">
            <v>0</v>
          </cell>
          <cell r="F16316">
            <v>0</v>
          </cell>
          <cell r="DN16316">
            <v>0</v>
          </cell>
        </row>
        <row r="16317">
          <cell r="E16317">
            <v>0</v>
          </cell>
          <cell r="F16317">
            <v>0</v>
          </cell>
          <cell r="DN16317">
            <v>0</v>
          </cell>
        </row>
        <row r="16318">
          <cell r="E16318">
            <v>0</v>
          </cell>
          <cell r="F16318">
            <v>0</v>
          </cell>
          <cell r="DN16318">
            <v>0</v>
          </cell>
        </row>
        <row r="16319">
          <cell r="E16319">
            <v>0</v>
          </cell>
          <cell r="F16319">
            <v>0</v>
          </cell>
          <cell r="DN16319">
            <v>0</v>
          </cell>
        </row>
        <row r="16320">
          <cell r="E16320">
            <v>0</v>
          </cell>
          <cell r="F16320">
            <v>0</v>
          </cell>
          <cell r="DN16320">
            <v>0</v>
          </cell>
        </row>
        <row r="16321">
          <cell r="E16321">
            <v>0</v>
          </cell>
          <cell r="F16321">
            <v>0</v>
          </cell>
          <cell r="DN16321">
            <v>0</v>
          </cell>
        </row>
        <row r="16322">
          <cell r="E16322">
            <v>0</v>
          </cell>
          <cell r="F16322">
            <v>0</v>
          </cell>
          <cell r="DN16322">
            <v>0</v>
          </cell>
        </row>
        <row r="16323">
          <cell r="E16323">
            <v>0</v>
          </cell>
          <cell r="F16323">
            <v>0</v>
          </cell>
          <cell r="DN16323">
            <v>0</v>
          </cell>
        </row>
        <row r="16324">
          <cell r="E16324">
            <v>0</v>
          </cell>
          <cell r="F16324">
            <v>0</v>
          </cell>
          <cell r="DN16324">
            <v>0</v>
          </cell>
        </row>
        <row r="16325">
          <cell r="E16325">
            <v>0</v>
          </cell>
          <cell r="F16325">
            <v>0</v>
          </cell>
          <cell r="DN16325">
            <v>0</v>
          </cell>
        </row>
        <row r="16326">
          <cell r="E16326">
            <v>0</v>
          </cell>
          <cell r="F16326">
            <v>0</v>
          </cell>
          <cell r="DN16326">
            <v>0</v>
          </cell>
        </row>
        <row r="16327">
          <cell r="E16327">
            <v>0</v>
          </cell>
          <cell r="F16327">
            <v>0</v>
          </cell>
          <cell r="DN16327">
            <v>0</v>
          </cell>
        </row>
        <row r="16328">
          <cell r="E16328">
            <v>0</v>
          </cell>
          <cell r="F16328">
            <v>0</v>
          </cell>
          <cell r="DN16328">
            <v>0</v>
          </cell>
        </row>
        <row r="16329">
          <cell r="E16329">
            <v>0</v>
          </cell>
          <cell r="F16329">
            <v>0</v>
          </cell>
          <cell r="DN16329">
            <v>0</v>
          </cell>
        </row>
        <row r="16330">
          <cell r="E16330">
            <v>0</v>
          </cell>
          <cell r="F16330">
            <v>0</v>
          </cell>
          <cell r="DN16330">
            <v>0</v>
          </cell>
        </row>
        <row r="16331">
          <cell r="E16331">
            <v>0</v>
          </cell>
          <cell r="F16331">
            <v>0</v>
          </cell>
          <cell r="DN16331">
            <v>0</v>
          </cell>
        </row>
        <row r="16332">
          <cell r="E16332">
            <v>0</v>
          </cell>
          <cell r="F16332">
            <v>0</v>
          </cell>
          <cell r="DN16332">
            <v>0</v>
          </cell>
        </row>
        <row r="16333">
          <cell r="E16333">
            <v>0</v>
          </cell>
          <cell r="F16333">
            <v>0</v>
          </cell>
          <cell r="DN16333">
            <v>0</v>
          </cell>
        </row>
        <row r="16334">
          <cell r="E16334">
            <v>0</v>
          </cell>
          <cell r="F16334">
            <v>0</v>
          </cell>
          <cell r="DN16334">
            <v>0</v>
          </cell>
        </row>
        <row r="16335">
          <cell r="E16335">
            <v>0</v>
          </cell>
          <cell r="F16335">
            <v>0</v>
          </cell>
          <cell r="DN16335">
            <v>0</v>
          </cell>
        </row>
        <row r="16336">
          <cell r="E16336">
            <v>0</v>
          </cell>
          <cell r="F16336">
            <v>0</v>
          </cell>
          <cell r="DN16336">
            <v>0</v>
          </cell>
        </row>
        <row r="16337">
          <cell r="E16337">
            <v>0</v>
          </cell>
          <cell r="F16337">
            <v>0</v>
          </cell>
          <cell r="DN16337">
            <v>0</v>
          </cell>
        </row>
        <row r="16338">
          <cell r="E16338">
            <v>0</v>
          </cell>
          <cell r="F16338">
            <v>0</v>
          </cell>
          <cell r="DN16338">
            <v>0</v>
          </cell>
        </row>
        <row r="16339">
          <cell r="E16339">
            <v>0</v>
          </cell>
          <cell r="F16339">
            <v>0</v>
          </cell>
          <cell r="DN16339">
            <v>0</v>
          </cell>
        </row>
        <row r="16340">
          <cell r="E16340">
            <v>0</v>
          </cell>
          <cell r="F16340">
            <v>0</v>
          </cell>
          <cell r="DN16340">
            <v>0</v>
          </cell>
        </row>
        <row r="16341">
          <cell r="E16341">
            <v>0</v>
          </cell>
          <cell r="F16341">
            <v>0</v>
          </cell>
          <cell r="DN16341">
            <v>0</v>
          </cell>
        </row>
        <row r="16342">
          <cell r="E16342">
            <v>0</v>
          </cell>
          <cell r="F16342">
            <v>0</v>
          </cell>
          <cell r="DN16342">
            <v>0</v>
          </cell>
        </row>
        <row r="16343">
          <cell r="E16343">
            <v>0</v>
          </cell>
          <cell r="F16343">
            <v>0</v>
          </cell>
          <cell r="DN16343">
            <v>0</v>
          </cell>
        </row>
        <row r="16344">
          <cell r="E16344">
            <v>0</v>
          </cell>
          <cell r="F16344">
            <v>0</v>
          </cell>
          <cell r="DN16344">
            <v>0</v>
          </cell>
        </row>
        <row r="16345">
          <cell r="E16345">
            <v>0</v>
          </cell>
          <cell r="F16345">
            <v>0</v>
          </cell>
          <cell r="DN16345">
            <v>0</v>
          </cell>
        </row>
        <row r="16346">
          <cell r="E16346">
            <v>0</v>
          </cell>
          <cell r="F16346">
            <v>0</v>
          </cell>
          <cell r="DN16346">
            <v>0</v>
          </cell>
        </row>
        <row r="16347">
          <cell r="E16347">
            <v>0</v>
          </cell>
          <cell r="F16347">
            <v>0</v>
          </cell>
          <cell r="DN16347">
            <v>0</v>
          </cell>
        </row>
        <row r="16348">
          <cell r="E16348">
            <v>0</v>
          </cell>
          <cell r="F16348">
            <v>0</v>
          </cell>
          <cell r="DN16348">
            <v>0</v>
          </cell>
        </row>
        <row r="16349">
          <cell r="E16349">
            <v>0</v>
          </cell>
          <cell r="F16349">
            <v>0</v>
          </cell>
          <cell r="DN16349">
            <v>0</v>
          </cell>
        </row>
        <row r="16350">
          <cell r="E16350">
            <v>0</v>
          </cell>
          <cell r="F16350">
            <v>0</v>
          </cell>
          <cell r="DN16350">
            <v>0</v>
          </cell>
        </row>
        <row r="16351">
          <cell r="E16351">
            <v>0</v>
          </cell>
          <cell r="F16351">
            <v>0</v>
          </cell>
          <cell r="DN16351">
            <v>0</v>
          </cell>
        </row>
        <row r="16352">
          <cell r="E16352">
            <v>0</v>
          </cell>
          <cell r="F16352">
            <v>0</v>
          </cell>
          <cell r="DN16352">
            <v>0</v>
          </cell>
        </row>
        <row r="16353">
          <cell r="E16353">
            <v>0</v>
          </cell>
          <cell r="F16353">
            <v>0</v>
          </cell>
          <cell r="DN16353">
            <v>0</v>
          </cell>
        </row>
        <row r="16354">
          <cell r="E16354">
            <v>0</v>
          </cell>
          <cell r="F16354">
            <v>0</v>
          </cell>
          <cell r="DN16354">
            <v>0</v>
          </cell>
        </row>
        <row r="16355">
          <cell r="E16355">
            <v>0</v>
          </cell>
          <cell r="F16355">
            <v>0</v>
          </cell>
          <cell r="DN16355">
            <v>0</v>
          </cell>
        </row>
        <row r="16356">
          <cell r="E16356">
            <v>0</v>
          </cell>
          <cell r="F16356">
            <v>0</v>
          </cell>
          <cell r="DN16356">
            <v>0</v>
          </cell>
        </row>
        <row r="16357">
          <cell r="E16357">
            <v>0</v>
          </cell>
          <cell r="F16357">
            <v>0</v>
          </cell>
          <cell r="DN16357">
            <v>0</v>
          </cell>
        </row>
        <row r="16358">
          <cell r="E16358">
            <v>0</v>
          </cell>
          <cell r="F16358">
            <v>0</v>
          </cell>
          <cell r="DN16358">
            <v>0</v>
          </cell>
        </row>
        <row r="16359">
          <cell r="E16359">
            <v>0</v>
          </cell>
          <cell r="F16359">
            <v>0</v>
          </cell>
          <cell r="DN16359">
            <v>0</v>
          </cell>
        </row>
        <row r="16360">
          <cell r="E16360">
            <v>0</v>
          </cell>
          <cell r="F16360">
            <v>0</v>
          </cell>
          <cell r="DN16360">
            <v>0</v>
          </cell>
        </row>
        <row r="16361">
          <cell r="E16361">
            <v>0</v>
          </cell>
          <cell r="F16361">
            <v>0</v>
          </cell>
          <cell r="DN16361">
            <v>0</v>
          </cell>
        </row>
        <row r="16362">
          <cell r="E16362">
            <v>0</v>
          </cell>
          <cell r="F16362">
            <v>0</v>
          </cell>
          <cell r="DN16362">
            <v>0</v>
          </cell>
        </row>
        <row r="16363">
          <cell r="E16363">
            <v>0</v>
          </cell>
          <cell r="F16363">
            <v>0</v>
          </cell>
          <cell r="DN16363">
            <v>0</v>
          </cell>
        </row>
        <row r="16364">
          <cell r="E16364">
            <v>0</v>
          </cell>
          <cell r="F16364">
            <v>0</v>
          </cell>
          <cell r="DN16364">
            <v>0</v>
          </cell>
        </row>
        <row r="16365">
          <cell r="E16365">
            <v>0</v>
          </cell>
          <cell r="F16365">
            <v>0</v>
          </cell>
          <cell r="DN16365">
            <v>0</v>
          </cell>
        </row>
        <row r="16366">
          <cell r="E16366">
            <v>0</v>
          </cell>
          <cell r="F16366">
            <v>0</v>
          </cell>
          <cell r="DN16366">
            <v>0</v>
          </cell>
        </row>
        <row r="16367">
          <cell r="E16367">
            <v>0</v>
          </cell>
          <cell r="F16367">
            <v>0</v>
          </cell>
          <cell r="DN16367">
            <v>0</v>
          </cell>
        </row>
        <row r="16368">
          <cell r="E16368">
            <v>0</v>
          </cell>
          <cell r="F16368">
            <v>0</v>
          </cell>
          <cell r="DN16368">
            <v>0</v>
          </cell>
        </row>
        <row r="16369">
          <cell r="E16369">
            <v>0</v>
          </cell>
          <cell r="F16369">
            <v>0</v>
          </cell>
          <cell r="DN16369">
            <v>0</v>
          </cell>
        </row>
        <row r="16370">
          <cell r="E16370">
            <v>0</v>
          </cell>
          <cell r="F16370">
            <v>0</v>
          </cell>
          <cell r="DN16370">
            <v>0</v>
          </cell>
        </row>
        <row r="16371">
          <cell r="E16371">
            <v>0</v>
          </cell>
          <cell r="F16371">
            <v>0</v>
          </cell>
          <cell r="DN16371">
            <v>0</v>
          </cell>
        </row>
        <row r="16372">
          <cell r="E16372">
            <v>0</v>
          </cell>
          <cell r="F16372">
            <v>0</v>
          </cell>
          <cell r="DN16372">
            <v>0</v>
          </cell>
        </row>
        <row r="16373">
          <cell r="E16373">
            <v>0</v>
          </cell>
          <cell r="F16373">
            <v>0</v>
          </cell>
          <cell r="DN16373">
            <v>0</v>
          </cell>
        </row>
        <row r="16374">
          <cell r="E16374">
            <v>0</v>
          </cell>
          <cell r="F16374">
            <v>0</v>
          </cell>
          <cell r="DN16374">
            <v>0</v>
          </cell>
        </row>
        <row r="16375">
          <cell r="E16375">
            <v>0</v>
          </cell>
          <cell r="F16375">
            <v>0</v>
          </cell>
          <cell r="DN16375">
            <v>0</v>
          </cell>
        </row>
        <row r="16376">
          <cell r="E16376">
            <v>0</v>
          </cell>
          <cell r="F16376">
            <v>0</v>
          </cell>
          <cell r="DN16376">
            <v>0</v>
          </cell>
        </row>
        <row r="16377">
          <cell r="E16377">
            <v>0</v>
          </cell>
          <cell r="F16377">
            <v>0</v>
          </cell>
          <cell r="DN16377">
            <v>0</v>
          </cell>
        </row>
        <row r="16378">
          <cell r="E16378">
            <v>0</v>
          </cell>
          <cell r="F16378">
            <v>0</v>
          </cell>
          <cell r="DN16378">
            <v>0</v>
          </cell>
        </row>
        <row r="16379">
          <cell r="E16379">
            <v>0</v>
          </cell>
          <cell r="F16379">
            <v>0</v>
          </cell>
          <cell r="DN16379">
            <v>0</v>
          </cell>
        </row>
        <row r="16380">
          <cell r="E16380">
            <v>0</v>
          </cell>
          <cell r="F16380">
            <v>0</v>
          </cell>
          <cell r="DN16380">
            <v>0</v>
          </cell>
        </row>
        <row r="16381">
          <cell r="E16381">
            <v>0</v>
          </cell>
          <cell r="F16381">
            <v>0</v>
          </cell>
          <cell r="DN16381">
            <v>0</v>
          </cell>
        </row>
        <row r="16382">
          <cell r="E16382">
            <v>0</v>
          </cell>
          <cell r="F16382">
            <v>0</v>
          </cell>
          <cell r="DN16382">
            <v>0</v>
          </cell>
        </row>
        <row r="16383">
          <cell r="E16383">
            <v>0</v>
          </cell>
          <cell r="F16383">
            <v>0</v>
          </cell>
          <cell r="DN16383">
            <v>0</v>
          </cell>
        </row>
        <row r="16384">
          <cell r="E16384">
            <v>0</v>
          </cell>
          <cell r="F16384">
            <v>0</v>
          </cell>
          <cell r="DN16384">
            <v>0</v>
          </cell>
        </row>
        <row r="16385">
          <cell r="E16385">
            <v>0</v>
          </cell>
          <cell r="F16385">
            <v>0</v>
          </cell>
          <cell r="DN16385">
            <v>0</v>
          </cell>
        </row>
        <row r="16386">
          <cell r="E16386">
            <v>0</v>
          </cell>
          <cell r="F16386">
            <v>0</v>
          </cell>
          <cell r="DN16386">
            <v>0</v>
          </cell>
        </row>
        <row r="16387">
          <cell r="E16387">
            <v>0</v>
          </cell>
          <cell r="F16387">
            <v>0</v>
          </cell>
          <cell r="DN16387">
            <v>0</v>
          </cell>
        </row>
        <row r="16388">
          <cell r="E16388">
            <v>0</v>
          </cell>
          <cell r="F16388">
            <v>0</v>
          </cell>
          <cell r="DN16388">
            <v>0</v>
          </cell>
        </row>
        <row r="16389">
          <cell r="E16389">
            <v>0</v>
          </cell>
          <cell r="F16389">
            <v>0</v>
          </cell>
          <cell r="DN16389">
            <v>0</v>
          </cell>
        </row>
        <row r="16390">
          <cell r="E16390">
            <v>0</v>
          </cell>
          <cell r="F16390">
            <v>0</v>
          </cell>
          <cell r="DN16390">
            <v>0</v>
          </cell>
        </row>
        <row r="16391">
          <cell r="E16391">
            <v>0</v>
          </cell>
          <cell r="F16391">
            <v>0</v>
          </cell>
          <cell r="DN16391">
            <v>0</v>
          </cell>
        </row>
        <row r="16392">
          <cell r="E16392">
            <v>0</v>
          </cell>
          <cell r="F16392">
            <v>0</v>
          </cell>
          <cell r="DN16392">
            <v>0</v>
          </cell>
        </row>
        <row r="16393">
          <cell r="E16393">
            <v>0</v>
          </cell>
          <cell r="F16393">
            <v>0</v>
          </cell>
          <cell r="DN16393">
            <v>0</v>
          </cell>
        </row>
        <row r="16394">
          <cell r="E16394">
            <v>0</v>
          </cell>
          <cell r="F16394">
            <v>0</v>
          </cell>
          <cell r="DN16394">
            <v>0</v>
          </cell>
        </row>
        <row r="16395">
          <cell r="E16395">
            <v>0</v>
          </cell>
          <cell r="F16395">
            <v>0</v>
          </cell>
          <cell r="DN16395">
            <v>0</v>
          </cell>
        </row>
        <row r="16396">
          <cell r="E16396">
            <v>0</v>
          </cell>
          <cell r="F16396">
            <v>0</v>
          </cell>
          <cell r="DN16396">
            <v>0</v>
          </cell>
        </row>
        <row r="16397">
          <cell r="E16397">
            <v>0</v>
          </cell>
          <cell r="F16397">
            <v>0</v>
          </cell>
          <cell r="DN16397">
            <v>0</v>
          </cell>
        </row>
        <row r="16398">
          <cell r="E16398">
            <v>0</v>
          </cell>
          <cell r="F16398">
            <v>0</v>
          </cell>
          <cell r="DN16398">
            <v>0</v>
          </cell>
        </row>
        <row r="16399">
          <cell r="E16399">
            <v>0</v>
          </cell>
          <cell r="F16399">
            <v>0</v>
          </cell>
          <cell r="DN16399">
            <v>0</v>
          </cell>
        </row>
        <row r="16400">
          <cell r="E16400">
            <v>0</v>
          </cell>
          <cell r="F16400">
            <v>0</v>
          </cell>
          <cell r="DN16400">
            <v>0</v>
          </cell>
        </row>
        <row r="16401">
          <cell r="E16401">
            <v>0</v>
          </cell>
          <cell r="F16401">
            <v>0</v>
          </cell>
          <cell r="DN16401">
            <v>0</v>
          </cell>
        </row>
        <row r="16402">
          <cell r="E16402">
            <v>0</v>
          </cell>
          <cell r="F16402">
            <v>0</v>
          </cell>
          <cell r="DN16402">
            <v>0</v>
          </cell>
        </row>
        <row r="16403">
          <cell r="E16403">
            <v>0</v>
          </cell>
          <cell r="F16403">
            <v>0</v>
          </cell>
          <cell r="DN16403">
            <v>0</v>
          </cell>
        </row>
        <row r="16404">
          <cell r="E16404">
            <v>0</v>
          </cell>
          <cell r="F16404">
            <v>0</v>
          </cell>
          <cell r="DN16404">
            <v>0</v>
          </cell>
        </row>
        <row r="16405">
          <cell r="E16405">
            <v>0</v>
          </cell>
          <cell r="F16405">
            <v>0</v>
          </cell>
          <cell r="DN16405">
            <v>0</v>
          </cell>
        </row>
        <row r="16406">
          <cell r="E16406">
            <v>0</v>
          </cell>
          <cell r="F16406">
            <v>0</v>
          </cell>
          <cell r="DN16406">
            <v>0</v>
          </cell>
        </row>
        <row r="16407">
          <cell r="E16407">
            <v>0</v>
          </cell>
          <cell r="F16407">
            <v>0</v>
          </cell>
          <cell r="DN16407">
            <v>0</v>
          </cell>
        </row>
        <row r="16408">
          <cell r="E16408">
            <v>0</v>
          </cell>
          <cell r="F16408">
            <v>0</v>
          </cell>
          <cell r="DN16408">
            <v>0</v>
          </cell>
        </row>
        <row r="16409">
          <cell r="E16409">
            <v>0</v>
          </cell>
          <cell r="F16409">
            <v>0</v>
          </cell>
          <cell r="DN16409">
            <v>0</v>
          </cell>
        </row>
        <row r="16410">
          <cell r="E16410">
            <v>0</v>
          </cell>
          <cell r="F16410">
            <v>0</v>
          </cell>
          <cell r="DN16410">
            <v>0</v>
          </cell>
        </row>
        <row r="16411">
          <cell r="E16411">
            <v>0</v>
          </cell>
          <cell r="F16411">
            <v>0</v>
          </cell>
          <cell r="DN16411">
            <v>0</v>
          </cell>
        </row>
        <row r="16412">
          <cell r="E16412">
            <v>0</v>
          </cell>
          <cell r="F16412">
            <v>0</v>
          </cell>
          <cell r="DN16412">
            <v>0</v>
          </cell>
        </row>
        <row r="16413">
          <cell r="E16413">
            <v>0</v>
          </cell>
          <cell r="F16413">
            <v>0</v>
          </cell>
          <cell r="DN16413">
            <v>0</v>
          </cell>
        </row>
        <row r="16414">
          <cell r="E16414">
            <v>0</v>
          </cell>
          <cell r="F16414">
            <v>0</v>
          </cell>
          <cell r="DN16414">
            <v>0</v>
          </cell>
        </row>
        <row r="16415">
          <cell r="E16415">
            <v>0</v>
          </cell>
          <cell r="F16415">
            <v>0</v>
          </cell>
          <cell r="DN16415">
            <v>0</v>
          </cell>
        </row>
        <row r="16416">
          <cell r="E16416">
            <v>0</v>
          </cell>
          <cell r="F16416">
            <v>0</v>
          </cell>
          <cell r="DN16416">
            <v>0</v>
          </cell>
        </row>
        <row r="16417">
          <cell r="E16417">
            <v>0</v>
          </cell>
          <cell r="F16417">
            <v>0</v>
          </cell>
          <cell r="DN16417">
            <v>0</v>
          </cell>
        </row>
        <row r="16418">
          <cell r="E16418">
            <v>0</v>
          </cell>
          <cell r="F16418">
            <v>0</v>
          </cell>
          <cell r="DN16418">
            <v>0</v>
          </cell>
        </row>
        <row r="16419">
          <cell r="E16419">
            <v>0</v>
          </cell>
          <cell r="F16419">
            <v>0</v>
          </cell>
          <cell r="DN16419">
            <v>0</v>
          </cell>
        </row>
        <row r="16420">
          <cell r="E16420">
            <v>0</v>
          </cell>
          <cell r="F16420">
            <v>0</v>
          </cell>
          <cell r="DN16420">
            <v>0</v>
          </cell>
        </row>
        <row r="16421">
          <cell r="E16421">
            <v>0</v>
          </cell>
          <cell r="F16421">
            <v>0</v>
          </cell>
          <cell r="DN16421">
            <v>0</v>
          </cell>
        </row>
        <row r="16422">
          <cell r="E16422">
            <v>0</v>
          </cell>
          <cell r="F16422">
            <v>0</v>
          </cell>
          <cell r="DN16422">
            <v>0</v>
          </cell>
        </row>
        <row r="16423">
          <cell r="E16423">
            <v>0</v>
          </cell>
          <cell r="F16423">
            <v>0</v>
          </cell>
          <cell r="DN16423">
            <v>0</v>
          </cell>
        </row>
        <row r="16424">
          <cell r="E16424">
            <v>0</v>
          </cell>
          <cell r="F16424">
            <v>0</v>
          </cell>
          <cell r="DN16424">
            <v>0</v>
          </cell>
        </row>
        <row r="16425">
          <cell r="E16425">
            <v>0</v>
          </cell>
          <cell r="F16425">
            <v>0</v>
          </cell>
          <cell r="DN16425">
            <v>0</v>
          </cell>
        </row>
        <row r="16426">
          <cell r="E16426">
            <v>0</v>
          </cell>
          <cell r="F16426">
            <v>0</v>
          </cell>
          <cell r="DN16426">
            <v>0</v>
          </cell>
        </row>
        <row r="16427">
          <cell r="E16427">
            <v>0</v>
          </cell>
          <cell r="F16427">
            <v>0</v>
          </cell>
          <cell r="DN16427">
            <v>0</v>
          </cell>
        </row>
        <row r="16428">
          <cell r="E16428">
            <v>0</v>
          </cell>
          <cell r="F16428">
            <v>0</v>
          </cell>
          <cell r="DN16428">
            <v>0</v>
          </cell>
        </row>
        <row r="16429">
          <cell r="E16429">
            <v>0</v>
          </cell>
          <cell r="F16429">
            <v>0</v>
          </cell>
          <cell r="DN16429">
            <v>0</v>
          </cell>
        </row>
        <row r="16430">
          <cell r="E16430">
            <v>0</v>
          </cell>
          <cell r="F16430">
            <v>0</v>
          </cell>
          <cell r="DN16430">
            <v>0</v>
          </cell>
        </row>
        <row r="16431">
          <cell r="E16431">
            <v>0</v>
          </cell>
          <cell r="F16431">
            <v>0</v>
          </cell>
          <cell r="DN16431">
            <v>0</v>
          </cell>
        </row>
        <row r="16432">
          <cell r="E16432">
            <v>0</v>
          </cell>
          <cell r="F16432">
            <v>0</v>
          </cell>
          <cell r="DN16432">
            <v>0</v>
          </cell>
        </row>
        <row r="16433">
          <cell r="E16433">
            <v>0</v>
          </cell>
          <cell r="F16433">
            <v>0</v>
          </cell>
          <cell r="DN16433">
            <v>0</v>
          </cell>
        </row>
        <row r="16434">
          <cell r="E16434">
            <v>0</v>
          </cell>
          <cell r="F16434">
            <v>0</v>
          </cell>
          <cell r="DN16434">
            <v>0</v>
          </cell>
        </row>
        <row r="16435">
          <cell r="E16435">
            <v>0</v>
          </cell>
          <cell r="F16435">
            <v>0</v>
          </cell>
          <cell r="DN16435">
            <v>0</v>
          </cell>
        </row>
        <row r="16436">
          <cell r="E16436">
            <v>0</v>
          </cell>
          <cell r="F16436">
            <v>0</v>
          </cell>
          <cell r="DN16436">
            <v>0</v>
          </cell>
        </row>
        <row r="16437">
          <cell r="E16437">
            <v>0</v>
          </cell>
          <cell r="F16437">
            <v>0</v>
          </cell>
          <cell r="DN16437">
            <v>0</v>
          </cell>
        </row>
        <row r="16438">
          <cell r="E16438">
            <v>0</v>
          </cell>
          <cell r="F16438">
            <v>0</v>
          </cell>
          <cell r="DN16438">
            <v>0</v>
          </cell>
        </row>
        <row r="16439">
          <cell r="E16439">
            <v>0</v>
          </cell>
          <cell r="F16439">
            <v>0</v>
          </cell>
          <cell r="DN16439">
            <v>0</v>
          </cell>
        </row>
        <row r="16440">
          <cell r="E16440">
            <v>0</v>
          </cell>
          <cell r="F16440">
            <v>0</v>
          </cell>
          <cell r="DN16440">
            <v>0</v>
          </cell>
        </row>
        <row r="16441">
          <cell r="E16441">
            <v>0</v>
          </cell>
          <cell r="F16441">
            <v>0</v>
          </cell>
          <cell r="DN16441">
            <v>0</v>
          </cell>
        </row>
        <row r="16442">
          <cell r="E16442">
            <v>0</v>
          </cell>
          <cell r="F16442">
            <v>0</v>
          </cell>
          <cell r="DN16442">
            <v>0</v>
          </cell>
        </row>
        <row r="16443">
          <cell r="E16443">
            <v>0</v>
          </cell>
          <cell r="F16443">
            <v>0</v>
          </cell>
          <cell r="DN16443">
            <v>0</v>
          </cell>
        </row>
        <row r="16444">
          <cell r="E16444">
            <v>0</v>
          </cell>
          <cell r="F16444">
            <v>0</v>
          </cell>
          <cell r="DN16444">
            <v>0</v>
          </cell>
        </row>
        <row r="16445">
          <cell r="E16445">
            <v>0</v>
          </cell>
          <cell r="F16445">
            <v>0</v>
          </cell>
          <cell r="DN16445">
            <v>0</v>
          </cell>
        </row>
        <row r="16446">
          <cell r="E16446">
            <v>0</v>
          </cell>
          <cell r="F16446">
            <v>0</v>
          </cell>
          <cell r="DN16446">
            <v>0</v>
          </cell>
        </row>
        <row r="16447">
          <cell r="E16447">
            <v>0</v>
          </cell>
          <cell r="F16447">
            <v>0</v>
          </cell>
          <cell r="DN16447">
            <v>0</v>
          </cell>
        </row>
        <row r="16448">
          <cell r="E16448">
            <v>0</v>
          </cell>
          <cell r="F16448">
            <v>0</v>
          </cell>
          <cell r="DN16448">
            <v>0</v>
          </cell>
        </row>
        <row r="16449">
          <cell r="E16449">
            <v>0</v>
          </cell>
          <cell r="F16449">
            <v>0</v>
          </cell>
          <cell r="DN16449">
            <v>0</v>
          </cell>
        </row>
        <row r="16450">
          <cell r="E16450">
            <v>0</v>
          </cell>
          <cell r="F16450">
            <v>0</v>
          </cell>
          <cell r="DN16450">
            <v>0</v>
          </cell>
        </row>
        <row r="16451">
          <cell r="E16451">
            <v>0</v>
          </cell>
          <cell r="F16451">
            <v>0</v>
          </cell>
          <cell r="DN16451">
            <v>0</v>
          </cell>
        </row>
        <row r="16452">
          <cell r="E16452">
            <v>0</v>
          </cell>
          <cell r="F16452">
            <v>0</v>
          </cell>
          <cell r="DN16452">
            <v>0</v>
          </cell>
        </row>
        <row r="16453">
          <cell r="E16453">
            <v>0</v>
          </cell>
          <cell r="F16453">
            <v>0</v>
          </cell>
          <cell r="DN16453">
            <v>0</v>
          </cell>
        </row>
        <row r="16454">
          <cell r="E16454">
            <v>0</v>
          </cell>
          <cell r="F16454">
            <v>0</v>
          </cell>
          <cell r="DN16454">
            <v>0</v>
          </cell>
        </row>
        <row r="16455">
          <cell r="E16455">
            <v>0</v>
          </cell>
          <cell r="F16455">
            <v>0</v>
          </cell>
          <cell r="DN16455">
            <v>0</v>
          </cell>
        </row>
        <row r="16456">
          <cell r="E16456">
            <v>0</v>
          </cell>
          <cell r="F16456">
            <v>0</v>
          </cell>
          <cell r="DN16456">
            <v>0</v>
          </cell>
        </row>
        <row r="16457">
          <cell r="E16457">
            <v>0</v>
          </cell>
          <cell r="F16457">
            <v>0</v>
          </cell>
          <cell r="DN16457">
            <v>0</v>
          </cell>
        </row>
        <row r="16458">
          <cell r="E16458">
            <v>0</v>
          </cell>
          <cell r="F16458">
            <v>0</v>
          </cell>
          <cell r="DN16458">
            <v>0</v>
          </cell>
        </row>
        <row r="16459">
          <cell r="E16459">
            <v>0</v>
          </cell>
          <cell r="F16459">
            <v>0</v>
          </cell>
          <cell r="DN16459">
            <v>0</v>
          </cell>
        </row>
        <row r="16460">
          <cell r="E16460">
            <v>0</v>
          </cell>
          <cell r="F16460">
            <v>0</v>
          </cell>
          <cell r="DN16460">
            <v>0</v>
          </cell>
        </row>
        <row r="16461">
          <cell r="E16461">
            <v>0</v>
          </cell>
          <cell r="F16461">
            <v>0</v>
          </cell>
          <cell r="DN16461">
            <v>0</v>
          </cell>
        </row>
        <row r="16462">
          <cell r="E16462">
            <v>0</v>
          </cell>
          <cell r="F16462">
            <v>0</v>
          </cell>
          <cell r="DN16462">
            <v>0</v>
          </cell>
        </row>
        <row r="16463">
          <cell r="E16463">
            <v>0</v>
          </cell>
          <cell r="F16463">
            <v>0</v>
          </cell>
          <cell r="DN16463">
            <v>0</v>
          </cell>
        </row>
        <row r="16464">
          <cell r="E16464">
            <v>0</v>
          </cell>
          <cell r="F16464">
            <v>0</v>
          </cell>
          <cell r="DN16464">
            <v>0</v>
          </cell>
        </row>
        <row r="16465">
          <cell r="E16465">
            <v>0</v>
          </cell>
          <cell r="F16465">
            <v>0</v>
          </cell>
          <cell r="DN16465">
            <v>0</v>
          </cell>
        </row>
        <row r="16466">
          <cell r="E16466">
            <v>0</v>
          </cell>
          <cell r="F16466">
            <v>0</v>
          </cell>
          <cell r="DN16466">
            <v>0</v>
          </cell>
        </row>
        <row r="16467">
          <cell r="E16467">
            <v>0</v>
          </cell>
          <cell r="F16467">
            <v>0</v>
          </cell>
          <cell r="DN16467">
            <v>0</v>
          </cell>
        </row>
        <row r="16468">
          <cell r="E16468">
            <v>0</v>
          </cell>
          <cell r="F16468">
            <v>0</v>
          </cell>
          <cell r="DN16468">
            <v>0</v>
          </cell>
        </row>
        <row r="16469">
          <cell r="E16469">
            <v>0</v>
          </cell>
          <cell r="F16469">
            <v>0</v>
          </cell>
          <cell r="DN16469">
            <v>0</v>
          </cell>
        </row>
        <row r="16470">
          <cell r="E16470">
            <v>0</v>
          </cell>
          <cell r="F16470">
            <v>0</v>
          </cell>
          <cell r="DN16470">
            <v>0</v>
          </cell>
        </row>
        <row r="16471">
          <cell r="E16471">
            <v>0</v>
          </cell>
          <cell r="F16471">
            <v>0</v>
          </cell>
          <cell r="DN16471">
            <v>0</v>
          </cell>
        </row>
        <row r="16472">
          <cell r="E16472">
            <v>0</v>
          </cell>
          <cell r="F16472">
            <v>0</v>
          </cell>
          <cell r="DN16472">
            <v>0</v>
          </cell>
        </row>
        <row r="16473">
          <cell r="E16473">
            <v>0</v>
          </cell>
          <cell r="F16473">
            <v>0</v>
          </cell>
          <cell r="DN16473">
            <v>0</v>
          </cell>
        </row>
        <row r="16474">
          <cell r="E16474">
            <v>0</v>
          </cell>
          <cell r="F16474">
            <v>0</v>
          </cell>
          <cell r="DN16474">
            <v>0</v>
          </cell>
        </row>
        <row r="16475">
          <cell r="E16475">
            <v>0</v>
          </cell>
          <cell r="F16475">
            <v>0</v>
          </cell>
          <cell r="DN16475">
            <v>0</v>
          </cell>
        </row>
        <row r="16476">
          <cell r="E16476">
            <v>0</v>
          </cell>
          <cell r="F16476">
            <v>0</v>
          </cell>
          <cell r="DN16476">
            <v>0</v>
          </cell>
        </row>
        <row r="16477">
          <cell r="E16477">
            <v>0</v>
          </cell>
          <cell r="F16477">
            <v>0</v>
          </cell>
          <cell r="DN16477">
            <v>0</v>
          </cell>
        </row>
        <row r="16478">
          <cell r="E16478">
            <v>0</v>
          </cell>
          <cell r="F16478">
            <v>0</v>
          </cell>
          <cell r="DN16478">
            <v>0</v>
          </cell>
        </row>
        <row r="16479">
          <cell r="E16479">
            <v>0</v>
          </cell>
          <cell r="F16479">
            <v>0</v>
          </cell>
          <cell r="DN16479">
            <v>0</v>
          </cell>
        </row>
        <row r="16480">
          <cell r="E16480">
            <v>0</v>
          </cell>
          <cell r="F16480">
            <v>0</v>
          </cell>
          <cell r="DN16480">
            <v>0</v>
          </cell>
        </row>
        <row r="16481">
          <cell r="E16481">
            <v>0</v>
          </cell>
          <cell r="F16481">
            <v>0</v>
          </cell>
          <cell r="DN16481">
            <v>0</v>
          </cell>
        </row>
        <row r="16482">
          <cell r="E16482">
            <v>0</v>
          </cell>
          <cell r="F16482">
            <v>0</v>
          </cell>
          <cell r="DN16482">
            <v>0</v>
          </cell>
        </row>
        <row r="16483">
          <cell r="E16483">
            <v>0</v>
          </cell>
          <cell r="F16483">
            <v>0</v>
          </cell>
          <cell r="DN16483">
            <v>0</v>
          </cell>
        </row>
        <row r="16484">
          <cell r="E16484">
            <v>0</v>
          </cell>
          <cell r="F16484">
            <v>0</v>
          </cell>
          <cell r="DN16484">
            <v>0</v>
          </cell>
        </row>
        <row r="16485">
          <cell r="E16485">
            <v>0</v>
          </cell>
          <cell r="F16485">
            <v>0</v>
          </cell>
          <cell r="DN16485">
            <v>0</v>
          </cell>
        </row>
        <row r="16486">
          <cell r="E16486">
            <v>0</v>
          </cell>
          <cell r="F16486">
            <v>0</v>
          </cell>
          <cell r="DN16486">
            <v>0</v>
          </cell>
        </row>
        <row r="16487">
          <cell r="E16487">
            <v>0</v>
          </cell>
          <cell r="F16487">
            <v>0</v>
          </cell>
          <cell r="DN16487">
            <v>0</v>
          </cell>
        </row>
        <row r="16488">
          <cell r="E16488">
            <v>0</v>
          </cell>
          <cell r="F16488">
            <v>0</v>
          </cell>
          <cell r="DN16488">
            <v>0</v>
          </cell>
        </row>
        <row r="16489">
          <cell r="E16489">
            <v>0</v>
          </cell>
          <cell r="F16489">
            <v>0</v>
          </cell>
          <cell r="DN16489">
            <v>0</v>
          </cell>
        </row>
        <row r="16490">
          <cell r="E16490">
            <v>0</v>
          </cell>
          <cell r="F16490">
            <v>0</v>
          </cell>
          <cell r="DN16490">
            <v>0</v>
          </cell>
        </row>
        <row r="16491">
          <cell r="E16491">
            <v>0</v>
          </cell>
          <cell r="F16491">
            <v>0</v>
          </cell>
          <cell r="DN16491">
            <v>0</v>
          </cell>
        </row>
        <row r="16492">
          <cell r="E16492">
            <v>0</v>
          </cell>
          <cell r="F16492">
            <v>0</v>
          </cell>
          <cell r="DN16492">
            <v>0</v>
          </cell>
        </row>
        <row r="16493">
          <cell r="E16493">
            <v>0</v>
          </cell>
          <cell r="F16493">
            <v>0</v>
          </cell>
          <cell r="DN16493">
            <v>0</v>
          </cell>
        </row>
        <row r="16494">
          <cell r="E16494">
            <v>0</v>
          </cell>
          <cell r="F16494">
            <v>0</v>
          </cell>
          <cell r="DN16494">
            <v>0</v>
          </cell>
        </row>
        <row r="16495">
          <cell r="E16495">
            <v>0</v>
          </cell>
          <cell r="F16495">
            <v>0</v>
          </cell>
          <cell r="DN16495">
            <v>0</v>
          </cell>
        </row>
        <row r="16496">
          <cell r="E16496">
            <v>0</v>
          </cell>
          <cell r="F16496">
            <v>0</v>
          </cell>
          <cell r="DN16496">
            <v>0</v>
          </cell>
        </row>
        <row r="16497">
          <cell r="E16497">
            <v>0</v>
          </cell>
          <cell r="F16497">
            <v>0</v>
          </cell>
          <cell r="DN16497">
            <v>0</v>
          </cell>
        </row>
        <row r="16498">
          <cell r="E16498">
            <v>0</v>
          </cell>
          <cell r="F16498">
            <v>0</v>
          </cell>
          <cell r="DN16498">
            <v>0</v>
          </cell>
        </row>
        <row r="16499">
          <cell r="E16499">
            <v>0</v>
          </cell>
          <cell r="F16499">
            <v>0</v>
          </cell>
          <cell r="DN16499">
            <v>0</v>
          </cell>
        </row>
        <row r="16500">
          <cell r="E16500">
            <v>0</v>
          </cell>
          <cell r="F16500">
            <v>0</v>
          </cell>
          <cell r="DN16500">
            <v>0</v>
          </cell>
        </row>
        <row r="16501">
          <cell r="E16501">
            <v>0</v>
          </cell>
          <cell r="F16501">
            <v>0</v>
          </cell>
          <cell r="DN16501">
            <v>0</v>
          </cell>
        </row>
        <row r="16502">
          <cell r="E16502">
            <v>0</v>
          </cell>
          <cell r="F16502">
            <v>0</v>
          </cell>
          <cell r="DN16502">
            <v>0</v>
          </cell>
        </row>
        <row r="16503">
          <cell r="E16503">
            <v>0</v>
          </cell>
          <cell r="F16503">
            <v>0</v>
          </cell>
          <cell r="DN16503">
            <v>0</v>
          </cell>
        </row>
        <row r="16504">
          <cell r="E16504">
            <v>0</v>
          </cell>
          <cell r="F16504">
            <v>0</v>
          </cell>
          <cell r="DN16504">
            <v>0</v>
          </cell>
        </row>
        <row r="16505">
          <cell r="E16505">
            <v>0</v>
          </cell>
          <cell r="F16505">
            <v>0</v>
          </cell>
          <cell r="DN16505">
            <v>0</v>
          </cell>
        </row>
        <row r="16506">
          <cell r="E16506">
            <v>0</v>
          </cell>
          <cell r="F16506">
            <v>0</v>
          </cell>
          <cell r="DN16506">
            <v>0</v>
          </cell>
        </row>
        <row r="16507">
          <cell r="E16507">
            <v>0</v>
          </cell>
          <cell r="F16507">
            <v>0</v>
          </cell>
          <cell r="DN16507">
            <v>0</v>
          </cell>
        </row>
        <row r="16508">
          <cell r="E16508">
            <v>0</v>
          </cell>
          <cell r="F16508">
            <v>0</v>
          </cell>
          <cell r="DN16508">
            <v>0</v>
          </cell>
        </row>
        <row r="16509">
          <cell r="E16509">
            <v>0</v>
          </cell>
          <cell r="F16509">
            <v>0</v>
          </cell>
          <cell r="DN16509">
            <v>0</v>
          </cell>
        </row>
        <row r="16510">
          <cell r="E16510">
            <v>0</v>
          </cell>
          <cell r="F16510">
            <v>0</v>
          </cell>
          <cell r="DN16510">
            <v>0</v>
          </cell>
        </row>
        <row r="16511">
          <cell r="E16511">
            <v>0</v>
          </cell>
          <cell r="F16511">
            <v>0</v>
          </cell>
          <cell r="DN16511">
            <v>0</v>
          </cell>
        </row>
        <row r="16512">
          <cell r="E16512">
            <v>0</v>
          </cell>
          <cell r="F16512">
            <v>0</v>
          </cell>
          <cell r="DN16512">
            <v>0</v>
          </cell>
        </row>
        <row r="16513">
          <cell r="E16513">
            <v>0</v>
          </cell>
          <cell r="F16513">
            <v>0</v>
          </cell>
          <cell r="DN16513">
            <v>0</v>
          </cell>
        </row>
        <row r="16514">
          <cell r="E16514">
            <v>0</v>
          </cell>
          <cell r="F16514">
            <v>0</v>
          </cell>
          <cell r="DN16514">
            <v>0</v>
          </cell>
        </row>
        <row r="16515">
          <cell r="E16515">
            <v>0</v>
          </cell>
          <cell r="F16515">
            <v>0</v>
          </cell>
          <cell r="DN16515">
            <v>0</v>
          </cell>
        </row>
        <row r="16516">
          <cell r="E16516">
            <v>0</v>
          </cell>
          <cell r="F16516">
            <v>0</v>
          </cell>
          <cell r="DN16516">
            <v>0</v>
          </cell>
        </row>
        <row r="16517">
          <cell r="E16517">
            <v>0</v>
          </cell>
          <cell r="F16517">
            <v>0</v>
          </cell>
          <cell r="DN16517">
            <v>0</v>
          </cell>
        </row>
        <row r="16518">
          <cell r="E16518">
            <v>0</v>
          </cell>
          <cell r="F16518">
            <v>0</v>
          </cell>
          <cell r="DN16518">
            <v>0</v>
          </cell>
        </row>
        <row r="16519">
          <cell r="E16519">
            <v>0</v>
          </cell>
          <cell r="F16519">
            <v>0</v>
          </cell>
          <cell r="DN16519">
            <v>0</v>
          </cell>
        </row>
        <row r="16520">
          <cell r="E16520">
            <v>0</v>
          </cell>
          <cell r="F16520">
            <v>0</v>
          </cell>
          <cell r="DN16520">
            <v>0</v>
          </cell>
        </row>
        <row r="16521">
          <cell r="E16521">
            <v>0</v>
          </cell>
          <cell r="F16521">
            <v>0</v>
          </cell>
          <cell r="DN16521">
            <v>0</v>
          </cell>
        </row>
        <row r="16522">
          <cell r="E16522">
            <v>0</v>
          </cell>
          <cell r="F16522">
            <v>0</v>
          </cell>
          <cell r="DN16522">
            <v>0</v>
          </cell>
        </row>
        <row r="16523">
          <cell r="E16523">
            <v>0</v>
          </cell>
          <cell r="F16523">
            <v>0</v>
          </cell>
          <cell r="DN16523">
            <v>0</v>
          </cell>
        </row>
        <row r="16524">
          <cell r="E16524">
            <v>0</v>
          </cell>
          <cell r="F16524">
            <v>0</v>
          </cell>
          <cell r="DN16524">
            <v>0</v>
          </cell>
        </row>
        <row r="16525">
          <cell r="E16525">
            <v>0</v>
          </cell>
          <cell r="F16525">
            <v>0</v>
          </cell>
          <cell r="DN16525">
            <v>0</v>
          </cell>
        </row>
        <row r="16526">
          <cell r="E16526">
            <v>0</v>
          </cell>
          <cell r="F16526">
            <v>0</v>
          </cell>
          <cell r="DN16526">
            <v>0</v>
          </cell>
        </row>
        <row r="16527">
          <cell r="E16527">
            <v>0</v>
          </cell>
          <cell r="F16527">
            <v>0</v>
          </cell>
          <cell r="DN16527">
            <v>0</v>
          </cell>
        </row>
        <row r="16528">
          <cell r="E16528">
            <v>0</v>
          </cell>
          <cell r="F16528">
            <v>0</v>
          </cell>
          <cell r="DN16528">
            <v>0</v>
          </cell>
        </row>
        <row r="16529">
          <cell r="E16529">
            <v>0</v>
          </cell>
          <cell r="F16529">
            <v>0</v>
          </cell>
          <cell r="DN16529">
            <v>0</v>
          </cell>
        </row>
        <row r="16530">
          <cell r="E16530">
            <v>0</v>
          </cell>
          <cell r="F16530">
            <v>0</v>
          </cell>
          <cell r="DN16530">
            <v>0</v>
          </cell>
        </row>
        <row r="16531">
          <cell r="E16531">
            <v>0</v>
          </cell>
          <cell r="F16531">
            <v>0</v>
          </cell>
          <cell r="DN16531">
            <v>0</v>
          </cell>
        </row>
        <row r="16532">
          <cell r="E16532">
            <v>0</v>
          </cell>
          <cell r="F16532">
            <v>0</v>
          </cell>
          <cell r="DN16532">
            <v>0</v>
          </cell>
        </row>
        <row r="16533">
          <cell r="E16533">
            <v>0</v>
          </cell>
          <cell r="F16533">
            <v>0</v>
          </cell>
          <cell r="DN16533">
            <v>0</v>
          </cell>
        </row>
        <row r="16534">
          <cell r="E16534">
            <v>0</v>
          </cell>
          <cell r="F16534">
            <v>0</v>
          </cell>
          <cell r="DN16534">
            <v>0</v>
          </cell>
        </row>
        <row r="16535">
          <cell r="E16535">
            <v>0</v>
          </cell>
          <cell r="F16535">
            <v>0</v>
          </cell>
          <cell r="DN16535">
            <v>0</v>
          </cell>
        </row>
        <row r="16536">
          <cell r="E16536">
            <v>0</v>
          </cell>
          <cell r="F16536">
            <v>0</v>
          </cell>
          <cell r="DN16536">
            <v>0</v>
          </cell>
        </row>
        <row r="16537">
          <cell r="E16537">
            <v>0</v>
          </cell>
          <cell r="F16537">
            <v>0</v>
          </cell>
          <cell r="DN16537">
            <v>0</v>
          </cell>
        </row>
        <row r="16538">
          <cell r="E16538">
            <v>0</v>
          </cell>
          <cell r="F16538">
            <v>0</v>
          </cell>
          <cell r="DN16538">
            <v>0</v>
          </cell>
        </row>
        <row r="16539">
          <cell r="E16539">
            <v>0</v>
          </cell>
          <cell r="F16539">
            <v>0</v>
          </cell>
          <cell r="DN16539">
            <v>0</v>
          </cell>
        </row>
        <row r="16540">
          <cell r="E16540">
            <v>0</v>
          </cell>
          <cell r="F16540">
            <v>0</v>
          </cell>
          <cell r="DN16540">
            <v>0</v>
          </cell>
        </row>
        <row r="16541">
          <cell r="E16541">
            <v>0</v>
          </cell>
          <cell r="F16541">
            <v>0</v>
          </cell>
          <cell r="DN16541">
            <v>0</v>
          </cell>
        </row>
        <row r="16542">
          <cell r="E16542">
            <v>0</v>
          </cell>
          <cell r="F16542">
            <v>0</v>
          </cell>
          <cell r="DN16542">
            <v>0</v>
          </cell>
        </row>
        <row r="16543">
          <cell r="E16543">
            <v>0</v>
          </cell>
          <cell r="F16543">
            <v>0</v>
          </cell>
          <cell r="DN16543">
            <v>0</v>
          </cell>
        </row>
        <row r="16544">
          <cell r="E16544">
            <v>0</v>
          </cell>
          <cell r="F16544">
            <v>0</v>
          </cell>
          <cell r="DN16544">
            <v>0</v>
          </cell>
        </row>
        <row r="16545">
          <cell r="E16545">
            <v>0</v>
          </cell>
          <cell r="F16545">
            <v>0</v>
          </cell>
          <cell r="DN16545">
            <v>0</v>
          </cell>
        </row>
        <row r="16546">
          <cell r="E16546">
            <v>0</v>
          </cell>
          <cell r="F16546">
            <v>0</v>
          </cell>
          <cell r="DN16546">
            <v>0</v>
          </cell>
        </row>
        <row r="16547">
          <cell r="E16547">
            <v>0</v>
          </cell>
          <cell r="F16547">
            <v>0</v>
          </cell>
          <cell r="DN16547">
            <v>0</v>
          </cell>
        </row>
        <row r="16548">
          <cell r="E16548">
            <v>0</v>
          </cell>
          <cell r="F16548">
            <v>0</v>
          </cell>
          <cell r="DN16548">
            <v>0</v>
          </cell>
        </row>
        <row r="16549">
          <cell r="E16549">
            <v>0</v>
          </cell>
          <cell r="F16549">
            <v>0</v>
          </cell>
          <cell r="DN16549">
            <v>0</v>
          </cell>
        </row>
        <row r="16550">
          <cell r="E16550">
            <v>0</v>
          </cell>
          <cell r="F16550">
            <v>0</v>
          </cell>
          <cell r="DN16550">
            <v>0</v>
          </cell>
        </row>
        <row r="16551">
          <cell r="E16551">
            <v>0</v>
          </cell>
          <cell r="F16551">
            <v>0</v>
          </cell>
          <cell r="DN16551">
            <v>0</v>
          </cell>
        </row>
        <row r="16552">
          <cell r="E16552">
            <v>0</v>
          </cell>
          <cell r="F16552">
            <v>0</v>
          </cell>
          <cell r="DN16552">
            <v>0</v>
          </cell>
        </row>
        <row r="16553">
          <cell r="E16553">
            <v>0</v>
          </cell>
          <cell r="F16553">
            <v>0</v>
          </cell>
          <cell r="DN16553">
            <v>0</v>
          </cell>
        </row>
        <row r="16554">
          <cell r="E16554">
            <v>0</v>
          </cell>
          <cell r="F16554">
            <v>0</v>
          </cell>
          <cell r="DN16554">
            <v>0</v>
          </cell>
        </row>
        <row r="16555">
          <cell r="E16555">
            <v>0</v>
          </cell>
          <cell r="F16555">
            <v>0</v>
          </cell>
          <cell r="DN16555">
            <v>0</v>
          </cell>
        </row>
        <row r="16556">
          <cell r="E16556">
            <v>0</v>
          </cell>
          <cell r="F16556">
            <v>0</v>
          </cell>
          <cell r="DN16556">
            <v>0</v>
          </cell>
        </row>
        <row r="16557">
          <cell r="E16557">
            <v>0</v>
          </cell>
          <cell r="F16557">
            <v>0</v>
          </cell>
          <cell r="DN16557">
            <v>0</v>
          </cell>
        </row>
        <row r="16558">
          <cell r="E16558">
            <v>0</v>
          </cell>
          <cell r="F16558">
            <v>0</v>
          </cell>
          <cell r="DN16558">
            <v>0</v>
          </cell>
        </row>
        <row r="16559">
          <cell r="E16559">
            <v>0</v>
          </cell>
          <cell r="F16559">
            <v>0</v>
          </cell>
          <cell r="DN16559">
            <v>0</v>
          </cell>
        </row>
        <row r="16560">
          <cell r="E16560">
            <v>0</v>
          </cell>
          <cell r="F16560">
            <v>0</v>
          </cell>
          <cell r="DN16560">
            <v>0</v>
          </cell>
        </row>
        <row r="16561">
          <cell r="E16561">
            <v>0</v>
          </cell>
          <cell r="F16561">
            <v>0</v>
          </cell>
          <cell r="DN16561">
            <v>0</v>
          </cell>
        </row>
        <row r="16562">
          <cell r="E16562">
            <v>0</v>
          </cell>
          <cell r="F16562">
            <v>0</v>
          </cell>
          <cell r="DN16562">
            <v>0</v>
          </cell>
        </row>
        <row r="16563">
          <cell r="E16563">
            <v>0</v>
          </cell>
          <cell r="F16563">
            <v>0</v>
          </cell>
          <cell r="DN16563">
            <v>0</v>
          </cell>
        </row>
        <row r="16564">
          <cell r="E16564">
            <v>0</v>
          </cell>
          <cell r="F16564">
            <v>0</v>
          </cell>
          <cell r="DN16564">
            <v>0</v>
          </cell>
        </row>
        <row r="16565">
          <cell r="E16565">
            <v>0</v>
          </cell>
          <cell r="F16565">
            <v>0</v>
          </cell>
          <cell r="DN16565">
            <v>0</v>
          </cell>
        </row>
        <row r="16566">
          <cell r="E16566">
            <v>0</v>
          </cell>
          <cell r="F16566">
            <v>0</v>
          </cell>
          <cell r="DN16566">
            <v>0</v>
          </cell>
        </row>
        <row r="16567">
          <cell r="E16567">
            <v>0</v>
          </cell>
          <cell r="F16567">
            <v>0</v>
          </cell>
          <cell r="DN16567">
            <v>0</v>
          </cell>
        </row>
        <row r="16568">
          <cell r="E16568">
            <v>0</v>
          </cell>
          <cell r="F16568">
            <v>0</v>
          </cell>
          <cell r="DN16568">
            <v>0</v>
          </cell>
        </row>
        <row r="16569">
          <cell r="E16569">
            <v>0</v>
          </cell>
          <cell r="F16569">
            <v>0</v>
          </cell>
          <cell r="DN16569">
            <v>0</v>
          </cell>
        </row>
        <row r="16570">
          <cell r="E16570">
            <v>0</v>
          </cell>
          <cell r="F16570">
            <v>0</v>
          </cell>
          <cell r="DN16570">
            <v>0</v>
          </cell>
        </row>
        <row r="16571">
          <cell r="E16571">
            <v>0</v>
          </cell>
          <cell r="F16571">
            <v>0</v>
          </cell>
          <cell r="DN16571">
            <v>0</v>
          </cell>
        </row>
        <row r="16572">
          <cell r="E16572">
            <v>0</v>
          </cell>
          <cell r="F16572">
            <v>0</v>
          </cell>
          <cell r="DN16572">
            <v>0</v>
          </cell>
        </row>
        <row r="16573">
          <cell r="E16573">
            <v>0</v>
          </cell>
          <cell r="F16573">
            <v>0</v>
          </cell>
          <cell r="DN16573">
            <v>0</v>
          </cell>
        </row>
        <row r="16574">
          <cell r="E16574">
            <v>0</v>
          </cell>
          <cell r="F16574">
            <v>0</v>
          </cell>
          <cell r="DN16574">
            <v>0</v>
          </cell>
        </row>
        <row r="16575">
          <cell r="E16575">
            <v>0</v>
          </cell>
          <cell r="F16575">
            <v>0</v>
          </cell>
          <cell r="DN16575">
            <v>0</v>
          </cell>
        </row>
        <row r="16576">
          <cell r="E16576">
            <v>0</v>
          </cell>
          <cell r="F16576">
            <v>0</v>
          </cell>
          <cell r="DN16576">
            <v>0</v>
          </cell>
        </row>
        <row r="16577">
          <cell r="E16577">
            <v>0</v>
          </cell>
          <cell r="F16577">
            <v>0</v>
          </cell>
          <cell r="DN16577">
            <v>0</v>
          </cell>
        </row>
        <row r="16578">
          <cell r="E16578">
            <v>0</v>
          </cell>
          <cell r="F16578">
            <v>0</v>
          </cell>
          <cell r="DN16578">
            <v>0</v>
          </cell>
        </row>
        <row r="16579">
          <cell r="E16579">
            <v>0</v>
          </cell>
          <cell r="F16579">
            <v>0</v>
          </cell>
          <cell r="DN16579">
            <v>0</v>
          </cell>
        </row>
        <row r="16580">
          <cell r="E16580">
            <v>0</v>
          </cell>
          <cell r="F16580">
            <v>0</v>
          </cell>
          <cell r="DN16580">
            <v>0</v>
          </cell>
        </row>
        <row r="16581">
          <cell r="E16581">
            <v>0</v>
          </cell>
          <cell r="F16581">
            <v>0</v>
          </cell>
          <cell r="DN16581">
            <v>0</v>
          </cell>
        </row>
        <row r="16582">
          <cell r="E16582">
            <v>0</v>
          </cell>
          <cell r="F16582">
            <v>0</v>
          </cell>
          <cell r="DN16582">
            <v>0</v>
          </cell>
        </row>
        <row r="16583">
          <cell r="E16583">
            <v>0</v>
          </cell>
          <cell r="F16583">
            <v>0</v>
          </cell>
          <cell r="DN16583">
            <v>0</v>
          </cell>
        </row>
        <row r="16584">
          <cell r="E16584">
            <v>0</v>
          </cell>
          <cell r="F16584">
            <v>0</v>
          </cell>
          <cell r="DN16584">
            <v>0</v>
          </cell>
        </row>
        <row r="16585">
          <cell r="E16585">
            <v>0</v>
          </cell>
          <cell r="F16585">
            <v>0</v>
          </cell>
          <cell r="DN16585">
            <v>0</v>
          </cell>
        </row>
        <row r="16586">
          <cell r="E16586">
            <v>0</v>
          </cell>
          <cell r="F16586">
            <v>0</v>
          </cell>
          <cell r="DN16586">
            <v>0</v>
          </cell>
        </row>
        <row r="16587">
          <cell r="E16587">
            <v>0</v>
          </cell>
          <cell r="F16587">
            <v>0</v>
          </cell>
          <cell r="DN16587">
            <v>0</v>
          </cell>
        </row>
        <row r="16588">
          <cell r="E16588">
            <v>0</v>
          </cell>
          <cell r="F16588">
            <v>0</v>
          </cell>
          <cell r="DN16588">
            <v>0</v>
          </cell>
        </row>
        <row r="16589">
          <cell r="E16589">
            <v>0</v>
          </cell>
          <cell r="F16589">
            <v>0</v>
          </cell>
          <cell r="DN16589">
            <v>0</v>
          </cell>
        </row>
        <row r="16590">
          <cell r="E16590">
            <v>0</v>
          </cell>
          <cell r="F16590">
            <v>0</v>
          </cell>
          <cell r="DN16590">
            <v>0</v>
          </cell>
        </row>
        <row r="16591">
          <cell r="E16591">
            <v>0</v>
          </cell>
          <cell r="F16591">
            <v>0</v>
          </cell>
          <cell r="DN16591">
            <v>0</v>
          </cell>
        </row>
        <row r="16592">
          <cell r="E16592">
            <v>0</v>
          </cell>
          <cell r="F16592">
            <v>0</v>
          </cell>
          <cell r="DN16592">
            <v>0</v>
          </cell>
        </row>
        <row r="16593">
          <cell r="E16593">
            <v>0</v>
          </cell>
          <cell r="F16593">
            <v>0</v>
          </cell>
          <cell r="DN16593">
            <v>0</v>
          </cell>
        </row>
        <row r="16594">
          <cell r="E16594">
            <v>0</v>
          </cell>
          <cell r="F16594">
            <v>0</v>
          </cell>
          <cell r="DN16594">
            <v>0</v>
          </cell>
        </row>
        <row r="16595">
          <cell r="E16595">
            <v>0</v>
          </cell>
          <cell r="F16595">
            <v>0</v>
          </cell>
          <cell r="DN16595">
            <v>0</v>
          </cell>
        </row>
        <row r="16596">
          <cell r="E16596">
            <v>0</v>
          </cell>
          <cell r="F16596">
            <v>0</v>
          </cell>
          <cell r="DN16596">
            <v>0</v>
          </cell>
        </row>
        <row r="16597">
          <cell r="E16597">
            <v>0</v>
          </cell>
          <cell r="F16597">
            <v>0</v>
          </cell>
          <cell r="DN16597">
            <v>0</v>
          </cell>
        </row>
        <row r="16598">
          <cell r="E16598">
            <v>0</v>
          </cell>
          <cell r="F16598">
            <v>0</v>
          </cell>
          <cell r="DN16598">
            <v>0</v>
          </cell>
        </row>
        <row r="16599">
          <cell r="E16599">
            <v>0</v>
          </cell>
          <cell r="F16599">
            <v>0</v>
          </cell>
          <cell r="DN16599">
            <v>0</v>
          </cell>
        </row>
        <row r="16600">
          <cell r="E16600">
            <v>0</v>
          </cell>
          <cell r="F16600">
            <v>0</v>
          </cell>
          <cell r="DN16600">
            <v>0</v>
          </cell>
        </row>
        <row r="16601">
          <cell r="E16601">
            <v>0</v>
          </cell>
          <cell r="F16601">
            <v>0</v>
          </cell>
          <cell r="DN16601">
            <v>0</v>
          </cell>
        </row>
        <row r="16602">
          <cell r="E16602">
            <v>0</v>
          </cell>
          <cell r="F16602">
            <v>0</v>
          </cell>
          <cell r="DN16602">
            <v>0</v>
          </cell>
        </row>
        <row r="16603">
          <cell r="E16603">
            <v>0</v>
          </cell>
          <cell r="F16603">
            <v>0</v>
          </cell>
          <cell r="DN16603">
            <v>0</v>
          </cell>
        </row>
        <row r="16604">
          <cell r="E16604">
            <v>0</v>
          </cell>
          <cell r="F16604">
            <v>0</v>
          </cell>
          <cell r="DN16604">
            <v>0</v>
          </cell>
        </row>
        <row r="16605">
          <cell r="E16605">
            <v>0</v>
          </cell>
          <cell r="F16605">
            <v>0</v>
          </cell>
          <cell r="DN16605">
            <v>0</v>
          </cell>
        </row>
        <row r="16606">
          <cell r="E16606">
            <v>0</v>
          </cell>
          <cell r="F16606">
            <v>0</v>
          </cell>
          <cell r="DN16606">
            <v>0</v>
          </cell>
        </row>
        <row r="16607">
          <cell r="E16607">
            <v>0</v>
          </cell>
          <cell r="F16607">
            <v>0</v>
          </cell>
          <cell r="DN16607">
            <v>0</v>
          </cell>
        </row>
        <row r="16608">
          <cell r="E16608">
            <v>0</v>
          </cell>
          <cell r="F16608">
            <v>0</v>
          </cell>
          <cell r="DN16608">
            <v>0</v>
          </cell>
        </row>
        <row r="16609">
          <cell r="E16609">
            <v>0</v>
          </cell>
          <cell r="F16609">
            <v>0</v>
          </cell>
          <cell r="DN16609">
            <v>0</v>
          </cell>
        </row>
        <row r="16610">
          <cell r="E16610">
            <v>0</v>
          </cell>
          <cell r="F16610">
            <v>0</v>
          </cell>
          <cell r="DN16610">
            <v>0</v>
          </cell>
        </row>
        <row r="16611">
          <cell r="E16611">
            <v>0</v>
          </cell>
          <cell r="F16611">
            <v>0</v>
          </cell>
          <cell r="DN16611">
            <v>0</v>
          </cell>
        </row>
        <row r="16612">
          <cell r="E16612">
            <v>0</v>
          </cell>
          <cell r="F16612">
            <v>0</v>
          </cell>
          <cell r="DN16612">
            <v>0</v>
          </cell>
        </row>
        <row r="16613">
          <cell r="E16613">
            <v>0</v>
          </cell>
          <cell r="F16613">
            <v>0</v>
          </cell>
          <cell r="DN16613">
            <v>0</v>
          </cell>
        </row>
        <row r="16614">
          <cell r="E16614">
            <v>0</v>
          </cell>
          <cell r="F16614">
            <v>0</v>
          </cell>
          <cell r="DN16614">
            <v>0</v>
          </cell>
        </row>
        <row r="16615">
          <cell r="E16615">
            <v>0</v>
          </cell>
          <cell r="F16615">
            <v>0</v>
          </cell>
          <cell r="DN16615">
            <v>0</v>
          </cell>
        </row>
        <row r="16616">
          <cell r="E16616">
            <v>0</v>
          </cell>
          <cell r="F16616">
            <v>0</v>
          </cell>
          <cell r="DN16616">
            <v>0</v>
          </cell>
        </row>
        <row r="16617">
          <cell r="E16617">
            <v>0</v>
          </cell>
          <cell r="F16617">
            <v>0</v>
          </cell>
          <cell r="DN16617">
            <v>0</v>
          </cell>
        </row>
        <row r="16618">
          <cell r="E16618">
            <v>0</v>
          </cell>
          <cell r="F16618">
            <v>0</v>
          </cell>
          <cell r="DN16618">
            <v>0</v>
          </cell>
        </row>
        <row r="16619">
          <cell r="E16619">
            <v>0</v>
          </cell>
          <cell r="F16619">
            <v>0</v>
          </cell>
          <cell r="DN16619">
            <v>0</v>
          </cell>
        </row>
        <row r="16620">
          <cell r="E16620">
            <v>0</v>
          </cell>
          <cell r="F16620">
            <v>0</v>
          </cell>
          <cell r="DN16620">
            <v>0</v>
          </cell>
        </row>
        <row r="16621">
          <cell r="E16621">
            <v>0</v>
          </cell>
          <cell r="F16621">
            <v>0</v>
          </cell>
          <cell r="DN16621">
            <v>0</v>
          </cell>
        </row>
        <row r="16622">
          <cell r="E16622">
            <v>0</v>
          </cell>
          <cell r="F16622">
            <v>0</v>
          </cell>
          <cell r="DN16622">
            <v>0</v>
          </cell>
        </row>
        <row r="16623">
          <cell r="E16623">
            <v>0</v>
          </cell>
          <cell r="F16623">
            <v>0</v>
          </cell>
          <cell r="DN16623">
            <v>0</v>
          </cell>
        </row>
        <row r="16624">
          <cell r="E16624">
            <v>0</v>
          </cell>
          <cell r="F16624">
            <v>0</v>
          </cell>
          <cell r="DN16624">
            <v>0</v>
          </cell>
        </row>
        <row r="16625">
          <cell r="E16625">
            <v>0</v>
          </cell>
          <cell r="F16625">
            <v>0</v>
          </cell>
          <cell r="DN16625">
            <v>0</v>
          </cell>
        </row>
        <row r="16626">
          <cell r="E16626">
            <v>0</v>
          </cell>
          <cell r="F16626">
            <v>0</v>
          </cell>
          <cell r="DN16626">
            <v>0</v>
          </cell>
        </row>
        <row r="16627">
          <cell r="E16627">
            <v>0</v>
          </cell>
          <cell r="F16627">
            <v>0</v>
          </cell>
          <cell r="DN16627">
            <v>0</v>
          </cell>
        </row>
        <row r="16628">
          <cell r="E16628">
            <v>0</v>
          </cell>
          <cell r="F16628">
            <v>0</v>
          </cell>
          <cell r="DN16628">
            <v>0</v>
          </cell>
        </row>
        <row r="16629">
          <cell r="E16629">
            <v>0</v>
          </cell>
          <cell r="F16629">
            <v>0</v>
          </cell>
          <cell r="DN16629">
            <v>0</v>
          </cell>
        </row>
        <row r="16630">
          <cell r="E16630">
            <v>0</v>
          </cell>
          <cell r="F16630">
            <v>0</v>
          </cell>
          <cell r="DN16630">
            <v>0</v>
          </cell>
        </row>
        <row r="16631">
          <cell r="E16631">
            <v>0</v>
          </cell>
          <cell r="F16631">
            <v>0</v>
          </cell>
          <cell r="DN16631">
            <v>0</v>
          </cell>
        </row>
        <row r="16632">
          <cell r="E16632">
            <v>0</v>
          </cell>
          <cell r="F16632">
            <v>0</v>
          </cell>
          <cell r="DN16632">
            <v>0</v>
          </cell>
        </row>
        <row r="16633">
          <cell r="E16633">
            <v>0</v>
          </cell>
          <cell r="F16633">
            <v>0</v>
          </cell>
          <cell r="DN16633">
            <v>0</v>
          </cell>
        </row>
        <row r="16634">
          <cell r="E16634">
            <v>0</v>
          </cell>
          <cell r="F16634">
            <v>0</v>
          </cell>
          <cell r="DN16634">
            <v>0</v>
          </cell>
        </row>
        <row r="16635">
          <cell r="E16635">
            <v>0</v>
          </cell>
          <cell r="F16635">
            <v>0</v>
          </cell>
          <cell r="DN16635">
            <v>0</v>
          </cell>
        </row>
        <row r="16636">
          <cell r="E16636">
            <v>0</v>
          </cell>
          <cell r="F16636">
            <v>0</v>
          </cell>
          <cell r="DN16636">
            <v>0</v>
          </cell>
        </row>
        <row r="16637">
          <cell r="E16637">
            <v>0</v>
          </cell>
          <cell r="F16637">
            <v>0</v>
          </cell>
          <cell r="DN16637">
            <v>0</v>
          </cell>
        </row>
        <row r="16638">
          <cell r="E16638">
            <v>0</v>
          </cell>
          <cell r="F16638">
            <v>0</v>
          </cell>
          <cell r="DN16638">
            <v>0</v>
          </cell>
        </row>
        <row r="16639">
          <cell r="E16639">
            <v>0</v>
          </cell>
          <cell r="F16639">
            <v>0</v>
          </cell>
          <cell r="DN16639">
            <v>0</v>
          </cell>
        </row>
        <row r="16640">
          <cell r="E16640">
            <v>0</v>
          </cell>
          <cell r="F16640">
            <v>0</v>
          </cell>
          <cell r="DN16640">
            <v>0</v>
          </cell>
        </row>
        <row r="16641">
          <cell r="E16641">
            <v>0</v>
          </cell>
          <cell r="F16641">
            <v>0</v>
          </cell>
          <cell r="DN16641">
            <v>0</v>
          </cell>
        </row>
        <row r="16642">
          <cell r="E16642">
            <v>0</v>
          </cell>
          <cell r="F16642">
            <v>0</v>
          </cell>
          <cell r="DN16642">
            <v>0</v>
          </cell>
        </row>
        <row r="16643">
          <cell r="E16643">
            <v>0</v>
          </cell>
          <cell r="F16643">
            <v>0</v>
          </cell>
          <cell r="DN16643">
            <v>0</v>
          </cell>
        </row>
        <row r="16644">
          <cell r="E16644">
            <v>0</v>
          </cell>
          <cell r="F16644">
            <v>0</v>
          </cell>
          <cell r="DN16644">
            <v>0</v>
          </cell>
        </row>
        <row r="16645">
          <cell r="E16645">
            <v>0</v>
          </cell>
          <cell r="F16645">
            <v>0</v>
          </cell>
          <cell r="DN16645">
            <v>0</v>
          </cell>
        </row>
        <row r="16646">
          <cell r="E16646">
            <v>0</v>
          </cell>
          <cell r="F16646">
            <v>0</v>
          </cell>
          <cell r="DN16646">
            <v>0</v>
          </cell>
        </row>
        <row r="16647">
          <cell r="E16647">
            <v>0</v>
          </cell>
          <cell r="F16647">
            <v>0</v>
          </cell>
          <cell r="DN16647">
            <v>0</v>
          </cell>
        </row>
        <row r="16648">
          <cell r="E16648">
            <v>0</v>
          </cell>
          <cell r="F16648">
            <v>0</v>
          </cell>
          <cell r="DN16648">
            <v>0</v>
          </cell>
        </row>
        <row r="16649">
          <cell r="E16649">
            <v>0</v>
          </cell>
          <cell r="F16649">
            <v>0</v>
          </cell>
          <cell r="DN16649">
            <v>0</v>
          </cell>
        </row>
        <row r="16650">
          <cell r="E16650">
            <v>0</v>
          </cell>
          <cell r="F16650">
            <v>0</v>
          </cell>
          <cell r="DN16650">
            <v>0</v>
          </cell>
        </row>
        <row r="16651">
          <cell r="E16651">
            <v>0</v>
          </cell>
          <cell r="F16651">
            <v>0</v>
          </cell>
          <cell r="DN16651">
            <v>0</v>
          </cell>
        </row>
        <row r="16652">
          <cell r="E16652">
            <v>0</v>
          </cell>
          <cell r="F16652">
            <v>0</v>
          </cell>
          <cell r="DN16652">
            <v>0</v>
          </cell>
        </row>
        <row r="16653">
          <cell r="E16653">
            <v>0</v>
          </cell>
          <cell r="F16653">
            <v>0</v>
          </cell>
          <cell r="DN16653">
            <v>0</v>
          </cell>
        </row>
        <row r="16654">
          <cell r="E16654">
            <v>0</v>
          </cell>
          <cell r="F16654">
            <v>0</v>
          </cell>
          <cell r="DN16654">
            <v>0</v>
          </cell>
        </row>
        <row r="16655">
          <cell r="E16655">
            <v>0</v>
          </cell>
          <cell r="F16655">
            <v>0</v>
          </cell>
          <cell r="DN16655">
            <v>0</v>
          </cell>
        </row>
        <row r="16656">
          <cell r="E16656">
            <v>0</v>
          </cell>
          <cell r="F16656">
            <v>0</v>
          </cell>
          <cell r="DN16656">
            <v>0</v>
          </cell>
        </row>
        <row r="16657">
          <cell r="E16657">
            <v>0</v>
          </cell>
          <cell r="F16657">
            <v>0</v>
          </cell>
          <cell r="DN16657">
            <v>0</v>
          </cell>
        </row>
        <row r="16658">
          <cell r="E16658">
            <v>0</v>
          </cell>
          <cell r="F16658">
            <v>0</v>
          </cell>
          <cell r="DN16658">
            <v>0</v>
          </cell>
        </row>
        <row r="16659">
          <cell r="E16659">
            <v>0</v>
          </cell>
          <cell r="F16659">
            <v>0</v>
          </cell>
          <cell r="DN16659">
            <v>0</v>
          </cell>
        </row>
        <row r="16660">
          <cell r="E16660">
            <v>0</v>
          </cell>
          <cell r="F16660">
            <v>0</v>
          </cell>
          <cell r="DN16660">
            <v>0</v>
          </cell>
        </row>
        <row r="16661">
          <cell r="E16661">
            <v>0</v>
          </cell>
          <cell r="F16661">
            <v>0</v>
          </cell>
          <cell r="DN16661">
            <v>0</v>
          </cell>
        </row>
        <row r="16662">
          <cell r="E16662">
            <v>0</v>
          </cell>
          <cell r="F16662">
            <v>0</v>
          </cell>
          <cell r="DN16662">
            <v>0</v>
          </cell>
        </row>
        <row r="16663">
          <cell r="E16663">
            <v>0</v>
          </cell>
          <cell r="F16663">
            <v>0</v>
          </cell>
          <cell r="DN16663">
            <v>0</v>
          </cell>
        </row>
        <row r="16664">
          <cell r="E16664">
            <v>0</v>
          </cell>
          <cell r="F16664">
            <v>0</v>
          </cell>
          <cell r="DN16664">
            <v>0</v>
          </cell>
        </row>
        <row r="16665">
          <cell r="E16665">
            <v>0</v>
          </cell>
          <cell r="F16665">
            <v>0</v>
          </cell>
          <cell r="DN16665">
            <v>0</v>
          </cell>
        </row>
        <row r="16666">
          <cell r="E16666">
            <v>0</v>
          </cell>
          <cell r="F16666">
            <v>0</v>
          </cell>
          <cell r="DN16666">
            <v>0</v>
          </cell>
        </row>
        <row r="16667">
          <cell r="E16667">
            <v>0</v>
          </cell>
          <cell r="F16667">
            <v>0</v>
          </cell>
          <cell r="DN16667">
            <v>0</v>
          </cell>
        </row>
        <row r="16668">
          <cell r="E16668">
            <v>0</v>
          </cell>
          <cell r="F16668">
            <v>0</v>
          </cell>
          <cell r="DN16668">
            <v>0</v>
          </cell>
        </row>
        <row r="16669">
          <cell r="E16669">
            <v>0</v>
          </cell>
          <cell r="F16669">
            <v>0</v>
          </cell>
          <cell r="DN16669">
            <v>0</v>
          </cell>
        </row>
        <row r="16670">
          <cell r="E16670">
            <v>0</v>
          </cell>
          <cell r="F16670">
            <v>0</v>
          </cell>
          <cell r="DN16670">
            <v>0</v>
          </cell>
        </row>
        <row r="16671">
          <cell r="E16671">
            <v>0</v>
          </cell>
          <cell r="F16671">
            <v>0</v>
          </cell>
          <cell r="DN16671">
            <v>0</v>
          </cell>
        </row>
        <row r="16672">
          <cell r="E16672">
            <v>0</v>
          </cell>
          <cell r="F16672">
            <v>0</v>
          </cell>
          <cell r="DN16672">
            <v>0</v>
          </cell>
        </row>
        <row r="16673">
          <cell r="E16673">
            <v>0</v>
          </cell>
          <cell r="F16673">
            <v>0</v>
          </cell>
          <cell r="DN16673">
            <v>0</v>
          </cell>
        </row>
        <row r="16674">
          <cell r="E16674">
            <v>0</v>
          </cell>
          <cell r="F16674">
            <v>0</v>
          </cell>
          <cell r="DN16674">
            <v>0</v>
          </cell>
        </row>
        <row r="16675">
          <cell r="E16675">
            <v>0</v>
          </cell>
          <cell r="F16675">
            <v>0</v>
          </cell>
          <cell r="DN16675">
            <v>0</v>
          </cell>
        </row>
        <row r="16676">
          <cell r="E16676">
            <v>0</v>
          </cell>
          <cell r="F16676">
            <v>0</v>
          </cell>
          <cell r="DN16676">
            <v>0</v>
          </cell>
        </row>
        <row r="16677">
          <cell r="E16677">
            <v>0</v>
          </cell>
          <cell r="F16677">
            <v>0</v>
          </cell>
          <cell r="DN16677">
            <v>0</v>
          </cell>
        </row>
        <row r="16678">
          <cell r="E16678">
            <v>0</v>
          </cell>
          <cell r="F16678">
            <v>0</v>
          </cell>
          <cell r="DN16678">
            <v>0</v>
          </cell>
        </row>
        <row r="16679">
          <cell r="E16679">
            <v>0</v>
          </cell>
          <cell r="F16679">
            <v>0</v>
          </cell>
          <cell r="DN16679">
            <v>0</v>
          </cell>
        </row>
        <row r="16680">
          <cell r="E16680">
            <v>0</v>
          </cell>
          <cell r="F16680">
            <v>0</v>
          </cell>
          <cell r="DN16680">
            <v>0</v>
          </cell>
        </row>
        <row r="16681">
          <cell r="E16681">
            <v>0</v>
          </cell>
          <cell r="F16681">
            <v>0</v>
          </cell>
          <cell r="DN16681">
            <v>0</v>
          </cell>
        </row>
        <row r="16682">
          <cell r="E16682">
            <v>0</v>
          </cell>
          <cell r="F16682">
            <v>0</v>
          </cell>
          <cell r="DN16682">
            <v>0</v>
          </cell>
        </row>
        <row r="16683">
          <cell r="E16683">
            <v>0</v>
          </cell>
          <cell r="F16683">
            <v>0</v>
          </cell>
          <cell r="DN16683">
            <v>0</v>
          </cell>
        </row>
        <row r="16684">
          <cell r="E16684">
            <v>0</v>
          </cell>
          <cell r="F16684">
            <v>0</v>
          </cell>
          <cell r="DN16684">
            <v>0</v>
          </cell>
        </row>
        <row r="16685">
          <cell r="E16685">
            <v>0</v>
          </cell>
          <cell r="F16685">
            <v>0</v>
          </cell>
          <cell r="DN16685">
            <v>0</v>
          </cell>
        </row>
        <row r="16686">
          <cell r="E16686">
            <v>0</v>
          </cell>
          <cell r="F16686">
            <v>0</v>
          </cell>
          <cell r="DN16686">
            <v>0</v>
          </cell>
        </row>
        <row r="16687">
          <cell r="E16687">
            <v>0</v>
          </cell>
          <cell r="F16687">
            <v>0</v>
          </cell>
          <cell r="DN16687">
            <v>0</v>
          </cell>
        </row>
        <row r="16688">
          <cell r="E16688">
            <v>0</v>
          </cell>
          <cell r="F16688">
            <v>0</v>
          </cell>
          <cell r="DN16688">
            <v>0</v>
          </cell>
        </row>
        <row r="16689">
          <cell r="E16689">
            <v>0</v>
          </cell>
          <cell r="F16689">
            <v>0</v>
          </cell>
          <cell r="DN16689">
            <v>0</v>
          </cell>
        </row>
        <row r="16690">
          <cell r="E16690">
            <v>0</v>
          </cell>
          <cell r="F16690">
            <v>0</v>
          </cell>
          <cell r="DN16690">
            <v>0</v>
          </cell>
        </row>
        <row r="16691">
          <cell r="E16691">
            <v>0</v>
          </cell>
          <cell r="F16691">
            <v>0</v>
          </cell>
          <cell r="DN16691">
            <v>0</v>
          </cell>
        </row>
        <row r="16692">
          <cell r="E16692">
            <v>0</v>
          </cell>
          <cell r="F16692">
            <v>0</v>
          </cell>
          <cell r="DN16692">
            <v>0</v>
          </cell>
        </row>
        <row r="16693">
          <cell r="E16693">
            <v>0</v>
          </cell>
          <cell r="F16693">
            <v>0</v>
          </cell>
          <cell r="DN16693">
            <v>0</v>
          </cell>
        </row>
        <row r="16694">
          <cell r="E16694">
            <v>0</v>
          </cell>
          <cell r="F16694">
            <v>0</v>
          </cell>
          <cell r="DN16694">
            <v>0</v>
          </cell>
        </row>
        <row r="16695">
          <cell r="E16695">
            <v>0</v>
          </cell>
          <cell r="F16695">
            <v>0</v>
          </cell>
          <cell r="DN16695">
            <v>0</v>
          </cell>
        </row>
        <row r="16696">
          <cell r="E16696">
            <v>0</v>
          </cell>
          <cell r="F16696">
            <v>0</v>
          </cell>
          <cell r="DN16696">
            <v>0</v>
          </cell>
        </row>
        <row r="16697">
          <cell r="E16697">
            <v>0</v>
          </cell>
          <cell r="F16697">
            <v>0</v>
          </cell>
          <cell r="DN16697">
            <v>0</v>
          </cell>
        </row>
        <row r="16698">
          <cell r="E16698">
            <v>0</v>
          </cell>
          <cell r="F16698">
            <v>0</v>
          </cell>
          <cell r="DN16698">
            <v>0</v>
          </cell>
        </row>
        <row r="16699">
          <cell r="E16699">
            <v>0</v>
          </cell>
          <cell r="F16699">
            <v>0</v>
          </cell>
          <cell r="DN16699">
            <v>0</v>
          </cell>
        </row>
        <row r="16700">
          <cell r="E16700">
            <v>0</v>
          </cell>
          <cell r="F16700">
            <v>0</v>
          </cell>
          <cell r="DN16700">
            <v>0</v>
          </cell>
        </row>
        <row r="16701">
          <cell r="E16701">
            <v>0</v>
          </cell>
          <cell r="F16701">
            <v>0</v>
          </cell>
          <cell r="DN16701">
            <v>0</v>
          </cell>
        </row>
        <row r="16702">
          <cell r="E16702">
            <v>0</v>
          </cell>
          <cell r="F16702">
            <v>0</v>
          </cell>
          <cell r="DN16702">
            <v>0</v>
          </cell>
        </row>
        <row r="16703">
          <cell r="E16703">
            <v>0</v>
          </cell>
          <cell r="F16703">
            <v>0</v>
          </cell>
          <cell r="DN16703">
            <v>0</v>
          </cell>
        </row>
        <row r="16704">
          <cell r="E16704">
            <v>0</v>
          </cell>
          <cell r="F16704">
            <v>0</v>
          </cell>
          <cell r="DN16704">
            <v>0</v>
          </cell>
        </row>
        <row r="16705">
          <cell r="E16705">
            <v>0</v>
          </cell>
          <cell r="F16705">
            <v>0</v>
          </cell>
          <cell r="DN16705">
            <v>0</v>
          </cell>
        </row>
        <row r="16706">
          <cell r="E16706">
            <v>0</v>
          </cell>
          <cell r="F16706">
            <v>0</v>
          </cell>
          <cell r="DN16706">
            <v>0</v>
          </cell>
        </row>
        <row r="16707">
          <cell r="E16707">
            <v>0</v>
          </cell>
          <cell r="F16707">
            <v>0</v>
          </cell>
          <cell r="DN16707">
            <v>0</v>
          </cell>
        </row>
        <row r="16708">
          <cell r="E16708">
            <v>0</v>
          </cell>
          <cell r="F16708">
            <v>0</v>
          </cell>
          <cell r="DN16708">
            <v>0</v>
          </cell>
        </row>
        <row r="16709">
          <cell r="E16709">
            <v>0</v>
          </cell>
          <cell r="F16709">
            <v>0</v>
          </cell>
          <cell r="DN16709">
            <v>0</v>
          </cell>
        </row>
        <row r="16710">
          <cell r="E16710">
            <v>0</v>
          </cell>
          <cell r="F16710">
            <v>0</v>
          </cell>
          <cell r="DN16710">
            <v>0</v>
          </cell>
        </row>
        <row r="16711">
          <cell r="E16711">
            <v>0</v>
          </cell>
          <cell r="F16711">
            <v>0</v>
          </cell>
          <cell r="DN16711">
            <v>0</v>
          </cell>
        </row>
        <row r="16712">
          <cell r="E16712">
            <v>0</v>
          </cell>
          <cell r="F16712">
            <v>0</v>
          </cell>
          <cell r="DN16712">
            <v>0</v>
          </cell>
        </row>
        <row r="16713">
          <cell r="E16713">
            <v>0</v>
          </cell>
          <cell r="F16713">
            <v>0</v>
          </cell>
          <cell r="DN16713">
            <v>0</v>
          </cell>
        </row>
        <row r="16714">
          <cell r="E16714">
            <v>0</v>
          </cell>
          <cell r="F16714">
            <v>0</v>
          </cell>
          <cell r="DN16714">
            <v>0</v>
          </cell>
        </row>
        <row r="16715">
          <cell r="E16715">
            <v>0</v>
          </cell>
          <cell r="F16715">
            <v>0</v>
          </cell>
          <cell r="DN16715">
            <v>0</v>
          </cell>
        </row>
        <row r="16716">
          <cell r="E16716">
            <v>0</v>
          </cell>
          <cell r="F16716">
            <v>0</v>
          </cell>
          <cell r="DN16716">
            <v>0</v>
          </cell>
        </row>
        <row r="16717">
          <cell r="E16717">
            <v>0</v>
          </cell>
          <cell r="F16717">
            <v>0</v>
          </cell>
          <cell r="DN16717">
            <v>0</v>
          </cell>
        </row>
        <row r="16718">
          <cell r="E16718">
            <v>0</v>
          </cell>
          <cell r="F16718">
            <v>0</v>
          </cell>
          <cell r="DN16718">
            <v>0</v>
          </cell>
        </row>
        <row r="16719">
          <cell r="E16719">
            <v>0</v>
          </cell>
          <cell r="F16719">
            <v>0</v>
          </cell>
          <cell r="DN16719">
            <v>0</v>
          </cell>
        </row>
        <row r="16720">
          <cell r="E16720">
            <v>0</v>
          </cell>
          <cell r="F16720">
            <v>0</v>
          </cell>
          <cell r="DN16720">
            <v>0</v>
          </cell>
        </row>
        <row r="16721">
          <cell r="E16721">
            <v>0</v>
          </cell>
          <cell r="F16721">
            <v>0</v>
          </cell>
          <cell r="DN16721">
            <v>0</v>
          </cell>
        </row>
        <row r="16722">
          <cell r="E16722">
            <v>0</v>
          </cell>
          <cell r="F16722">
            <v>0</v>
          </cell>
          <cell r="DN16722">
            <v>0</v>
          </cell>
        </row>
        <row r="16723">
          <cell r="E16723">
            <v>0</v>
          </cell>
          <cell r="F16723">
            <v>0</v>
          </cell>
          <cell r="DN16723">
            <v>0</v>
          </cell>
        </row>
        <row r="16724">
          <cell r="E16724">
            <v>0</v>
          </cell>
          <cell r="F16724">
            <v>0</v>
          </cell>
          <cell r="DN16724">
            <v>0</v>
          </cell>
        </row>
        <row r="16725">
          <cell r="E16725">
            <v>0</v>
          </cell>
          <cell r="F16725">
            <v>0</v>
          </cell>
          <cell r="DN16725">
            <v>0</v>
          </cell>
        </row>
        <row r="16726">
          <cell r="E16726">
            <v>0</v>
          </cell>
          <cell r="F16726">
            <v>0</v>
          </cell>
          <cell r="DN16726">
            <v>0</v>
          </cell>
        </row>
        <row r="16727">
          <cell r="E16727">
            <v>0</v>
          </cell>
          <cell r="F16727">
            <v>0</v>
          </cell>
          <cell r="DN16727">
            <v>0</v>
          </cell>
        </row>
        <row r="16728">
          <cell r="E16728">
            <v>0</v>
          </cell>
          <cell r="F16728">
            <v>0</v>
          </cell>
          <cell r="DN16728">
            <v>0</v>
          </cell>
        </row>
        <row r="16729">
          <cell r="E16729">
            <v>0</v>
          </cell>
          <cell r="F16729">
            <v>0</v>
          </cell>
          <cell r="DN16729">
            <v>0</v>
          </cell>
        </row>
        <row r="16730">
          <cell r="E16730">
            <v>0</v>
          </cell>
          <cell r="F16730">
            <v>0</v>
          </cell>
          <cell r="DN16730">
            <v>0</v>
          </cell>
        </row>
        <row r="16731">
          <cell r="E16731">
            <v>0</v>
          </cell>
          <cell r="F16731">
            <v>0</v>
          </cell>
          <cell r="DN16731">
            <v>0</v>
          </cell>
        </row>
        <row r="16732">
          <cell r="E16732">
            <v>0</v>
          </cell>
          <cell r="F16732">
            <v>0</v>
          </cell>
          <cell r="DN16732">
            <v>0</v>
          </cell>
        </row>
        <row r="16733">
          <cell r="E16733">
            <v>0</v>
          </cell>
          <cell r="F16733">
            <v>0</v>
          </cell>
          <cell r="DN16733">
            <v>0</v>
          </cell>
        </row>
        <row r="16734">
          <cell r="E16734">
            <v>0</v>
          </cell>
          <cell r="F16734">
            <v>0</v>
          </cell>
          <cell r="DN16734">
            <v>0</v>
          </cell>
        </row>
        <row r="16735">
          <cell r="E16735">
            <v>0</v>
          </cell>
          <cell r="F16735">
            <v>0</v>
          </cell>
          <cell r="DN16735">
            <v>0</v>
          </cell>
        </row>
        <row r="16736">
          <cell r="E16736">
            <v>0</v>
          </cell>
          <cell r="F16736">
            <v>0</v>
          </cell>
          <cell r="DN16736">
            <v>0</v>
          </cell>
        </row>
        <row r="16737">
          <cell r="E16737">
            <v>0</v>
          </cell>
          <cell r="F16737">
            <v>0</v>
          </cell>
          <cell r="DN16737">
            <v>0</v>
          </cell>
        </row>
        <row r="16738">
          <cell r="E16738">
            <v>0</v>
          </cell>
          <cell r="F16738">
            <v>0</v>
          </cell>
          <cell r="DN16738">
            <v>0</v>
          </cell>
        </row>
        <row r="16739">
          <cell r="E16739">
            <v>0</v>
          </cell>
          <cell r="F16739">
            <v>0</v>
          </cell>
          <cell r="DN16739">
            <v>0</v>
          </cell>
        </row>
        <row r="16740">
          <cell r="E16740">
            <v>0</v>
          </cell>
          <cell r="F16740">
            <v>0</v>
          </cell>
          <cell r="DN16740">
            <v>0</v>
          </cell>
        </row>
        <row r="16741">
          <cell r="E16741">
            <v>0</v>
          </cell>
          <cell r="F16741">
            <v>0</v>
          </cell>
          <cell r="DN16741">
            <v>0</v>
          </cell>
        </row>
        <row r="16742">
          <cell r="E16742">
            <v>0</v>
          </cell>
          <cell r="F16742">
            <v>0</v>
          </cell>
          <cell r="DN16742">
            <v>0</v>
          </cell>
        </row>
        <row r="16743">
          <cell r="E16743">
            <v>0</v>
          </cell>
          <cell r="F16743">
            <v>0</v>
          </cell>
          <cell r="DN16743">
            <v>0</v>
          </cell>
        </row>
        <row r="16744">
          <cell r="E16744">
            <v>0</v>
          </cell>
          <cell r="F16744">
            <v>0</v>
          </cell>
          <cell r="DN16744">
            <v>0</v>
          </cell>
        </row>
        <row r="16745">
          <cell r="E16745">
            <v>0</v>
          </cell>
          <cell r="F16745">
            <v>0</v>
          </cell>
          <cell r="DN16745">
            <v>0</v>
          </cell>
        </row>
        <row r="16746">
          <cell r="E16746">
            <v>0</v>
          </cell>
          <cell r="F16746">
            <v>0</v>
          </cell>
          <cell r="DN16746">
            <v>0</v>
          </cell>
        </row>
        <row r="16747">
          <cell r="E16747">
            <v>0</v>
          </cell>
          <cell r="F16747">
            <v>0</v>
          </cell>
          <cell r="DN16747">
            <v>0</v>
          </cell>
        </row>
        <row r="16748">
          <cell r="E16748">
            <v>0</v>
          </cell>
          <cell r="F16748">
            <v>0</v>
          </cell>
          <cell r="DN16748">
            <v>0</v>
          </cell>
        </row>
        <row r="16749">
          <cell r="E16749">
            <v>0</v>
          </cell>
          <cell r="F16749">
            <v>0</v>
          </cell>
          <cell r="DN16749">
            <v>0</v>
          </cell>
        </row>
        <row r="16750">
          <cell r="E16750">
            <v>0</v>
          </cell>
          <cell r="F16750">
            <v>0</v>
          </cell>
          <cell r="DN16750">
            <v>0</v>
          </cell>
        </row>
        <row r="16751">
          <cell r="E16751">
            <v>0</v>
          </cell>
          <cell r="F16751">
            <v>0</v>
          </cell>
          <cell r="DN16751">
            <v>0</v>
          </cell>
        </row>
        <row r="16752">
          <cell r="E16752">
            <v>0</v>
          </cell>
          <cell r="F16752">
            <v>0</v>
          </cell>
          <cell r="DN16752">
            <v>0</v>
          </cell>
        </row>
        <row r="16753">
          <cell r="E16753">
            <v>0</v>
          </cell>
          <cell r="F16753">
            <v>0</v>
          </cell>
          <cell r="DN16753">
            <v>0</v>
          </cell>
        </row>
        <row r="16754">
          <cell r="E16754">
            <v>0</v>
          </cell>
          <cell r="F16754">
            <v>0</v>
          </cell>
          <cell r="DN16754">
            <v>0</v>
          </cell>
        </row>
        <row r="16755">
          <cell r="E16755">
            <v>0</v>
          </cell>
          <cell r="F16755">
            <v>0</v>
          </cell>
          <cell r="DN16755">
            <v>0</v>
          </cell>
        </row>
        <row r="16756">
          <cell r="E16756">
            <v>0</v>
          </cell>
          <cell r="F16756">
            <v>0</v>
          </cell>
          <cell r="DN16756">
            <v>0</v>
          </cell>
        </row>
        <row r="16757">
          <cell r="E16757">
            <v>0</v>
          </cell>
          <cell r="F16757">
            <v>0</v>
          </cell>
          <cell r="DN16757">
            <v>0</v>
          </cell>
        </row>
        <row r="16758">
          <cell r="E16758">
            <v>0</v>
          </cell>
          <cell r="F16758">
            <v>0</v>
          </cell>
          <cell r="DN16758">
            <v>0</v>
          </cell>
        </row>
        <row r="16759">
          <cell r="E16759">
            <v>0</v>
          </cell>
          <cell r="F16759">
            <v>0</v>
          </cell>
          <cell r="DN16759">
            <v>0</v>
          </cell>
        </row>
        <row r="16760">
          <cell r="E16760">
            <v>0</v>
          </cell>
          <cell r="F16760">
            <v>0</v>
          </cell>
          <cell r="DN16760">
            <v>0</v>
          </cell>
        </row>
        <row r="16761">
          <cell r="E16761">
            <v>0</v>
          </cell>
          <cell r="F16761">
            <v>0</v>
          </cell>
          <cell r="DN16761">
            <v>0</v>
          </cell>
        </row>
        <row r="16762">
          <cell r="E16762">
            <v>0</v>
          </cell>
          <cell r="F16762">
            <v>0</v>
          </cell>
          <cell r="DN16762">
            <v>0</v>
          </cell>
        </row>
        <row r="16763">
          <cell r="E16763">
            <v>0</v>
          </cell>
          <cell r="F16763">
            <v>0</v>
          </cell>
          <cell r="DN16763">
            <v>0</v>
          </cell>
        </row>
        <row r="16764">
          <cell r="E16764">
            <v>0</v>
          </cell>
          <cell r="F16764">
            <v>0</v>
          </cell>
          <cell r="DN16764">
            <v>0</v>
          </cell>
        </row>
        <row r="16765">
          <cell r="E16765">
            <v>0</v>
          </cell>
          <cell r="F16765">
            <v>0</v>
          </cell>
          <cell r="DN16765">
            <v>0</v>
          </cell>
        </row>
        <row r="16766">
          <cell r="E16766">
            <v>0</v>
          </cell>
          <cell r="F16766">
            <v>0</v>
          </cell>
          <cell r="DN16766">
            <v>0</v>
          </cell>
        </row>
        <row r="16767">
          <cell r="E16767">
            <v>0</v>
          </cell>
          <cell r="F16767">
            <v>0</v>
          </cell>
          <cell r="DN16767">
            <v>0</v>
          </cell>
        </row>
        <row r="16768">
          <cell r="E16768">
            <v>0</v>
          </cell>
          <cell r="F16768">
            <v>0</v>
          </cell>
          <cell r="DN16768">
            <v>0</v>
          </cell>
        </row>
        <row r="16769">
          <cell r="E16769">
            <v>0</v>
          </cell>
          <cell r="F16769">
            <v>0</v>
          </cell>
          <cell r="DN16769">
            <v>0</v>
          </cell>
        </row>
        <row r="16770">
          <cell r="E16770">
            <v>0</v>
          </cell>
          <cell r="F16770">
            <v>0</v>
          </cell>
          <cell r="DN16770">
            <v>0</v>
          </cell>
        </row>
        <row r="16771">
          <cell r="E16771">
            <v>0</v>
          </cell>
          <cell r="F16771">
            <v>0</v>
          </cell>
          <cell r="DN16771">
            <v>0</v>
          </cell>
        </row>
        <row r="16772">
          <cell r="E16772">
            <v>0</v>
          </cell>
          <cell r="F16772">
            <v>0</v>
          </cell>
          <cell r="DN16772">
            <v>0</v>
          </cell>
        </row>
        <row r="16773">
          <cell r="E16773">
            <v>0</v>
          </cell>
          <cell r="F16773">
            <v>0</v>
          </cell>
          <cell r="DN16773">
            <v>0</v>
          </cell>
        </row>
        <row r="16774">
          <cell r="E16774">
            <v>0</v>
          </cell>
          <cell r="F16774">
            <v>0</v>
          </cell>
          <cell r="DN16774">
            <v>0</v>
          </cell>
        </row>
        <row r="16775">
          <cell r="E16775">
            <v>0</v>
          </cell>
          <cell r="F16775">
            <v>0</v>
          </cell>
          <cell r="DN16775">
            <v>0</v>
          </cell>
        </row>
        <row r="16776">
          <cell r="E16776">
            <v>0</v>
          </cell>
          <cell r="F16776">
            <v>0</v>
          </cell>
          <cell r="DN16776">
            <v>0</v>
          </cell>
        </row>
        <row r="16777">
          <cell r="E16777">
            <v>0</v>
          </cell>
          <cell r="F16777">
            <v>0</v>
          </cell>
          <cell r="DN16777">
            <v>0</v>
          </cell>
        </row>
        <row r="16778">
          <cell r="E16778">
            <v>0</v>
          </cell>
          <cell r="F16778">
            <v>0</v>
          </cell>
          <cell r="DN16778">
            <v>0</v>
          </cell>
        </row>
        <row r="16779">
          <cell r="E16779">
            <v>0</v>
          </cell>
          <cell r="F16779">
            <v>0</v>
          </cell>
          <cell r="DN16779">
            <v>0</v>
          </cell>
        </row>
        <row r="16780">
          <cell r="E16780">
            <v>0</v>
          </cell>
          <cell r="F16780">
            <v>0</v>
          </cell>
          <cell r="DN16780">
            <v>0</v>
          </cell>
        </row>
        <row r="16781">
          <cell r="E16781">
            <v>0</v>
          </cell>
          <cell r="F16781">
            <v>0</v>
          </cell>
          <cell r="DN16781">
            <v>0</v>
          </cell>
        </row>
        <row r="16782">
          <cell r="E16782">
            <v>0</v>
          </cell>
          <cell r="F16782">
            <v>0</v>
          </cell>
          <cell r="DN16782">
            <v>0</v>
          </cell>
        </row>
        <row r="16783">
          <cell r="E16783">
            <v>0</v>
          </cell>
          <cell r="F16783">
            <v>0</v>
          </cell>
          <cell r="DN16783">
            <v>0</v>
          </cell>
        </row>
        <row r="16784">
          <cell r="E16784">
            <v>0</v>
          </cell>
          <cell r="F16784">
            <v>0</v>
          </cell>
          <cell r="DN16784">
            <v>0</v>
          </cell>
        </row>
        <row r="16785">
          <cell r="E16785">
            <v>0</v>
          </cell>
          <cell r="F16785">
            <v>0</v>
          </cell>
          <cell r="DN16785">
            <v>0</v>
          </cell>
        </row>
        <row r="16786">
          <cell r="E16786">
            <v>0</v>
          </cell>
          <cell r="F16786">
            <v>0</v>
          </cell>
          <cell r="DN16786">
            <v>0</v>
          </cell>
        </row>
        <row r="16787">
          <cell r="E16787">
            <v>0</v>
          </cell>
          <cell r="F16787">
            <v>0</v>
          </cell>
          <cell r="DN16787">
            <v>0</v>
          </cell>
        </row>
        <row r="16788">
          <cell r="E16788">
            <v>0</v>
          </cell>
          <cell r="F16788">
            <v>0</v>
          </cell>
          <cell r="DN16788">
            <v>0</v>
          </cell>
        </row>
        <row r="16789">
          <cell r="E16789">
            <v>0</v>
          </cell>
          <cell r="F16789">
            <v>0</v>
          </cell>
          <cell r="DN16789">
            <v>0</v>
          </cell>
        </row>
        <row r="16790">
          <cell r="E16790">
            <v>0</v>
          </cell>
          <cell r="F16790">
            <v>0</v>
          </cell>
          <cell r="DN16790">
            <v>0</v>
          </cell>
        </row>
        <row r="16791">
          <cell r="E16791">
            <v>0</v>
          </cell>
          <cell r="F16791">
            <v>0</v>
          </cell>
          <cell r="DN16791">
            <v>0</v>
          </cell>
        </row>
        <row r="16792">
          <cell r="E16792">
            <v>0</v>
          </cell>
          <cell r="F16792">
            <v>0</v>
          </cell>
          <cell r="DN16792">
            <v>0</v>
          </cell>
        </row>
        <row r="16793">
          <cell r="E16793">
            <v>0</v>
          </cell>
          <cell r="F16793">
            <v>0</v>
          </cell>
          <cell r="DN16793">
            <v>0</v>
          </cell>
        </row>
        <row r="16794">
          <cell r="E16794">
            <v>0</v>
          </cell>
          <cell r="F16794">
            <v>0</v>
          </cell>
          <cell r="DN16794">
            <v>0</v>
          </cell>
        </row>
        <row r="16795">
          <cell r="E16795">
            <v>0</v>
          </cell>
          <cell r="F16795">
            <v>0</v>
          </cell>
          <cell r="DN16795">
            <v>0</v>
          </cell>
        </row>
        <row r="16796">
          <cell r="E16796">
            <v>0</v>
          </cell>
          <cell r="F16796">
            <v>0</v>
          </cell>
          <cell r="DN16796">
            <v>0</v>
          </cell>
        </row>
        <row r="16797">
          <cell r="E16797">
            <v>0</v>
          </cell>
          <cell r="F16797">
            <v>0</v>
          </cell>
          <cell r="DN16797">
            <v>0</v>
          </cell>
        </row>
        <row r="16798">
          <cell r="E16798">
            <v>0</v>
          </cell>
          <cell r="F16798">
            <v>0</v>
          </cell>
          <cell r="DN16798">
            <v>0</v>
          </cell>
        </row>
        <row r="16799">
          <cell r="E16799">
            <v>0</v>
          </cell>
          <cell r="F16799">
            <v>0</v>
          </cell>
          <cell r="DN16799">
            <v>0</v>
          </cell>
        </row>
        <row r="16800">
          <cell r="E16800">
            <v>0</v>
          </cell>
          <cell r="F16800">
            <v>0</v>
          </cell>
          <cell r="DN16800">
            <v>0</v>
          </cell>
        </row>
        <row r="16801">
          <cell r="E16801">
            <v>0</v>
          </cell>
          <cell r="F16801">
            <v>0</v>
          </cell>
          <cell r="DN16801">
            <v>0</v>
          </cell>
        </row>
        <row r="16802">
          <cell r="E16802">
            <v>0</v>
          </cell>
          <cell r="F16802">
            <v>0</v>
          </cell>
          <cell r="DN16802">
            <v>0</v>
          </cell>
        </row>
        <row r="16803">
          <cell r="E16803">
            <v>0</v>
          </cell>
          <cell r="F16803">
            <v>0</v>
          </cell>
          <cell r="DN16803">
            <v>0</v>
          </cell>
        </row>
        <row r="16804">
          <cell r="E16804">
            <v>0</v>
          </cell>
          <cell r="F16804">
            <v>0</v>
          </cell>
          <cell r="DN16804">
            <v>0</v>
          </cell>
        </row>
        <row r="16805">
          <cell r="E16805">
            <v>0</v>
          </cell>
          <cell r="F16805">
            <v>0</v>
          </cell>
          <cell r="DN16805">
            <v>0</v>
          </cell>
        </row>
        <row r="16806">
          <cell r="E16806">
            <v>0</v>
          </cell>
          <cell r="F16806">
            <v>0</v>
          </cell>
          <cell r="DN16806">
            <v>0</v>
          </cell>
        </row>
        <row r="16807">
          <cell r="E16807">
            <v>0</v>
          </cell>
          <cell r="F16807">
            <v>0</v>
          </cell>
          <cell r="DN16807">
            <v>0</v>
          </cell>
        </row>
        <row r="16808">
          <cell r="E16808">
            <v>0</v>
          </cell>
          <cell r="F16808">
            <v>0</v>
          </cell>
          <cell r="DN16808">
            <v>0</v>
          </cell>
        </row>
        <row r="16809">
          <cell r="E16809">
            <v>0</v>
          </cell>
          <cell r="F16809">
            <v>0</v>
          </cell>
          <cell r="DN16809">
            <v>0</v>
          </cell>
        </row>
        <row r="16810">
          <cell r="E16810">
            <v>0</v>
          </cell>
          <cell r="F16810">
            <v>0</v>
          </cell>
          <cell r="DN16810">
            <v>0</v>
          </cell>
        </row>
        <row r="16811">
          <cell r="E16811">
            <v>0</v>
          </cell>
          <cell r="F16811">
            <v>0</v>
          </cell>
          <cell r="DN16811">
            <v>0</v>
          </cell>
        </row>
        <row r="16812">
          <cell r="E16812">
            <v>0</v>
          </cell>
          <cell r="F16812">
            <v>0</v>
          </cell>
          <cell r="DN16812">
            <v>0</v>
          </cell>
        </row>
        <row r="16813">
          <cell r="E16813">
            <v>0</v>
          </cell>
          <cell r="F16813">
            <v>0</v>
          </cell>
          <cell r="DN16813">
            <v>0</v>
          </cell>
        </row>
        <row r="16814">
          <cell r="E16814">
            <v>0</v>
          </cell>
          <cell r="F16814">
            <v>0</v>
          </cell>
          <cell r="DN16814">
            <v>0</v>
          </cell>
        </row>
        <row r="16815">
          <cell r="E16815">
            <v>0</v>
          </cell>
          <cell r="F16815">
            <v>0</v>
          </cell>
          <cell r="DN16815">
            <v>0</v>
          </cell>
        </row>
        <row r="16816">
          <cell r="E16816">
            <v>0</v>
          </cell>
          <cell r="F16816">
            <v>0</v>
          </cell>
          <cell r="DN16816">
            <v>0</v>
          </cell>
        </row>
        <row r="16817">
          <cell r="E16817">
            <v>0</v>
          </cell>
          <cell r="F16817">
            <v>0</v>
          </cell>
          <cell r="DN16817">
            <v>0</v>
          </cell>
        </row>
        <row r="16818">
          <cell r="E16818">
            <v>0</v>
          </cell>
          <cell r="F16818">
            <v>0</v>
          </cell>
          <cell r="DN16818">
            <v>0</v>
          </cell>
        </row>
        <row r="16819">
          <cell r="E16819">
            <v>0</v>
          </cell>
          <cell r="F16819">
            <v>0</v>
          </cell>
          <cell r="DN16819">
            <v>0</v>
          </cell>
        </row>
        <row r="16820">
          <cell r="E16820">
            <v>0</v>
          </cell>
          <cell r="F16820">
            <v>0</v>
          </cell>
          <cell r="DN16820">
            <v>0</v>
          </cell>
        </row>
        <row r="16821">
          <cell r="E16821">
            <v>0</v>
          </cell>
          <cell r="F16821">
            <v>0</v>
          </cell>
          <cell r="DN16821">
            <v>0</v>
          </cell>
        </row>
        <row r="16822">
          <cell r="E16822">
            <v>0</v>
          </cell>
          <cell r="F16822">
            <v>0</v>
          </cell>
          <cell r="DN16822">
            <v>0</v>
          </cell>
        </row>
        <row r="16823">
          <cell r="E16823">
            <v>0</v>
          </cell>
          <cell r="F16823">
            <v>0</v>
          </cell>
          <cell r="DN16823">
            <v>0</v>
          </cell>
        </row>
        <row r="16824">
          <cell r="E16824">
            <v>0</v>
          </cell>
          <cell r="F16824">
            <v>0</v>
          </cell>
          <cell r="DN16824">
            <v>0</v>
          </cell>
        </row>
        <row r="16825">
          <cell r="E16825">
            <v>0</v>
          </cell>
          <cell r="F16825">
            <v>0</v>
          </cell>
          <cell r="DN16825">
            <v>0</v>
          </cell>
        </row>
        <row r="16826">
          <cell r="E16826">
            <v>0</v>
          </cell>
          <cell r="F16826">
            <v>0</v>
          </cell>
          <cell r="DN16826">
            <v>0</v>
          </cell>
        </row>
        <row r="16827">
          <cell r="E16827">
            <v>0</v>
          </cell>
          <cell r="F16827">
            <v>0</v>
          </cell>
          <cell r="DN16827">
            <v>0</v>
          </cell>
        </row>
        <row r="16828">
          <cell r="E16828">
            <v>0</v>
          </cell>
          <cell r="F16828">
            <v>0</v>
          </cell>
          <cell r="DN16828">
            <v>0</v>
          </cell>
        </row>
        <row r="16829">
          <cell r="E16829">
            <v>0</v>
          </cell>
          <cell r="F16829">
            <v>0</v>
          </cell>
          <cell r="DN16829">
            <v>0</v>
          </cell>
        </row>
        <row r="16830">
          <cell r="E16830">
            <v>0</v>
          </cell>
          <cell r="F16830">
            <v>0</v>
          </cell>
          <cell r="DN16830">
            <v>0</v>
          </cell>
        </row>
        <row r="16831">
          <cell r="E16831">
            <v>0</v>
          </cell>
          <cell r="F16831">
            <v>0</v>
          </cell>
          <cell r="DN16831">
            <v>0</v>
          </cell>
        </row>
        <row r="16832">
          <cell r="E16832">
            <v>0</v>
          </cell>
          <cell r="F16832">
            <v>0</v>
          </cell>
          <cell r="DN16832">
            <v>0</v>
          </cell>
        </row>
        <row r="16833">
          <cell r="E16833">
            <v>0</v>
          </cell>
          <cell r="F16833">
            <v>0</v>
          </cell>
          <cell r="DN16833">
            <v>0</v>
          </cell>
        </row>
        <row r="16834">
          <cell r="E16834">
            <v>0</v>
          </cell>
          <cell r="F16834">
            <v>0</v>
          </cell>
          <cell r="DN16834">
            <v>0</v>
          </cell>
        </row>
        <row r="16835">
          <cell r="E16835">
            <v>0</v>
          </cell>
          <cell r="F16835">
            <v>0</v>
          </cell>
          <cell r="DN16835">
            <v>0</v>
          </cell>
        </row>
        <row r="16836">
          <cell r="E16836">
            <v>0</v>
          </cell>
          <cell r="F16836">
            <v>0</v>
          </cell>
          <cell r="DN16836">
            <v>0</v>
          </cell>
        </row>
        <row r="16837">
          <cell r="E16837">
            <v>0</v>
          </cell>
          <cell r="F16837">
            <v>0</v>
          </cell>
          <cell r="DN16837">
            <v>0</v>
          </cell>
        </row>
        <row r="16838">
          <cell r="E16838">
            <v>0</v>
          </cell>
          <cell r="F16838">
            <v>0</v>
          </cell>
          <cell r="DN16838">
            <v>0</v>
          </cell>
        </row>
        <row r="16839">
          <cell r="E16839">
            <v>0</v>
          </cell>
          <cell r="F16839">
            <v>0</v>
          </cell>
          <cell r="DN16839">
            <v>0</v>
          </cell>
        </row>
        <row r="16840">
          <cell r="E16840">
            <v>0</v>
          </cell>
          <cell r="F16840">
            <v>0</v>
          </cell>
          <cell r="DN16840">
            <v>0</v>
          </cell>
        </row>
        <row r="16841">
          <cell r="E16841">
            <v>0</v>
          </cell>
          <cell r="F16841">
            <v>0</v>
          </cell>
          <cell r="DN16841">
            <v>0</v>
          </cell>
        </row>
        <row r="16842">
          <cell r="E16842">
            <v>0</v>
          </cell>
          <cell r="F16842">
            <v>0</v>
          </cell>
          <cell r="DN16842">
            <v>0</v>
          </cell>
        </row>
        <row r="16843">
          <cell r="E16843">
            <v>0</v>
          </cell>
          <cell r="F16843">
            <v>0</v>
          </cell>
          <cell r="DN16843">
            <v>0</v>
          </cell>
        </row>
        <row r="16844">
          <cell r="E16844">
            <v>0</v>
          </cell>
          <cell r="F16844">
            <v>0</v>
          </cell>
          <cell r="DN16844">
            <v>0</v>
          </cell>
        </row>
        <row r="16845">
          <cell r="E16845">
            <v>0</v>
          </cell>
          <cell r="F16845">
            <v>0</v>
          </cell>
          <cell r="DN16845">
            <v>0</v>
          </cell>
        </row>
        <row r="16846">
          <cell r="E16846">
            <v>0</v>
          </cell>
          <cell r="F16846">
            <v>0</v>
          </cell>
          <cell r="DN16846">
            <v>0</v>
          </cell>
        </row>
        <row r="16847">
          <cell r="E16847">
            <v>0</v>
          </cell>
          <cell r="F16847">
            <v>0</v>
          </cell>
          <cell r="DN16847">
            <v>0</v>
          </cell>
        </row>
        <row r="16848">
          <cell r="E16848">
            <v>0</v>
          </cell>
          <cell r="F16848">
            <v>0</v>
          </cell>
          <cell r="DN16848">
            <v>0</v>
          </cell>
        </row>
        <row r="16849">
          <cell r="E16849">
            <v>0</v>
          </cell>
          <cell r="F16849">
            <v>0</v>
          </cell>
          <cell r="DN16849">
            <v>0</v>
          </cell>
        </row>
        <row r="16850">
          <cell r="E16850">
            <v>0</v>
          </cell>
          <cell r="F16850">
            <v>0</v>
          </cell>
          <cell r="DN16850">
            <v>0</v>
          </cell>
        </row>
        <row r="16851">
          <cell r="E16851">
            <v>0</v>
          </cell>
          <cell r="F16851">
            <v>0</v>
          </cell>
          <cell r="DN16851">
            <v>0</v>
          </cell>
        </row>
        <row r="16852">
          <cell r="E16852">
            <v>0</v>
          </cell>
          <cell r="F16852">
            <v>0</v>
          </cell>
          <cell r="DN16852">
            <v>0</v>
          </cell>
        </row>
        <row r="16853">
          <cell r="E16853">
            <v>0</v>
          </cell>
          <cell r="F16853">
            <v>0</v>
          </cell>
          <cell r="DN16853">
            <v>0</v>
          </cell>
        </row>
        <row r="16854">
          <cell r="E16854">
            <v>0</v>
          </cell>
          <cell r="F16854">
            <v>0</v>
          </cell>
          <cell r="DN16854">
            <v>0</v>
          </cell>
        </row>
        <row r="16855">
          <cell r="E16855">
            <v>0</v>
          </cell>
          <cell r="F16855">
            <v>0</v>
          </cell>
          <cell r="DN16855">
            <v>0</v>
          </cell>
        </row>
        <row r="16856">
          <cell r="E16856">
            <v>0</v>
          </cell>
          <cell r="F16856">
            <v>0</v>
          </cell>
          <cell r="DN16856">
            <v>0</v>
          </cell>
        </row>
        <row r="16857">
          <cell r="E16857">
            <v>0</v>
          </cell>
          <cell r="F16857">
            <v>0</v>
          </cell>
          <cell r="DN16857">
            <v>0</v>
          </cell>
        </row>
        <row r="16858">
          <cell r="E16858">
            <v>0</v>
          </cell>
          <cell r="F16858">
            <v>0</v>
          </cell>
          <cell r="DN16858">
            <v>0</v>
          </cell>
        </row>
        <row r="16859">
          <cell r="E16859">
            <v>0</v>
          </cell>
          <cell r="F16859">
            <v>0</v>
          </cell>
          <cell r="DN16859">
            <v>0</v>
          </cell>
        </row>
        <row r="16860">
          <cell r="E16860">
            <v>0</v>
          </cell>
          <cell r="F16860">
            <v>0</v>
          </cell>
          <cell r="DN16860">
            <v>0</v>
          </cell>
        </row>
        <row r="16861">
          <cell r="E16861">
            <v>0</v>
          </cell>
          <cell r="F16861">
            <v>0</v>
          </cell>
          <cell r="DN16861">
            <v>0</v>
          </cell>
        </row>
        <row r="16862">
          <cell r="E16862">
            <v>0</v>
          </cell>
          <cell r="F16862">
            <v>0</v>
          </cell>
          <cell r="DN16862">
            <v>0</v>
          </cell>
        </row>
        <row r="16863">
          <cell r="E16863">
            <v>0</v>
          </cell>
          <cell r="F16863">
            <v>0</v>
          </cell>
          <cell r="DN16863">
            <v>0</v>
          </cell>
        </row>
        <row r="16864">
          <cell r="E16864">
            <v>0</v>
          </cell>
          <cell r="F16864">
            <v>0</v>
          </cell>
          <cell r="DN16864">
            <v>0</v>
          </cell>
        </row>
        <row r="16865">
          <cell r="E16865">
            <v>0</v>
          </cell>
          <cell r="F16865">
            <v>0</v>
          </cell>
          <cell r="DN16865">
            <v>0</v>
          </cell>
        </row>
        <row r="16866">
          <cell r="E16866">
            <v>0</v>
          </cell>
          <cell r="F16866">
            <v>0</v>
          </cell>
          <cell r="DN16866">
            <v>0</v>
          </cell>
        </row>
        <row r="16867">
          <cell r="E16867">
            <v>0</v>
          </cell>
          <cell r="F16867">
            <v>0</v>
          </cell>
          <cell r="DN16867">
            <v>0</v>
          </cell>
        </row>
        <row r="16868">
          <cell r="E16868">
            <v>0</v>
          </cell>
          <cell r="F16868">
            <v>0</v>
          </cell>
          <cell r="DN16868">
            <v>0</v>
          </cell>
        </row>
        <row r="16869">
          <cell r="E16869">
            <v>0</v>
          </cell>
          <cell r="F16869">
            <v>0</v>
          </cell>
          <cell r="DN16869">
            <v>0</v>
          </cell>
        </row>
        <row r="16870">
          <cell r="E16870">
            <v>0</v>
          </cell>
          <cell r="F16870">
            <v>0</v>
          </cell>
          <cell r="DN16870">
            <v>0</v>
          </cell>
        </row>
        <row r="16871">
          <cell r="E16871">
            <v>0</v>
          </cell>
          <cell r="F16871">
            <v>0</v>
          </cell>
          <cell r="DN16871">
            <v>0</v>
          </cell>
        </row>
        <row r="16872">
          <cell r="E16872">
            <v>0</v>
          </cell>
          <cell r="F16872">
            <v>0</v>
          </cell>
          <cell r="DN16872">
            <v>0</v>
          </cell>
        </row>
        <row r="16873">
          <cell r="E16873">
            <v>0</v>
          </cell>
          <cell r="F16873">
            <v>0</v>
          </cell>
          <cell r="DN16873">
            <v>0</v>
          </cell>
        </row>
        <row r="16874">
          <cell r="E16874">
            <v>0</v>
          </cell>
          <cell r="F16874">
            <v>0</v>
          </cell>
          <cell r="DN16874">
            <v>0</v>
          </cell>
        </row>
        <row r="16875">
          <cell r="E16875">
            <v>0</v>
          </cell>
          <cell r="F16875">
            <v>0</v>
          </cell>
          <cell r="DN16875">
            <v>0</v>
          </cell>
        </row>
        <row r="16876">
          <cell r="E16876">
            <v>0</v>
          </cell>
          <cell r="F16876">
            <v>0</v>
          </cell>
          <cell r="DN16876">
            <v>0</v>
          </cell>
        </row>
        <row r="16877">
          <cell r="E16877">
            <v>0</v>
          </cell>
          <cell r="F16877">
            <v>0</v>
          </cell>
          <cell r="DN16877">
            <v>0</v>
          </cell>
        </row>
        <row r="16878">
          <cell r="E16878">
            <v>0</v>
          </cell>
          <cell r="F16878">
            <v>0</v>
          </cell>
          <cell r="DN16878">
            <v>0</v>
          </cell>
        </row>
        <row r="16879">
          <cell r="E16879">
            <v>0</v>
          </cell>
          <cell r="F16879">
            <v>0</v>
          </cell>
          <cell r="DN16879">
            <v>0</v>
          </cell>
        </row>
        <row r="16880">
          <cell r="E16880">
            <v>0</v>
          </cell>
          <cell r="F16880">
            <v>0</v>
          </cell>
          <cell r="DN16880">
            <v>0</v>
          </cell>
        </row>
        <row r="16881">
          <cell r="E16881">
            <v>0</v>
          </cell>
          <cell r="F16881">
            <v>0</v>
          </cell>
          <cell r="DN16881">
            <v>0</v>
          </cell>
        </row>
        <row r="16882">
          <cell r="E16882">
            <v>0</v>
          </cell>
          <cell r="F16882">
            <v>0</v>
          </cell>
          <cell r="DN16882">
            <v>0</v>
          </cell>
        </row>
        <row r="16883">
          <cell r="E16883">
            <v>0</v>
          </cell>
          <cell r="F16883">
            <v>0</v>
          </cell>
          <cell r="DN16883">
            <v>0</v>
          </cell>
        </row>
        <row r="16884">
          <cell r="E16884">
            <v>0</v>
          </cell>
          <cell r="F16884">
            <v>0</v>
          </cell>
          <cell r="DN16884">
            <v>0</v>
          </cell>
        </row>
        <row r="16885">
          <cell r="E16885">
            <v>0</v>
          </cell>
          <cell r="F16885">
            <v>0</v>
          </cell>
          <cell r="DN16885">
            <v>0</v>
          </cell>
        </row>
        <row r="16886">
          <cell r="E16886">
            <v>0</v>
          </cell>
          <cell r="F16886">
            <v>0</v>
          </cell>
          <cell r="DN16886">
            <v>0</v>
          </cell>
        </row>
        <row r="16887">
          <cell r="E16887">
            <v>0</v>
          </cell>
          <cell r="F16887">
            <v>0</v>
          </cell>
          <cell r="DN16887">
            <v>0</v>
          </cell>
        </row>
        <row r="16888">
          <cell r="E16888">
            <v>0</v>
          </cell>
          <cell r="F16888">
            <v>0</v>
          </cell>
          <cell r="DN16888">
            <v>0</v>
          </cell>
        </row>
        <row r="16889">
          <cell r="E16889">
            <v>0</v>
          </cell>
          <cell r="F16889">
            <v>0</v>
          </cell>
          <cell r="DN16889">
            <v>0</v>
          </cell>
        </row>
        <row r="16890">
          <cell r="E16890">
            <v>0</v>
          </cell>
          <cell r="F16890">
            <v>0</v>
          </cell>
          <cell r="DN16890">
            <v>0</v>
          </cell>
        </row>
        <row r="16891">
          <cell r="E16891">
            <v>0</v>
          </cell>
          <cell r="F16891">
            <v>0</v>
          </cell>
          <cell r="DN16891">
            <v>0</v>
          </cell>
        </row>
        <row r="16892">
          <cell r="E16892">
            <v>0</v>
          </cell>
          <cell r="F16892">
            <v>0</v>
          </cell>
          <cell r="DN16892">
            <v>0</v>
          </cell>
        </row>
        <row r="16893">
          <cell r="E16893">
            <v>0</v>
          </cell>
          <cell r="F16893">
            <v>0</v>
          </cell>
          <cell r="DN16893">
            <v>0</v>
          </cell>
        </row>
        <row r="16894">
          <cell r="E16894">
            <v>0</v>
          </cell>
          <cell r="F16894">
            <v>0</v>
          </cell>
          <cell r="DN16894">
            <v>0</v>
          </cell>
        </row>
        <row r="16895">
          <cell r="E16895">
            <v>0</v>
          </cell>
          <cell r="F16895">
            <v>0</v>
          </cell>
          <cell r="DN16895">
            <v>0</v>
          </cell>
        </row>
        <row r="16896">
          <cell r="E16896">
            <v>0</v>
          </cell>
          <cell r="F16896">
            <v>0</v>
          </cell>
          <cell r="DN16896">
            <v>0</v>
          </cell>
        </row>
        <row r="16897">
          <cell r="E16897">
            <v>0</v>
          </cell>
          <cell r="F16897">
            <v>0</v>
          </cell>
          <cell r="DN16897">
            <v>0</v>
          </cell>
        </row>
        <row r="16898">
          <cell r="E16898">
            <v>0</v>
          </cell>
          <cell r="F16898">
            <v>0</v>
          </cell>
          <cell r="DN16898">
            <v>0</v>
          </cell>
        </row>
        <row r="16899">
          <cell r="E16899">
            <v>0</v>
          </cell>
          <cell r="F16899">
            <v>0</v>
          </cell>
          <cell r="DN16899">
            <v>0</v>
          </cell>
        </row>
        <row r="16900">
          <cell r="E16900">
            <v>0</v>
          </cell>
          <cell r="F16900">
            <v>0</v>
          </cell>
          <cell r="DN16900">
            <v>0</v>
          </cell>
        </row>
        <row r="16901">
          <cell r="E16901">
            <v>0</v>
          </cell>
          <cell r="F16901">
            <v>0</v>
          </cell>
          <cell r="DN16901">
            <v>0</v>
          </cell>
        </row>
        <row r="16902">
          <cell r="E16902">
            <v>0</v>
          </cell>
          <cell r="F16902">
            <v>0</v>
          </cell>
          <cell r="DN16902">
            <v>0</v>
          </cell>
        </row>
        <row r="16903">
          <cell r="E16903">
            <v>0</v>
          </cell>
          <cell r="F16903">
            <v>0</v>
          </cell>
          <cell r="DN16903">
            <v>0</v>
          </cell>
        </row>
        <row r="16904">
          <cell r="E16904">
            <v>0</v>
          </cell>
          <cell r="F16904">
            <v>0</v>
          </cell>
          <cell r="DN16904">
            <v>0</v>
          </cell>
        </row>
        <row r="16905">
          <cell r="E16905">
            <v>0</v>
          </cell>
          <cell r="F16905">
            <v>0</v>
          </cell>
          <cell r="DN16905">
            <v>0</v>
          </cell>
        </row>
        <row r="16906">
          <cell r="E16906">
            <v>0</v>
          </cell>
          <cell r="F16906">
            <v>0</v>
          </cell>
          <cell r="DN16906">
            <v>0</v>
          </cell>
        </row>
        <row r="16907">
          <cell r="E16907">
            <v>0</v>
          </cell>
          <cell r="F16907">
            <v>0</v>
          </cell>
          <cell r="DN16907">
            <v>0</v>
          </cell>
        </row>
        <row r="16908">
          <cell r="E16908">
            <v>0</v>
          </cell>
          <cell r="F16908">
            <v>0</v>
          </cell>
          <cell r="DN16908">
            <v>0</v>
          </cell>
        </row>
        <row r="16909">
          <cell r="E16909">
            <v>0</v>
          </cell>
          <cell r="F16909">
            <v>0</v>
          </cell>
          <cell r="DN16909">
            <v>0</v>
          </cell>
        </row>
        <row r="16910">
          <cell r="E16910">
            <v>0</v>
          </cell>
          <cell r="F16910">
            <v>0</v>
          </cell>
          <cell r="DN16910">
            <v>0</v>
          </cell>
        </row>
        <row r="16911">
          <cell r="E16911">
            <v>0</v>
          </cell>
          <cell r="F16911">
            <v>0</v>
          </cell>
          <cell r="DN16911">
            <v>0</v>
          </cell>
        </row>
        <row r="16912">
          <cell r="E16912">
            <v>0</v>
          </cell>
          <cell r="F16912">
            <v>0</v>
          </cell>
          <cell r="DN16912">
            <v>0</v>
          </cell>
        </row>
        <row r="16913">
          <cell r="E16913">
            <v>0</v>
          </cell>
          <cell r="F16913">
            <v>0</v>
          </cell>
          <cell r="DN16913">
            <v>0</v>
          </cell>
        </row>
        <row r="16914">
          <cell r="E16914">
            <v>0</v>
          </cell>
          <cell r="F16914">
            <v>0</v>
          </cell>
          <cell r="DN16914">
            <v>0</v>
          </cell>
        </row>
        <row r="16915">
          <cell r="E16915">
            <v>0</v>
          </cell>
          <cell r="F16915">
            <v>0</v>
          </cell>
          <cell r="DN16915">
            <v>0</v>
          </cell>
        </row>
        <row r="16916">
          <cell r="E16916">
            <v>0</v>
          </cell>
          <cell r="F16916">
            <v>0</v>
          </cell>
          <cell r="DN16916">
            <v>0</v>
          </cell>
        </row>
        <row r="16917">
          <cell r="E16917">
            <v>0</v>
          </cell>
          <cell r="F16917">
            <v>0</v>
          </cell>
          <cell r="DN16917">
            <v>0</v>
          </cell>
        </row>
        <row r="16918">
          <cell r="E16918">
            <v>0</v>
          </cell>
          <cell r="F16918">
            <v>0</v>
          </cell>
          <cell r="DN16918">
            <v>0</v>
          </cell>
        </row>
        <row r="16919">
          <cell r="E16919">
            <v>0</v>
          </cell>
          <cell r="F16919">
            <v>0</v>
          </cell>
          <cell r="DN16919">
            <v>0</v>
          </cell>
        </row>
        <row r="16920">
          <cell r="E16920">
            <v>0</v>
          </cell>
          <cell r="F16920">
            <v>0</v>
          </cell>
          <cell r="DN16920">
            <v>0</v>
          </cell>
        </row>
        <row r="16921">
          <cell r="E16921">
            <v>0</v>
          </cell>
          <cell r="F16921">
            <v>0</v>
          </cell>
          <cell r="DN16921">
            <v>0</v>
          </cell>
        </row>
        <row r="16922">
          <cell r="E16922">
            <v>0</v>
          </cell>
          <cell r="F16922">
            <v>0</v>
          </cell>
          <cell r="DN16922">
            <v>0</v>
          </cell>
        </row>
        <row r="16923">
          <cell r="E16923">
            <v>0</v>
          </cell>
          <cell r="F16923">
            <v>0</v>
          </cell>
          <cell r="DN16923">
            <v>0</v>
          </cell>
        </row>
        <row r="16924">
          <cell r="E16924">
            <v>0</v>
          </cell>
          <cell r="F16924">
            <v>0</v>
          </cell>
          <cell r="DN16924">
            <v>0</v>
          </cell>
        </row>
        <row r="16925">
          <cell r="E16925">
            <v>0</v>
          </cell>
          <cell r="F16925">
            <v>0</v>
          </cell>
          <cell r="DN16925">
            <v>0</v>
          </cell>
        </row>
        <row r="16926">
          <cell r="E16926">
            <v>0</v>
          </cell>
          <cell r="F16926">
            <v>0</v>
          </cell>
          <cell r="DN16926">
            <v>0</v>
          </cell>
        </row>
        <row r="16927">
          <cell r="E16927">
            <v>0</v>
          </cell>
          <cell r="F16927">
            <v>0</v>
          </cell>
          <cell r="DN16927">
            <v>0</v>
          </cell>
        </row>
        <row r="16928">
          <cell r="E16928">
            <v>0</v>
          </cell>
          <cell r="F16928">
            <v>0</v>
          </cell>
          <cell r="DN16928">
            <v>0</v>
          </cell>
        </row>
        <row r="16929">
          <cell r="E16929">
            <v>0</v>
          </cell>
          <cell r="F16929">
            <v>0</v>
          </cell>
          <cell r="DN16929">
            <v>0</v>
          </cell>
        </row>
        <row r="16930">
          <cell r="E16930">
            <v>0</v>
          </cell>
          <cell r="F16930">
            <v>0</v>
          </cell>
          <cell r="DN16930">
            <v>0</v>
          </cell>
        </row>
        <row r="16931">
          <cell r="E16931">
            <v>0</v>
          </cell>
          <cell r="F16931">
            <v>0</v>
          </cell>
          <cell r="DN16931">
            <v>0</v>
          </cell>
        </row>
        <row r="16932">
          <cell r="E16932">
            <v>0</v>
          </cell>
          <cell r="F16932">
            <v>0</v>
          </cell>
          <cell r="DN16932">
            <v>0</v>
          </cell>
        </row>
        <row r="16933">
          <cell r="E16933">
            <v>0</v>
          </cell>
          <cell r="F16933">
            <v>0</v>
          </cell>
          <cell r="DN16933">
            <v>0</v>
          </cell>
        </row>
        <row r="16934">
          <cell r="E16934">
            <v>0</v>
          </cell>
          <cell r="F16934">
            <v>0</v>
          </cell>
          <cell r="DN16934">
            <v>0</v>
          </cell>
        </row>
        <row r="16935">
          <cell r="E16935">
            <v>0</v>
          </cell>
          <cell r="F16935">
            <v>0</v>
          </cell>
          <cell r="DN16935">
            <v>0</v>
          </cell>
        </row>
        <row r="16936">
          <cell r="E16936">
            <v>0</v>
          </cell>
          <cell r="F16936">
            <v>0</v>
          </cell>
          <cell r="DN16936">
            <v>0</v>
          </cell>
        </row>
        <row r="16937">
          <cell r="E16937">
            <v>0</v>
          </cell>
          <cell r="F16937">
            <v>0</v>
          </cell>
          <cell r="DN16937">
            <v>0</v>
          </cell>
        </row>
        <row r="16938">
          <cell r="E16938">
            <v>0</v>
          </cell>
          <cell r="F16938">
            <v>0</v>
          </cell>
          <cell r="DN16938">
            <v>0</v>
          </cell>
        </row>
        <row r="16939">
          <cell r="E16939">
            <v>0</v>
          </cell>
          <cell r="F16939">
            <v>0</v>
          </cell>
          <cell r="DN16939">
            <v>0</v>
          </cell>
        </row>
        <row r="16940">
          <cell r="E16940">
            <v>0</v>
          </cell>
          <cell r="F16940">
            <v>0</v>
          </cell>
          <cell r="DN16940">
            <v>0</v>
          </cell>
        </row>
        <row r="16941">
          <cell r="E16941">
            <v>0</v>
          </cell>
          <cell r="F16941">
            <v>0</v>
          </cell>
          <cell r="DN16941">
            <v>0</v>
          </cell>
        </row>
        <row r="16942">
          <cell r="E16942">
            <v>0</v>
          </cell>
          <cell r="F16942">
            <v>0</v>
          </cell>
          <cell r="DN16942">
            <v>0</v>
          </cell>
        </row>
        <row r="16943">
          <cell r="E16943">
            <v>0</v>
          </cell>
          <cell r="F16943">
            <v>0</v>
          </cell>
          <cell r="DN16943">
            <v>0</v>
          </cell>
        </row>
        <row r="16944">
          <cell r="E16944">
            <v>0</v>
          </cell>
          <cell r="F16944">
            <v>0</v>
          </cell>
          <cell r="DN16944">
            <v>0</v>
          </cell>
        </row>
        <row r="16945">
          <cell r="E16945">
            <v>0</v>
          </cell>
          <cell r="F16945">
            <v>0</v>
          </cell>
          <cell r="DN16945">
            <v>0</v>
          </cell>
        </row>
        <row r="16946">
          <cell r="E16946">
            <v>0</v>
          </cell>
          <cell r="F16946">
            <v>0</v>
          </cell>
          <cell r="DN16946">
            <v>0</v>
          </cell>
        </row>
        <row r="16947">
          <cell r="E16947">
            <v>0</v>
          </cell>
          <cell r="F16947">
            <v>0</v>
          </cell>
          <cell r="DN16947">
            <v>0</v>
          </cell>
        </row>
        <row r="16948">
          <cell r="E16948">
            <v>0</v>
          </cell>
          <cell r="F16948">
            <v>0</v>
          </cell>
          <cell r="DN16948">
            <v>0</v>
          </cell>
        </row>
        <row r="16949">
          <cell r="E16949">
            <v>0</v>
          </cell>
          <cell r="F16949">
            <v>0</v>
          </cell>
          <cell r="DN16949">
            <v>0</v>
          </cell>
        </row>
        <row r="16950">
          <cell r="E16950">
            <v>0</v>
          </cell>
          <cell r="F16950">
            <v>0</v>
          </cell>
          <cell r="DN16950">
            <v>0</v>
          </cell>
        </row>
        <row r="16951">
          <cell r="E16951">
            <v>0</v>
          </cell>
          <cell r="F16951">
            <v>0</v>
          </cell>
          <cell r="DN16951">
            <v>0</v>
          </cell>
        </row>
        <row r="16952">
          <cell r="E16952">
            <v>0</v>
          </cell>
          <cell r="F16952">
            <v>0</v>
          </cell>
          <cell r="DN16952">
            <v>0</v>
          </cell>
        </row>
        <row r="16953">
          <cell r="E16953">
            <v>0</v>
          </cell>
          <cell r="F16953">
            <v>0</v>
          </cell>
          <cell r="DN16953">
            <v>0</v>
          </cell>
        </row>
        <row r="16954">
          <cell r="E16954">
            <v>0</v>
          </cell>
          <cell r="F16954">
            <v>0</v>
          </cell>
          <cell r="DN16954">
            <v>0</v>
          </cell>
        </row>
        <row r="16955">
          <cell r="E16955">
            <v>0</v>
          </cell>
          <cell r="F16955">
            <v>0</v>
          </cell>
          <cell r="DN16955">
            <v>0</v>
          </cell>
        </row>
        <row r="16956">
          <cell r="E16956">
            <v>0</v>
          </cell>
          <cell r="F16956">
            <v>0</v>
          </cell>
          <cell r="DN16956">
            <v>0</v>
          </cell>
        </row>
        <row r="16957">
          <cell r="E16957">
            <v>0</v>
          </cell>
          <cell r="F16957">
            <v>0</v>
          </cell>
          <cell r="DN16957">
            <v>0</v>
          </cell>
        </row>
        <row r="16958">
          <cell r="E16958">
            <v>0</v>
          </cell>
          <cell r="F16958">
            <v>0</v>
          </cell>
          <cell r="DN16958">
            <v>0</v>
          </cell>
        </row>
        <row r="16959">
          <cell r="E16959">
            <v>0</v>
          </cell>
          <cell r="F16959">
            <v>0</v>
          </cell>
          <cell r="DN16959">
            <v>0</v>
          </cell>
        </row>
        <row r="16960">
          <cell r="E16960">
            <v>0</v>
          </cell>
          <cell r="F16960">
            <v>0</v>
          </cell>
          <cell r="DN16960">
            <v>0</v>
          </cell>
        </row>
        <row r="16961">
          <cell r="E16961">
            <v>0</v>
          </cell>
          <cell r="F16961">
            <v>0</v>
          </cell>
          <cell r="DN16961">
            <v>0</v>
          </cell>
        </row>
        <row r="16962">
          <cell r="E16962">
            <v>0</v>
          </cell>
          <cell r="F16962">
            <v>0</v>
          </cell>
          <cell r="DN16962">
            <v>0</v>
          </cell>
        </row>
        <row r="16963">
          <cell r="E16963">
            <v>0</v>
          </cell>
          <cell r="F16963">
            <v>0</v>
          </cell>
          <cell r="DN16963">
            <v>0</v>
          </cell>
        </row>
        <row r="16964">
          <cell r="E16964">
            <v>0</v>
          </cell>
          <cell r="F16964">
            <v>0</v>
          </cell>
          <cell r="DN16964">
            <v>0</v>
          </cell>
        </row>
        <row r="16965">
          <cell r="E16965">
            <v>0</v>
          </cell>
          <cell r="F16965">
            <v>0</v>
          </cell>
          <cell r="DN16965">
            <v>0</v>
          </cell>
        </row>
        <row r="16966">
          <cell r="E16966">
            <v>0</v>
          </cell>
          <cell r="F16966">
            <v>0</v>
          </cell>
          <cell r="DN16966">
            <v>0</v>
          </cell>
        </row>
        <row r="16967">
          <cell r="E16967">
            <v>0</v>
          </cell>
          <cell r="F16967">
            <v>0</v>
          </cell>
          <cell r="DN16967">
            <v>0</v>
          </cell>
        </row>
        <row r="16968">
          <cell r="E16968">
            <v>0</v>
          </cell>
          <cell r="F16968">
            <v>0</v>
          </cell>
          <cell r="DN16968">
            <v>0</v>
          </cell>
        </row>
        <row r="16969">
          <cell r="E16969">
            <v>0</v>
          </cell>
          <cell r="F16969">
            <v>0</v>
          </cell>
          <cell r="DN16969">
            <v>0</v>
          </cell>
        </row>
        <row r="16970">
          <cell r="E16970">
            <v>0</v>
          </cell>
          <cell r="F16970">
            <v>0</v>
          </cell>
          <cell r="DN16970">
            <v>0</v>
          </cell>
        </row>
        <row r="16971">
          <cell r="E16971">
            <v>0</v>
          </cell>
          <cell r="F16971">
            <v>0</v>
          </cell>
          <cell r="DN16971">
            <v>0</v>
          </cell>
        </row>
        <row r="16972">
          <cell r="E16972">
            <v>0</v>
          </cell>
          <cell r="F16972">
            <v>0</v>
          </cell>
          <cell r="DN16972">
            <v>0</v>
          </cell>
        </row>
        <row r="16973">
          <cell r="E16973">
            <v>0</v>
          </cell>
          <cell r="F16973">
            <v>0</v>
          </cell>
          <cell r="DN16973">
            <v>0</v>
          </cell>
        </row>
        <row r="16974">
          <cell r="E16974">
            <v>0</v>
          </cell>
          <cell r="F16974">
            <v>0</v>
          </cell>
          <cell r="DN16974">
            <v>0</v>
          </cell>
        </row>
        <row r="16975">
          <cell r="E16975">
            <v>0</v>
          </cell>
          <cell r="F16975">
            <v>0</v>
          </cell>
          <cell r="DN16975">
            <v>0</v>
          </cell>
        </row>
        <row r="16976">
          <cell r="E16976">
            <v>0</v>
          </cell>
          <cell r="F16976">
            <v>0</v>
          </cell>
          <cell r="DN16976">
            <v>0</v>
          </cell>
        </row>
        <row r="16977">
          <cell r="E16977">
            <v>0</v>
          </cell>
          <cell r="F16977">
            <v>0</v>
          </cell>
          <cell r="DN16977">
            <v>0</v>
          </cell>
        </row>
        <row r="16978">
          <cell r="E16978">
            <v>0</v>
          </cell>
          <cell r="F16978">
            <v>0</v>
          </cell>
          <cell r="DN16978">
            <v>0</v>
          </cell>
        </row>
        <row r="16979">
          <cell r="E16979">
            <v>0</v>
          </cell>
          <cell r="F16979">
            <v>0</v>
          </cell>
          <cell r="DN16979">
            <v>0</v>
          </cell>
        </row>
        <row r="16980">
          <cell r="E16980">
            <v>0</v>
          </cell>
          <cell r="F16980">
            <v>0</v>
          </cell>
          <cell r="DN16980">
            <v>0</v>
          </cell>
        </row>
        <row r="16981">
          <cell r="E16981">
            <v>0</v>
          </cell>
          <cell r="F16981">
            <v>0</v>
          </cell>
          <cell r="DN16981">
            <v>0</v>
          </cell>
        </row>
        <row r="16982">
          <cell r="E16982">
            <v>0</v>
          </cell>
          <cell r="F16982">
            <v>0</v>
          </cell>
          <cell r="DN16982">
            <v>0</v>
          </cell>
        </row>
        <row r="16983">
          <cell r="E16983">
            <v>0</v>
          </cell>
          <cell r="F16983">
            <v>0</v>
          </cell>
          <cell r="DN16983">
            <v>0</v>
          </cell>
        </row>
        <row r="16984">
          <cell r="E16984">
            <v>0</v>
          </cell>
          <cell r="F16984">
            <v>0</v>
          </cell>
          <cell r="DN16984">
            <v>0</v>
          </cell>
        </row>
        <row r="16985">
          <cell r="E16985">
            <v>0</v>
          </cell>
          <cell r="F16985">
            <v>0</v>
          </cell>
          <cell r="DN16985">
            <v>0</v>
          </cell>
        </row>
        <row r="16986">
          <cell r="E16986">
            <v>0</v>
          </cell>
          <cell r="F16986">
            <v>0</v>
          </cell>
          <cell r="DN16986">
            <v>0</v>
          </cell>
        </row>
        <row r="16987">
          <cell r="E16987">
            <v>0</v>
          </cell>
          <cell r="F16987">
            <v>0</v>
          </cell>
          <cell r="DN16987">
            <v>0</v>
          </cell>
        </row>
        <row r="16988">
          <cell r="E16988">
            <v>0</v>
          </cell>
          <cell r="F16988">
            <v>0</v>
          </cell>
          <cell r="DN16988">
            <v>0</v>
          </cell>
        </row>
        <row r="16989">
          <cell r="E16989">
            <v>0</v>
          </cell>
          <cell r="F16989">
            <v>0</v>
          </cell>
          <cell r="DN16989">
            <v>0</v>
          </cell>
        </row>
        <row r="16990">
          <cell r="E16990">
            <v>0</v>
          </cell>
          <cell r="F16990">
            <v>0</v>
          </cell>
          <cell r="DN16990">
            <v>0</v>
          </cell>
        </row>
        <row r="16991">
          <cell r="E16991">
            <v>0</v>
          </cell>
          <cell r="F16991">
            <v>0</v>
          </cell>
          <cell r="DN16991">
            <v>0</v>
          </cell>
        </row>
        <row r="16992">
          <cell r="E16992">
            <v>0</v>
          </cell>
          <cell r="F16992">
            <v>0</v>
          </cell>
          <cell r="DN16992">
            <v>0</v>
          </cell>
        </row>
        <row r="16993">
          <cell r="E16993">
            <v>0</v>
          </cell>
          <cell r="F16993">
            <v>0</v>
          </cell>
          <cell r="DN16993">
            <v>0</v>
          </cell>
        </row>
        <row r="16994">
          <cell r="E16994">
            <v>0</v>
          </cell>
          <cell r="F16994">
            <v>0</v>
          </cell>
          <cell r="DN16994">
            <v>0</v>
          </cell>
        </row>
        <row r="16995">
          <cell r="E16995">
            <v>0</v>
          </cell>
          <cell r="F16995">
            <v>0</v>
          </cell>
          <cell r="DN16995">
            <v>0</v>
          </cell>
        </row>
        <row r="16996">
          <cell r="E16996">
            <v>0</v>
          </cell>
          <cell r="F16996">
            <v>0</v>
          </cell>
          <cell r="DN16996">
            <v>0</v>
          </cell>
        </row>
        <row r="16997">
          <cell r="E16997">
            <v>0</v>
          </cell>
          <cell r="F16997">
            <v>0</v>
          </cell>
          <cell r="DN16997">
            <v>0</v>
          </cell>
        </row>
        <row r="16998">
          <cell r="E16998">
            <v>0</v>
          </cell>
          <cell r="F16998">
            <v>0</v>
          </cell>
          <cell r="DN16998">
            <v>0</v>
          </cell>
        </row>
        <row r="16999">
          <cell r="E16999">
            <v>0</v>
          </cell>
          <cell r="F16999">
            <v>0</v>
          </cell>
          <cell r="DN16999">
            <v>0</v>
          </cell>
        </row>
        <row r="17000">
          <cell r="E17000">
            <v>0</v>
          </cell>
          <cell r="F17000">
            <v>0</v>
          </cell>
          <cell r="DN17000">
            <v>0</v>
          </cell>
        </row>
        <row r="17001">
          <cell r="E17001">
            <v>0</v>
          </cell>
          <cell r="F17001">
            <v>0</v>
          </cell>
          <cell r="DN17001">
            <v>0</v>
          </cell>
        </row>
        <row r="17002">
          <cell r="E17002">
            <v>0</v>
          </cell>
          <cell r="F17002">
            <v>0</v>
          </cell>
          <cell r="DN17002">
            <v>0</v>
          </cell>
        </row>
        <row r="17003">
          <cell r="E17003">
            <v>0</v>
          </cell>
          <cell r="F17003">
            <v>0</v>
          </cell>
          <cell r="DN17003">
            <v>0</v>
          </cell>
        </row>
        <row r="17004">
          <cell r="E17004">
            <v>0</v>
          </cell>
          <cell r="F17004">
            <v>0</v>
          </cell>
          <cell r="DN17004">
            <v>0</v>
          </cell>
        </row>
        <row r="17005">
          <cell r="E17005">
            <v>0</v>
          </cell>
          <cell r="F17005">
            <v>0</v>
          </cell>
          <cell r="DN17005">
            <v>0</v>
          </cell>
        </row>
        <row r="17006">
          <cell r="E17006">
            <v>0</v>
          </cell>
          <cell r="F17006">
            <v>0</v>
          </cell>
          <cell r="DN17006">
            <v>0</v>
          </cell>
        </row>
        <row r="17007">
          <cell r="E17007">
            <v>0</v>
          </cell>
          <cell r="F17007">
            <v>0</v>
          </cell>
          <cell r="DN17007">
            <v>0</v>
          </cell>
        </row>
        <row r="17008">
          <cell r="E17008">
            <v>0</v>
          </cell>
          <cell r="F17008">
            <v>0</v>
          </cell>
          <cell r="DN17008">
            <v>0</v>
          </cell>
        </row>
        <row r="17009">
          <cell r="E17009">
            <v>0</v>
          </cell>
          <cell r="F17009">
            <v>0</v>
          </cell>
          <cell r="DN17009">
            <v>0</v>
          </cell>
        </row>
        <row r="17010">
          <cell r="E17010">
            <v>0</v>
          </cell>
          <cell r="F17010">
            <v>0</v>
          </cell>
          <cell r="DN17010">
            <v>0</v>
          </cell>
        </row>
        <row r="17011">
          <cell r="E17011">
            <v>0</v>
          </cell>
          <cell r="F17011">
            <v>0</v>
          </cell>
          <cell r="DN17011">
            <v>0</v>
          </cell>
        </row>
        <row r="17012">
          <cell r="E17012">
            <v>0</v>
          </cell>
          <cell r="F17012">
            <v>0</v>
          </cell>
          <cell r="DN17012">
            <v>0</v>
          </cell>
        </row>
        <row r="17013">
          <cell r="E17013">
            <v>0</v>
          </cell>
          <cell r="F17013">
            <v>0</v>
          </cell>
          <cell r="DN17013">
            <v>0</v>
          </cell>
        </row>
        <row r="17014">
          <cell r="E17014">
            <v>0</v>
          </cell>
          <cell r="F17014">
            <v>0</v>
          </cell>
          <cell r="DN17014">
            <v>0</v>
          </cell>
        </row>
        <row r="17015">
          <cell r="E17015">
            <v>0</v>
          </cell>
          <cell r="F17015">
            <v>0</v>
          </cell>
          <cell r="DN17015">
            <v>0</v>
          </cell>
        </row>
        <row r="17016">
          <cell r="E17016">
            <v>0</v>
          </cell>
          <cell r="F17016">
            <v>0</v>
          </cell>
          <cell r="DN17016">
            <v>0</v>
          </cell>
        </row>
        <row r="17017">
          <cell r="E17017">
            <v>0</v>
          </cell>
          <cell r="F17017">
            <v>0</v>
          </cell>
          <cell r="DN17017">
            <v>0</v>
          </cell>
        </row>
        <row r="17018">
          <cell r="E17018">
            <v>0</v>
          </cell>
          <cell r="F17018">
            <v>0</v>
          </cell>
          <cell r="DN17018">
            <v>0</v>
          </cell>
        </row>
        <row r="17019">
          <cell r="E17019">
            <v>0</v>
          </cell>
          <cell r="F17019">
            <v>0</v>
          </cell>
          <cell r="DN17019">
            <v>0</v>
          </cell>
        </row>
        <row r="17020">
          <cell r="E17020">
            <v>0</v>
          </cell>
          <cell r="F17020">
            <v>0</v>
          </cell>
          <cell r="DN17020">
            <v>0</v>
          </cell>
        </row>
        <row r="17021">
          <cell r="E17021">
            <v>0</v>
          </cell>
          <cell r="F17021">
            <v>0</v>
          </cell>
          <cell r="DN17021">
            <v>0</v>
          </cell>
        </row>
        <row r="17022">
          <cell r="E17022">
            <v>0</v>
          </cell>
          <cell r="F17022">
            <v>0</v>
          </cell>
          <cell r="DN17022">
            <v>0</v>
          </cell>
        </row>
        <row r="17023">
          <cell r="E17023">
            <v>0</v>
          </cell>
          <cell r="F17023">
            <v>0</v>
          </cell>
          <cell r="DN17023">
            <v>0</v>
          </cell>
        </row>
        <row r="17024">
          <cell r="E17024">
            <v>0</v>
          </cell>
          <cell r="F17024">
            <v>0</v>
          </cell>
          <cell r="DN17024">
            <v>0</v>
          </cell>
        </row>
        <row r="17025">
          <cell r="E17025">
            <v>0</v>
          </cell>
          <cell r="F17025">
            <v>0</v>
          </cell>
          <cell r="DN17025">
            <v>0</v>
          </cell>
        </row>
        <row r="17026">
          <cell r="E17026">
            <v>0</v>
          </cell>
          <cell r="F17026">
            <v>0</v>
          </cell>
          <cell r="DN17026">
            <v>0</v>
          </cell>
        </row>
        <row r="17027">
          <cell r="E17027">
            <v>0</v>
          </cell>
          <cell r="F17027">
            <v>0</v>
          </cell>
          <cell r="DN17027">
            <v>0</v>
          </cell>
        </row>
        <row r="17028">
          <cell r="E17028">
            <v>0</v>
          </cell>
          <cell r="F17028">
            <v>0</v>
          </cell>
          <cell r="DN17028">
            <v>0</v>
          </cell>
        </row>
        <row r="17029">
          <cell r="E17029">
            <v>0</v>
          </cell>
          <cell r="F17029">
            <v>0</v>
          </cell>
          <cell r="DN17029">
            <v>0</v>
          </cell>
        </row>
        <row r="17030">
          <cell r="E17030">
            <v>0</v>
          </cell>
          <cell r="F17030">
            <v>0</v>
          </cell>
          <cell r="DN17030">
            <v>0</v>
          </cell>
        </row>
        <row r="17031">
          <cell r="E17031">
            <v>0</v>
          </cell>
          <cell r="F17031">
            <v>0</v>
          </cell>
          <cell r="DN17031">
            <v>0</v>
          </cell>
        </row>
        <row r="17032">
          <cell r="E17032">
            <v>0</v>
          </cell>
          <cell r="F17032">
            <v>0</v>
          </cell>
          <cell r="DN17032">
            <v>0</v>
          </cell>
        </row>
        <row r="17033">
          <cell r="E17033">
            <v>0</v>
          </cell>
          <cell r="F17033">
            <v>0</v>
          </cell>
          <cell r="DN17033">
            <v>0</v>
          </cell>
        </row>
        <row r="17034">
          <cell r="E17034">
            <v>0</v>
          </cell>
          <cell r="F17034">
            <v>0</v>
          </cell>
          <cell r="DN17034">
            <v>0</v>
          </cell>
        </row>
        <row r="17035">
          <cell r="E17035">
            <v>0</v>
          </cell>
          <cell r="F17035">
            <v>0</v>
          </cell>
          <cell r="DN17035">
            <v>0</v>
          </cell>
        </row>
        <row r="17036">
          <cell r="E17036">
            <v>0</v>
          </cell>
          <cell r="F17036">
            <v>0</v>
          </cell>
          <cell r="DN17036">
            <v>0</v>
          </cell>
        </row>
        <row r="17037">
          <cell r="E17037">
            <v>0</v>
          </cell>
          <cell r="F17037">
            <v>0</v>
          </cell>
          <cell r="DN17037">
            <v>0</v>
          </cell>
        </row>
        <row r="17038">
          <cell r="E17038">
            <v>0</v>
          </cell>
          <cell r="F17038">
            <v>0</v>
          </cell>
          <cell r="DN17038">
            <v>0</v>
          </cell>
        </row>
        <row r="17039">
          <cell r="E17039">
            <v>0</v>
          </cell>
          <cell r="F17039">
            <v>0</v>
          </cell>
          <cell r="DN17039">
            <v>0</v>
          </cell>
        </row>
        <row r="17040">
          <cell r="E17040">
            <v>0</v>
          </cell>
          <cell r="F17040">
            <v>0</v>
          </cell>
          <cell r="DN17040">
            <v>0</v>
          </cell>
        </row>
        <row r="17041">
          <cell r="E17041">
            <v>0</v>
          </cell>
          <cell r="F17041">
            <v>0</v>
          </cell>
          <cell r="DN17041">
            <v>0</v>
          </cell>
        </row>
        <row r="17042">
          <cell r="E17042">
            <v>0</v>
          </cell>
          <cell r="F17042">
            <v>0</v>
          </cell>
          <cell r="DN17042">
            <v>0</v>
          </cell>
        </row>
        <row r="17043">
          <cell r="E17043">
            <v>0</v>
          </cell>
          <cell r="F17043">
            <v>0</v>
          </cell>
          <cell r="DN17043">
            <v>0</v>
          </cell>
        </row>
        <row r="17044">
          <cell r="E17044">
            <v>0</v>
          </cell>
          <cell r="F17044">
            <v>0</v>
          </cell>
          <cell r="DN17044">
            <v>0</v>
          </cell>
        </row>
        <row r="17045">
          <cell r="E17045">
            <v>0</v>
          </cell>
          <cell r="F17045">
            <v>0</v>
          </cell>
          <cell r="DN17045">
            <v>0</v>
          </cell>
        </row>
        <row r="17046">
          <cell r="E17046">
            <v>0</v>
          </cell>
          <cell r="F17046">
            <v>0</v>
          </cell>
          <cell r="DN17046">
            <v>0</v>
          </cell>
        </row>
        <row r="17047">
          <cell r="E17047">
            <v>0</v>
          </cell>
          <cell r="F17047">
            <v>0</v>
          </cell>
          <cell r="DN17047">
            <v>0</v>
          </cell>
        </row>
        <row r="17048">
          <cell r="E17048">
            <v>0</v>
          </cell>
          <cell r="F17048">
            <v>0</v>
          </cell>
          <cell r="DN17048">
            <v>0</v>
          </cell>
        </row>
        <row r="17049">
          <cell r="E17049">
            <v>0</v>
          </cell>
          <cell r="F17049">
            <v>0</v>
          </cell>
          <cell r="DN17049">
            <v>0</v>
          </cell>
        </row>
        <row r="17050">
          <cell r="E17050">
            <v>0</v>
          </cell>
          <cell r="F17050">
            <v>0</v>
          </cell>
          <cell r="DN17050">
            <v>0</v>
          </cell>
        </row>
        <row r="17051">
          <cell r="E17051">
            <v>0</v>
          </cell>
          <cell r="F17051">
            <v>0</v>
          </cell>
          <cell r="DN17051">
            <v>0</v>
          </cell>
        </row>
        <row r="17052">
          <cell r="E17052">
            <v>0</v>
          </cell>
          <cell r="F17052">
            <v>0</v>
          </cell>
          <cell r="DN17052">
            <v>0</v>
          </cell>
        </row>
        <row r="17053">
          <cell r="E17053">
            <v>0</v>
          </cell>
          <cell r="F17053">
            <v>0</v>
          </cell>
          <cell r="DN17053">
            <v>0</v>
          </cell>
        </row>
        <row r="17054">
          <cell r="E17054">
            <v>0</v>
          </cell>
          <cell r="F17054">
            <v>0</v>
          </cell>
          <cell r="DN17054">
            <v>0</v>
          </cell>
        </row>
        <row r="17055">
          <cell r="E17055">
            <v>0</v>
          </cell>
          <cell r="F17055">
            <v>0</v>
          </cell>
          <cell r="DN17055">
            <v>0</v>
          </cell>
        </row>
        <row r="17056">
          <cell r="E17056">
            <v>0</v>
          </cell>
          <cell r="F17056">
            <v>0</v>
          </cell>
          <cell r="DN17056">
            <v>0</v>
          </cell>
        </row>
        <row r="17057">
          <cell r="E17057">
            <v>0</v>
          </cell>
          <cell r="F17057">
            <v>0</v>
          </cell>
          <cell r="DN17057">
            <v>0</v>
          </cell>
        </row>
        <row r="17058">
          <cell r="E17058">
            <v>0</v>
          </cell>
          <cell r="F17058">
            <v>0</v>
          </cell>
          <cell r="DN17058">
            <v>0</v>
          </cell>
        </row>
        <row r="17059">
          <cell r="E17059">
            <v>0</v>
          </cell>
          <cell r="F17059">
            <v>0</v>
          </cell>
          <cell r="DN17059">
            <v>0</v>
          </cell>
        </row>
        <row r="17060">
          <cell r="E17060">
            <v>0</v>
          </cell>
          <cell r="F17060">
            <v>0</v>
          </cell>
          <cell r="DN17060">
            <v>0</v>
          </cell>
        </row>
        <row r="17061">
          <cell r="E17061">
            <v>0</v>
          </cell>
          <cell r="F17061">
            <v>0</v>
          </cell>
          <cell r="DN17061">
            <v>0</v>
          </cell>
        </row>
        <row r="17062">
          <cell r="E17062">
            <v>0</v>
          </cell>
          <cell r="F17062">
            <v>0</v>
          </cell>
          <cell r="DN17062">
            <v>0</v>
          </cell>
        </row>
        <row r="17063">
          <cell r="E17063">
            <v>0</v>
          </cell>
          <cell r="F17063">
            <v>0</v>
          </cell>
          <cell r="DN17063">
            <v>0</v>
          </cell>
        </row>
        <row r="17064">
          <cell r="E17064">
            <v>0</v>
          </cell>
          <cell r="F17064">
            <v>0</v>
          </cell>
          <cell r="DN17064">
            <v>0</v>
          </cell>
        </row>
        <row r="17065">
          <cell r="E17065">
            <v>0</v>
          </cell>
          <cell r="F17065">
            <v>0</v>
          </cell>
          <cell r="DN17065">
            <v>0</v>
          </cell>
        </row>
        <row r="17066">
          <cell r="E17066">
            <v>0</v>
          </cell>
          <cell r="F17066">
            <v>0</v>
          </cell>
          <cell r="DN17066">
            <v>0</v>
          </cell>
        </row>
        <row r="17067">
          <cell r="E17067">
            <v>0</v>
          </cell>
          <cell r="F17067">
            <v>0</v>
          </cell>
          <cell r="DN17067">
            <v>0</v>
          </cell>
        </row>
        <row r="17068">
          <cell r="E17068">
            <v>0</v>
          </cell>
          <cell r="F17068">
            <v>0</v>
          </cell>
          <cell r="DN17068">
            <v>0</v>
          </cell>
        </row>
        <row r="17069">
          <cell r="E17069">
            <v>0</v>
          </cell>
          <cell r="F17069">
            <v>0</v>
          </cell>
          <cell r="DN17069">
            <v>0</v>
          </cell>
        </row>
        <row r="17070">
          <cell r="E17070">
            <v>0</v>
          </cell>
          <cell r="F17070">
            <v>0</v>
          </cell>
          <cell r="DN17070">
            <v>0</v>
          </cell>
        </row>
        <row r="17071">
          <cell r="E17071">
            <v>0</v>
          </cell>
          <cell r="F17071">
            <v>0</v>
          </cell>
          <cell r="DN17071">
            <v>0</v>
          </cell>
        </row>
        <row r="17072">
          <cell r="E17072">
            <v>0</v>
          </cell>
          <cell r="F17072">
            <v>0</v>
          </cell>
          <cell r="DN17072">
            <v>0</v>
          </cell>
        </row>
        <row r="17073">
          <cell r="E17073">
            <v>0</v>
          </cell>
          <cell r="F17073">
            <v>0</v>
          </cell>
          <cell r="DN17073">
            <v>0</v>
          </cell>
        </row>
        <row r="17074">
          <cell r="E17074">
            <v>0</v>
          </cell>
          <cell r="F17074">
            <v>0</v>
          </cell>
          <cell r="DN17074">
            <v>0</v>
          </cell>
        </row>
        <row r="17075">
          <cell r="E17075">
            <v>0</v>
          </cell>
          <cell r="F17075">
            <v>0</v>
          </cell>
          <cell r="DN17075">
            <v>0</v>
          </cell>
        </row>
        <row r="17076">
          <cell r="E17076">
            <v>0</v>
          </cell>
          <cell r="F17076">
            <v>0</v>
          </cell>
          <cell r="DN17076">
            <v>0</v>
          </cell>
        </row>
        <row r="17077">
          <cell r="E17077">
            <v>0</v>
          </cell>
          <cell r="F17077">
            <v>0</v>
          </cell>
          <cell r="DN17077">
            <v>0</v>
          </cell>
        </row>
        <row r="17078">
          <cell r="E17078">
            <v>0</v>
          </cell>
          <cell r="F17078">
            <v>0</v>
          </cell>
          <cell r="DN17078">
            <v>0</v>
          </cell>
        </row>
        <row r="17079">
          <cell r="E17079">
            <v>0</v>
          </cell>
          <cell r="F17079">
            <v>0</v>
          </cell>
          <cell r="DN17079">
            <v>0</v>
          </cell>
        </row>
        <row r="17080">
          <cell r="E17080">
            <v>0</v>
          </cell>
          <cell r="F17080">
            <v>0</v>
          </cell>
          <cell r="DN17080">
            <v>0</v>
          </cell>
        </row>
        <row r="17081">
          <cell r="E17081">
            <v>0</v>
          </cell>
          <cell r="F17081">
            <v>0</v>
          </cell>
          <cell r="DN17081">
            <v>0</v>
          </cell>
        </row>
        <row r="17082">
          <cell r="E17082">
            <v>0</v>
          </cell>
          <cell r="F17082">
            <v>0</v>
          </cell>
          <cell r="DN17082">
            <v>0</v>
          </cell>
        </row>
        <row r="17083">
          <cell r="E17083">
            <v>0</v>
          </cell>
          <cell r="F17083">
            <v>0</v>
          </cell>
          <cell r="DN17083">
            <v>0</v>
          </cell>
        </row>
        <row r="17084">
          <cell r="E17084">
            <v>0</v>
          </cell>
          <cell r="F17084">
            <v>0</v>
          </cell>
          <cell r="DN17084">
            <v>0</v>
          </cell>
        </row>
        <row r="17085">
          <cell r="E17085">
            <v>0</v>
          </cell>
          <cell r="F17085">
            <v>0</v>
          </cell>
          <cell r="DN17085">
            <v>0</v>
          </cell>
        </row>
        <row r="17086">
          <cell r="E17086">
            <v>0</v>
          </cell>
          <cell r="F17086">
            <v>0</v>
          </cell>
          <cell r="DN17086">
            <v>0</v>
          </cell>
        </row>
        <row r="17087">
          <cell r="E17087">
            <v>0</v>
          </cell>
          <cell r="F17087">
            <v>0</v>
          </cell>
          <cell r="DN17087">
            <v>0</v>
          </cell>
        </row>
        <row r="17088">
          <cell r="E17088">
            <v>0</v>
          </cell>
          <cell r="F17088">
            <v>0</v>
          </cell>
          <cell r="DN17088">
            <v>0</v>
          </cell>
        </row>
        <row r="17089">
          <cell r="E17089">
            <v>0</v>
          </cell>
          <cell r="F17089">
            <v>0</v>
          </cell>
          <cell r="DN17089">
            <v>0</v>
          </cell>
        </row>
        <row r="17090">
          <cell r="E17090">
            <v>0</v>
          </cell>
          <cell r="F17090">
            <v>0</v>
          </cell>
          <cell r="DN17090">
            <v>0</v>
          </cell>
        </row>
        <row r="17091">
          <cell r="E17091">
            <v>0</v>
          </cell>
          <cell r="F17091">
            <v>0</v>
          </cell>
          <cell r="DN17091">
            <v>0</v>
          </cell>
        </row>
        <row r="17092">
          <cell r="E17092">
            <v>0</v>
          </cell>
          <cell r="F17092">
            <v>0</v>
          </cell>
          <cell r="DN17092">
            <v>0</v>
          </cell>
        </row>
        <row r="17093">
          <cell r="E17093">
            <v>0</v>
          </cell>
          <cell r="F17093">
            <v>0</v>
          </cell>
          <cell r="DN17093">
            <v>0</v>
          </cell>
        </row>
        <row r="17094">
          <cell r="E17094">
            <v>0</v>
          </cell>
          <cell r="F17094">
            <v>0</v>
          </cell>
          <cell r="DN17094">
            <v>0</v>
          </cell>
        </row>
        <row r="17095">
          <cell r="E17095">
            <v>0</v>
          </cell>
          <cell r="F17095">
            <v>0</v>
          </cell>
          <cell r="DN17095">
            <v>0</v>
          </cell>
        </row>
        <row r="17096">
          <cell r="E17096">
            <v>0</v>
          </cell>
          <cell r="F17096">
            <v>0</v>
          </cell>
          <cell r="DN17096">
            <v>0</v>
          </cell>
        </row>
        <row r="17097">
          <cell r="E17097">
            <v>0</v>
          </cell>
          <cell r="F17097">
            <v>0</v>
          </cell>
          <cell r="DN17097">
            <v>0</v>
          </cell>
        </row>
        <row r="17098">
          <cell r="E17098">
            <v>0</v>
          </cell>
          <cell r="F17098">
            <v>0</v>
          </cell>
          <cell r="DN17098">
            <v>0</v>
          </cell>
        </row>
        <row r="17099">
          <cell r="E17099">
            <v>0</v>
          </cell>
          <cell r="F17099">
            <v>0</v>
          </cell>
          <cell r="DN17099">
            <v>0</v>
          </cell>
        </row>
        <row r="17100">
          <cell r="E17100">
            <v>0</v>
          </cell>
          <cell r="F17100">
            <v>0</v>
          </cell>
          <cell r="DN17100">
            <v>0</v>
          </cell>
        </row>
        <row r="17101">
          <cell r="E17101">
            <v>0</v>
          </cell>
          <cell r="F17101">
            <v>0</v>
          </cell>
          <cell r="DN17101">
            <v>0</v>
          </cell>
        </row>
        <row r="17102">
          <cell r="E17102">
            <v>0</v>
          </cell>
          <cell r="F17102">
            <v>0</v>
          </cell>
          <cell r="DN17102">
            <v>0</v>
          </cell>
        </row>
        <row r="17103">
          <cell r="E17103">
            <v>0</v>
          </cell>
          <cell r="F17103">
            <v>0</v>
          </cell>
          <cell r="DN17103">
            <v>0</v>
          </cell>
        </row>
        <row r="17104">
          <cell r="E17104">
            <v>0</v>
          </cell>
          <cell r="F17104">
            <v>0</v>
          </cell>
          <cell r="DN17104">
            <v>0</v>
          </cell>
        </row>
        <row r="17105">
          <cell r="E17105">
            <v>0</v>
          </cell>
          <cell r="F17105">
            <v>0</v>
          </cell>
          <cell r="DN17105">
            <v>0</v>
          </cell>
        </row>
        <row r="17106">
          <cell r="E17106">
            <v>0</v>
          </cell>
          <cell r="F17106">
            <v>0</v>
          </cell>
          <cell r="DN17106">
            <v>0</v>
          </cell>
        </row>
        <row r="17107">
          <cell r="E17107">
            <v>0</v>
          </cell>
          <cell r="F17107">
            <v>0</v>
          </cell>
          <cell r="DN17107">
            <v>0</v>
          </cell>
        </row>
        <row r="17108">
          <cell r="E17108">
            <v>0</v>
          </cell>
          <cell r="F17108">
            <v>0</v>
          </cell>
          <cell r="DN17108">
            <v>0</v>
          </cell>
        </row>
        <row r="17109">
          <cell r="E17109">
            <v>0</v>
          </cell>
          <cell r="F17109">
            <v>0</v>
          </cell>
          <cell r="DN17109">
            <v>0</v>
          </cell>
        </row>
        <row r="17110">
          <cell r="E17110">
            <v>0</v>
          </cell>
          <cell r="F17110">
            <v>0</v>
          </cell>
          <cell r="DN17110">
            <v>0</v>
          </cell>
        </row>
        <row r="17111">
          <cell r="E17111">
            <v>0</v>
          </cell>
          <cell r="F17111">
            <v>0</v>
          </cell>
          <cell r="DN17111">
            <v>0</v>
          </cell>
        </row>
        <row r="17112">
          <cell r="E17112">
            <v>0</v>
          </cell>
          <cell r="F17112">
            <v>0</v>
          </cell>
          <cell r="DN17112">
            <v>0</v>
          </cell>
        </row>
        <row r="17113">
          <cell r="E17113">
            <v>0</v>
          </cell>
          <cell r="F17113">
            <v>0</v>
          </cell>
          <cell r="DN17113">
            <v>0</v>
          </cell>
        </row>
        <row r="17114">
          <cell r="E17114">
            <v>0</v>
          </cell>
          <cell r="F17114">
            <v>0</v>
          </cell>
          <cell r="DN17114">
            <v>0</v>
          </cell>
        </row>
        <row r="17115">
          <cell r="E17115">
            <v>0</v>
          </cell>
          <cell r="F17115">
            <v>0</v>
          </cell>
          <cell r="DN17115">
            <v>0</v>
          </cell>
        </row>
        <row r="17116">
          <cell r="E17116">
            <v>0</v>
          </cell>
          <cell r="F17116">
            <v>0</v>
          </cell>
          <cell r="DN17116">
            <v>0</v>
          </cell>
        </row>
        <row r="17117">
          <cell r="E17117">
            <v>0</v>
          </cell>
          <cell r="F17117">
            <v>0</v>
          </cell>
          <cell r="DN17117">
            <v>0</v>
          </cell>
        </row>
        <row r="17118">
          <cell r="E17118">
            <v>0</v>
          </cell>
          <cell r="F17118">
            <v>0</v>
          </cell>
          <cell r="DN17118">
            <v>0</v>
          </cell>
        </row>
        <row r="17119">
          <cell r="E17119">
            <v>0</v>
          </cell>
          <cell r="F17119">
            <v>0</v>
          </cell>
          <cell r="DN17119">
            <v>0</v>
          </cell>
        </row>
        <row r="17120">
          <cell r="E17120">
            <v>0</v>
          </cell>
          <cell r="F17120">
            <v>0</v>
          </cell>
          <cell r="DN17120">
            <v>0</v>
          </cell>
        </row>
        <row r="17121">
          <cell r="E17121">
            <v>0</v>
          </cell>
          <cell r="F17121">
            <v>0</v>
          </cell>
          <cell r="DN17121">
            <v>0</v>
          </cell>
        </row>
        <row r="17122">
          <cell r="E17122">
            <v>0</v>
          </cell>
          <cell r="F17122">
            <v>0</v>
          </cell>
          <cell r="DN17122">
            <v>0</v>
          </cell>
        </row>
        <row r="17123">
          <cell r="E17123">
            <v>0</v>
          </cell>
          <cell r="F17123">
            <v>0</v>
          </cell>
          <cell r="DN17123">
            <v>0</v>
          </cell>
        </row>
        <row r="17124">
          <cell r="E17124">
            <v>0</v>
          </cell>
          <cell r="F17124">
            <v>0</v>
          </cell>
          <cell r="DN17124">
            <v>0</v>
          </cell>
        </row>
        <row r="17125">
          <cell r="E17125">
            <v>0</v>
          </cell>
          <cell r="F17125">
            <v>0</v>
          </cell>
          <cell r="DN17125">
            <v>0</v>
          </cell>
        </row>
        <row r="17126">
          <cell r="E17126">
            <v>0</v>
          </cell>
          <cell r="F17126">
            <v>0</v>
          </cell>
          <cell r="DN17126">
            <v>0</v>
          </cell>
        </row>
        <row r="17127">
          <cell r="E17127">
            <v>0</v>
          </cell>
          <cell r="F17127">
            <v>0</v>
          </cell>
          <cell r="DN17127">
            <v>0</v>
          </cell>
        </row>
        <row r="17128">
          <cell r="E17128">
            <v>0</v>
          </cell>
          <cell r="F17128">
            <v>0</v>
          </cell>
          <cell r="DN17128">
            <v>0</v>
          </cell>
        </row>
        <row r="17129">
          <cell r="E17129">
            <v>0</v>
          </cell>
          <cell r="F17129">
            <v>0</v>
          </cell>
          <cell r="DN17129">
            <v>0</v>
          </cell>
        </row>
        <row r="17130">
          <cell r="E17130">
            <v>0</v>
          </cell>
          <cell r="F17130">
            <v>0</v>
          </cell>
          <cell r="DN17130">
            <v>0</v>
          </cell>
        </row>
        <row r="17131">
          <cell r="E17131">
            <v>0</v>
          </cell>
          <cell r="F17131">
            <v>0</v>
          </cell>
          <cell r="DN17131">
            <v>0</v>
          </cell>
        </row>
        <row r="17132">
          <cell r="E17132">
            <v>0</v>
          </cell>
          <cell r="F17132">
            <v>0</v>
          </cell>
          <cell r="DN17132">
            <v>0</v>
          </cell>
        </row>
        <row r="17133">
          <cell r="E17133">
            <v>0</v>
          </cell>
          <cell r="F17133">
            <v>0</v>
          </cell>
          <cell r="DN17133">
            <v>0</v>
          </cell>
        </row>
        <row r="17134">
          <cell r="E17134">
            <v>0</v>
          </cell>
          <cell r="F17134">
            <v>0</v>
          </cell>
          <cell r="DN17134">
            <v>0</v>
          </cell>
        </row>
        <row r="17135">
          <cell r="E17135">
            <v>0</v>
          </cell>
          <cell r="F17135">
            <v>0</v>
          </cell>
          <cell r="DN17135">
            <v>0</v>
          </cell>
        </row>
        <row r="17136">
          <cell r="E17136">
            <v>0</v>
          </cell>
          <cell r="F17136">
            <v>0</v>
          </cell>
          <cell r="DN17136">
            <v>0</v>
          </cell>
        </row>
        <row r="17137">
          <cell r="E17137">
            <v>0</v>
          </cell>
          <cell r="F17137">
            <v>0</v>
          </cell>
          <cell r="DN17137">
            <v>0</v>
          </cell>
        </row>
        <row r="17138">
          <cell r="E17138">
            <v>0</v>
          </cell>
          <cell r="F17138">
            <v>0</v>
          </cell>
          <cell r="DN17138">
            <v>0</v>
          </cell>
        </row>
        <row r="17139">
          <cell r="E17139">
            <v>0</v>
          </cell>
          <cell r="F17139">
            <v>0</v>
          </cell>
          <cell r="DN17139">
            <v>0</v>
          </cell>
        </row>
        <row r="17140">
          <cell r="E17140">
            <v>0</v>
          </cell>
          <cell r="F17140">
            <v>0</v>
          </cell>
          <cell r="DN17140">
            <v>0</v>
          </cell>
        </row>
        <row r="17141">
          <cell r="E17141">
            <v>0</v>
          </cell>
          <cell r="F17141">
            <v>0</v>
          </cell>
          <cell r="DN17141">
            <v>0</v>
          </cell>
        </row>
        <row r="17142">
          <cell r="E17142">
            <v>0</v>
          </cell>
          <cell r="F17142">
            <v>0</v>
          </cell>
          <cell r="DN17142">
            <v>0</v>
          </cell>
        </row>
        <row r="17143">
          <cell r="E17143">
            <v>0</v>
          </cell>
          <cell r="F17143">
            <v>0</v>
          </cell>
          <cell r="DN17143">
            <v>0</v>
          </cell>
        </row>
        <row r="17144">
          <cell r="E17144">
            <v>0</v>
          </cell>
          <cell r="F17144">
            <v>0</v>
          </cell>
          <cell r="DN17144">
            <v>0</v>
          </cell>
        </row>
        <row r="17145">
          <cell r="E17145">
            <v>0</v>
          </cell>
          <cell r="F17145">
            <v>0</v>
          </cell>
          <cell r="DN17145">
            <v>0</v>
          </cell>
        </row>
        <row r="17146">
          <cell r="E17146">
            <v>0</v>
          </cell>
          <cell r="F17146">
            <v>0</v>
          </cell>
          <cell r="DN17146">
            <v>0</v>
          </cell>
        </row>
        <row r="17147">
          <cell r="E17147">
            <v>0</v>
          </cell>
          <cell r="F17147">
            <v>0</v>
          </cell>
          <cell r="DN17147">
            <v>0</v>
          </cell>
        </row>
        <row r="17148">
          <cell r="E17148">
            <v>0</v>
          </cell>
          <cell r="F17148">
            <v>0</v>
          </cell>
          <cell r="DN17148">
            <v>0</v>
          </cell>
        </row>
        <row r="17149">
          <cell r="E17149">
            <v>0</v>
          </cell>
          <cell r="F17149">
            <v>0</v>
          </cell>
          <cell r="DN17149">
            <v>0</v>
          </cell>
        </row>
        <row r="17150">
          <cell r="E17150">
            <v>0</v>
          </cell>
          <cell r="F17150">
            <v>0</v>
          </cell>
          <cell r="DN17150">
            <v>0</v>
          </cell>
        </row>
        <row r="17151">
          <cell r="E17151">
            <v>0</v>
          </cell>
          <cell r="F17151">
            <v>0</v>
          </cell>
          <cell r="DN17151">
            <v>0</v>
          </cell>
        </row>
        <row r="17152">
          <cell r="E17152">
            <v>0</v>
          </cell>
          <cell r="F17152">
            <v>0</v>
          </cell>
          <cell r="DN17152">
            <v>0</v>
          </cell>
        </row>
        <row r="17153">
          <cell r="E17153">
            <v>0</v>
          </cell>
          <cell r="F17153">
            <v>0</v>
          </cell>
          <cell r="DN17153">
            <v>0</v>
          </cell>
        </row>
        <row r="17154">
          <cell r="E17154">
            <v>0</v>
          </cell>
          <cell r="F17154">
            <v>0</v>
          </cell>
          <cell r="DN17154">
            <v>0</v>
          </cell>
        </row>
        <row r="17155">
          <cell r="E17155">
            <v>0</v>
          </cell>
          <cell r="F17155">
            <v>0</v>
          </cell>
          <cell r="DN17155">
            <v>0</v>
          </cell>
        </row>
        <row r="17156">
          <cell r="E17156">
            <v>0</v>
          </cell>
          <cell r="F17156">
            <v>0</v>
          </cell>
          <cell r="DN17156">
            <v>0</v>
          </cell>
        </row>
        <row r="17157">
          <cell r="E17157">
            <v>0</v>
          </cell>
          <cell r="F17157">
            <v>0</v>
          </cell>
          <cell r="DN17157">
            <v>0</v>
          </cell>
        </row>
        <row r="17158">
          <cell r="E17158">
            <v>0</v>
          </cell>
          <cell r="F17158">
            <v>0</v>
          </cell>
          <cell r="DN17158">
            <v>0</v>
          </cell>
        </row>
        <row r="17159">
          <cell r="E17159">
            <v>0</v>
          </cell>
          <cell r="F17159">
            <v>0</v>
          </cell>
          <cell r="DN17159">
            <v>0</v>
          </cell>
        </row>
        <row r="17160">
          <cell r="E17160">
            <v>0</v>
          </cell>
          <cell r="F17160">
            <v>0</v>
          </cell>
          <cell r="DN17160">
            <v>0</v>
          </cell>
        </row>
        <row r="17161">
          <cell r="E17161">
            <v>0</v>
          </cell>
          <cell r="F17161">
            <v>0</v>
          </cell>
          <cell r="DN17161">
            <v>0</v>
          </cell>
        </row>
        <row r="17162">
          <cell r="E17162">
            <v>0</v>
          </cell>
          <cell r="F17162">
            <v>0</v>
          </cell>
          <cell r="DN17162">
            <v>0</v>
          </cell>
        </row>
        <row r="17163">
          <cell r="E17163">
            <v>0</v>
          </cell>
          <cell r="F17163">
            <v>0</v>
          </cell>
          <cell r="DN17163">
            <v>0</v>
          </cell>
        </row>
        <row r="17164">
          <cell r="E17164">
            <v>0</v>
          </cell>
          <cell r="F17164">
            <v>0</v>
          </cell>
          <cell r="DN17164">
            <v>0</v>
          </cell>
        </row>
        <row r="17165">
          <cell r="E17165">
            <v>0</v>
          </cell>
          <cell r="F17165">
            <v>0</v>
          </cell>
          <cell r="DN17165">
            <v>0</v>
          </cell>
        </row>
        <row r="17166">
          <cell r="E17166">
            <v>0</v>
          </cell>
          <cell r="F17166">
            <v>0</v>
          </cell>
          <cell r="DN17166">
            <v>0</v>
          </cell>
        </row>
        <row r="17167">
          <cell r="E17167">
            <v>0</v>
          </cell>
          <cell r="F17167">
            <v>0</v>
          </cell>
          <cell r="DN17167">
            <v>0</v>
          </cell>
        </row>
        <row r="17168">
          <cell r="E17168">
            <v>0</v>
          </cell>
          <cell r="F17168">
            <v>0</v>
          </cell>
          <cell r="DN17168">
            <v>0</v>
          </cell>
        </row>
        <row r="17169">
          <cell r="E17169">
            <v>0</v>
          </cell>
          <cell r="F17169">
            <v>0</v>
          </cell>
          <cell r="DN17169">
            <v>0</v>
          </cell>
        </row>
        <row r="17170">
          <cell r="E17170">
            <v>0</v>
          </cell>
          <cell r="F17170">
            <v>0</v>
          </cell>
          <cell r="DN17170">
            <v>0</v>
          </cell>
        </row>
        <row r="17171">
          <cell r="E17171">
            <v>0</v>
          </cell>
          <cell r="F17171">
            <v>0</v>
          </cell>
          <cell r="DN17171">
            <v>0</v>
          </cell>
        </row>
        <row r="17172">
          <cell r="E17172">
            <v>0</v>
          </cell>
          <cell r="F17172">
            <v>0</v>
          </cell>
          <cell r="DN17172">
            <v>0</v>
          </cell>
        </row>
        <row r="17173">
          <cell r="E17173">
            <v>0</v>
          </cell>
          <cell r="F17173">
            <v>0</v>
          </cell>
          <cell r="DN17173">
            <v>0</v>
          </cell>
        </row>
        <row r="17174">
          <cell r="E17174">
            <v>0</v>
          </cell>
          <cell r="F17174">
            <v>0</v>
          </cell>
          <cell r="DN17174">
            <v>0</v>
          </cell>
        </row>
        <row r="17175">
          <cell r="E17175">
            <v>0</v>
          </cell>
          <cell r="F17175">
            <v>0</v>
          </cell>
          <cell r="DN17175">
            <v>0</v>
          </cell>
        </row>
        <row r="17176">
          <cell r="E17176">
            <v>0</v>
          </cell>
          <cell r="F17176">
            <v>0</v>
          </cell>
          <cell r="DN17176">
            <v>0</v>
          </cell>
        </row>
        <row r="17177">
          <cell r="E17177">
            <v>0</v>
          </cell>
          <cell r="F17177">
            <v>0</v>
          </cell>
          <cell r="DN17177">
            <v>0</v>
          </cell>
        </row>
        <row r="17178">
          <cell r="E17178">
            <v>0</v>
          </cell>
          <cell r="F17178">
            <v>0</v>
          </cell>
          <cell r="DN17178">
            <v>0</v>
          </cell>
        </row>
        <row r="17179">
          <cell r="E17179">
            <v>0</v>
          </cell>
          <cell r="F17179">
            <v>0</v>
          </cell>
          <cell r="DN17179">
            <v>0</v>
          </cell>
        </row>
        <row r="17180">
          <cell r="E17180">
            <v>0</v>
          </cell>
          <cell r="F17180">
            <v>0</v>
          </cell>
          <cell r="DN17180">
            <v>0</v>
          </cell>
        </row>
        <row r="17181">
          <cell r="E17181">
            <v>0</v>
          </cell>
          <cell r="F17181">
            <v>0</v>
          </cell>
          <cell r="DN17181">
            <v>0</v>
          </cell>
        </row>
        <row r="17182">
          <cell r="E17182">
            <v>0</v>
          </cell>
          <cell r="F17182">
            <v>0</v>
          </cell>
          <cell r="DN17182">
            <v>0</v>
          </cell>
        </row>
        <row r="17183">
          <cell r="E17183">
            <v>0</v>
          </cell>
          <cell r="F17183">
            <v>0</v>
          </cell>
          <cell r="DN17183">
            <v>0</v>
          </cell>
        </row>
        <row r="17184">
          <cell r="E17184">
            <v>0</v>
          </cell>
          <cell r="F17184">
            <v>0</v>
          </cell>
          <cell r="DN17184">
            <v>0</v>
          </cell>
        </row>
        <row r="17185">
          <cell r="E17185">
            <v>0</v>
          </cell>
          <cell r="F17185">
            <v>0</v>
          </cell>
          <cell r="DN17185">
            <v>0</v>
          </cell>
        </row>
        <row r="17186">
          <cell r="E17186">
            <v>0</v>
          </cell>
          <cell r="F17186">
            <v>0</v>
          </cell>
          <cell r="DN17186">
            <v>0</v>
          </cell>
        </row>
        <row r="17187">
          <cell r="E17187">
            <v>0</v>
          </cell>
          <cell r="F17187">
            <v>0</v>
          </cell>
          <cell r="DN17187">
            <v>0</v>
          </cell>
        </row>
        <row r="17188">
          <cell r="E17188">
            <v>0</v>
          </cell>
          <cell r="F17188">
            <v>0</v>
          </cell>
          <cell r="DN17188">
            <v>0</v>
          </cell>
        </row>
        <row r="17189">
          <cell r="E17189">
            <v>0</v>
          </cell>
          <cell r="F17189">
            <v>0</v>
          </cell>
          <cell r="DN17189">
            <v>0</v>
          </cell>
        </row>
        <row r="17190">
          <cell r="E17190">
            <v>0</v>
          </cell>
          <cell r="F17190">
            <v>0</v>
          </cell>
          <cell r="DN17190">
            <v>0</v>
          </cell>
        </row>
        <row r="17191">
          <cell r="E17191">
            <v>0</v>
          </cell>
          <cell r="F17191">
            <v>0</v>
          </cell>
          <cell r="DN17191">
            <v>0</v>
          </cell>
        </row>
        <row r="17192">
          <cell r="E17192">
            <v>0</v>
          </cell>
          <cell r="F17192">
            <v>0</v>
          </cell>
          <cell r="DN17192">
            <v>0</v>
          </cell>
        </row>
        <row r="17193">
          <cell r="E17193">
            <v>0</v>
          </cell>
          <cell r="F17193">
            <v>0</v>
          </cell>
          <cell r="DN17193">
            <v>0</v>
          </cell>
        </row>
        <row r="17194">
          <cell r="E17194">
            <v>0</v>
          </cell>
          <cell r="F17194">
            <v>0</v>
          </cell>
          <cell r="DN17194">
            <v>0</v>
          </cell>
        </row>
        <row r="17195">
          <cell r="E17195">
            <v>0</v>
          </cell>
          <cell r="F17195">
            <v>0</v>
          </cell>
          <cell r="DN17195">
            <v>0</v>
          </cell>
        </row>
        <row r="17196">
          <cell r="E17196">
            <v>0</v>
          </cell>
          <cell r="F17196">
            <v>0</v>
          </cell>
          <cell r="DN17196">
            <v>0</v>
          </cell>
        </row>
        <row r="17197">
          <cell r="E17197">
            <v>0</v>
          </cell>
          <cell r="F17197">
            <v>0</v>
          </cell>
          <cell r="DN17197">
            <v>0</v>
          </cell>
        </row>
        <row r="17198">
          <cell r="E17198">
            <v>0</v>
          </cell>
          <cell r="F17198">
            <v>0</v>
          </cell>
          <cell r="DN17198">
            <v>0</v>
          </cell>
        </row>
        <row r="17199">
          <cell r="E17199">
            <v>0</v>
          </cell>
          <cell r="F17199">
            <v>0</v>
          </cell>
          <cell r="DN17199">
            <v>0</v>
          </cell>
        </row>
        <row r="17200">
          <cell r="E17200">
            <v>0</v>
          </cell>
          <cell r="F17200">
            <v>0</v>
          </cell>
          <cell r="DN17200">
            <v>0</v>
          </cell>
        </row>
        <row r="17201">
          <cell r="E17201">
            <v>0</v>
          </cell>
          <cell r="F17201">
            <v>0</v>
          </cell>
          <cell r="DN17201">
            <v>0</v>
          </cell>
        </row>
        <row r="17202">
          <cell r="E17202">
            <v>0</v>
          </cell>
          <cell r="F17202">
            <v>0</v>
          </cell>
          <cell r="DN17202">
            <v>0</v>
          </cell>
        </row>
        <row r="17203">
          <cell r="E17203">
            <v>0</v>
          </cell>
          <cell r="F17203">
            <v>0</v>
          </cell>
          <cell r="DN17203">
            <v>0</v>
          </cell>
        </row>
        <row r="17204">
          <cell r="E17204">
            <v>0</v>
          </cell>
          <cell r="F17204">
            <v>0</v>
          </cell>
          <cell r="DN17204">
            <v>0</v>
          </cell>
        </row>
        <row r="17205">
          <cell r="E17205">
            <v>0</v>
          </cell>
          <cell r="F17205">
            <v>0</v>
          </cell>
          <cell r="DN17205">
            <v>0</v>
          </cell>
        </row>
        <row r="17206">
          <cell r="E17206">
            <v>0</v>
          </cell>
          <cell r="F17206">
            <v>0</v>
          </cell>
          <cell r="DN17206">
            <v>0</v>
          </cell>
        </row>
        <row r="17207">
          <cell r="E17207">
            <v>0</v>
          </cell>
          <cell r="F17207">
            <v>0</v>
          </cell>
          <cell r="DN17207">
            <v>0</v>
          </cell>
        </row>
        <row r="17208">
          <cell r="E17208">
            <v>0</v>
          </cell>
          <cell r="F17208">
            <v>0</v>
          </cell>
          <cell r="DN17208">
            <v>0</v>
          </cell>
        </row>
        <row r="17209">
          <cell r="E17209">
            <v>0</v>
          </cell>
          <cell r="F17209">
            <v>0</v>
          </cell>
          <cell r="DN17209">
            <v>0</v>
          </cell>
        </row>
        <row r="17210">
          <cell r="E17210">
            <v>0</v>
          </cell>
          <cell r="F17210">
            <v>0</v>
          </cell>
          <cell r="DN17210">
            <v>0</v>
          </cell>
        </row>
        <row r="17211">
          <cell r="E17211">
            <v>0</v>
          </cell>
          <cell r="F17211">
            <v>0</v>
          </cell>
          <cell r="DN17211">
            <v>0</v>
          </cell>
        </row>
        <row r="17212">
          <cell r="E17212">
            <v>0</v>
          </cell>
          <cell r="F17212">
            <v>0</v>
          </cell>
          <cell r="DN17212">
            <v>0</v>
          </cell>
        </row>
        <row r="17213">
          <cell r="E17213">
            <v>0</v>
          </cell>
          <cell r="F17213">
            <v>0</v>
          </cell>
          <cell r="DN17213">
            <v>0</v>
          </cell>
        </row>
        <row r="17214">
          <cell r="E17214">
            <v>0</v>
          </cell>
          <cell r="F17214">
            <v>0</v>
          </cell>
          <cell r="DN17214">
            <v>0</v>
          </cell>
        </row>
        <row r="17215">
          <cell r="E17215">
            <v>0</v>
          </cell>
          <cell r="F17215">
            <v>0</v>
          </cell>
          <cell r="DN17215">
            <v>0</v>
          </cell>
        </row>
        <row r="17216">
          <cell r="E17216">
            <v>0</v>
          </cell>
          <cell r="F17216">
            <v>0</v>
          </cell>
          <cell r="DN17216">
            <v>0</v>
          </cell>
        </row>
        <row r="17217">
          <cell r="E17217">
            <v>0</v>
          </cell>
          <cell r="F17217">
            <v>0</v>
          </cell>
          <cell r="DN17217">
            <v>0</v>
          </cell>
        </row>
        <row r="17218">
          <cell r="E17218">
            <v>0</v>
          </cell>
          <cell r="F17218">
            <v>0</v>
          </cell>
          <cell r="DN17218">
            <v>0</v>
          </cell>
        </row>
        <row r="17219">
          <cell r="E17219">
            <v>0</v>
          </cell>
          <cell r="F17219">
            <v>0</v>
          </cell>
          <cell r="DN17219">
            <v>0</v>
          </cell>
        </row>
        <row r="17220">
          <cell r="E17220">
            <v>0</v>
          </cell>
          <cell r="F17220">
            <v>0</v>
          </cell>
          <cell r="DN17220">
            <v>0</v>
          </cell>
        </row>
        <row r="17221">
          <cell r="E17221">
            <v>0</v>
          </cell>
          <cell r="F17221">
            <v>0</v>
          </cell>
          <cell r="DN17221">
            <v>0</v>
          </cell>
        </row>
        <row r="17222">
          <cell r="E17222">
            <v>0</v>
          </cell>
          <cell r="F17222">
            <v>0</v>
          </cell>
          <cell r="DN17222">
            <v>0</v>
          </cell>
        </row>
        <row r="17223">
          <cell r="E17223">
            <v>0</v>
          </cell>
          <cell r="F17223">
            <v>0</v>
          </cell>
          <cell r="DN17223">
            <v>0</v>
          </cell>
        </row>
        <row r="17224">
          <cell r="E17224">
            <v>0</v>
          </cell>
          <cell r="F17224">
            <v>0</v>
          </cell>
          <cell r="DN17224">
            <v>0</v>
          </cell>
        </row>
        <row r="17225">
          <cell r="E17225">
            <v>0</v>
          </cell>
          <cell r="F17225">
            <v>0</v>
          </cell>
          <cell r="DN17225">
            <v>0</v>
          </cell>
        </row>
        <row r="17226">
          <cell r="E17226">
            <v>0</v>
          </cell>
          <cell r="F17226">
            <v>0</v>
          </cell>
          <cell r="DN17226">
            <v>0</v>
          </cell>
        </row>
        <row r="17227">
          <cell r="E17227">
            <v>0</v>
          </cell>
          <cell r="F17227">
            <v>0</v>
          </cell>
          <cell r="DN17227">
            <v>0</v>
          </cell>
        </row>
        <row r="17228">
          <cell r="E17228">
            <v>0</v>
          </cell>
          <cell r="F17228">
            <v>0</v>
          </cell>
          <cell r="DN17228">
            <v>0</v>
          </cell>
        </row>
        <row r="17229">
          <cell r="E17229">
            <v>0</v>
          </cell>
          <cell r="F17229">
            <v>0</v>
          </cell>
          <cell r="DN17229">
            <v>0</v>
          </cell>
        </row>
        <row r="17230">
          <cell r="E17230">
            <v>0</v>
          </cell>
          <cell r="F17230">
            <v>0</v>
          </cell>
          <cell r="DN17230">
            <v>0</v>
          </cell>
        </row>
        <row r="17231">
          <cell r="E17231">
            <v>0</v>
          </cell>
          <cell r="F17231">
            <v>0</v>
          </cell>
          <cell r="DN17231">
            <v>0</v>
          </cell>
        </row>
        <row r="17232">
          <cell r="E17232">
            <v>0</v>
          </cell>
          <cell r="F17232">
            <v>0</v>
          </cell>
          <cell r="DN17232">
            <v>0</v>
          </cell>
        </row>
        <row r="17233">
          <cell r="E17233">
            <v>0</v>
          </cell>
          <cell r="F17233">
            <v>0</v>
          </cell>
          <cell r="DN17233">
            <v>0</v>
          </cell>
        </row>
        <row r="17234">
          <cell r="E17234">
            <v>0</v>
          </cell>
          <cell r="F17234">
            <v>0</v>
          </cell>
          <cell r="DN17234">
            <v>0</v>
          </cell>
        </row>
        <row r="17235">
          <cell r="E17235">
            <v>0</v>
          </cell>
          <cell r="F17235">
            <v>0</v>
          </cell>
          <cell r="DN17235">
            <v>0</v>
          </cell>
        </row>
        <row r="17236">
          <cell r="E17236">
            <v>0</v>
          </cell>
          <cell r="F17236">
            <v>0</v>
          </cell>
          <cell r="DN17236">
            <v>0</v>
          </cell>
        </row>
        <row r="17237">
          <cell r="E17237">
            <v>0</v>
          </cell>
          <cell r="F17237">
            <v>0</v>
          </cell>
          <cell r="DN17237">
            <v>0</v>
          </cell>
        </row>
        <row r="17238">
          <cell r="E17238">
            <v>0</v>
          </cell>
          <cell r="F17238">
            <v>0</v>
          </cell>
          <cell r="DN17238">
            <v>0</v>
          </cell>
        </row>
        <row r="17239">
          <cell r="E17239">
            <v>0</v>
          </cell>
          <cell r="F17239">
            <v>0</v>
          </cell>
          <cell r="DN17239">
            <v>0</v>
          </cell>
        </row>
        <row r="17240">
          <cell r="E17240">
            <v>0</v>
          </cell>
          <cell r="F17240">
            <v>0</v>
          </cell>
          <cell r="DN17240">
            <v>0</v>
          </cell>
        </row>
        <row r="17241">
          <cell r="E17241">
            <v>0</v>
          </cell>
          <cell r="F17241">
            <v>0</v>
          </cell>
          <cell r="DN17241">
            <v>0</v>
          </cell>
        </row>
        <row r="17242">
          <cell r="E17242">
            <v>0</v>
          </cell>
          <cell r="F17242">
            <v>0</v>
          </cell>
          <cell r="DN17242">
            <v>0</v>
          </cell>
        </row>
        <row r="17243">
          <cell r="E17243">
            <v>0</v>
          </cell>
          <cell r="F17243">
            <v>0</v>
          </cell>
          <cell r="DN17243">
            <v>0</v>
          </cell>
        </row>
        <row r="17244">
          <cell r="E17244">
            <v>0</v>
          </cell>
          <cell r="F17244">
            <v>0</v>
          </cell>
          <cell r="DN17244">
            <v>0</v>
          </cell>
        </row>
        <row r="17245">
          <cell r="E17245">
            <v>0</v>
          </cell>
          <cell r="F17245">
            <v>0</v>
          </cell>
          <cell r="DN17245">
            <v>0</v>
          </cell>
        </row>
        <row r="17246">
          <cell r="E17246">
            <v>0</v>
          </cell>
          <cell r="F17246">
            <v>0</v>
          </cell>
          <cell r="DN17246">
            <v>0</v>
          </cell>
        </row>
        <row r="17247">
          <cell r="E17247">
            <v>0</v>
          </cell>
          <cell r="F17247">
            <v>0</v>
          </cell>
          <cell r="DN17247">
            <v>0</v>
          </cell>
        </row>
        <row r="17248">
          <cell r="E17248">
            <v>0</v>
          </cell>
          <cell r="F17248">
            <v>0</v>
          </cell>
          <cell r="DN17248">
            <v>0</v>
          </cell>
        </row>
        <row r="17249">
          <cell r="E17249">
            <v>0</v>
          </cell>
          <cell r="F17249">
            <v>0</v>
          </cell>
          <cell r="DN17249">
            <v>0</v>
          </cell>
        </row>
        <row r="17250">
          <cell r="E17250">
            <v>0</v>
          </cell>
          <cell r="F17250">
            <v>0</v>
          </cell>
          <cell r="DN17250">
            <v>0</v>
          </cell>
        </row>
        <row r="17251">
          <cell r="E17251">
            <v>0</v>
          </cell>
          <cell r="F17251">
            <v>0</v>
          </cell>
          <cell r="DN17251">
            <v>0</v>
          </cell>
        </row>
        <row r="17252">
          <cell r="E17252">
            <v>0</v>
          </cell>
          <cell r="F17252">
            <v>0</v>
          </cell>
          <cell r="DN17252">
            <v>0</v>
          </cell>
        </row>
        <row r="17253">
          <cell r="E17253">
            <v>0</v>
          </cell>
          <cell r="F17253">
            <v>0</v>
          </cell>
          <cell r="DN17253">
            <v>0</v>
          </cell>
        </row>
        <row r="17254">
          <cell r="E17254">
            <v>0</v>
          </cell>
          <cell r="F17254">
            <v>0</v>
          </cell>
          <cell r="DN17254">
            <v>0</v>
          </cell>
        </row>
        <row r="17255">
          <cell r="E17255">
            <v>0</v>
          </cell>
          <cell r="F17255">
            <v>0</v>
          </cell>
          <cell r="DN17255">
            <v>0</v>
          </cell>
        </row>
        <row r="17256">
          <cell r="E17256">
            <v>0</v>
          </cell>
          <cell r="F17256">
            <v>0</v>
          </cell>
          <cell r="DN17256">
            <v>0</v>
          </cell>
        </row>
        <row r="17257">
          <cell r="E17257">
            <v>0</v>
          </cell>
          <cell r="F17257">
            <v>0</v>
          </cell>
          <cell r="DN17257">
            <v>0</v>
          </cell>
        </row>
        <row r="17258">
          <cell r="E17258">
            <v>0</v>
          </cell>
          <cell r="F17258">
            <v>0</v>
          </cell>
          <cell r="DN17258">
            <v>0</v>
          </cell>
        </row>
        <row r="17259">
          <cell r="E17259">
            <v>0</v>
          </cell>
          <cell r="F17259">
            <v>0</v>
          </cell>
          <cell r="DN17259">
            <v>0</v>
          </cell>
        </row>
        <row r="17260">
          <cell r="E17260">
            <v>0</v>
          </cell>
          <cell r="F17260">
            <v>0</v>
          </cell>
          <cell r="DN17260">
            <v>0</v>
          </cell>
        </row>
        <row r="17261">
          <cell r="E17261">
            <v>0</v>
          </cell>
          <cell r="F17261">
            <v>0</v>
          </cell>
          <cell r="DN17261">
            <v>0</v>
          </cell>
        </row>
        <row r="17262">
          <cell r="E17262">
            <v>0</v>
          </cell>
          <cell r="F17262">
            <v>0</v>
          </cell>
          <cell r="DN17262">
            <v>0</v>
          </cell>
        </row>
        <row r="17263">
          <cell r="E17263">
            <v>0</v>
          </cell>
          <cell r="F17263">
            <v>0</v>
          </cell>
          <cell r="DN17263">
            <v>0</v>
          </cell>
        </row>
        <row r="17264">
          <cell r="E17264">
            <v>0</v>
          </cell>
          <cell r="F17264">
            <v>0</v>
          </cell>
          <cell r="DN17264">
            <v>0</v>
          </cell>
        </row>
        <row r="17265">
          <cell r="E17265">
            <v>0</v>
          </cell>
          <cell r="F17265">
            <v>0</v>
          </cell>
          <cell r="DN17265">
            <v>0</v>
          </cell>
        </row>
        <row r="17266">
          <cell r="E17266">
            <v>0</v>
          </cell>
          <cell r="F17266">
            <v>0</v>
          </cell>
          <cell r="DN17266">
            <v>0</v>
          </cell>
        </row>
        <row r="17267">
          <cell r="E17267">
            <v>0</v>
          </cell>
          <cell r="F17267">
            <v>0</v>
          </cell>
          <cell r="DN17267">
            <v>0</v>
          </cell>
        </row>
        <row r="17268">
          <cell r="E17268">
            <v>0</v>
          </cell>
          <cell r="F17268">
            <v>0</v>
          </cell>
          <cell r="DN17268">
            <v>0</v>
          </cell>
        </row>
        <row r="17269">
          <cell r="E17269">
            <v>0</v>
          </cell>
          <cell r="F17269">
            <v>0</v>
          </cell>
          <cell r="DN17269">
            <v>0</v>
          </cell>
        </row>
        <row r="17270">
          <cell r="E17270">
            <v>0</v>
          </cell>
          <cell r="F17270">
            <v>0</v>
          </cell>
          <cell r="DN17270">
            <v>0</v>
          </cell>
        </row>
        <row r="17271">
          <cell r="E17271">
            <v>0</v>
          </cell>
          <cell r="F17271">
            <v>0</v>
          </cell>
          <cell r="DN17271">
            <v>0</v>
          </cell>
        </row>
        <row r="17272">
          <cell r="E17272">
            <v>0</v>
          </cell>
          <cell r="F17272">
            <v>0</v>
          </cell>
          <cell r="DN17272">
            <v>0</v>
          </cell>
        </row>
        <row r="17273">
          <cell r="E17273">
            <v>0</v>
          </cell>
          <cell r="F17273">
            <v>0</v>
          </cell>
          <cell r="DN17273">
            <v>0</v>
          </cell>
        </row>
        <row r="17274">
          <cell r="E17274">
            <v>0</v>
          </cell>
          <cell r="F17274">
            <v>0</v>
          </cell>
          <cell r="DN17274">
            <v>0</v>
          </cell>
        </row>
        <row r="17275">
          <cell r="E17275">
            <v>0</v>
          </cell>
          <cell r="F17275">
            <v>0</v>
          </cell>
          <cell r="DN17275">
            <v>0</v>
          </cell>
        </row>
        <row r="17276">
          <cell r="E17276">
            <v>0</v>
          </cell>
          <cell r="F17276">
            <v>0</v>
          </cell>
          <cell r="DN17276">
            <v>0</v>
          </cell>
        </row>
        <row r="17277">
          <cell r="E17277">
            <v>0</v>
          </cell>
          <cell r="F17277">
            <v>0</v>
          </cell>
          <cell r="DN17277">
            <v>0</v>
          </cell>
        </row>
        <row r="17278">
          <cell r="E17278">
            <v>0</v>
          </cell>
          <cell r="F17278">
            <v>0</v>
          </cell>
          <cell r="DN17278">
            <v>0</v>
          </cell>
        </row>
        <row r="17279">
          <cell r="E17279">
            <v>0</v>
          </cell>
          <cell r="F17279">
            <v>0</v>
          </cell>
          <cell r="DN17279">
            <v>0</v>
          </cell>
        </row>
        <row r="17280">
          <cell r="E17280">
            <v>0</v>
          </cell>
          <cell r="F17280">
            <v>0</v>
          </cell>
          <cell r="DN17280">
            <v>0</v>
          </cell>
        </row>
        <row r="17281">
          <cell r="E17281">
            <v>0</v>
          </cell>
          <cell r="F17281">
            <v>0</v>
          </cell>
          <cell r="DN17281">
            <v>0</v>
          </cell>
        </row>
        <row r="17282">
          <cell r="E17282">
            <v>0</v>
          </cell>
          <cell r="F17282">
            <v>0</v>
          </cell>
          <cell r="DN17282">
            <v>0</v>
          </cell>
        </row>
        <row r="17283">
          <cell r="E17283">
            <v>0</v>
          </cell>
          <cell r="F17283">
            <v>0</v>
          </cell>
          <cell r="DN17283">
            <v>0</v>
          </cell>
        </row>
        <row r="17284">
          <cell r="E17284">
            <v>0</v>
          </cell>
          <cell r="F17284">
            <v>0</v>
          </cell>
          <cell r="DN17284">
            <v>0</v>
          </cell>
        </row>
        <row r="17285">
          <cell r="E17285">
            <v>0</v>
          </cell>
          <cell r="F17285">
            <v>0</v>
          </cell>
          <cell r="DN17285">
            <v>0</v>
          </cell>
        </row>
        <row r="17286">
          <cell r="E17286">
            <v>0</v>
          </cell>
          <cell r="F17286">
            <v>0</v>
          </cell>
          <cell r="DN17286">
            <v>0</v>
          </cell>
        </row>
        <row r="17287">
          <cell r="E17287">
            <v>0</v>
          </cell>
          <cell r="F17287">
            <v>0</v>
          </cell>
          <cell r="DN17287">
            <v>0</v>
          </cell>
        </row>
        <row r="17288">
          <cell r="E17288">
            <v>0</v>
          </cell>
          <cell r="F17288">
            <v>0</v>
          </cell>
          <cell r="DN17288">
            <v>0</v>
          </cell>
        </row>
        <row r="17289">
          <cell r="E17289">
            <v>0</v>
          </cell>
          <cell r="F17289">
            <v>0</v>
          </cell>
          <cell r="DN17289">
            <v>0</v>
          </cell>
        </row>
        <row r="17290">
          <cell r="E17290">
            <v>0</v>
          </cell>
          <cell r="F17290">
            <v>0</v>
          </cell>
          <cell r="DN17290">
            <v>0</v>
          </cell>
        </row>
        <row r="17291">
          <cell r="E17291">
            <v>0</v>
          </cell>
          <cell r="F17291">
            <v>0</v>
          </cell>
          <cell r="DN17291">
            <v>0</v>
          </cell>
        </row>
        <row r="17292">
          <cell r="E17292">
            <v>0</v>
          </cell>
          <cell r="F17292">
            <v>0</v>
          </cell>
          <cell r="DN17292">
            <v>0</v>
          </cell>
        </row>
        <row r="17293">
          <cell r="E17293">
            <v>0</v>
          </cell>
          <cell r="F17293">
            <v>0</v>
          </cell>
          <cell r="DN17293">
            <v>0</v>
          </cell>
        </row>
        <row r="17294">
          <cell r="E17294">
            <v>0</v>
          </cell>
          <cell r="F17294">
            <v>0</v>
          </cell>
          <cell r="DN17294">
            <v>0</v>
          </cell>
        </row>
        <row r="17295">
          <cell r="E17295">
            <v>0</v>
          </cell>
          <cell r="F17295">
            <v>0</v>
          </cell>
          <cell r="DN17295">
            <v>0</v>
          </cell>
        </row>
        <row r="17296">
          <cell r="E17296">
            <v>0</v>
          </cell>
          <cell r="F17296">
            <v>0</v>
          </cell>
          <cell r="DN17296">
            <v>0</v>
          </cell>
        </row>
        <row r="17297">
          <cell r="E17297">
            <v>0</v>
          </cell>
          <cell r="F17297">
            <v>0</v>
          </cell>
          <cell r="DN17297">
            <v>0</v>
          </cell>
        </row>
        <row r="17298">
          <cell r="E17298">
            <v>0</v>
          </cell>
          <cell r="F17298">
            <v>0</v>
          </cell>
          <cell r="DN17298">
            <v>0</v>
          </cell>
        </row>
        <row r="17299">
          <cell r="E17299">
            <v>0</v>
          </cell>
          <cell r="F17299">
            <v>0</v>
          </cell>
          <cell r="DN17299">
            <v>0</v>
          </cell>
        </row>
        <row r="17300">
          <cell r="E17300">
            <v>0</v>
          </cell>
          <cell r="F17300">
            <v>0</v>
          </cell>
          <cell r="DN17300">
            <v>0</v>
          </cell>
        </row>
        <row r="17301">
          <cell r="E17301">
            <v>0</v>
          </cell>
          <cell r="F17301">
            <v>0</v>
          </cell>
          <cell r="DN17301">
            <v>0</v>
          </cell>
        </row>
        <row r="17302">
          <cell r="E17302">
            <v>0</v>
          </cell>
          <cell r="F17302">
            <v>0</v>
          </cell>
          <cell r="DN17302">
            <v>0</v>
          </cell>
        </row>
        <row r="17303">
          <cell r="E17303">
            <v>0</v>
          </cell>
          <cell r="F17303">
            <v>0</v>
          </cell>
          <cell r="DN17303">
            <v>0</v>
          </cell>
        </row>
        <row r="17304">
          <cell r="E17304">
            <v>0</v>
          </cell>
          <cell r="F17304">
            <v>0</v>
          </cell>
          <cell r="DN17304">
            <v>0</v>
          </cell>
        </row>
        <row r="17305">
          <cell r="E17305">
            <v>0</v>
          </cell>
          <cell r="F17305">
            <v>0</v>
          </cell>
          <cell r="DN17305">
            <v>0</v>
          </cell>
        </row>
        <row r="17306">
          <cell r="E17306">
            <v>0</v>
          </cell>
          <cell r="F17306">
            <v>0</v>
          </cell>
          <cell r="DN17306">
            <v>0</v>
          </cell>
        </row>
        <row r="17307">
          <cell r="E17307">
            <v>0</v>
          </cell>
          <cell r="F17307">
            <v>0</v>
          </cell>
          <cell r="DN17307">
            <v>0</v>
          </cell>
        </row>
        <row r="17308">
          <cell r="E17308">
            <v>0</v>
          </cell>
          <cell r="F17308">
            <v>0</v>
          </cell>
          <cell r="DN17308">
            <v>0</v>
          </cell>
        </row>
        <row r="17309">
          <cell r="E17309">
            <v>0</v>
          </cell>
          <cell r="F17309">
            <v>0</v>
          </cell>
          <cell r="DN17309">
            <v>0</v>
          </cell>
        </row>
        <row r="17310">
          <cell r="E17310">
            <v>0</v>
          </cell>
          <cell r="F17310">
            <v>0</v>
          </cell>
          <cell r="DN17310">
            <v>0</v>
          </cell>
        </row>
        <row r="17311">
          <cell r="E17311">
            <v>0</v>
          </cell>
          <cell r="F17311">
            <v>0</v>
          </cell>
          <cell r="DN17311">
            <v>0</v>
          </cell>
        </row>
        <row r="17312">
          <cell r="E17312">
            <v>0</v>
          </cell>
          <cell r="F17312">
            <v>0</v>
          </cell>
          <cell r="DN17312">
            <v>0</v>
          </cell>
        </row>
        <row r="17313">
          <cell r="E17313">
            <v>0</v>
          </cell>
          <cell r="F17313">
            <v>0</v>
          </cell>
          <cell r="DN17313">
            <v>0</v>
          </cell>
        </row>
        <row r="17314">
          <cell r="E17314">
            <v>0</v>
          </cell>
          <cell r="F17314">
            <v>0</v>
          </cell>
          <cell r="DN17314">
            <v>0</v>
          </cell>
        </row>
        <row r="17315">
          <cell r="E17315">
            <v>0</v>
          </cell>
          <cell r="F17315">
            <v>0</v>
          </cell>
          <cell r="DN17315">
            <v>0</v>
          </cell>
        </row>
        <row r="17316">
          <cell r="E17316">
            <v>0</v>
          </cell>
          <cell r="F17316">
            <v>0</v>
          </cell>
          <cell r="DN17316">
            <v>0</v>
          </cell>
        </row>
        <row r="17317">
          <cell r="E17317">
            <v>0</v>
          </cell>
          <cell r="F17317">
            <v>0</v>
          </cell>
          <cell r="DN17317">
            <v>0</v>
          </cell>
        </row>
        <row r="17318">
          <cell r="E17318">
            <v>0</v>
          </cell>
          <cell r="F17318">
            <v>0</v>
          </cell>
          <cell r="DN17318">
            <v>0</v>
          </cell>
        </row>
        <row r="17319">
          <cell r="E17319">
            <v>0</v>
          </cell>
          <cell r="F17319">
            <v>0</v>
          </cell>
          <cell r="DN17319">
            <v>0</v>
          </cell>
        </row>
        <row r="17320">
          <cell r="E17320">
            <v>0</v>
          </cell>
          <cell r="F17320">
            <v>0</v>
          </cell>
          <cell r="DN17320">
            <v>0</v>
          </cell>
        </row>
        <row r="17321">
          <cell r="E17321">
            <v>0</v>
          </cell>
          <cell r="F17321">
            <v>0</v>
          </cell>
          <cell r="DN17321">
            <v>0</v>
          </cell>
        </row>
        <row r="17322">
          <cell r="E17322">
            <v>0</v>
          </cell>
          <cell r="F17322">
            <v>0</v>
          </cell>
          <cell r="DN17322">
            <v>0</v>
          </cell>
        </row>
        <row r="17323">
          <cell r="E17323">
            <v>0</v>
          </cell>
          <cell r="F17323">
            <v>0</v>
          </cell>
          <cell r="DN17323">
            <v>0</v>
          </cell>
        </row>
        <row r="17324">
          <cell r="E17324">
            <v>0</v>
          </cell>
          <cell r="F17324">
            <v>0</v>
          </cell>
          <cell r="DN17324">
            <v>0</v>
          </cell>
        </row>
        <row r="17325">
          <cell r="E17325">
            <v>0</v>
          </cell>
          <cell r="F17325">
            <v>0</v>
          </cell>
          <cell r="DN17325">
            <v>0</v>
          </cell>
        </row>
        <row r="17326">
          <cell r="E17326">
            <v>0</v>
          </cell>
          <cell r="F17326">
            <v>0</v>
          </cell>
          <cell r="DN17326">
            <v>0</v>
          </cell>
        </row>
        <row r="17327">
          <cell r="E17327">
            <v>0</v>
          </cell>
          <cell r="F17327">
            <v>0</v>
          </cell>
          <cell r="DN17327">
            <v>0</v>
          </cell>
        </row>
        <row r="17328">
          <cell r="E17328">
            <v>0</v>
          </cell>
          <cell r="F17328">
            <v>0</v>
          </cell>
          <cell r="DN17328">
            <v>0</v>
          </cell>
        </row>
        <row r="17329">
          <cell r="E17329">
            <v>0</v>
          </cell>
          <cell r="F17329">
            <v>0</v>
          </cell>
          <cell r="DN17329">
            <v>0</v>
          </cell>
        </row>
        <row r="17330">
          <cell r="E17330">
            <v>0</v>
          </cell>
          <cell r="F17330">
            <v>0</v>
          </cell>
          <cell r="DN17330">
            <v>0</v>
          </cell>
        </row>
        <row r="17331">
          <cell r="E17331">
            <v>0</v>
          </cell>
          <cell r="F17331">
            <v>0</v>
          </cell>
          <cell r="DN17331">
            <v>0</v>
          </cell>
        </row>
        <row r="17332">
          <cell r="E17332">
            <v>0</v>
          </cell>
          <cell r="F17332">
            <v>0</v>
          </cell>
          <cell r="DN17332">
            <v>0</v>
          </cell>
        </row>
        <row r="17333">
          <cell r="E17333">
            <v>0</v>
          </cell>
          <cell r="F17333">
            <v>0</v>
          </cell>
          <cell r="DN17333">
            <v>0</v>
          </cell>
        </row>
        <row r="17334">
          <cell r="E17334">
            <v>0</v>
          </cell>
          <cell r="F17334">
            <v>0</v>
          </cell>
          <cell r="DN17334">
            <v>0</v>
          </cell>
        </row>
        <row r="17335">
          <cell r="E17335">
            <v>0</v>
          </cell>
          <cell r="F17335">
            <v>0</v>
          </cell>
          <cell r="DN17335">
            <v>0</v>
          </cell>
        </row>
        <row r="17336">
          <cell r="E17336">
            <v>0</v>
          </cell>
          <cell r="F17336">
            <v>0</v>
          </cell>
          <cell r="DN17336">
            <v>0</v>
          </cell>
        </row>
        <row r="17337">
          <cell r="E17337">
            <v>0</v>
          </cell>
          <cell r="F17337">
            <v>0</v>
          </cell>
          <cell r="DN17337">
            <v>0</v>
          </cell>
        </row>
        <row r="17338">
          <cell r="E17338">
            <v>0</v>
          </cell>
          <cell r="F17338">
            <v>0</v>
          </cell>
          <cell r="DN17338">
            <v>0</v>
          </cell>
        </row>
        <row r="17339">
          <cell r="E17339">
            <v>0</v>
          </cell>
          <cell r="F17339">
            <v>0</v>
          </cell>
          <cell r="DN17339">
            <v>0</v>
          </cell>
        </row>
        <row r="17340">
          <cell r="E17340">
            <v>0</v>
          </cell>
          <cell r="F17340">
            <v>0</v>
          </cell>
          <cell r="DN17340">
            <v>0</v>
          </cell>
        </row>
        <row r="17341">
          <cell r="E17341">
            <v>0</v>
          </cell>
          <cell r="F17341">
            <v>0</v>
          </cell>
          <cell r="DN17341">
            <v>0</v>
          </cell>
        </row>
        <row r="17342">
          <cell r="E17342">
            <v>0</v>
          </cell>
          <cell r="F17342">
            <v>0</v>
          </cell>
          <cell r="DN17342">
            <v>0</v>
          </cell>
        </row>
        <row r="17343">
          <cell r="E17343">
            <v>0</v>
          </cell>
          <cell r="F17343">
            <v>0</v>
          </cell>
          <cell r="DN17343">
            <v>0</v>
          </cell>
        </row>
        <row r="17344">
          <cell r="E17344">
            <v>0</v>
          </cell>
          <cell r="F17344">
            <v>0</v>
          </cell>
          <cell r="DN17344">
            <v>0</v>
          </cell>
        </row>
        <row r="17345">
          <cell r="E17345">
            <v>0</v>
          </cell>
          <cell r="F17345">
            <v>0</v>
          </cell>
          <cell r="DN17345">
            <v>0</v>
          </cell>
        </row>
        <row r="17346">
          <cell r="E17346">
            <v>0</v>
          </cell>
          <cell r="F17346">
            <v>0</v>
          </cell>
          <cell r="DN17346">
            <v>0</v>
          </cell>
        </row>
        <row r="17347">
          <cell r="E17347">
            <v>0</v>
          </cell>
          <cell r="F17347">
            <v>0</v>
          </cell>
          <cell r="DN17347">
            <v>0</v>
          </cell>
        </row>
        <row r="17348">
          <cell r="E17348">
            <v>0</v>
          </cell>
          <cell r="F17348">
            <v>0</v>
          </cell>
          <cell r="DN17348">
            <v>0</v>
          </cell>
        </row>
        <row r="17349">
          <cell r="E17349">
            <v>0</v>
          </cell>
          <cell r="F17349">
            <v>0</v>
          </cell>
          <cell r="DN17349">
            <v>0</v>
          </cell>
        </row>
        <row r="17350">
          <cell r="E17350">
            <v>0</v>
          </cell>
          <cell r="F17350">
            <v>0</v>
          </cell>
          <cell r="DN17350">
            <v>0</v>
          </cell>
        </row>
        <row r="17351">
          <cell r="E17351">
            <v>0</v>
          </cell>
          <cell r="F17351">
            <v>0</v>
          </cell>
          <cell r="DN17351">
            <v>0</v>
          </cell>
        </row>
        <row r="17352">
          <cell r="E17352">
            <v>0</v>
          </cell>
          <cell r="F17352">
            <v>0</v>
          </cell>
          <cell r="DN17352">
            <v>0</v>
          </cell>
        </row>
        <row r="17353">
          <cell r="E17353">
            <v>0</v>
          </cell>
          <cell r="F17353">
            <v>0</v>
          </cell>
          <cell r="DN17353">
            <v>0</v>
          </cell>
        </row>
        <row r="17354">
          <cell r="E17354">
            <v>0</v>
          </cell>
          <cell r="F17354">
            <v>0</v>
          </cell>
          <cell r="DN17354">
            <v>0</v>
          </cell>
        </row>
        <row r="17355">
          <cell r="E17355">
            <v>0</v>
          </cell>
          <cell r="F17355">
            <v>0</v>
          </cell>
          <cell r="DN17355">
            <v>0</v>
          </cell>
        </row>
        <row r="17356">
          <cell r="E17356">
            <v>0</v>
          </cell>
          <cell r="F17356">
            <v>0</v>
          </cell>
          <cell r="DN17356">
            <v>0</v>
          </cell>
        </row>
        <row r="17357">
          <cell r="E17357">
            <v>0</v>
          </cell>
          <cell r="F17357">
            <v>0</v>
          </cell>
          <cell r="DN17357">
            <v>0</v>
          </cell>
        </row>
        <row r="17358">
          <cell r="E17358">
            <v>0</v>
          </cell>
          <cell r="F17358">
            <v>0</v>
          </cell>
          <cell r="DN17358">
            <v>0</v>
          </cell>
        </row>
        <row r="17359">
          <cell r="E17359">
            <v>0</v>
          </cell>
          <cell r="F17359">
            <v>0</v>
          </cell>
          <cell r="DN17359">
            <v>0</v>
          </cell>
        </row>
        <row r="17360">
          <cell r="E17360">
            <v>0</v>
          </cell>
          <cell r="F17360">
            <v>0</v>
          </cell>
          <cell r="DN17360">
            <v>0</v>
          </cell>
        </row>
        <row r="17361">
          <cell r="E17361">
            <v>0</v>
          </cell>
          <cell r="F17361">
            <v>0</v>
          </cell>
          <cell r="DN17361">
            <v>0</v>
          </cell>
        </row>
        <row r="17362">
          <cell r="E17362">
            <v>0</v>
          </cell>
          <cell r="F17362">
            <v>0</v>
          </cell>
          <cell r="DN17362">
            <v>0</v>
          </cell>
        </row>
        <row r="17363">
          <cell r="E17363">
            <v>0</v>
          </cell>
          <cell r="F17363">
            <v>0</v>
          </cell>
          <cell r="DN17363">
            <v>0</v>
          </cell>
        </row>
        <row r="17364">
          <cell r="E17364">
            <v>0</v>
          </cell>
          <cell r="F17364">
            <v>0</v>
          </cell>
          <cell r="DN17364">
            <v>0</v>
          </cell>
        </row>
        <row r="17365">
          <cell r="E17365">
            <v>0</v>
          </cell>
          <cell r="F17365">
            <v>0</v>
          </cell>
          <cell r="DN17365">
            <v>0</v>
          </cell>
        </row>
        <row r="17366">
          <cell r="E17366">
            <v>0</v>
          </cell>
          <cell r="F17366">
            <v>0</v>
          </cell>
          <cell r="DN17366">
            <v>0</v>
          </cell>
        </row>
        <row r="17367">
          <cell r="E17367">
            <v>0</v>
          </cell>
          <cell r="F17367">
            <v>0</v>
          </cell>
          <cell r="DN17367">
            <v>0</v>
          </cell>
        </row>
        <row r="17368">
          <cell r="E17368">
            <v>0</v>
          </cell>
          <cell r="F17368">
            <v>0</v>
          </cell>
          <cell r="DN17368">
            <v>0</v>
          </cell>
        </row>
        <row r="17369">
          <cell r="E17369">
            <v>0</v>
          </cell>
          <cell r="F17369">
            <v>0</v>
          </cell>
          <cell r="DN17369">
            <v>0</v>
          </cell>
        </row>
        <row r="17370">
          <cell r="E17370">
            <v>0</v>
          </cell>
          <cell r="F17370">
            <v>0</v>
          </cell>
          <cell r="DN17370">
            <v>0</v>
          </cell>
        </row>
        <row r="17371">
          <cell r="E17371">
            <v>0</v>
          </cell>
          <cell r="F17371">
            <v>0</v>
          </cell>
          <cell r="DN17371">
            <v>0</v>
          </cell>
        </row>
        <row r="17372">
          <cell r="E17372">
            <v>0</v>
          </cell>
          <cell r="F17372">
            <v>0</v>
          </cell>
          <cell r="DN17372">
            <v>0</v>
          </cell>
        </row>
        <row r="17373">
          <cell r="E17373">
            <v>0</v>
          </cell>
          <cell r="F17373">
            <v>0</v>
          </cell>
          <cell r="DN17373">
            <v>0</v>
          </cell>
        </row>
        <row r="17374">
          <cell r="E17374">
            <v>0</v>
          </cell>
          <cell r="F17374">
            <v>0</v>
          </cell>
          <cell r="DN17374">
            <v>0</v>
          </cell>
        </row>
        <row r="17375">
          <cell r="E17375">
            <v>0</v>
          </cell>
          <cell r="F17375">
            <v>0</v>
          </cell>
          <cell r="DN17375">
            <v>0</v>
          </cell>
        </row>
        <row r="17376">
          <cell r="E17376">
            <v>0</v>
          </cell>
          <cell r="F17376">
            <v>0</v>
          </cell>
          <cell r="DN17376">
            <v>0</v>
          </cell>
        </row>
        <row r="17377">
          <cell r="E17377">
            <v>0</v>
          </cell>
          <cell r="F17377">
            <v>0</v>
          </cell>
          <cell r="DN17377">
            <v>0</v>
          </cell>
        </row>
        <row r="17378">
          <cell r="E17378">
            <v>0</v>
          </cell>
          <cell r="F17378">
            <v>0</v>
          </cell>
          <cell r="DN17378">
            <v>0</v>
          </cell>
        </row>
        <row r="17379">
          <cell r="E17379">
            <v>0</v>
          </cell>
          <cell r="F17379">
            <v>0</v>
          </cell>
          <cell r="DN17379">
            <v>0</v>
          </cell>
        </row>
        <row r="17380">
          <cell r="E17380">
            <v>0</v>
          </cell>
          <cell r="F17380">
            <v>0</v>
          </cell>
          <cell r="DN17380">
            <v>0</v>
          </cell>
        </row>
        <row r="17381">
          <cell r="E17381">
            <v>0</v>
          </cell>
          <cell r="F17381">
            <v>0</v>
          </cell>
          <cell r="DN17381">
            <v>0</v>
          </cell>
        </row>
        <row r="17382">
          <cell r="E17382">
            <v>0</v>
          </cell>
          <cell r="F17382">
            <v>0</v>
          </cell>
          <cell r="DN17382">
            <v>0</v>
          </cell>
        </row>
        <row r="17383">
          <cell r="E17383">
            <v>0</v>
          </cell>
          <cell r="F17383">
            <v>0</v>
          </cell>
          <cell r="DN17383">
            <v>0</v>
          </cell>
        </row>
        <row r="17384">
          <cell r="E17384">
            <v>0</v>
          </cell>
          <cell r="F17384">
            <v>0</v>
          </cell>
          <cell r="DN17384">
            <v>0</v>
          </cell>
        </row>
        <row r="17385">
          <cell r="E17385">
            <v>0</v>
          </cell>
          <cell r="F17385">
            <v>0</v>
          </cell>
          <cell r="DN17385">
            <v>0</v>
          </cell>
        </row>
        <row r="17386">
          <cell r="E17386">
            <v>0</v>
          </cell>
          <cell r="F17386">
            <v>0</v>
          </cell>
          <cell r="DN17386">
            <v>0</v>
          </cell>
        </row>
        <row r="17387">
          <cell r="E17387">
            <v>0</v>
          </cell>
          <cell r="F17387">
            <v>0</v>
          </cell>
          <cell r="DN17387">
            <v>0</v>
          </cell>
        </row>
        <row r="17388">
          <cell r="E17388">
            <v>0</v>
          </cell>
          <cell r="F17388">
            <v>0</v>
          </cell>
          <cell r="DN17388">
            <v>0</v>
          </cell>
        </row>
        <row r="17389">
          <cell r="E17389">
            <v>0</v>
          </cell>
          <cell r="F17389">
            <v>0</v>
          </cell>
          <cell r="DN17389">
            <v>0</v>
          </cell>
        </row>
        <row r="17390">
          <cell r="E17390">
            <v>0</v>
          </cell>
          <cell r="F17390">
            <v>0</v>
          </cell>
          <cell r="DN17390">
            <v>0</v>
          </cell>
        </row>
        <row r="17391">
          <cell r="E17391">
            <v>0</v>
          </cell>
          <cell r="F17391">
            <v>0</v>
          </cell>
          <cell r="DN17391">
            <v>0</v>
          </cell>
        </row>
        <row r="17392">
          <cell r="E17392">
            <v>0</v>
          </cell>
          <cell r="F17392">
            <v>0</v>
          </cell>
          <cell r="DN17392">
            <v>0</v>
          </cell>
        </row>
        <row r="17393">
          <cell r="E17393">
            <v>0</v>
          </cell>
          <cell r="F17393">
            <v>0</v>
          </cell>
          <cell r="DN17393">
            <v>0</v>
          </cell>
        </row>
        <row r="17394">
          <cell r="E17394">
            <v>0</v>
          </cell>
          <cell r="F17394">
            <v>0</v>
          </cell>
          <cell r="DN17394">
            <v>0</v>
          </cell>
        </row>
        <row r="17395">
          <cell r="E17395">
            <v>0</v>
          </cell>
          <cell r="F17395">
            <v>0</v>
          </cell>
          <cell r="DN17395">
            <v>0</v>
          </cell>
        </row>
        <row r="17396">
          <cell r="E17396">
            <v>0</v>
          </cell>
          <cell r="F17396">
            <v>0</v>
          </cell>
          <cell r="DN17396">
            <v>0</v>
          </cell>
        </row>
        <row r="17397">
          <cell r="E17397">
            <v>0</v>
          </cell>
          <cell r="F17397">
            <v>0</v>
          </cell>
          <cell r="DN17397">
            <v>0</v>
          </cell>
        </row>
        <row r="17398">
          <cell r="E17398">
            <v>0</v>
          </cell>
          <cell r="F17398">
            <v>0</v>
          </cell>
          <cell r="DN17398">
            <v>0</v>
          </cell>
        </row>
        <row r="17399">
          <cell r="E17399">
            <v>0</v>
          </cell>
          <cell r="F17399">
            <v>0</v>
          </cell>
          <cell r="DN17399">
            <v>0</v>
          </cell>
        </row>
        <row r="17400">
          <cell r="E17400">
            <v>0</v>
          </cell>
          <cell r="F17400">
            <v>0</v>
          </cell>
          <cell r="DN17400">
            <v>0</v>
          </cell>
        </row>
        <row r="17401">
          <cell r="E17401">
            <v>0</v>
          </cell>
          <cell r="F17401">
            <v>0</v>
          </cell>
          <cell r="DN17401">
            <v>0</v>
          </cell>
        </row>
        <row r="17402">
          <cell r="E17402">
            <v>0</v>
          </cell>
          <cell r="F17402">
            <v>0</v>
          </cell>
          <cell r="DN17402">
            <v>0</v>
          </cell>
        </row>
        <row r="17403">
          <cell r="E17403">
            <v>0</v>
          </cell>
          <cell r="F17403">
            <v>0</v>
          </cell>
          <cell r="DN17403">
            <v>0</v>
          </cell>
        </row>
        <row r="17404">
          <cell r="E17404">
            <v>0</v>
          </cell>
          <cell r="F17404">
            <v>0</v>
          </cell>
          <cell r="DN17404">
            <v>0</v>
          </cell>
        </row>
        <row r="17405">
          <cell r="E17405">
            <v>0</v>
          </cell>
          <cell r="F17405">
            <v>0</v>
          </cell>
          <cell r="DN17405">
            <v>0</v>
          </cell>
        </row>
        <row r="17406">
          <cell r="E17406">
            <v>0</v>
          </cell>
          <cell r="F17406">
            <v>0</v>
          </cell>
          <cell r="DN17406">
            <v>0</v>
          </cell>
        </row>
        <row r="17407">
          <cell r="E17407">
            <v>0</v>
          </cell>
          <cell r="F17407">
            <v>0</v>
          </cell>
          <cell r="DN17407">
            <v>0</v>
          </cell>
        </row>
        <row r="17408">
          <cell r="E17408">
            <v>0</v>
          </cell>
          <cell r="F17408">
            <v>0</v>
          </cell>
          <cell r="DN17408">
            <v>0</v>
          </cell>
        </row>
        <row r="17409">
          <cell r="E17409">
            <v>0</v>
          </cell>
          <cell r="F17409">
            <v>0</v>
          </cell>
          <cell r="DN17409">
            <v>0</v>
          </cell>
        </row>
        <row r="17410">
          <cell r="E17410">
            <v>0</v>
          </cell>
          <cell r="F17410">
            <v>0</v>
          </cell>
          <cell r="DN17410">
            <v>0</v>
          </cell>
        </row>
        <row r="17411">
          <cell r="E17411">
            <v>0</v>
          </cell>
          <cell r="F17411">
            <v>0</v>
          </cell>
          <cell r="DN17411">
            <v>0</v>
          </cell>
        </row>
        <row r="17412">
          <cell r="E17412">
            <v>0</v>
          </cell>
          <cell r="F17412">
            <v>0</v>
          </cell>
          <cell r="DN17412">
            <v>0</v>
          </cell>
        </row>
        <row r="17413">
          <cell r="E17413">
            <v>0</v>
          </cell>
          <cell r="F17413">
            <v>0</v>
          </cell>
          <cell r="DN17413">
            <v>0</v>
          </cell>
        </row>
        <row r="17414">
          <cell r="E17414">
            <v>0</v>
          </cell>
          <cell r="F17414">
            <v>0</v>
          </cell>
          <cell r="DN17414">
            <v>0</v>
          </cell>
        </row>
        <row r="17415">
          <cell r="E17415">
            <v>0</v>
          </cell>
          <cell r="F17415">
            <v>0</v>
          </cell>
          <cell r="DN17415">
            <v>0</v>
          </cell>
        </row>
        <row r="17416">
          <cell r="E17416">
            <v>0</v>
          </cell>
          <cell r="F17416">
            <v>0</v>
          </cell>
          <cell r="DN17416">
            <v>0</v>
          </cell>
        </row>
        <row r="17417">
          <cell r="E17417">
            <v>0</v>
          </cell>
          <cell r="F17417">
            <v>0</v>
          </cell>
          <cell r="DN17417">
            <v>0</v>
          </cell>
        </row>
        <row r="17418">
          <cell r="E17418">
            <v>0</v>
          </cell>
          <cell r="F17418">
            <v>0</v>
          </cell>
          <cell r="DN17418">
            <v>0</v>
          </cell>
        </row>
        <row r="17419">
          <cell r="E17419">
            <v>0</v>
          </cell>
          <cell r="F17419">
            <v>0</v>
          </cell>
          <cell r="DN17419">
            <v>0</v>
          </cell>
        </row>
        <row r="17420">
          <cell r="E17420">
            <v>0</v>
          </cell>
          <cell r="F17420">
            <v>0</v>
          </cell>
          <cell r="DN17420">
            <v>0</v>
          </cell>
        </row>
        <row r="17421">
          <cell r="E17421">
            <v>0</v>
          </cell>
          <cell r="F17421">
            <v>0</v>
          </cell>
          <cell r="DN17421">
            <v>0</v>
          </cell>
        </row>
        <row r="17422">
          <cell r="E17422">
            <v>0</v>
          </cell>
          <cell r="F17422">
            <v>0</v>
          </cell>
          <cell r="DN17422">
            <v>0</v>
          </cell>
        </row>
        <row r="17423">
          <cell r="E17423">
            <v>0</v>
          </cell>
          <cell r="F17423">
            <v>0</v>
          </cell>
          <cell r="DN17423">
            <v>0</v>
          </cell>
        </row>
        <row r="17424">
          <cell r="E17424">
            <v>0</v>
          </cell>
          <cell r="F17424">
            <v>0</v>
          </cell>
          <cell r="DN17424">
            <v>0</v>
          </cell>
        </row>
        <row r="17425">
          <cell r="E17425">
            <v>0</v>
          </cell>
          <cell r="F17425">
            <v>0</v>
          </cell>
          <cell r="DN17425">
            <v>0</v>
          </cell>
        </row>
        <row r="17426">
          <cell r="E17426">
            <v>0</v>
          </cell>
          <cell r="F17426">
            <v>0</v>
          </cell>
          <cell r="DN17426">
            <v>0</v>
          </cell>
        </row>
        <row r="17427">
          <cell r="E17427">
            <v>0</v>
          </cell>
          <cell r="F17427">
            <v>0</v>
          </cell>
          <cell r="DN17427">
            <v>0</v>
          </cell>
        </row>
        <row r="17428">
          <cell r="E17428">
            <v>0</v>
          </cell>
          <cell r="F17428">
            <v>0</v>
          </cell>
          <cell r="DN17428">
            <v>0</v>
          </cell>
        </row>
        <row r="17429">
          <cell r="E17429">
            <v>0</v>
          </cell>
          <cell r="F17429">
            <v>0</v>
          </cell>
          <cell r="DN17429">
            <v>0</v>
          </cell>
        </row>
        <row r="17430">
          <cell r="E17430">
            <v>0</v>
          </cell>
          <cell r="F17430">
            <v>0</v>
          </cell>
          <cell r="DN17430">
            <v>0</v>
          </cell>
        </row>
        <row r="17431">
          <cell r="E17431">
            <v>0</v>
          </cell>
          <cell r="F17431">
            <v>0</v>
          </cell>
          <cell r="DN17431">
            <v>0</v>
          </cell>
        </row>
        <row r="17432">
          <cell r="E17432">
            <v>0</v>
          </cell>
          <cell r="F17432">
            <v>0</v>
          </cell>
          <cell r="DN17432">
            <v>0</v>
          </cell>
        </row>
        <row r="17433">
          <cell r="E17433">
            <v>0</v>
          </cell>
          <cell r="F17433">
            <v>0</v>
          </cell>
          <cell r="DN17433">
            <v>0</v>
          </cell>
        </row>
        <row r="17434">
          <cell r="E17434">
            <v>0</v>
          </cell>
          <cell r="F17434">
            <v>0</v>
          </cell>
          <cell r="DN17434">
            <v>0</v>
          </cell>
        </row>
        <row r="17435">
          <cell r="E17435">
            <v>0</v>
          </cell>
          <cell r="F17435">
            <v>0</v>
          </cell>
          <cell r="DN17435">
            <v>0</v>
          </cell>
        </row>
        <row r="17436">
          <cell r="E17436">
            <v>0</v>
          </cell>
          <cell r="F17436">
            <v>0</v>
          </cell>
          <cell r="DN17436">
            <v>0</v>
          </cell>
        </row>
        <row r="17437">
          <cell r="E17437">
            <v>0</v>
          </cell>
          <cell r="F17437">
            <v>0</v>
          </cell>
          <cell r="DN17437">
            <v>0</v>
          </cell>
        </row>
        <row r="17438">
          <cell r="E17438">
            <v>0</v>
          </cell>
          <cell r="F17438">
            <v>0</v>
          </cell>
          <cell r="DN17438">
            <v>0</v>
          </cell>
        </row>
        <row r="17439">
          <cell r="E17439">
            <v>0</v>
          </cell>
          <cell r="F17439">
            <v>0</v>
          </cell>
          <cell r="DN17439">
            <v>0</v>
          </cell>
        </row>
        <row r="17440">
          <cell r="E17440">
            <v>0</v>
          </cell>
          <cell r="F17440">
            <v>0</v>
          </cell>
          <cell r="DN17440">
            <v>0</v>
          </cell>
        </row>
        <row r="17441">
          <cell r="E17441">
            <v>0</v>
          </cell>
          <cell r="F17441">
            <v>0</v>
          </cell>
          <cell r="DN17441">
            <v>0</v>
          </cell>
        </row>
        <row r="17442">
          <cell r="E17442">
            <v>0</v>
          </cell>
          <cell r="F17442">
            <v>0</v>
          </cell>
          <cell r="DN17442">
            <v>0</v>
          </cell>
        </row>
        <row r="17443">
          <cell r="E17443">
            <v>0</v>
          </cell>
          <cell r="F17443">
            <v>0</v>
          </cell>
          <cell r="DN17443">
            <v>0</v>
          </cell>
        </row>
        <row r="17444">
          <cell r="E17444">
            <v>0</v>
          </cell>
          <cell r="F17444">
            <v>0</v>
          </cell>
          <cell r="DN17444">
            <v>0</v>
          </cell>
        </row>
        <row r="17445">
          <cell r="E17445">
            <v>0</v>
          </cell>
          <cell r="F17445">
            <v>0</v>
          </cell>
          <cell r="DN17445">
            <v>0</v>
          </cell>
        </row>
        <row r="17446">
          <cell r="E17446">
            <v>0</v>
          </cell>
          <cell r="F17446">
            <v>0</v>
          </cell>
          <cell r="DN17446">
            <v>0</v>
          </cell>
        </row>
        <row r="17447">
          <cell r="E17447">
            <v>0</v>
          </cell>
          <cell r="F17447">
            <v>0</v>
          </cell>
          <cell r="DN17447">
            <v>0</v>
          </cell>
        </row>
        <row r="17448">
          <cell r="E17448">
            <v>0</v>
          </cell>
          <cell r="F17448">
            <v>0</v>
          </cell>
          <cell r="DN17448">
            <v>0</v>
          </cell>
        </row>
        <row r="17449">
          <cell r="E17449">
            <v>0</v>
          </cell>
          <cell r="F17449">
            <v>0</v>
          </cell>
          <cell r="DN17449">
            <v>0</v>
          </cell>
        </row>
        <row r="17450">
          <cell r="E17450">
            <v>0</v>
          </cell>
          <cell r="F17450">
            <v>0</v>
          </cell>
          <cell r="DN17450">
            <v>0</v>
          </cell>
        </row>
        <row r="17451">
          <cell r="E17451">
            <v>0</v>
          </cell>
          <cell r="F17451">
            <v>0</v>
          </cell>
          <cell r="DN17451">
            <v>0</v>
          </cell>
        </row>
        <row r="17452">
          <cell r="E17452">
            <v>0</v>
          </cell>
          <cell r="F17452">
            <v>0</v>
          </cell>
          <cell r="DN17452">
            <v>0</v>
          </cell>
        </row>
        <row r="17453">
          <cell r="E17453">
            <v>0</v>
          </cell>
          <cell r="F17453">
            <v>0</v>
          </cell>
          <cell r="DN17453">
            <v>0</v>
          </cell>
        </row>
        <row r="17454">
          <cell r="E17454">
            <v>0</v>
          </cell>
          <cell r="F17454">
            <v>0</v>
          </cell>
          <cell r="DN17454">
            <v>0</v>
          </cell>
        </row>
        <row r="17455">
          <cell r="E17455">
            <v>0</v>
          </cell>
          <cell r="F17455">
            <v>0</v>
          </cell>
          <cell r="DN17455">
            <v>0</v>
          </cell>
        </row>
        <row r="17456">
          <cell r="E17456">
            <v>0</v>
          </cell>
          <cell r="F17456">
            <v>0</v>
          </cell>
          <cell r="DN17456">
            <v>0</v>
          </cell>
        </row>
        <row r="17457">
          <cell r="E17457">
            <v>0</v>
          </cell>
          <cell r="F17457">
            <v>0</v>
          </cell>
          <cell r="DN17457">
            <v>0</v>
          </cell>
        </row>
        <row r="17458">
          <cell r="E17458">
            <v>0</v>
          </cell>
          <cell r="F17458">
            <v>0</v>
          </cell>
          <cell r="DN17458">
            <v>0</v>
          </cell>
        </row>
        <row r="17459">
          <cell r="E17459">
            <v>0</v>
          </cell>
          <cell r="F17459">
            <v>0</v>
          </cell>
          <cell r="DN17459">
            <v>0</v>
          </cell>
        </row>
        <row r="17460">
          <cell r="E17460">
            <v>0</v>
          </cell>
          <cell r="F17460">
            <v>0</v>
          </cell>
          <cell r="DN17460">
            <v>0</v>
          </cell>
        </row>
        <row r="17461">
          <cell r="E17461">
            <v>0</v>
          </cell>
          <cell r="F17461">
            <v>0</v>
          </cell>
          <cell r="DN17461">
            <v>0</v>
          </cell>
        </row>
        <row r="17462">
          <cell r="E17462">
            <v>0</v>
          </cell>
          <cell r="F17462">
            <v>0</v>
          </cell>
          <cell r="DN17462">
            <v>0</v>
          </cell>
        </row>
        <row r="17463">
          <cell r="E17463">
            <v>0</v>
          </cell>
          <cell r="F17463">
            <v>0</v>
          </cell>
          <cell r="DN17463">
            <v>0</v>
          </cell>
        </row>
        <row r="17464">
          <cell r="E17464">
            <v>0</v>
          </cell>
          <cell r="F17464">
            <v>0</v>
          </cell>
          <cell r="DN17464">
            <v>0</v>
          </cell>
        </row>
        <row r="17465">
          <cell r="E17465">
            <v>0</v>
          </cell>
          <cell r="F17465">
            <v>0</v>
          </cell>
          <cell r="DN17465">
            <v>0</v>
          </cell>
        </row>
        <row r="17466">
          <cell r="E17466">
            <v>0</v>
          </cell>
          <cell r="F17466">
            <v>0</v>
          </cell>
          <cell r="DN17466">
            <v>0</v>
          </cell>
        </row>
        <row r="17467">
          <cell r="E17467">
            <v>0</v>
          </cell>
          <cell r="F17467">
            <v>0</v>
          </cell>
          <cell r="DN17467">
            <v>0</v>
          </cell>
        </row>
        <row r="17468">
          <cell r="E17468">
            <v>0</v>
          </cell>
          <cell r="F17468">
            <v>0</v>
          </cell>
          <cell r="DN17468">
            <v>0</v>
          </cell>
        </row>
        <row r="17469">
          <cell r="E17469">
            <v>0</v>
          </cell>
          <cell r="F17469">
            <v>0</v>
          </cell>
          <cell r="DN17469">
            <v>0</v>
          </cell>
        </row>
        <row r="17470">
          <cell r="E17470">
            <v>0</v>
          </cell>
          <cell r="F17470">
            <v>0</v>
          </cell>
          <cell r="DN17470">
            <v>0</v>
          </cell>
        </row>
        <row r="17471">
          <cell r="E17471">
            <v>0</v>
          </cell>
          <cell r="F17471">
            <v>0</v>
          </cell>
          <cell r="DN17471">
            <v>0</v>
          </cell>
        </row>
        <row r="17472">
          <cell r="E17472">
            <v>0</v>
          </cell>
          <cell r="F17472">
            <v>0</v>
          </cell>
          <cell r="DN17472">
            <v>0</v>
          </cell>
        </row>
        <row r="17473">
          <cell r="E17473">
            <v>0</v>
          </cell>
          <cell r="F17473">
            <v>0</v>
          </cell>
          <cell r="DN17473">
            <v>0</v>
          </cell>
        </row>
        <row r="17474">
          <cell r="E17474">
            <v>0</v>
          </cell>
          <cell r="F17474">
            <v>0</v>
          </cell>
          <cell r="DN17474">
            <v>0</v>
          </cell>
        </row>
        <row r="17475">
          <cell r="E17475">
            <v>0</v>
          </cell>
          <cell r="F17475">
            <v>0</v>
          </cell>
          <cell r="DN17475">
            <v>0</v>
          </cell>
        </row>
        <row r="17476">
          <cell r="E17476">
            <v>0</v>
          </cell>
          <cell r="F17476">
            <v>0</v>
          </cell>
          <cell r="DN17476">
            <v>0</v>
          </cell>
        </row>
        <row r="17477">
          <cell r="E17477">
            <v>0</v>
          </cell>
          <cell r="F17477">
            <v>0</v>
          </cell>
          <cell r="DN17477">
            <v>0</v>
          </cell>
        </row>
        <row r="17478">
          <cell r="E17478">
            <v>0</v>
          </cell>
          <cell r="F17478">
            <v>0</v>
          </cell>
          <cell r="DN17478">
            <v>0</v>
          </cell>
        </row>
        <row r="17479">
          <cell r="E17479">
            <v>0</v>
          </cell>
          <cell r="F17479">
            <v>0</v>
          </cell>
          <cell r="DN17479">
            <v>0</v>
          </cell>
        </row>
        <row r="17480">
          <cell r="E17480">
            <v>0</v>
          </cell>
          <cell r="F17480">
            <v>0</v>
          </cell>
          <cell r="DN17480">
            <v>0</v>
          </cell>
        </row>
        <row r="17481">
          <cell r="E17481">
            <v>0</v>
          </cell>
          <cell r="F17481">
            <v>0</v>
          </cell>
          <cell r="DN17481">
            <v>0</v>
          </cell>
        </row>
        <row r="17482">
          <cell r="E17482">
            <v>0</v>
          </cell>
          <cell r="F17482">
            <v>0</v>
          </cell>
          <cell r="DN17482">
            <v>0</v>
          </cell>
        </row>
        <row r="17483">
          <cell r="E17483">
            <v>0</v>
          </cell>
          <cell r="F17483">
            <v>0</v>
          </cell>
          <cell r="DN17483">
            <v>0</v>
          </cell>
        </row>
        <row r="17484">
          <cell r="E17484">
            <v>0</v>
          </cell>
          <cell r="F17484">
            <v>0</v>
          </cell>
          <cell r="DN17484">
            <v>0</v>
          </cell>
        </row>
        <row r="17485">
          <cell r="E17485">
            <v>0</v>
          </cell>
          <cell r="F17485">
            <v>0</v>
          </cell>
          <cell r="DN17485">
            <v>0</v>
          </cell>
        </row>
        <row r="17486">
          <cell r="E17486">
            <v>0</v>
          </cell>
          <cell r="F17486">
            <v>0</v>
          </cell>
          <cell r="DN17486">
            <v>0</v>
          </cell>
        </row>
        <row r="17487">
          <cell r="E17487">
            <v>0</v>
          </cell>
          <cell r="F17487">
            <v>0</v>
          </cell>
          <cell r="DN17487">
            <v>0</v>
          </cell>
        </row>
        <row r="17488">
          <cell r="E17488">
            <v>0</v>
          </cell>
          <cell r="F17488">
            <v>0</v>
          </cell>
          <cell r="DN17488">
            <v>0</v>
          </cell>
        </row>
        <row r="17489">
          <cell r="E17489">
            <v>0</v>
          </cell>
          <cell r="F17489">
            <v>0</v>
          </cell>
          <cell r="DN17489">
            <v>0</v>
          </cell>
        </row>
        <row r="17490">
          <cell r="E17490">
            <v>0</v>
          </cell>
          <cell r="F17490">
            <v>0</v>
          </cell>
          <cell r="DN17490">
            <v>0</v>
          </cell>
        </row>
        <row r="17491">
          <cell r="E17491">
            <v>0</v>
          </cell>
          <cell r="F17491">
            <v>0</v>
          </cell>
          <cell r="DN17491">
            <v>0</v>
          </cell>
        </row>
        <row r="17492">
          <cell r="E17492">
            <v>0</v>
          </cell>
          <cell r="F17492">
            <v>0</v>
          </cell>
          <cell r="DN17492">
            <v>0</v>
          </cell>
        </row>
        <row r="17493">
          <cell r="E17493">
            <v>0</v>
          </cell>
          <cell r="F17493">
            <v>0</v>
          </cell>
          <cell r="DN17493">
            <v>0</v>
          </cell>
        </row>
        <row r="17494">
          <cell r="E17494">
            <v>0</v>
          </cell>
          <cell r="F17494">
            <v>0</v>
          </cell>
          <cell r="DN17494">
            <v>0</v>
          </cell>
        </row>
        <row r="17495">
          <cell r="E17495">
            <v>0</v>
          </cell>
          <cell r="F17495">
            <v>0</v>
          </cell>
          <cell r="DN17495">
            <v>0</v>
          </cell>
        </row>
        <row r="17496">
          <cell r="E17496">
            <v>0</v>
          </cell>
          <cell r="F17496">
            <v>0</v>
          </cell>
          <cell r="DN17496">
            <v>0</v>
          </cell>
        </row>
        <row r="17497">
          <cell r="E17497">
            <v>0</v>
          </cell>
          <cell r="F17497">
            <v>0</v>
          </cell>
          <cell r="DN17497">
            <v>0</v>
          </cell>
        </row>
        <row r="17498">
          <cell r="E17498">
            <v>0</v>
          </cell>
          <cell r="F17498">
            <v>0</v>
          </cell>
          <cell r="DN17498">
            <v>0</v>
          </cell>
        </row>
        <row r="17499">
          <cell r="E17499">
            <v>0</v>
          </cell>
          <cell r="F17499">
            <v>0</v>
          </cell>
          <cell r="DN17499">
            <v>0</v>
          </cell>
        </row>
        <row r="17500">
          <cell r="E17500">
            <v>0</v>
          </cell>
          <cell r="F17500">
            <v>0</v>
          </cell>
          <cell r="DN17500">
            <v>0</v>
          </cell>
        </row>
        <row r="17501">
          <cell r="E17501">
            <v>0</v>
          </cell>
          <cell r="F17501">
            <v>0</v>
          </cell>
          <cell r="DN17501">
            <v>0</v>
          </cell>
        </row>
        <row r="17502">
          <cell r="E17502">
            <v>0</v>
          </cell>
          <cell r="F17502">
            <v>0</v>
          </cell>
          <cell r="DN17502">
            <v>0</v>
          </cell>
        </row>
        <row r="17503">
          <cell r="E17503">
            <v>0</v>
          </cell>
          <cell r="F17503">
            <v>0</v>
          </cell>
          <cell r="DN17503">
            <v>0</v>
          </cell>
        </row>
        <row r="17504">
          <cell r="E17504">
            <v>0</v>
          </cell>
          <cell r="F17504">
            <v>0</v>
          </cell>
          <cell r="DN17504">
            <v>0</v>
          </cell>
        </row>
        <row r="17505">
          <cell r="E17505">
            <v>0</v>
          </cell>
          <cell r="F17505">
            <v>0</v>
          </cell>
          <cell r="DN17505">
            <v>0</v>
          </cell>
        </row>
        <row r="17506">
          <cell r="E17506">
            <v>0</v>
          </cell>
          <cell r="F17506">
            <v>0</v>
          </cell>
          <cell r="DN17506">
            <v>0</v>
          </cell>
        </row>
        <row r="17507">
          <cell r="E17507">
            <v>0</v>
          </cell>
          <cell r="F17507">
            <v>0</v>
          </cell>
          <cell r="DN17507">
            <v>0</v>
          </cell>
        </row>
        <row r="17508">
          <cell r="E17508">
            <v>0</v>
          </cell>
          <cell r="F17508">
            <v>0</v>
          </cell>
          <cell r="DN17508">
            <v>0</v>
          </cell>
        </row>
        <row r="17509">
          <cell r="E17509">
            <v>0</v>
          </cell>
          <cell r="F17509">
            <v>0</v>
          </cell>
          <cell r="DN17509">
            <v>0</v>
          </cell>
        </row>
        <row r="17510">
          <cell r="E17510">
            <v>0</v>
          </cell>
          <cell r="F17510">
            <v>0</v>
          </cell>
          <cell r="DN17510">
            <v>0</v>
          </cell>
        </row>
        <row r="17511">
          <cell r="E17511">
            <v>0</v>
          </cell>
          <cell r="F17511">
            <v>0</v>
          </cell>
          <cell r="DN17511">
            <v>0</v>
          </cell>
        </row>
        <row r="17512">
          <cell r="E17512">
            <v>0</v>
          </cell>
          <cell r="F17512">
            <v>0</v>
          </cell>
          <cell r="DN17512">
            <v>0</v>
          </cell>
        </row>
        <row r="17513">
          <cell r="E17513">
            <v>0</v>
          </cell>
          <cell r="F17513">
            <v>0</v>
          </cell>
          <cell r="DN17513">
            <v>0</v>
          </cell>
        </row>
        <row r="17514">
          <cell r="E17514">
            <v>0</v>
          </cell>
          <cell r="F17514">
            <v>0</v>
          </cell>
          <cell r="DN17514">
            <v>0</v>
          </cell>
        </row>
        <row r="17515">
          <cell r="E17515">
            <v>0</v>
          </cell>
          <cell r="F17515">
            <v>0</v>
          </cell>
          <cell r="DN17515">
            <v>0</v>
          </cell>
        </row>
        <row r="17516">
          <cell r="E17516">
            <v>0</v>
          </cell>
          <cell r="F17516">
            <v>0</v>
          </cell>
          <cell r="DN17516">
            <v>0</v>
          </cell>
        </row>
        <row r="17517">
          <cell r="E17517">
            <v>0</v>
          </cell>
          <cell r="F17517">
            <v>0</v>
          </cell>
          <cell r="DN17517">
            <v>0</v>
          </cell>
        </row>
        <row r="17518">
          <cell r="E17518">
            <v>0</v>
          </cell>
          <cell r="F17518">
            <v>0</v>
          </cell>
          <cell r="DN17518">
            <v>0</v>
          </cell>
        </row>
        <row r="17519">
          <cell r="E17519">
            <v>0</v>
          </cell>
          <cell r="F17519">
            <v>0</v>
          </cell>
          <cell r="DN17519">
            <v>0</v>
          </cell>
        </row>
        <row r="17520">
          <cell r="E17520">
            <v>0</v>
          </cell>
          <cell r="F17520">
            <v>0</v>
          </cell>
          <cell r="DN17520">
            <v>0</v>
          </cell>
        </row>
        <row r="17521">
          <cell r="E17521">
            <v>0</v>
          </cell>
          <cell r="F17521">
            <v>0</v>
          </cell>
          <cell r="DN17521">
            <v>0</v>
          </cell>
        </row>
        <row r="17522">
          <cell r="E17522">
            <v>0</v>
          </cell>
          <cell r="F17522">
            <v>0</v>
          </cell>
          <cell r="DN17522">
            <v>0</v>
          </cell>
        </row>
        <row r="17523">
          <cell r="E17523">
            <v>0</v>
          </cell>
          <cell r="F17523">
            <v>0</v>
          </cell>
          <cell r="DN17523">
            <v>0</v>
          </cell>
        </row>
        <row r="17524">
          <cell r="E17524">
            <v>0</v>
          </cell>
          <cell r="F17524">
            <v>0</v>
          </cell>
          <cell r="DN17524">
            <v>0</v>
          </cell>
        </row>
        <row r="17525">
          <cell r="E17525">
            <v>0</v>
          </cell>
          <cell r="F17525">
            <v>0</v>
          </cell>
          <cell r="DN17525">
            <v>0</v>
          </cell>
        </row>
        <row r="17526">
          <cell r="E17526">
            <v>0</v>
          </cell>
          <cell r="F17526">
            <v>0</v>
          </cell>
          <cell r="DN17526">
            <v>0</v>
          </cell>
        </row>
        <row r="17527">
          <cell r="E17527">
            <v>0</v>
          </cell>
          <cell r="F17527">
            <v>0</v>
          </cell>
          <cell r="DN17527">
            <v>0</v>
          </cell>
        </row>
        <row r="17528">
          <cell r="E17528">
            <v>0</v>
          </cell>
          <cell r="F17528">
            <v>0</v>
          </cell>
          <cell r="DN17528">
            <v>0</v>
          </cell>
        </row>
        <row r="17529">
          <cell r="E17529">
            <v>0</v>
          </cell>
          <cell r="F17529">
            <v>0</v>
          </cell>
          <cell r="DN17529">
            <v>0</v>
          </cell>
        </row>
        <row r="17530">
          <cell r="E17530">
            <v>0</v>
          </cell>
          <cell r="F17530">
            <v>0</v>
          </cell>
          <cell r="DN17530">
            <v>0</v>
          </cell>
        </row>
        <row r="17531">
          <cell r="E17531">
            <v>0</v>
          </cell>
          <cell r="F17531">
            <v>0</v>
          </cell>
          <cell r="DN17531">
            <v>0</v>
          </cell>
        </row>
        <row r="17532">
          <cell r="E17532">
            <v>0</v>
          </cell>
          <cell r="F17532">
            <v>0</v>
          </cell>
          <cell r="DN17532">
            <v>0</v>
          </cell>
        </row>
        <row r="17533">
          <cell r="E17533">
            <v>0</v>
          </cell>
          <cell r="F17533">
            <v>0</v>
          </cell>
          <cell r="DN17533">
            <v>0</v>
          </cell>
        </row>
        <row r="17534">
          <cell r="E17534">
            <v>0</v>
          </cell>
          <cell r="F17534">
            <v>0</v>
          </cell>
          <cell r="DN17534">
            <v>0</v>
          </cell>
        </row>
        <row r="17535">
          <cell r="E17535">
            <v>0</v>
          </cell>
          <cell r="F17535">
            <v>0</v>
          </cell>
          <cell r="DN17535">
            <v>0</v>
          </cell>
        </row>
        <row r="17536">
          <cell r="E17536">
            <v>0</v>
          </cell>
          <cell r="F17536">
            <v>0</v>
          </cell>
          <cell r="DN17536">
            <v>0</v>
          </cell>
        </row>
        <row r="17537">
          <cell r="E17537">
            <v>0</v>
          </cell>
          <cell r="F17537">
            <v>0</v>
          </cell>
          <cell r="DN17537">
            <v>0</v>
          </cell>
        </row>
        <row r="17538">
          <cell r="E17538">
            <v>0</v>
          </cell>
          <cell r="F17538">
            <v>0</v>
          </cell>
          <cell r="DN17538">
            <v>0</v>
          </cell>
        </row>
        <row r="17539">
          <cell r="E17539">
            <v>0</v>
          </cell>
          <cell r="F17539">
            <v>0</v>
          </cell>
          <cell r="DN17539">
            <v>0</v>
          </cell>
        </row>
        <row r="17540">
          <cell r="E17540">
            <v>0</v>
          </cell>
          <cell r="F17540">
            <v>0</v>
          </cell>
          <cell r="DN17540">
            <v>0</v>
          </cell>
        </row>
        <row r="17541">
          <cell r="E17541">
            <v>0</v>
          </cell>
          <cell r="F17541">
            <v>0</v>
          </cell>
          <cell r="DN17541">
            <v>0</v>
          </cell>
        </row>
        <row r="17542">
          <cell r="E17542">
            <v>0</v>
          </cell>
          <cell r="F17542">
            <v>0</v>
          </cell>
          <cell r="DN17542">
            <v>0</v>
          </cell>
        </row>
        <row r="17543">
          <cell r="E17543">
            <v>0</v>
          </cell>
          <cell r="F17543">
            <v>0</v>
          </cell>
          <cell r="DN17543">
            <v>0</v>
          </cell>
        </row>
        <row r="17544">
          <cell r="E17544">
            <v>0</v>
          </cell>
          <cell r="F17544">
            <v>0</v>
          </cell>
          <cell r="DN17544">
            <v>0</v>
          </cell>
        </row>
        <row r="17545">
          <cell r="E17545">
            <v>0</v>
          </cell>
          <cell r="F17545">
            <v>0</v>
          </cell>
          <cell r="DN17545">
            <v>0</v>
          </cell>
        </row>
        <row r="17546">
          <cell r="E17546">
            <v>0</v>
          </cell>
          <cell r="F17546">
            <v>0</v>
          </cell>
          <cell r="DN17546">
            <v>0</v>
          </cell>
        </row>
        <row r="17547">
          <cell r="E17547">
            <v>0</v>
          </cell>
          <cell r="F17547">
            <v>0</v>
          </cell>
          <cell r="DN17547">
            <v>0</v>
          </cell>
        </row>
        <row r="17548">
          <cell r="E17548">
            <v>0</v>
          </cell>
          <cell r="F17548">
            <v>0</v>
          </cell>
          <cell r="DN17548">
            <v>0</v>
          </cell>
        </row>
        <row r="17549">
          <cell r="E17549">
            <v>0</v>
          </cell>
          <cell r="F17549">
            <v>0</v>
          </cell>
          <cell r="DN17549">
            <v>0</v>
          </cell>
        </row>
        <row r="17550">
          <cell r="E17550">
            <v>0</v>
          </cell>
          <cell r="F17550">
            <v>0</v>
          </cell>
          <cell r="DN17550">
            <v>0</v>
          </cell>
        </row>
        <row r="17551">
          <cell r="E17551">
            <v>0</v>
          </cell>
          <cell r="F17551">
            <v>0</v>
          </cell>
          <cell r="DN17551">
            <v>0</v>
          </cell>
        </row>
        <row r="17552">
          <cell r="E17552">
            <v>0</v>
          </cell>
          <cell r="F17552">
            <v>0</v>
          </cell>
          <cell r="DN17552">
            <v>0</v>
          </cell>
        </row>
        <row r="17553">
          <cell r="E17553">
            <v>0</v>
          </cell>
          <cell r="F17553">
            <v>0</v>
          </cell>
          <cell r="DN17553">
            <v>0</v>
          </cell>
        </row>
        <row r="17554">
          <cell r="E17554">
            <v>0</v>
          </cell>
          <cell r="F17554">
            <v>0</v>
          </cell>
          <cell r="DN17554">
            <v>0</v>
          </cell>
        </row>
        <row r="17555">
          <cell r="E17555">
            <v>0</v>
          </cell>
          <cell r="F17555">
            <v>0</v>
          </cell>
          <cell r="DN17555">
            <v>0</v>
          </cell>
        </row>
        <row r="17556">
          <cell r="E17556">
            <v>0</v>
          </cell>
          <cell r="F17556">
            <v>0</v>
          </cell>
          <cell r="DN17556">
            <v>0</v>
          </cell>
        </row>
        <row r="17557">
          <cell r="E17557">
            <v>0</v>
          </cell>
          <cell r="F17557">
            <v>0</v>
          </cell>
          <cell r="DN17557">
            <v>0</v>
          </cell>
        </row>
        <row r="17558">
          <cell r="E17558">
            <v>0</v>
          </cell>
          <cell r="F17558">
            <v>0</v>
          </cell>
          <cell r="DN17558">
            <v>0</v>
          </cell>
        </row>
        <row r="17559">
          <cell r="E17559">
            <v>0</v>
          </cell>
          <cell r="F17559">
            <v>0</v>
          </cell>
          <cell r="DN17559">
            <v>0</v>
          </cell>
        </row>
        <row r="17560">
          <cell r="E17560">
            <v>0</v>
          </cell>
          <cell r="F17560">
            <v>0</v>
          </cell>
          <cell r="DN17560">
            <v>0</v>
          </cell>
        </row>
        <row r="17561">
          <cell r="E17561">
            <v>0</v>
          </cell>
          <cell r="F17561">
            <v>0</v>
          </cell>
          <cell r="DN17561">
            <v>0</v>
          </cell>
        </row>
        <row r="17562">
          <cell r="E17562">
            <v>0</v>
          </cell>
          <cell r="F17562">
            <v>0</v>
          </cell>
          <cell r="DN17562">
            <v>0</v>
          </cell>
        </row>
        <row r="17563">
          <cell r="E17563">
            <v>0</v>
          </cell>
          <cell r="F17563">
            <v>0</v>
          </cell>
          <cell r="DN17563">
            <v>0</v>
          </cell>
        </row>
        <row r="17564">
          <cell r="E17564">
            <v>0</v>
          </cell>
          <cell r="F17564">
            <v>0</v>
          </cell>
          <cell r="DN17564">
            <v>0</v>
          </cell>
        </row>
        <row r="17565">
          <cell r="E17565">
            <v>0</v>
          </cell>
          <cell r="F17565">
            <v>0</v>
          </cell>
          <cell r="DN17565">
            <v>0</v>
          </cell>
        </row>
        <row r="17566">
          <cell r="E17566">
            <v>0</v>
          </cell>
          <cell r="F17566">
            <v>0</v>
          </cell>
          <cell r="DN17566">
            <v>0</v>
          </cell>
        </row>
        <row r="17567">
          <cell r="E17567">
            <v>0</v>
          </cell>
          <cell r="F17567">
            <v>0</v>
          </cell>
          <cell r="DN17567">
            <v>0</v>
          </cell>
        </row>
        <row r="17568">
          <cell r="E17568">
            <v>0</v>
          </cell>
          <cell r="F17568">
            <v>0</v>
          </cell>
          <cell r="DN17568">
            <v>0</v>
          </cell>
        </row>
        <row r="17569">
          <cell r="E17569">
            <v>0</v>
          </cell>
          <cell r="F17569">
            <v>0</v>
          </cell>
          <cell r="DN17569">
            <v>0</v>
          </cell>
        </row>
        <row r="17570">
          <cell r="E17570">
            <v>0</v>
          </cell>
          <cell r="F17570">
            <v>0</v>
          </cell>
          <cell r="DN17570">
            <v>0</v>
          </cell>
        </row>
        <row r="17571">
          <cell r="E17571">
            <v>0</v>
          </cell>
          <cell r="F17571">
            <v>0</v>
          </cell>
          <cell r="DN17571">
            <v>0</v>
          </cell>
        </row>
        <row r="17572">
          <cell r="E17572">
            <v>0</v>
          </cell>
          <cell r="F17572">
            <v>0</v>
          </cell>
          <cell r="DN17572">
            <v>0</v>
          </cell>
        </row>
        <row r="17573">
          <cell r="E17573">
            <v>0</v>
          </cell>
          <cell r="F17573">
            <v>0</v>
          </cell>
          <cell r="DN17573">
            <v>0</v>
          </cell>
        </row>
        <row r="17574">
          <cell r="E17574">
            <v>0</v>
          </cell>
          <cell r="F17574">
            <v>0</v>
          </cell>
          <cell r="DN17574">
            <v>0</v>
          </cell>
        </row>
        <row r="17575">
          <cell r="E17575">
            <v>0</v>
          </cell>
          <cell r="F17575">
            <v>0</v>
          </cell>
          <cell r="DN17575">
            <v>0</v>
          </cell>
        </row>
        <row r="17576">
          <cell r="E17576">
            <v>0</v>
          </cell>
          <cell r="F17576">
            <v>0</v>
          </cell>
          <cell r="DN17576">
            <v>0</v>
          </cell>
        </row>
        <row r="17577">
          <cell r="E17577">
            <v>0</v>
          </cell>
          <cell r="F17577">
            <v>0</v>
          </cell>
          <cell r="DN17577">
            <v>0</v>
          </cell>
        </row>
        <row r="17578">
          <cell r="E17578">
            <v>0</v>
          </cell>
          <cell r="F17578">
            <v>0</v>
          </cell>
          <cell r="DN17578">
            <v>0</v>
          </cell>
        </row>
        <row r="17579">
          <cell r="E17579">
            <v>0</v>
          </cell>
          <cell r="F17579">
            <v>0</v>
          </cell>
          <cell r="DN17579">
            <v>0</v>
          </cell>
        </row>
        <row r="17580">
          <cell r="E17580">
            <v>0</v>
          </cell>
          <cell r="F17580">
            <v>0</v>
          </cell>
          <cell r="DN17580">
            <v>0</v>
          </cell>
        </row>
        <row r="17581">
          <cell r="E17581">
            <v>0</v>
          </cell>
          <cell r="F17581">
            <v>0</v>
          </cell>
          <cell r="DN17581">
            <v>0</v>
          </cell>
        </row>
        <row r="17582">
          <cell r="E17582">
            <v>0</v>
          </cell>
          <cell r="F17582">
            <v>0</v>
          </cell>
          <cell r="DN17582">
            <v>0</v>
          </cell>
        </row>
        <row r="17583">
          <cell r="E17583">
            <v>0</v>
          </cell>
          <cell r="F17583">
            <v>0</v>
          </cell>
          <cell r="DN17583">
            <v>0</v>
          </cell>
        </row>
        <row r="17584">
          <cell r="E17584">
            <v>0</v>
          </cell>
          <cell r="F17584">
            <v>0</v>
          </cell>
          <cell r="DN17584">
            <v>0</v>
          </cell>
        </row>
        <row r="17585">
          <cell r="E17585">
            <v>0</v>
          </cell>
          <cell r="F17585">
            <v>0</v>
          </cell>
          <cell r="DN17585">
            <v>0</v>
          </cell>
        </row>
        <row r="17586">
          <cell r="E17586">
            <v>0</v>
          </cell>
          <cell r="F17586">
            <v>0</v>
          </cell>
          <cell r="DN17586">
            <v>0</v>
          </cell>
        </row>
        <row r="17587">
          <cell r="E17587">
            <v>0</v>
          </cell>
          <cell r="F17587">
            <v>0</v>
          </cell>
          <cell r="DN17587">
            <v>0</v>
          </cell>
        </row>
        <row r="17588">
          <cell r="E17588">
            <v>0</v>
          </cell>
          <cell r="F17588">
            <v>0</v>
          </cell>
          <cell r="DN17588">
            <v>0</v>
          </cell>
        </row>
        <row r="17589">
          <cell r="E17589">
            <v>0</v>
          </cell>
          <cell r="F17589">
            <v>0</v>
          </cell>
          <cell r="DN17589">
            <v>0</v>
          </cell>
        </row>
        <row r="17590">
          <cell r="E17590">
            <v>0</v>
          </cell>
          <cell r="F17590">
            <v>0</v>
          </cell>
          <cell r="DN17590">
            <v>0</v>
          </cell>
        </row>
        <row r="17591">
          <cell r="E17591">
            <v>0</v>
          </cell>
          <cell r="F17591">
            <v>0</v>
          </cell>
          <cell r="DN17591">
            <v>0</v>
          </cell>
        </row>
        <row r="17592">
          <cell r="E17592">
            <v>0</v>
          </cell>
          <cell r="F17592">
            <v>0</v>
          </cell>
          <cell r="DN17592">
            <v>0</v>
          </cell>
        </row>
        <row r="17593">
          <cell r="E17593">
            <v>0</v>
          </cell>
          <cell r="F17593">
            <v>0</v>
          </cell>
          <cell r="DN17593">
            <v>0</v>
          </cell>
        </row>
        <row r="17594">
          <cell r="E17594">
            <v>0</v>
          </cell>
          <cell r="F17594">
            <v>0</v>
          </cell>
          <cell r="DN17594">
            <v>0</v>
          </cell>
        </row>
        <row r="17595">
          <cell r="E17595">
            <v>0</v>
          </cell>
          <cell r="F17595">
            <v>0</v>
          </cell>
          <cell r="DN17595">
            <v>0</v>
          </cell>
        </row>
        <row r="17596">
          <cell r="E17596">
            <v>0</v>
          </cell>
          <cell r="F17596">
            <v>0</v>
          </cell>
          <cell r="DN17596">
            <v>0</v>
          </cell>
        </row>
        <row r="17597">
          <cell r="E17597">
            <v>0</v>
          </cell>
          <cell r="F17597">
            <v>0</v>
          </cell>
          <cell r="DN17597">
            <v>0</v>
          </cell>
        </row>
        <row r="17598">
          <cell r="E17598">
            <v>0</v>
          </cell>
          <cell r="F17598">
            <v>0</v>
          </cell>
          <cell r="DN17598">
            <v>0</v>
          </cell>
        </row>
        <row r="17599">
          <cell r="E17599">
            <v>0</v>
          </cell>
          <cell r="F17599">
            <v>0</v>
          </cell>
          <cell r="DN17599">
            <v>0</v>
          </cell>
        </row>
        <row r="17600">
          <cell r="E17600">
            <v>0</v>
          </cell>
          <cell r="F17600">
            <v>0</v>
          </cell>
          <cell r="DN17600">
            <v>0</v>
          </cell>
        </row>
        <row r="17601">
          <cell r="E17601">
            <v>0</v>
          </cell>
          <cell r="F17601">
            <v>0</v>
          </cell>
          <cell r="DN17601">
            <v>0</v>
          </cell>
        </row>
        <row r="17602">
          <cell r="E17602">
            <v>0</v>
          </cell>
          <cell r="F17602">
            <v>0</v>
          </cell>
          <cell r="DN17602">
            <v>0</v>
          </cell>
        </row>
        <row r="17603">
          <cell r="E17603">
            <v>0</v>
          </cell>
          <cell r="F17603">
            <v>0</v>
          </cell>
          <cell r="DN17603">
            <v>0</v>
          </cell>
        </row>
        <row r="17604">
          <cell r="E17604">
            <v>0</v>
          </cell>
          <cell r="F17604">
            <v>0</v>
          </cell>
          <cell r="DN17604">
            <v>0</v>
          </cell>
        </row>
        <row r="17605">
          <cell r="E17605">
            <v>0</v>
          </cell>
          <cell r="F17605">
            <v>0</v>
          </cell>
          <cell r="DN17605">
            <v>0</v>
          </cell>
        </row>
        <row r="17606">
          <cell r="E17606">
            <v>0</v>
          </cell>
          <cell r="F17606">
            <v>0</v>
          </cell>
          <cell r="DN17606">
            <v>0</v>
          </cell>
        </row>
        <row r="17607">
          <cell r="E17607">
            <v>0</v>
          </cell>
          <cell r="F17607">
            <v>0</v>
          </cell>
          <cell r="DN17607">
            <v>0</v>
          </cell>
        </row>
        <row r="17608">
          <cell r="E17608">
            <v>0</v>
          </cell>
          <cell r="F17608">
            <v>0</v>
          </cell>
          <cell r="DN17608">
            <v>0</v>
          </cell>
        </row>
        <row r="17609">
          <cell r="E17609">
            <v>0</v>
          </cell>
          <cell r="F17609">
            <v>0</v>
          </cell>
          <cell r="DN17609">
            <v>0</v>
          </cell>
        </row>
        <row r="17610">
          <cell r="E17610">
            <v>0</v>
          </cell>
          <cell r="F17610">
            <v>0</v>
          </cell>
          <cell r="DN17610">
            <v>0</v>
          </cell>
        </row>
        <row r="17611">
          <cell r="E17611">
            <v>0</v>
          </cell>
          <cell r="F17611">
            <v>0</v>
          </cell>
          <cell r="DN17611">
            <v>0</v>
          </cell>
        </row>
        <row r="17612">
          <cell r="E17612">
            <v>0</v>
          </cell>
          <cell r="F17612">
            <v>0</v>
          </cell>
          <cell r="DN17612">
            <v>0</v>
          </cell>
        </row>
        <row r="17613">
          <cell r="E17613">
            <v>0</v>
          </cell>
          <cell r="F17613">
            <v>0</v>
          </cell>
          <cell r="DN17613">
            <v>0</v>
          </cell>
        </row>
        <row r="17614">
          <cell r="E17614">
            <v>0</v>
          </cell>
          <cell r="F17614">
            <v>0</v>
          </cell>
          <cell r="DN17614">
            <v>0</v>
          </cell>
        </row>
        <row r="17615">
          <cell r="E17615">
            <v>0</v>
          </cell>
          <cell r="F17615">
            <v>0</v>
          </cell>
          <cell r="DN17615">
            <v>0</v>
          </cell>
        </row>
        <row r="17616">
          <cell r="E17616">
            <v>0</v>
          </cell>
          <cell r="F17616">
            <v>0</v>
          </cell>
          <cell r="DN17616">
            <v>0</v>
          </cell>
        </row>
        <row r="17617">
          <cell r="E17617">
            <v>0</v>
          </cell>
          <cell r="F17617">
            <v>0</v>
          </cell>
          <cell r="DN17617">
            <v>0</v>
          </cell>
        </row>
        <row r="17618">
          <cell r="E17618">
            <v>0</v>
          </cell>
          <cell r="F17618">
            <v>0</v>
          </cell>
          <cell r="DN17618">
            <v>0</v>
          </cell>
        </row>
        <row r="17619">
          <cell r="E17619">
            <v>0</v>
          </cell>
          <cell r="F17619">
            <v>0</v>
          </cell>
          <cell r="DN17619">
            <v>0</v>
          </cell>
        </row>
        <row r="17620">
          <cell r="E17620">
            <v>0</v>
          </cell>
          <cell r="F17620">
            <v>0</v>
          </cell>
          <cell r="DN17620">
            <v>0</v>
          </cell>
        </row>
        <row r="17621">
          <cell r="E17621">
            <v>0</v>
          </cell>
          <cell r="F17621">
            <v>0</v>
          </cell>
          <cell r="DN17621">
            <v>0</v>
          </cell>
        </row>
        <row r="17622">
          <cell r="E17622">
            <v>0</v>
          </cell>
          <cell r="F17622">
            <v>0</v>
          </cell>
          <cell r="DN17622">
            <v>0</v>
          </cell>
        </row>
        <row r="17623">
          <cell r="E17623">
            <v>0</v>
          </cell>
          <cell r="F17623">
            <v>0</v>
          </cell>
          <cell r="DN17623">
            <v>0</v>
          </cell>
        </row>
        <row r="17624">
          <cell r="E17624">
            <v>0</v>
          </cell>
          <cell r="F17624">
            <v>0</v>
          </cell>
          <cell r="DN17624">
            <v>0</v>
          </cell>
        </row>
        <row r="17625">
          <cell r="E17625">
            <v>0</v>
          </cell>
          <cell r="F17625">
            <v>0</v>
          </cell>
          <cell r="DN17625">
            <v>0</v>
          </cell>
        </row>
        <row r="17626">
          <cell r="E17626">
            <v>0</v>
          </cell>
          <cell r="F17626">
            <v>0</v>
          </cell>
          <cell r="DN17626">
            <v>0</v>
          </cell>
        </row>
        <row r="17627">
          <cell r="E17627">
            <v>0</v>
          </cell>
          <cell r="F17627">
            <v>0</v>
          </cell>
          <cell r="DN17627">
            <v>0</v>
          </cell>
        </row>
        <row r="17628">
          <cell r="E17628">
            <v>0</v>
          </cell>
          <cell r="F17628">
            <v>0</v>
          </cell>
          <cell r="DN17628">
            <v>0</v>
          </cell>
        </row>
        <row r="17629">
          <cell r="E17629">
            <v>0</v>
          </cell>
          <cell r="F17629">
            <v>0</v>
          </cell>
          <cell r="DN17629">
            <v>0</v>
          </cell>
        </row>
        <row r="17630">
          <cell r="E17630">
            <v>0</v>
          </cell>
          <cell r="F17630">
            <v>0</v>
          </cell>
          <cell r="DN17630">
            <v>0</v>
          </cell>
        </row>
        <row r="17631">
          <cell r="E17631">
            <v>0</v>
          </cell>
          <cell r="F17631">
            <v>0</v>
          </cell>
          <cell r="DN17631">
            <v>0</v>
          </cell>
        </row>
        <row r="17632">
          <cell r="E17632">
            <v>0</v>
          </cell>
          <cell r="F17632">
            <v>0</v>
          </cell>
          <cell r="DN17632">
            <v>0</v>
          </cell>
        </row>
        <row r="17633">
          <cell r="E17633">
            <v>0</v>
          </cell>
          <cell r="F17633">
            <v>0</v>
          </cell>
          <cell r="DN17633">
            <v>0</v>
          </cell>
        </row>
        <row r="17634">
          <cell r="E17634">
            <v>0</v>
          </cell>
          <cell r="F17634">
            <v>0</v>
          </cell>
          <cell r="DN17634">
            <v>0</v>
          </cell>
        </row>
        <row r="17635">
          <cell r="E17635">
            <v>0</v>
          </cell>
          <cell r="F17635">
            <v>0</v>
          </cell>
          <cell r="DN17635">
            <v>0</v>
          </cell>
        </row>
        <row r="17636">
          <cell r="E17636">
            <v>0</v>
          </cell>
          <cell r="F17636">
            <v>0</v>
          </cell>
          <cell r="DN17636">
            <v>0</v>
          </cell>
        </row>
        <row r="17637">
          <cell r="E17637">
            <v>0</v>
          </cell>
          <cell r="F17637">
            <v>0</v>
          </cell>
          <cell r="DN17637">
            <v>0</v>
          </cell>
        </row>
        <row r="17638">
          <cell r="E17638">
            <v>0</v>
          </cell>
          <cell r="F17638">
            <v>0</v>
          </cell>
          <cell r="DN17638">
            <v>0</v>
          </cell>
        </row>
        <row r="17639">
          <cell r="E17639">
            <v>0</v>
          </cell>
          <cell r="F17639">
            <v>0</v>
          </cell>
          <cell r="DN17639">
            <v>0</v>
          </cell>
        </row>
        <row r="17640">
          <cell r="E17640">
            <v>0</v>
          </cell>
          <cell r="F17640">
            <v>0</v>
          </cell>
          <cell r="DN17640">
            <v>0</v>
          </cell>
        </row>
        <row r="17641">
          <cell r="E17641">
            <v>0</v>
          </cell>
          <cell r="F17641">
            <v>0</v>
          </cell>
          <cell r="DN17641">
            <v>0</v>
          </cell>
        </row>
        <row r="17642">
          <cell r="E17642">
            <v>0</v>
          </cell>
          <cell r="F17642">
            <v>0</v>
          </cell>
          <cell r="DN17642">
            <v>0</v>
          </cell>
        </row>
        <row r="17643">
          <cell r="E17643">
            <v>0</v>
          </cell>
          <cell r="F17643">
            <v>0</v>
          </cell>
          <cell r="DN17643">
            <v>0</v>
          </cell>
        </row>
        <row r="17644">
          <cell r="E17644">
            <v>0</v>
          </cell>
          <cell r="F17644">
            <v>0</v>
          </cell>
          <cell r="DN17644">
            <v>0</v>
          </cell>
        </row>
        <row r="17645">
          <cell r="E17645">
            <v>0</v>
          </cell>
          <cell r="F17645">
            <v>0</v>
          </cell>
          <cell r="DN17645">
            <v>0</v>
          </cell>
        </row>
        <row r="17646">
          <cell r="E17646">
            <v>0</v>
          </cell>
          <cell r="F17646">
            <v>0</v>
          </cell>
          <cell r="DN17646">
            <v>0</v>
          </cell>
        </row>
        <row r="17647">
          <cell r="E17647">
            <v>0</v>
          </cell>
          <cell r="F17647">
            <v>0</v>
          </cell>
          <cell r="DN17647">
            <v>0</v>
          </cell>
        </row>
        <row r="17648">
          <cell r="E17648">
            <v>0</v>
          </cell>
          <cell r="F17648">
            <v>0</v>
          </cell>
          <cell r="DN17648">
            <v>0</v>
          </cell>
        </row>
        <row r="17649">
          <cell r="E17649">
            <v>0</v>
          </cell>
          <cell r="F17649">
            <v>0</v>
          </cell>
          <cell r="DN17649">
            <v>0</v>
          </cell>
        </row>
        <row r="17650">
          <cell r="E17650">
            <v>0</v>
          </cell>
          <cell r="F17650">
            <v>0</v>
          </cell>
          <cell r="DN17650">
            <v>0</v>
          </cell>
        </row>
        <row r="17651">
          <cell r="E17651">
            <v>0</v>
          </cell>
          <cell r="F17651">
            <v>0</v>
          </cell>
          <cell r="DN17651">
            <v>0</v>
          </cell>
        </row>
        <row r="17652">
          <cell r="E17652">
            <v>0</v>
          </cell>
          <cell r="F17652">
            <v>0</v>
          </cell>
          <cell r="DN17652">
            <v>0</v>
          </cell>
        </row>
        <row r="17653">
          <cell r="E17653">
            <v>0</v>
          </cell>
          <cell r="F17653">
            <v>0</v>
          </cell>
          <cell r="DN17653">
            <v>0</v>
          </cell>
        </row>
        <row r="17654">
          <cell r="E17654">
            <v>0</v>
          </cell>
          <cell r="F17654">
            <v>0</v>
          </cell>
          <cell r="DN17654">
            <v>0</v>
          </cell>
        </row>
        <row r="17655">
          <cell r="E17655">
            <v>0</v>
          </cell>
          <cell r="F17655">
            <v>0</v>
          </cell>
          <cell r="DN17655">
            <v>0</v>
          </cell>
        </row>
        <row r="17656">
          <cell r="E17656">
            <v>0</v>
          </cell>
          <cell r="F17656">
            <v>0</v>
          </cell>
          <cell r="DN17656">
            <v>0</v>
          </cell>
        </row>
        <row r="17657">
          <cell r="E17657">
            <v>0</v>
          </cell>
          <cell r="F17657">
            <v>0</v>
          </cell>
          <cell r="DN17657">
            <v>0</v>
          </cell>
        </row>
        <row r="17658">
          <cell r="E17658">
            <v>0</v>
          </cell>
          <cell r="F17658">
            <v>0</v>
          </cell>
          <cell r="DN17658">
            <v>0</v>
          </cell>
        </row>
        <row r="17659">
          <cell r="E17659">
            <v>0</v>
          </cell>
          <cell r="F17659">
            <v>0</v>
          </cell>
          <cell r="DN17659">
            <v>0</v>
          </cell>
        </row>
        <row r="17660">
          <cell r="E17660">
            <v>0</v>
          </cell>
          <cell r="F17660">
            <v>0</v>
          </cell>
          <cell r="DN17660">
            <v>0</v>
          </cell>
        </row>
        <row r="17661">
          <cell r="E17661">
            <v>0</v>
          </cell>
          <cell r="F17661">
            <v>0</v>
          </cell>
          <cell r="DN17661">
            <v>0</v>
          </cell>
        </row>
        <row r="17662">
          <cell r="E17662">
            <v>0</v>
          </cell>
          <cell r="F17662">
            <v>0</v>
          </cell>
          <cell r="DN17662">
            <v>0</v>
          </cell>
        </row>
        <row r="17663">
          <cell r="E17663">
            <v>0</v>
          </cell>
          <cell r="F17663">
            <v>0</v>
          </cell>
          <cell r="DN17663">
            <v>0</v>
          </cell>
        </row>
        <row r="17664">
          <cell r="E17664">
            <v>0</v>
          </cell>
          <cell r="F17664">
            <v>0</v>
          </cell>
          <cell r="DN17664">
            <v>0</v>
          </cell>
        </row>
        <row r="17665">
          <cell r="E17665">
            <v>0</v>
          </cell>
          <cell r="F17665">
            <v>0</v>
          </cell>
          <cell r="DN17665">
            <v>0</v>
          </cell>
        </row>
        <row r="17666">
          <cell r="E17666">
            <v>0</v>
          </cell>
          <cell r="F17666">
            <v>0</v>
          </cell>
          <cell r="DN17666">
            <v>0</v>
          </cell>
        </row>
        <row r="17667">
          <cell r="E17667">
            <v>0</v>
          </cell>
          <cell r="F17667">
            <v>0</v>
          </cell>
          <cell r="DN17667">
            <v>0</v>
          </cell>
        </row>
        <row r="17668">
          <cell r="E17668">
            <v>0</v>
          </cell>
          <cell r="F17668">
            <v>0</v>
          </cell>
          <cell r="DN17668">
            <v>0</v>
          </cell>
        </row>
        <row r="17669">
          <cell r="E17669">
            <v>0</v>
          </cell>
          <cell r="F17669">
            <v>0</v>
          </cell>
          <cell r="DN17669">
            <v>0</v>
          </cell>
        </row>
        <row r="17670">
          <cell r="E17670">
            <v>0</v>
          </cell>
          <cell r="F17670">
            <v>0</v>
          </cell>
          <cell r="DN17670">
            <v>0</v>
          </cell>
        </row>
        <row r="17671">
          <cell r="E17671">
            <v>0</v>
          </cell>
          <cell r="F17671">
            <v>0</v>
          </cell>
          <cell r="DN17671">
            <v>0</v>
          </cell>
        </row>
        <row r="17672">
          <cell r="E17672">
            <v>0</v>
          </cell>
          <cell r="F17672">
            <v>0</v>
          </cell>
          <cell r="DN17672">
            <v>0</v>
          </cell>
        </row>
        <row r="17673">
          <cell r="E17673">
            <v>0</v>
          </cell>
          <cell r="F17673">
            <v>0</v>
          </cell>
          <cell r="DN17673">
            <v>0</v>
          </cell>
        </row>
        <row r="17674">
          <cell r="E17674">
            <v>0</v>
          </cell>
          <cell r="F17674">
            <v>0</v>
          </cell>
          <cell r="DN17674">
            <v>0</v>
          </cell>
        </row>
        <row r="17675">
          <cell r="E17675">
            <v>0</v>
          </cell>
          <cell r="F17675">
            <v>0</v>
          </cell>
          <cell r="DN17675">
            <v>0</v>
          </cell>
        </row>
        <row r="17676">
          <cell r="E17676">
            <v>0</v>
          </cell>
          <cell r="F17676">
            <v>0</v>
          </cell>
          <cell r="DN17676">
            <v>0</v>
          </cell>
        </row>
        <row r="17677">
          <cell r="E17677">
            <v>0</v>
          </cell>
          <cell r="F17677">
            <v>0</v>
          </cell>
          <cell r="DN17677">
            <v>0</v>
          </cell>
        </row>
        <row r="17678">
          <cell r="E17678">
            <v>0</v>
          </cell>
          <cell r="F17678">
            <v>0</v>
          </cell>
          <cell r="DN17678">
            <v>0</v>
          </cell>
        </row>
        <row r="17679">
          <cell r="E17679">
            <v>0</v>
          </cell>
          <cell r="F17679">
            <v>0</v>
          </cell>
          <cell r="DN17679">
            <v>0</v>
          </cell>
        </row>
        <row r="17680">
          <cell r="E17680">
            <v>0</v>
          </cell>
          <cell r="F17680">
            <v>0</v>
          </cell>
          <cell r="DN17680">
            <v>0</v>
          </cell>
        </row>
        <row r="17681">
          <cell r="E17681">
            <v>0</v>
          </cell>
          <cell r="F17681">
            <v>0</v>
          </cell>
          <cell r="DN17681">
            <v>0</v>
          </cell>
        </row>
        <row r="17682">
          <cell r="E17682">
            <v>0</v>
          </cell>
          <cell r="F17682">
            <v>0</v>
          </cell>
          <cell r="DN17682">
            <v>0</v>
          </cell>
        </row>
        <row r="17683">
          <cell r="E17683">
            <v>0</v>
          </cell>
          <cell r="F17683">
            <v>0</v>
          </cell>
          <cell r="DN17683">
            <v>0</v>
          </cell>
        </row>
        <row r="17684">
          <cell r="E17684">
            <v>0</v>
          </cell>
          <cell r="F17684">
            <v>0</v>
          </cell>
          <cell r="DN17684">
            <v>0</v>
          </cell>
        </row>
        <row r="17685">
          <cell r="E17685">
            <v>0</v>
          </cell>
          <cell r="F17685">
            <v>0</v>
          </cell>
          <cell r="DN17685">
            <v>0</v>
          </cell>
        </row>
        <row r="17686">
          <cell r="E17686">
            <v>0</v>
          </cell>
          <cell r="F17686">
            <v>0</v>
          </cell>
          <cell r="DN17686">
            <v>0</v>
          </cell>
        </row>
        <row r="17687">
          <cell r="E17687">
            <v>0</v>
          </cell>
          <cell r="F17687">
            <v>0</v>
          </cell>
          <cell r="DN17687">
            <v>0</v>
          </cell>
        </row>
        <row r="17688">
          <cell r="E17688">
            <v>0</v>
          </cell>
          <cell r="F17688">
            <v>0</v>
          </cell>
          <cell r="DN17688">
            <v>0</v>
          </cell>
        </row>
        <row r="17689">
          <cell r="E17689">
            <v>0</v>
          </cell>
          <cell r="F17689">
            <v>0</v>
          </cell>
          <cell r="DN17689">
            <v>0</v>
          </cell>
        </row>
        <row r="17690">
          <cell r="E17690">
            <v>0</v>
          </cell>
          <cell r="F17690">
            <v>0</v>
          </cell>
          <cell r="DN17690">
            <v>0</v>
          </cell>
        </row>
        <row r="17691">
          <cell r="E17691">
            <v>0</v>
          </cell>
          <cell r="F17691">
            <v>0</v>
          </cell>
          <cell r="DN17691">
            <v>0</v>
          </cell>
        </row>
        <row r="17692">
          <cell r="E17692">
            <v>0</v>
          </cell>
          <cell r="F17692">
            <v>0</v>
          </cell>
          <cell r="DN17692">
            <v>0</v>
          </cell>
        </row>
        <row r="17693">
          <cell r="E17693">
            <v>0</v>
          </cell>
          <cell r="F17693">
            <v>0</v>
          </cell>
          <cell r="DN17693">
            <v>0</v>
          </cell>
        </row>
        <row r="17694">
          <cell r="E17694">
            <v>0</v>
          </cell>
          <cell r="F17694">
            <v>0</v>
          </cell>
          <cell r="DN17694">
            <v>0</v>
          </cell>
        </row>
        <row r="17695">
          <cell r="E17695">
            <v>0</v>
          </cell>
          <cell r="F17695">
            <v>0</v>
          </cell>
          <cell r="DN17695">
            <v>0</v>
          </cell>
        </row>
        <row r="17696">
          <cell r="E17696">
            <v>0</v>
          </cell>
          <cell r="F17696">
            <v>0</v>
          </cell>
          <cell r="DN17696">
            <v>0</v>
          </cell>
        </row>
        <row r="17697">
          <cell r="E17697">
            <v>0</v>
          </cell>
          <cell r="F17697">
            <v>0</v>
          </cell>
          <cell r="DN17697">
            <v>0</v>
          </cell>
        </row>
        <row r="17698">
          <cell r="E17698">
            <v>0</v>
          </cell>
          <cell r="F17698">
            <v>0</v>
          </cell>
          <cell r="DN17698">
            <v>0</v>
          </cell>
        </row>
        <row r="17699">
          <cell r="E17699">
            <v>0</v>
          </cell>
          <cell r="F17699">
            <v>0</v>
          </cell>
          <cell r="DN17699">
            <v>0</v>
          </cell>
        </row>
        <row r="17700">
          <cell r="E17700">
            <v>0</v>
          </cell>
          <cell r="F17700">
            <v>0</v>
          </cell>
          <cell r="DN17700">
            <v>0</v>
          </cell>
        </row>
        <row r="17701">
          <cell r="E17701">
            <v>0</v>
          </cell>
          <cell r="F17701">
            <v>0</v>
          </cell>
          <cell r="DN17701">
            <v>0</v>
          </cell>
        </row>
        <row r="17702">
          <cell r="E17702">
            <v>0</v>
          </cell>
          <cell r="F17702">
            <v>0</v>
          </cell>
          <cell r="DN17702">
            <v>0</v>
          </cell>
        </row>
        <row r="17703">
          <cell r="E17703">
            <v>0</v>
          </cell>
          <cell r="F17703">
            <v>0</v>
          </cell>
          <cell r="DN17703">
            <v>0</v>
          </cell>
        </row>
        <row r="17704">
          <cell r="E17704">
            <v>0</v>
          </cell>
          <cell r="F17704">
            <v>0</v>
          </cell>
          <cell r="DN17704">
            <v>0</v>
          </cell>
        </row>
        <row r="17705">
          <cell r="E17705">
            <v>0</v>
          </cell>
          <cell r="F17705">
            <v>0</v>
          </cell>
          <cell r="DN17705">
            <v>0</v>
          </cell>
        </row>
        <row r="17706">
          <cell r="E17706">
            <v>0</v>
          </cell>
          <cell r="F17706">
            <v>0</v>
          </cell>
          <cell r="DN17706">
            <v>0</v>
          </cell>
        </row>
        <row r="17707">
          <cell r="E17707">
            <v>0</v>
          </cell>
          <cell r="F17707">
            <v>0</v>
          </cell>
          <cell r="DN17707">
            <v>0</v>
          </cell>
        </row>
        <row r="17708">
          <cell r="E17708">
            <v>0</v>
          </cell>
          <cell r="F17708">
            <v>0</v>
          </cell>
          <cell r="DN17708">
            <v>0</v>
          </cell>
        </row>
        <row r="17709">
          <cell r="E17709">
            <v>0</v>
          </cell>
          <cell r="F17709">
            <v>0</v>
          </cell>
          <cell r="DN17709">
            <v>0</v>
          </cell>
        </row>
        <row r="17710">
          <cell r="E17710">
            <v>0</v>
          </cell>
          <cell r="F17710">
            <v>0</v>
          </cell>
          <cell r="DN17710">
            <v>0</v>
          </cell>
        </row>
        <row r="17711">
          <cell r="E17711">
            <v>0</v>
          </cell>
          <cell r="F17711">
            <v>0</v>
          </cell>
          <cell r="DN17711">
            <v>0</v>
          </cell>
        </row>
        <row r="17712">
          <cell r="E17712">
            <v>0</v>
          </cell>
          <cell r="F17712">
            <v>0</v>
          </cell>
          <cell r="DN17712">
            <v>0</v>
          </cell>
        </row>
        <row r="17713">
          <cell r="E17713">
            <v>0</v>
          </cell>
          <cell r="F17713">
            <v>0</v>
          </cell>
          <cell r="DN17713">
            <v>0</v>
          </cell>
        </row>
        <row r="17714">
          <cell r="E17714">
            <v>0</v>
          </cell>
          <cell r="F17714">
            <v>0</v>
          </cell>
          <cell r="DN17714">
            <v>0</v>
          </cell>
        </row>
        <row r="17715">
          <cell r="E17715">
            <v>0</v>
          </cell>
          <cell r="F17715">
            <v>0</v>
          </cell>
          <cell r="DN17715">
            <v>0</v>
          </cell>
        </row>
        <row r="17716">
          <cell r="E17716">
            <v>0</v>
          </cell>
          <cell r="F17716">
            <v>0</v>
          </cell>
          <cell r="DN17716">
            <v>0</v>
          </cell>
        </row>
        <row r="17717">
          <cell r="E17717">
            <v>0</v>
          </cell>
          <cell r="F17717">
            <v>0</v>
          </cell>
          <cell r="DN17717">
            <v>0</v>
          </cell>
        </row>
        <row r="17718">
          <cell r="E17718">
            <v>0</v>
          </cell>
          <cell r="F17718">
            <v>0</v>
          </cell>
          <cell r="DN17718">
            <v>0</v>
          </cell>
        </row>
        <row r="17719">
          <cell r="E17719">
            <v>0</v>
          </cell>
          <cell r="F17719">
            <v>0</v>
          </cell>
          <cell r="DN17719">
            <v>0</v>
          </cell>
        </row>
        <row r="17720">
          <cell r="E17720">
            <v>0</v>
          </cell>
          <cell r="F17720">
            <v>0</v>
          </cell>
          <cell r="DN17720">
            <v>0</v>
          </cell>
        </row>
        <row r="17721">
          <cell r="E17721">
            <v>0</v>
          </cell>
          <cell r="F17721">
            <v>0</v>
          </cell>
          <cell r="DN17721">
            <v>0</v>
          </cell>
        </row>
        <row r="17722">
          <cell r="E17722">
            <v>0</v>
          </cell>
          <cell r="F17722">
            <v>0</v>
          </cell>
          <cell r="DN17722">
            <v>0</v>
          </cell>
        </row>
        <row r="17723">
          <cell r="E17723">
            <v>0</v>
          </cell>
          <cell r="F17723">
            <v>0</v>
          </cell>
          <cell r="DN17723">
            <v>0</v>
          </cell>
        </row>
        <row r="17724">
          <cell r="E17724">
            <v>0</v>
          </cell>
          <cell r="F17724">
            <v>0</v>
          </cell>
          <cell r="DN17724">
            <v>0</v>
          </cell>
        </row>
        <row r="17725">
          <cell r="E17725">
            <v>0</v>
          </cell>
          <cell r="F17725">
            <v>0</v>
          </cell>
          <cell r="DN17725">
            <v>0</v>
          </cell>
        </row>
        <row r="17726">
          <cell r="E17726">
            <v>0</v>
          </cell>
          <cell r="F17726">
            <v>0</v>
          </cell>
          <cell r="DN17726">
            <v>0</v>
          </cell>
        </row>
        <row r="17727">
          <cell r="E17727">
            <v>0</v>
          </cell>
          <cell r="F17727">
            <v>0</v>
          </cell>
          <cell r="DN17727">
            <v>0</v>
          </cell>
        </row>
        <row r="17728">
          <cell r="E17728">
            <v>0</v>
          </cell>
          <cell r="F17728">
            <v>0</v>
          </cell>
          <cell r="DN17728">
            <v>0</v>
          </cell>
        </row>
        <row r="17729">
          <cell r="E17729">
            <v>0</v>
          </cell>
          <cell r="F17729">
            <v>0</v>
          </cell>
          <cell r="DN17729">
            <v>0</v>
          </cell>
        </row>
        <row r="17730">
          <cell r="E17730">
            <v>0</v>
          </cell>
          <cell r="F17730">
            <v>0</v>
          </cell>
          <cell r="DN17730">
            <v>0</v>
          </cell>
        </row>
        <row r="17731">
          <cell r="E17731">
            <v>0</v>
          </cell>
          <cell r="F17731">
            <v>0</v>
          </cell>
          <cell r="DN17731">
            <v>0</v>
          </cell>
        </row>
        <row r="17732">
          <cell r="E17732">
            <v>0</v>
          </cell>
          <cell r="F17732">
            <v>0</v>
          </cell>
          <cell r="DN17732">
            <v>0</v>
          </cell>
        </row>
        <row r="17733">
          <cell r="E17733">
            <v>0</v>
          </cell>
          <cell r="F17733">
            <v>0</v>
          </cell>
          <cell r="DN17733">
            <v>0</v>
          </cell>
        </row>
        <row r="17734">
          <cell r="E17734">
            <v>0</v>
          </cell>
          <cell r="F17734">
            <v>0</v>
          </cell>
          <cell r="DN17734">
            <v>0</v>
          </cell>
        </row>
        <row r="17735">
          <cell r="E17735">
            <v>0</v>
          </cell>
          <cell r="F17735">
            <v>0</v>
          </cell>
          <cell r="DN17735">
            <v>0</v>
          </cell>
        </row>
        <row r="17736">
          <cell r="E17736">
            <v>0</v>
          </cell>
          <cell r="F17736">
            <v>0</v>
          </cell>
          <cell r="DN17736">
            <v>0</v>
          </cell>
        </row>
        <row r="17737">
          <cell r="E17737">
            <v>0</v>
          </cell>
          <cell r="F17737">
            <v>0</v>
          </cell>
          <cell r="DN17737">
            <v>0</v>
          </cell>
        </row>
        <row r="17738">
          <cell r="E17738">
            <v>0</v>
          </cell>
          <cell r="F17738">
            <v>0</v>
          </cell>
          <cell r="DN17738">
            <v>0</v>
          </cell>
        </row>
        <row r="17739">
          <cell r="E17739">
            <v>0</v>
          </cell>
          <cell r="F17739">
            <v>0</v>
          </cell>
          <cell r="DN17739">
            <v>0</v>
          </cell>
        </row>
        <row r="17740">
          <cell r="E17740">
            <v>0</v>
          </cell>
          <cell r="F17740">
            <v>0</v>
          </cell>
          <cell r="DN17740">
            <v>0</v>
          </cell>
        </row>
        <row r="17741">
          <cell r="E17741">
            <v>0</v>
          </cell>
          <cell r="F17741">
            <v>0</v>
          </cell>
          <cell r="DN17741">
            <v>0</v>
          </cell>
        </row>
        <row r="17742">
          <cell r="E17742">
            <v>0</v>
          </cell>
          <cell r="F17742">
            <v>0</v>
          </cell>
          <cell r="DN17742">
            <v>0</v>
          </cell>
        </row>
        <row r="17743">
          <cell r="E17743">
            <v>0</v>
          </cell>
          <cell r="F17743">
            <v>0</v>
          </cell>
          <cell r="DN17743">
            <v>0</v>
          </cell>
        </row>
        <row r="17744">
          <cell r="E17744">
            <v>0</v>
          </cell>
          <cell r="F17744">
            <v>0</v>
          </cell>
          <cell r="DN17744">
            <v>0</v>
          </cell>
        </row>
        <row r="17745">
          <cell r="E17745">
            <v>0</v>
          </cell>
          <cell r="F17745">
            <v>0</v>
          </cell>
          <cell r="DN17745">
            <v>0</v>
          </cell>
        </row>
        <row r="17746">
          <cell r="E17746">
            <v>0</v>
          </cell>
          <cell r="F17746">
            <v>0</v>
          </cell>
          <cell r="DN17746">
            <v>0</v>
          </cell>
        </row>
        <row r="17747">
          <cell r="E17747">
            <v>0</v>
          </cell>
          <cell r="F17747">
            <v>0</v>
          </cell>
          <cell r="DN17747">
            <v>0</v>
          </cell>
        </row>
        <row r="17748">
          <cell r="E17748">
            <v>0</v>
          </cell>
          <cell r="F17748">
            <v>0</v>
          </cell>
          <cell r="DN17748">
            <v>0</v>
          </cell>
        </row>
        <row r="17749">
          <cell r="E17749">
            <v>0</v>
          </cell>
          <cell r="F17749">
            <v>0</v>
          </cell>
          <cell r="DN17749">
            <v>0</v>
          </cell>
        </row>
        <row r="17750">
          <cell r="E17750">
            <v>0</v>
          </cell>
          <cell r="F17750">
            <v>0</v>
          </cell>
          <cell r="DN17750">
            <v>0</v>
          </cell>
        </row>
        <row r="17751">
          <cell r="E17751">
            <v>0</v>
          </cell>
          <cell r="F17751">
            <v>0</v>
          </cell>
          <cell r="DN17751">
            <v>0</v>
          </cell>
        </row>
        <row r="17752">
          <cell r="E17752">
            <v>0</v>
          </cell>
          <cell r="F17752">
            <v>0</v>
          </cell>
          <cell r="DN17752">
            <v>0</v>
          </cell>
        </row>
        <row r="17753">
          <cell r="E17753">
            <v>0</v>
          </cell>
          <cell r="F17753">
            <v>0</v>
          </cell>
          <cell r="DN17753">
            <v>0</v>
          </cell>
        </row>
        <row r="17754">
          <cell r="E17754">
            <v>0</v>
          </cell>
          <cell r="F17754">
            <v>0</v>
          </cell>
          <cell r="DN17754">
            <v>0</v>
          </cell>
        </row>
        <row r="17755">
          <cell r="E17755">
            <v>0</v>
          </cell>
          <cell r="F17755">
            <v>0</v>
          </cell>
          <cell r="DN17755">
            <v>0</v>
          </cell>
        </row>
        <row r="17756">
          <cell r="E17756">
            <v>0</v>
          </cell>
          <cell r="F17756">
            <v>0</v>
          </cell>
          <cell r="DN17756">
            <v>0</v>
          </cell>
        </row>
        <row r="17757">
          <cell r="E17757">
            <v>0</v>
          </cell>
          <cell r="F17757">
            <v>0</v>
          </cell>
          <cell r="DN17757">
            <v>0</v>
          </cell>
        </row>
        <row r="17758">
          <cell r="E17758">
            <v>0</v>
          </cell>
          <cell r="F17758">
            <v>0</v>
          </cell>
          <cell r="DN17758">
            <v>0</v>
          </cell>
        </row>
        <row r="17759">
          <cell r="E17759">
            <v>0</v>
          </cell>
          <cell r="F17759">
            <v>0</v>
          </cell>
          <cell r="DN17759">
            <v>0</v>
          </cell>
        </row>
        <row r="17760">
          <cell r="E17760">
            <v>0</v>
          </cell>
          <cell r="F17760">
            <v>0</v>
          </cell>
          <cell r="DN17760">
            <v>0</v>
          </cell>
        </row>
        <row r="17761">
          <cell r="E17761">
            <v>0</v>
          </cell>
          <cell r="F17761">
            <v>0</v>
          </cell>
          <cell r="DN17761">
            <v>0</v>
          </cell>
        </row>
        <row r="17762">
          <cell r="E17762">
            <v>0</v>
          </cell>
          <cell r="F17762">
            <v>0</v>
          </cell>
          <cell r="DN17762">
            <v>0</v>
          </cell>
        </row>
        <row r="17763">
          <cell r="E17763">
            <v>0</v>
          </cell>
          <cell r="F17763">
            <v>0</v>
          </cell>
          <cell r="DN17763">
            <v>0</v>
          </cell>
        </row>
        <row r="17764">
          <cell r="E17764">
            <v>0</v>
          </cell>
          <cell r="F17764">
            <v>0</v>
          </cell>
          <cell r="DN17764">
            <v>0</v>
          </cell>
        </row>
        <row r="17765">
          <cell r="E17765">
            <v>0</v>
          </cell>
          <cell r="F17765">
            <v>0</v>
          </cell>
          <cell r="DN17765">
            <v>0</v>
          </cell>
        </row>
        <row r="17766">
          <cell r="E17766">
            <v>0</v>
          </cell>
          <cell r="F17766">
            <v>0</v>
          </cell>
          <cell r="DN17766">
            <v>0</v>
          </cell>
        </row>
        <row r="17767">
          <cell r="E17767">
            <v>0</v>
          </cell>
          <cell r="F17767">
            <v>0</v>
          </cell>
          <cell r="DN17767">
            <v>0</v>
          </cell>
        </row>
        <row r="17768">
          <cell r="E17768">
            <v>0</v>
          </cell>
          <cell r="F17768">
            <v>0</v>
          </cell>
          <cell r="DN17768">
            <v>0</v>
          </cell>
        </row>
        <row r="17769">
          <cell r="E17769">
            <v>0</v>
          </cell>
          <cell r="F17769">
            <v>0</v>
          </cell>
          <cell r="DN17769">
            <v>0</v>
          </cell>
        </row>
        <row r="17770">
          <cell r="E17770">
            <v>0</v>
          </cell>
          <cell r="F17770">
            <v>0</v>
          </cell>
          <cell r="DN17770">
            <v>0</v>
          </cell>
        </row>
        <row r="17771">
          <cell r="E17771">
            <v>0</v>
          </cell>
          <cell r="F17771">
            <v>0</v>
          </cell>
          <cell r="DN17771">
            <v>0</v>
          </cell>
        </row>
        <row r="17772">
          <cell r="E17772">
            <v>0</v>
          </cell>
          <cell r="F17772">
            <v>0</v>
          </cell>
          <cell r="DN17772">
            <v>0</v>
          </cell>
        </row>
        <row r="17773">
          <cell r="E17773">
            <v>0</v>
          </cell>
          <cell r="F17773">
            <v>0</v>
          </cell>
          <cell r="DN17773">
            <v>0</v>
          </cell>
        </row>
        <row r="17774">
          <cell r="E17774">
            <v>0</v>
          </cell>
          <cell r="F17774">
            <v>0</v>
          </cell>
          <cell r="DN17774">
            <v>0</v>
          </cell>
        </row>
        <row r="17775">
          <cell r="E17775">
            <v>0</v>
          </cell>
          <cell r="F17775">
            <v>0</v>
          </cell>
          <cell r="DN17775">
            <v>0</v>
          </cell>
        </row>
        <row r="17776">
          <cell r="E17776">
            <v>0</v>
          </cell>
          <cell r="F17776">
            <v>0</v>
          </cell>
          <cell r="DN17776">
            <v>0</v>
          </cell>
        </row>
        <row r="17777">
          <cell r="E17777">
            <v>0</v>
          </cell>
          <cell r="F17777">
            <v>0</v>
          </cell>
          <cell r="DN17777">
            <v>0</v>
          </cell>
        </row>
        <row r="17778">
          <cell r="E17778">
            <v>0</v>
          </cell>
          <cell r="F17778">
            <v>0</v>
          </cell>
          <cell r="DN17778">
            <v>0</v>
          </cell>
        </row>
        <row r="17779">
          <cell r="E17779">
            <v>0</v>
          </cell>
          <cell r="F17779">
            <v>0</v>
          </cell>
          <cell r="DN17779">
            <v>0</v>
          </cell>
        </row>
        <row r="17780">
          <cell r="E17780">
            <v>0</v>
          </cell>
          <cell r="F17780">
            <v>0</v>
          </cell>
          <cell r="DN17780">
            <v>0</v>
          </cell>
        </row>
        <row r="17781">
          <cell r="E17781">
            <v>0</v>
          </cell>
          <cell r="F17781">
            <v>0</v>
          </cell>
          <cell r="DN17781">
            <v>0</v>
          </cell>
        </row>
        <row r="17782">
          <cell r="E17782">
            <v>0</v>
          </cell>
          <cell r="F17782">
            <v>0</v>
          </cell>
          <cell r="DN17782">
            <v>0</v>
          </cell>
        </row>
        <row r="17783">
          <cell r="E17783">
            <v>0</v>
          </cell>
          <cell r="F17783">
            <v>0</v>
          </cell>
          <cell r="DN17783">
            <v>0</v>
          </cell>
        </row>
        <row r="17784">
          <cell r="E17784">
            <v>0</v>
          </cell>
          <cell r="F17784">
            <v>0</v>
          </cell>
          <cell r="DN17784">
            <v>0</v>
          </cell>
        </row>
        <row r="17785">
          <cell r="E17785">
            <v>0</v>
          </cell>
          <cell r="F17785">
            <v>0</v>
          </cell>
          <cell r="DN17785">
            <v>0</v>
          </cell>
        </row>
        <row r="17786">
          <cell r="E17786">
            <v>0</v>
          </cell>
          <cell r="F17786">
            <v>0</v>
          </cell>
          <cell r="DN17786">
            <v>0</v>
          </cell>
        </row>
        <row r="17787">
          <cell r="E17787">
            <v>0</v>
          </cell>
          <cell r="F17787">
            <v>0</v>
          </cell>
          <cell r="DN17787">
            <v>0</v>
          </cell>
        </row>
        <row r="17788">
          <cell r="E17788">
            <v>0</v>
          </cell>
          <cell r="F17788">
            <v>0</v>
          </cell>
          <cell r="DN17788">
            <v>0</v>
          </cell>
        </row>
        <row r="17789">
          <cell r="E17789">
            <v>0</v>
          </cell>
          <cell r="F17789">
            <v>0</v>
          </cell>
          <cell r="DN17789">
            <v>0</v>
          </cell>
        </row>
        <row r="17790">
          <cell r="E17790">
            <v>0</v>
          </cell>
          <cell r="F17790">
            <v>0</v>
          </cell>
          <cell r="DN17790">
            <v>0</v>
          </cell>
        </row>
        <row r="17791">
          <cell r="E17791">
            <v>0</v>
          </cell>
          <cell r="F17791">
            <v>0</v>
          </cell>
          <cell r="DN17791">
            <v>0</v>
          </cell>
        </row>
        <row r="17792">
          <cell r="E17792">
            <v>0</v>
          </cell>
          <cell r="F17792">
            <v>0</v>
          </cell>
          <cell r="DN17792">
            <v>0</v>
          </cell>
        </row>
        <row r="17793">
          <cell r="E17793">
            <v>0</v>
          </cell>
          <cell r="F17793">
            <v>0</v>
          </cell>
          <cell r="DN17793">
            <v>0</v>
          </cell>
        </row>
        <row r="17794">
          <cell r="E17794">
            <v>0</v>
          </cell>
          <cell r="F17794">
            <v>0</v>
          </cell>
          <cell r="DN17794">
            <v>0</v>
          </cell>
        </row>
        <row r="17795">
          <cell r="E17795">
            <v>0</v>
          </cell>
          <cell r="F17795">
            <v>0</v>
          </cell>
          <cell r="DN17795">
            <v>0</v>
          </cell>
        </row>
        <row r="17796">
          <cell r="E17796">
            <v>0</v>
          </cell>
          <cell r="F17796">
            <v>0</v>
          </cell>
          <cell r="DN17796">
            <v>0</v>
          </cell>
        </row>
        <row r="17797">
          <cell r="E17797">
            <v>0</v>
          </cell>
          <cell r="F17797">
            <v>0</v>
          </cell>
          <cell r="DN17797">
            <v>0</v>
          </cell>
        </row>
        <row r="17798">
          <cell r="E17798">
            <v>0</v>
          </cell>
          <cell r="F17798">
            <v>0</v>
          </cell>
          <cell r="DN17798">
            <v>0</v>
          </cell>
        </row>
        <row r="17799">
          <cell r="E17799">
            <v>0</v>
          </cell>
          <cell r="F17799">
            <v>0</v>
          </cell>
          <cell r="DN17799">
            <v>0</v>
          </cell>
        </row>
        <row r="17800">
          <cell r="E17800">
            <v>0</v>
          </cell>
          <cell r="F17800">
            <v>0</v>
          </cell>
          <cell r="DN17800">
            <v>0</v>
          </cell>
        </row>
        <row r="17801">
          <cell r="E17801">
            <v>0</v>
          </cell>
          <cell r="F17801">
            <v>0</v>
          </cell>
          <cell r="DN17801">
            <v>0</v>
          </cell>
        </row>
        <row r="17802">
          <cell r="E17802">
            <v>0</v>
          </cell>
          <cell r="F17802">
            <v>0</v>
          </cell>
          <cell r="DN17802">
            <v>0</v>
          </cell>
        </row>
        <row r="17803">
          <cell r="E17803">
            <v>0</v>
          </cell>
          <cell r="F17803">
            <v>0</v>
          </cell>
          <cell r="DN17803">
            <v>0</v>
          </cell>
        </row>
        <row r="17804">
          <cell r="E17804">
            <v>0</v>
          </cell>
          <cell r="F17804">
            <v>0</v>
          </cell>
          <cell r="DN17804">
            <v>0</v>
          </cell>
        </row>
        <row r="17805">
          <cell r="E17805">
            <v>0</v>
          </cell>
          <cell r="F17805">
            <v>0</v>
          </cell>
          <cell r="DN17805">
            <v>0</v>
          </cell>
        </row>
        <row r="17806">
          <cell r="E17806">
            <v>0</v>
          </cell>
          <cell r="F17806">
            <v>0</v>
          </cell>
          <cell r="DN17806">
            <v>0</v>
          </cell>
        </row>
        <row r="17807">
          <cell r="E17807">
            <v>0</v>
          </cell>
          <cell r="F17807">
            <v>0</v>
          </cell>
          <cell r="DN17807">
            <v>0</v>
          </cell>
        </row>
        <row r="17808">
          <cell r="E17808">
            <v>0</v>
          </cell>
          <cell r="F17808">
            <v>0</v>
          </cell>
          <cell r="DN17808">
            <v>0</v>
          </cell>
        </row>
        <row r="17809">
          <cell r="E17809">
            <v>0</v>
          </cell>
          <cell r="F17809">
            <v>0</v>
          </cell>
          <cell r="DN17809">
            <v>0</v>
          </cell>
        </row>
        <row r="17810">
          <cell r="E17810">
            <v>0</v>
          </cell>
          <cell r="F17810">
            <v>0</v>
          </cell>
          <cell r="DN17810">
            <v>0</v>
          </cell>
        </row>
        <row r="17811">
          <cell r="E17811">
            <v>0</v>
          </cell>
          <cell r="F17811">
            <v>0</v>
          </cell>
          <cell r="DN17811">
            <v>0</v>
          </cell>
        </row>
        <row r="17812">
          <cell r="E17812">
            <v>0</v>
          </cell>
          <cell r="F17812">
            <v>0</v>
          </cell>
          <cell r="DN17812">
            <v>0</v>
          </cell>
        </row>
        <row r="17813">
          <cell r="E17813">
            <v>0</v>
          </cell>
          <cell r="F17813">
            <v>0</v>
          </cell>
          <cell r="DN17813">
            <v>0</v>
          </cell>
        </row>
        <row r="17814">
          <cell r="E17814">
            <v>0</v>
          </cell>
          <cell r="F17814">
            <v>0</v>
          </cell>
          <cell r="DN17814">
            <v>0</v>
          </cell>
        </row>
        <row r="17815">
          <cell r="E17815">
            <v>0</v>
          </cell>
          <cell r="F17815">
            <v>0</v>
          </cell>
          <cell r="DN17815">
            <v>0</v>
          </cell>
        </row>
        <row r="17816">
          <cell r="E17816">
            <v>0</v>
          </cell>
          <cell r="F17816">
            <v>0</v>
          </cell>
          <cell r="DN17816">
            <v>0</v>
          </cell>
        </row>
        <row r="17817">
          <cell r="E17817">
            <v>0</v>
          </cell>
          <cell r="F17817">
            <v>0</v>
          </cell>
          <cell r="DN17817">
            <v>0</v>
          </cell>
        </row>
        <row r="17818">
          <cell r="E17818">
            <v>0</v>
          </cell>
          <cell r="F17818">
            <v>0</v>
          </cell>
          <cell r="DN17818">
            <v>0</v>
          </cell>
        </row>
        <row r="17819">
          <cell r="E17819">
            <v>0</v>
          </cell>
          <cell r="F17819">
            <v>0</v>
          </cell>
          <cell r="DN17819">
            <v>0</v>
          </cell>
        </row>
        <row r="17820">
          <cell r="E17820">
            <v>0</v>
          </cell>
          <cell r="F17820">
            <v>0</v>
          </cell>
          <cell r="DN17820">
            <v>0</v>
          </cell>
        </row>
        <row r="17821">
          <cell r="E17821">
            <v>0</v>
          </cell>
          <cell r="F17821">
            <v>0</v>
          </cell>
          <cell r="DN17821">
            <v>0</v>
          </cell>
        </row>
        <row r="17822">
          <cell r="E17822">
            <v>0</v>
          </cell>
          <cell r="F17822">
            <v>0</v>
          </cell>
          <cell r="DN17822">
            <v>0</v>
          </cell>
        </row>
        <row r="17823">
          <cell r="E17823">
            <v>0</v>
          </cell>
          <cell r="F17823">
            <v>0</v>
          </cell>
          <cell r="DN17823">
            <v>0</v>
          </cell>
        </row>
        <row r="17824">
          <cell r="E17824">
            <v>0</v>
          </cell>
          <cell r="F17824">
            <v>0</v>
          </cell>
          <cell r="DN17824">
            <v>0</v>
          </cell>
        </row>
        <row r="17825">
          <cell r="E17825">
            <v>0</v>
          </cell>
          <cell r="F17825">
            <v>0</v>
          </cell>
          <cell r="DN17825">
            <v>0</v>
          </cell>
        </row>
        <row r="17826">
          <cell r="E17826">
            <v>0</v>
          </cell>
          <cell r="F17826">
            <v>0</v>
          </cell>
          <cell r="DN17826">
            <v>0</v>
          </cell>
        </row>
        <row r="17827">
          <cell r="E17827">
            <v>0</v>
          </cell>
          <cell r="F17827">
            <v>0</v>
          </cell>
          <cell r="DN17827">
            <v>0</v>
          </cell>
        </row>
        <row r="17828">
          <cell r="E17828">
            <v>0</v>
          </cell>
          <cell r="F17828">
            <v>0</v>
          </cell>
          <cell r="DN17828">
            <v>0</v>
          </cell>
        </row>
        <row r="17829">
          <cell r="E17829">
            <v>0</v>
          </cell>
          <cell r="F17829">
            <v>0</v>
          </cell>
          <cell r="DN17829">
            <v>0</v>
          </cell>
        </row>
        <row r="17830">
          <cell r="E17830">
            <v>0</v>
          </cell>
          <cell r="F17830">
            <v>0</v>
          </cell>
          <cell r="DN17830">
            <v>0</v>
          </cell>
        </row>
        <row r="17831">
          <cell r="E17831">
            <v>0</v>
          </cell>
          <cell r="F17831">
            <v>0</v>
          </cell>
          <cell r="DN17831">
            <v>0</v>
          </cell>
        </row>
        <row r="17832">
          <cell r="E17832">
            <v>0</v>
          </cell>
          <cell r="F17832">
            <v>0</v>
          </cell>
          <cell r="DN17832">
            <v>0</v>
          </cell>
        </row>
        <row r="17833">
          <cell r="E17833">
            <v>0</v>
          </cell>
          <cell r="F17833">
            <v>0</v>
          </cell>
          <cell r="DN17833">
            <v>0</v>
          </cell>
        </row>
        <row r="17834">
          <cell r="E17834">
            <v>0</v>
          </cell>
          <cell r="F17834">
            <v>0</v>
          </cell>
          <cell r="DN17834">
            <v>0</v>
          </cell>
        </row>
        <row r="17835">
          <cell r="E17835">
            <v>0</v>
          </cell>
          <cell r="F17835">
            <v>0</v>
          </cell>
          <cell r="DN17835">
            <v>0</v>
          </cell>
        </row>
        <row r="17836">
          <cell r="E17836">
            <v>0</v>
          </cell>
          <cell r="F17836">
            <v>0</v>
          </cell>
          <cell r="DN17836">
            <v>0</v>
          </cell>
        </row>
        <row r="17837">
          <cell r="E17837">
            <v>0</v>
          </cell>
          <cell r="F17837">
            <v>0</v>
          </cell>
          <cell r="DN17837">
            <v>0</v>
          </cell>
        </row>
        <row r="17838">
          <cell r="E17838">
            <v>0</v>
          </cell>
          <cell r="F17838">
            <v>0</v>
          </cell>
          <cell r="DN17838">
            <v>0</v>
          </cell>
        </row>
        <row r="17839">
          <cell r="E17839">
            <v>0</v>
          </cell>
          <cell r="F17839">
            <v>0</v>
          </cell>
          <cell r="DN17839">
            <v>0</v>
          </cell>
        </row>
        <row r="17840">
          <cell r="E17840">
            <v>0</v>
          </cell>
          <cell r="F17840">
            <v>0</v>
          </cell>
          <cell r="DN17840">
            <v>0</v>
          </cell>
        </row>
        <row r="17841">
          <cell r="E17841">
            <v>0</v>
          </cell>
          <cell r="F17841">
            <v>0</v>
          </cell>
          <cell r="DN17841">
            <v>0</v>
          </cell>
        </row>
        <row r="17842">
          <cell r="E17842">
            <v>0</v>
          </cell>
          <cell r="F17842">
            <v>0</v>
          </cell>
          <cell r="DN17842">
            <v>0</v>
          </cell>
        </row>
        <row r="17843">
          <cell r="E17843">
            <v>0</v>
          </cell>
          <cell r="F17843">
            <v>0</v>
          </cell>
          <cell r="DN17843">
            <v>0</v>
          </cell>
        </row>
        <row r="17844">
          <cell r="E17844">
            <v>0</v>
          </cell>
          <cell r="F17844">
            <v>0</v>
          </cell>
          <cell r="DN17844">
            <v>0</v>
          </cell>
        </row>
        <row r="17845">
          <cell r="E17845">
            <v>0</v>
          </cell>
          <cell r="F17845">
            <v>0</v>
          </cell>
          <cell r="DN17845">
            <v>0</v>
          </cell>
        </row>
        <row r="17846">
          <cell r="E17846">
            <v>0</v>
          </cell>
          <cell r="F17846">
            <v>0</v>
          </cell>
          <cell r="DN17846">
            <v>0</v>
          </cell>
        </row>
        <row r="17847">
          <cell r="E17847">
            <v>0</v>
          </cell>
          <cell r="F17847">
            <v>0</v>
          </cell>
          <cell r="DN17847">
            <v>0</v>
          </cell>
        </row>
        <row r="17848">
          <cell r="E17848">
            <v>0</v>
          </cell>
          <cell r="F17848">
            <v>0</v>
          </cell>
          <cell r="DN17848">
            <v>0</v>
          </cell>
        </row>
        <row r="17849">
          <cell r="E17849">
            <v>0</v>
          </cell>
          <cell r="F17849">
            <v>0</v>
          </cell>
          <cell r="DN17849">
            <v>0</v>
          </cell>
        </row>
        <row r="17850">
          <cell r="E17850">
            <v>0</v>
          </cell>
          <cell r="F17850">
            <v>0</v>
          </cell>
          <cell r="DN17850">
            <v>0</v>
          </cell>
        </row>
        <row r="17851">
          <cell r="E17851">
            <v>0</v>
          </cell>
          <cell r="F17851">
            <v>0</v>
          </cell>
          <cell r="DN17851">
            <v>0</v>
          </cell>
        </row>
        <row r="17852">
          <cell r="E17852">
            <v>0</v>
          </cell>
          <cell r="F17852">
            <v>0</v>
          </cell>
          <cell r="DN17852">
            <v>0</v>
          </cell>
        </row>
        <row r="17853">
          <cell r="E17853">
            <v>0</v>
          </cell>
          <cell r="F17853">
            <v>0</v>
          </cell>
          <cell r="DN17853">
            <v>0</v>
          </cell>
        </row>
        <row r="17854">
          <cell r="E17854">
            <v>0</v>
          </cell>
          <cell r="F17854">
            <v>0</v>
          </cell>
          <cell r="DN17854">
            <v>0</v>
          </cell>
        </row>
        <row r="17855">
          <cell r="E17855">
            <v>0</v>
          </cell>
          <cell r="F17855">
            <v>0</v>
          </cell>
          <cell r="DN17855">
            <v>0</v>
          </cell>
        </row>
        <row r="17856">
          <cell r="E17856">
            <v>0</v>
          </cell>
          <cell r="F17856">
            <v>0</v>
          </cell>
          <cell r="DN17856">
            <v>0</v>
          </cell>
        </row>
        <row r="17857">
          <cell r="E17857">
            <v>0</v>
          </cell>
          <cell r="F17857">
            <v>0</v>
          </cell>
          <cell r="DN17857">
            <v>0</v>
          </cell>
        </row>
        <row r="17858">
          <cell r="E17858">
            <v>0</v>
          </cell>
          <cell r="F17858">
            <v>0</v>
          </cell>
          <cell r="DN17858">
            <v>0</v>
          </cell>
        </row>
        <row r="17859">
          <cell r="E17859">
            <v>0</v>
          </cell>
          <cell r="F17859">
            <v>0</v>
          </cell>
          <cell r="DN17859">
            <v>0</v>
          </cell>
        </row>
        <row r="17860">
          <cell r="E17860">
            <v>0</v>
          </cell>
          <cell r="F17860">
            <v>0</v>
          </cell>
          <cell r="DN17860">
            <v>0</v>
          </cell>
        </row>
        <row r="17861">
          <cell r="E17861">
            <v>0</v>
          </cell>
          <cell r="F17861">
            <v>0</v>
          </cell>
          <cell r="DN17861">
            <v>0</v>
          </cell>
        </row>
        <row r="17862">
          <cell r="E17862">
            <v>0</v>
          </cell>
          <cell r="F17862">
            <v>0</v>
          </cell>
          <cell r="DN17862">
            <v>0</v>
          </cell>
        </row>
        <row r="17863">
          <cell r="E17863">
            <v>0</v>
          </cell>
          <cell r="F17863">
            <v>0</v>
          </cell>
          <cell r="DN17863">
            <v>0</v>
          </cell>
        </row>
        <row r="17864">
          <cell r="E17864">
            <v>0</v>
          </cell>
          <cell r="F17864">
            <v>0</v>
          </cell>
          <cell r="DN17864">
            <v>0</v>
          </cell>
        </row>
        <row r="17865">
          <cell r="E17865">
            <v>0</v>
          </cell>
          <cell r="F17865">
            <v>0</v>
          </cell>
          <cell r="DN17865">
            <v>0</v>
          </cell>
        </row>
        <row r="17866">
          <cell r="E17866">
            <v>0</v>
          </cell>
          <cell r="F17866">
            <v>0</v>
          </cell>
          <cell r="DN17866">
            <v>0</v>
          </cell>
        </row>
        <row r="17867">
          <cell r="E17867">
            <v>0</v>
          </cell>
          <cell r="F17867">
            <v>0</v>
          </cell>
          <cell r="DN17867">
            <v>0</v>
          </cell>
        </row>
        <row r="17868">
          <cell r="E17868">
            <v>0</v>
          </cell>
          <cell r="F17868">
            <v>0</v>
          </cell>
          <cell r="DN17868">
            <v>0</v>
          </cell>
        </row>
        <row r="17869">
          <cell r="E17869">
            <v>0</v>
          </cell>
          <cell r="F17869">
            <v>0</v>
          </cell>
          <cell r="DN17869">
            <v>0</v>
          </cell>
        </row>
        <row r="17870">
          <cell r="E17870">
            <v>0</v>
          </cell>
          <cell r="F17870">
            <v>0</v>
          </cell>
          <cell r="DN17870">
            <v>0</v>
          </cell>
        </row>
        <row r="17871">
          <cell r="E17871">
            <v>0</v>
          </cell>
          <cell r="F17871">
            <v>0</v>
          </cell>
          <cell r="DN17871">
            <v>0</v>
          </cell>
        </row>
        <row r="17872">
          <cell r="E17872">
            <v>0</v>
          </cell>
          <cell r="F17872">
            <v>0</v>
          </cell>
          <cell r="DN17872">
            <v>0</v>
          </cell>
        </row>
        <row r="17873">
          <cell r="E17873">
            <v>0</v>
          </cell>
          <cell r="F17873">
            <v>0</v>
          </cell>
          <cell r="DN17873">
            <v>0</v>
          </cell>
        </row>
        <row r="17874">
          <cell r="E17874">
            <v>0</v>
          </cell>
          <cell r="F17874">
            <v>0</v>
          </cell>
          <cell r="DN17874">
            <v>0</v>
          </cell>
        </row>
        <row r="17875">
          <cell r="E17875">
            <v>0</v>
          </cell>
          <cell r="F17875">
            <v>0</v>
          </cell>
          <cell r="DN17875">
            <v>0</v>
          </cell>
        </row>
        <row r="17876">
          <cell r="E17876">
            <v>0</v>
          </cell>
          <cell r="F17876">
            <v>0</v>
          </cell>
          <cell r="DN17876">
            <v>0</v>
          </cell>
        </row>
        <row r="17877">
          <cell r="E17877">
            <v>0</v>
          </cell>
          <cell r="F17877">
            <v>0</v>
          </cell>
          <cell r="DN17877">
            <v>0</v>
          </cell>
        </row>
        <row r="17878">
          <cell r="E17878">
            <v>0</v>
          </cell>
          <cell r="F17878">
            <v>0</v>
          </cell>
          <cell r="DN17878">
            <v>0</v>
          </cell>
        </row>
        <row r="17879">
          <cell r="E17879">
            <v>0</v>
          </cell>
          <cell r="F17879">
            <v>0</v>
          </cell>
          <cell r="DN17879">
            <v>0</v>
          </cell>
        </row>
        <row r="17880">
          <cell r="E17880">
            <v>0</v>
          </cell>
          <cell r="F17880">
            <v>0</v>
          </cell>
          <cell r="DN17880">
            <v>0</v>
          </cell>
        </row>
        <row r="17881">
          <cell r="E17881">
            <v>0</v>
          </cell>
          <cell r="F17881">
            <v>0</v>
          </cell>
          <cell r="DN17881">
            <v>0</v>
          </cell>
        </row>
        <row r="17882">
          <cell r="E17882">
            <v>0</v>
          </cell>
          <cell r="F17882">
            <v>0</v>
          </cell>
          <cell r="DN17882">
            <v>0</v>
          </cell>
        </row>
        <row r="17883">
          <cell r="E17883">
            <v>0</v>
          </cell>
          <cell r="F17883">
            <v>0</v>
          </cell>
          <cell r="DN17883">
            <v>0</v>
          </cell>
        </row>
        <row r="17884">
          <cell r="E17884">
            <v>0</v>
          </cell>
          <cell r="F17884">
            <v>0</v>
          </cell>
          <cell r="DN17884">
            <v>0</v>
          </cell>
        </row>
        <row r="17885">
          <cell r="E17885">
            <v>0</v>
          </cell>
          <cell r="F17885">
            <v>0</v>
          </cell>
          <cell r="DN17885">
            <v>0</v>
          </cell>
        </row>
        <row r="17886">
          <cell r="E17886">
            <v>0</v>
          </cell>
          <cell r="F17886">
            <v>0</v>
          </cell>
          <cell r="DN17886">
            <v>0</v>
          </cell>
        </row>
        <row r="17887">
          <cell r="E17887">
            <v>0</v>
          </cell>
          <cell r="F17887">
            <v>0</v>
          </cell>
          <cell r="DN17887">
            <v>0</v>
          </cell>
        </row>
        <row r="17888">
          <cell r="E17888">
            <v>0</v>
          </cell>
          <cell r="F17888">
            <v>0</v>
          </cell>
          <cell r="DN17888">
            <v>0</v>
          </cell>
        </row>
        <row r="17889">
          <cell r="E17889">
            <v>0</v>
          </cell>
          <cell r="F17889">
            <v>0</v>
          </cell>
          <cell r="DN17889">
            <v>0</v>
          </cell>
        </row>
        <row r="17890">
          <cell r="E17890">
            <v>0</v>
          </cell>
          <cell r="F17890">
            <v>0</v>
          </cell>
          <cell r="DN17890">
            <v>0</v>
          </cell>
        </row>
        <row r="17891">
          <cell r="E17891">
            <v>0</v>
          </cell>
          <cell r="F17891">
            <v>0</v>
          </cell>
          <cell r="DN17891">
            <v>0</v>
          </cell>
        </row>
        <row r="17892">
          <cell r="E17892">
            <v>0</v>
          </cell>
          <cell r="F17892">
            <v>0</v>
          </cell>
          <cell r="DN17892">
            <v>0</v>
          </cell>
        </row>
        <row r="17893">
          <cell r="E17893">
            <v>0</v>
          </cell>
          <cell r="F17893">
            <v>0</v>
          </cell>
          <cell r="DN17893">
            <v>0</v>
          </cell>
        </row>
        <row r="17894">
          <cell r="E17894">
            <v>0</v>
          </cell>
          <cell r="F17894">
            <v>0</v>
          </cell>
          <cell r="DN17894">
            <v>0</v>
          </cell>
        </row>
        <row r="17895">
          <cell r="E17895">
            <v>0</v>
          </cell>
          <cell r="F17895">
            <v>0</v>
          </cell>
          <cell r="DN17895">
            <v>0</v>
          </cell>
        </row>
        <row r="17896">
          <cell r="E17896">
            <v>0</v>
          </cell>
          <cell r="F17896">
            <v>0</v>
          </cell>
          <cell r="DN17896">
            <v>0</v>
          </cell>
        </row>
        <row r="17897">
          <cell r="E17897">
            <v>0</v>
          </cell>
          <cell r="F17897">
            <v>0</v>
          </cell>
          <cell r="DN17897">
            <v>0</v>
          </cell>
        </row>
        <row r="17898">
          <cell r="E17898">
            <v>0</v>
          </cell>
          <cell r="F17898">
            <v>0</v>
          </cell>
          <cell r="DN17898">
            <v>0</v>
          </cell>
        </row>
        <row r="17899">
          <cell r="E17899">
            <v>0</v>
          </cell>
          <cell r="F17899">
            <v>0</v>
          </cell>
          <cell r="DN17899">
            <v>0</v>
          </cell>
        </row>
        <row r="17900">
          <cell r="E17900">
            <v>0</v>
          </cell>
          <cell r="F17900">
            <v>0</v>
          </cell>
          <cell r="DN17900">
            <v>0</v>
          </cell>
        </row>
        <row r="17901">
          <cell r="E17901">
            <v>0</v>
          </cell>
          <cell r="F17901">
            <v>0</v>
          </cell>
          <cell r="DN17901">
            <v>0</v>
          </cell>
        </row>
        <row r="17902">
          <cell r="E17902">
            <v>0</v>
          </cell>
          <cell r="F17902">
            <v>0</v>
          </cell>
          <cell r="DN17902">
            <v>0</v>
          </cell>
        </row>
        <row r="17903">
          <cell r="E17903">
            <v>0</v>
          </cell>
          <cell r="F17903">
            <v>0</v>
          </cell>
          <cell r="DN17903">
            <v>0</v>
          </cell>
        </row>
        <row r="17904">
          <cell r="E17904">
            <v>0</v>
          </cell>
          <cell r="F17904">
            <v>0</v>
          </cell>
          <cell r="DN17904">
            <v>0</v>
          </cell>
        </row>
        <row r="17905">
          <cell r="E17905">
            <v>0</v>
          </cell>
          <cell r="F17905">
            <v>0</v>
          </cell>
          <cell r="DN17905">
            <v>0</v>
          </cell>
        </row>
        <row r="17906">
          <cell r="E17906">
            <v>0</v>
          </cell>
          <cell r="F17906">
            <v>0</v>
          </cell>
          <cell r="DN17906">
            <v>0</v>
          </cell>
        </row>
        <row r="17907">
          <cell r="E17907">
            <v>0</v>
          </cell>
          <cell r="F17907">
            <v>0</v>
          </cell>
          <cell r="DN17907">
            <v>0</v>
          </cell>
        </row>
        <row r="17908">
          <cell r="E17908">
            <v>0</v>
          </cell>
          <cell r="F17908">
            <v>0</v>
          </cell>
          <cell r="DN17908">
            <v>0</v>
          </cell>
        </row>
        <row r="17909">
          <cell r="E17909">
            <v>0</v>
          </cell>
          <cell r="F17909">
            <v>0</v>
          </cell>
          <cell r="DN17909">
            <v>0</v>
          </cell>
        </row>
        <row r="17910">
          <cell r="E17910">
            <v>0</v>
          </cell>
          <cell r="F17910">
            <v>0</v>
          </cell>
          <cell r="DN17910">
            <v>0</v>
          </cell>
        </row>
        <row r="17911">
          <cell r="E17911">
            <v>0</v>
          </cell>
          <cell r="F17911">
            <v>0</v>
          </cell>
          <cell r="DN17911">
            <v>0</v>
          </cell>
        </row>
        <row r="17912">
          <cell r="E17912">
            <v>0</v>
          </cell>
          <cell r="F17912">
            <v>0</v>
          </cell>
          <cell r="DN17912">
            <v>0</v>
          </cell>
        </row>
        <row r="17913">
          <cell r="E17913">
            <v>0</v>
          </cell>
          <cell r="F17913">
            <v>0</v>
          </cell>
          <cell r="DN17913">
            <v>0</v>
          </cell>
        </row>
        <row r="17914">
          <cell r="E17914">
            <v>0</v>
          </cell>
          <cell r="F17914">
            <v>0</v>
          </cell>
          <cell r="DN17914">
            <v>0</v>
          </cell>
        </row>
        <row r="17915">
          <cell r="E17915">
            <v>0</v>
          </cell>
          <cell r="F17915">
            <v>0</v>
          </cell>
          <cell r="DN17915">
            <v>0</v>
          </cell>
        </row>
        <row r="17916">
          <cell r="E17916">
            <v>0</v>
          </cell>
          <cell r="F17916">
            <v>0</v>
          </cell>
          <cell r="DN17916">
            <v>0</v>
          </cell>
        </row>
        <row r="17917">
          <cell r="E17917">
            <v>0</v>
          </cell>
          <cell r="F17917">
            <v>0</v>
          </cell>
          <cell r="DN17917">
            <v>0</v>
          </cell>
        </row>
        <row r="17918">
          <cell r="E17918">
            <v>0</v>
          </cell>
          <cell r="F17918">
            <v>0</v>
          </cell>
          <cell r="DN17918">
            <v>0</v>
          </cell>
        </row>
        <row r="17919">
          <cell r="E17919">
            <v>0</v>
          </cell>
          <cell r="F17919">
            <v>0</v>
          </cell>
          <cell r="DN17919">
            <v>0</v>
          </cell>
        </row>
        <row r="17920">
          <cell r="E17920">
            <v>0</v>
          </cell>
          <cell r="F17920">
            <v>0</v>
          </cell>
          <cell r="DN17920">
            <v>0</v>
          </cell>
        </row>
        <row r="17921">
          <cell r="E17921">
            <v>0</v>
          </cell>
          <cell r="F17921">
            <v>0</v>
          </cell>
          <cell r="DN17921">
            <v>0</v>
          </cell>
        </row>
        <row r="17922">
          <cell r="E17922">
            <v>0</v>
          </cell>
          <cell r="F17922">
            <v>0</v>
          </cell>
          <cell r="DN17922">
            <v>0</v>
          </cell>
        </row>
        <row r="17923">
          <cell r="E17923">
            <v>0</v>
          </cell>
          <cell r="F17923">
            <v>0</v>
          </cell>
          <cell r="DN17923">
            <v>0</v>
          </cell>
        </row>
        <row r="17924">
          <cell r="E17924">
            <v>0</v>
          </cell>
          <cell r="F17924">
            <v>0</v>
          </cell>
          <cell r="DN17924">
            <v>0</v>
          </cell>
        </row>
        <row r="17925">
          <cell r="E17925">
            <v>0</v>
          </cell>
          <cell r="F17925">
            <v>0</v>
          </cell>
          <cell r="DN17925">
            <v>0</v>
          </cell>
        </row>
        <row r="17926">
          <cell r="E17926">
            <v>0</v>
          </cell>
          <cell r="F17926">
            <v>0</v>
          </cell>
          <cell r="DN17926">
            <v>0</v>
          </cell>
        </row>
        <row r="17927">
          <cell r="E17927">
            <v>0</v>
          </cell>
          <cell r="F17927">
            <v>0</v>
          </cell>
          <cell r="DN17927">
            <v>0</v>
          </cell>
        </row>
        <row r="17928">
          <cell r="E17928">
            <v>0</v>
          </cell>
          <cell r="F17928">
            <v>0</v>
          </cell>
          <cell r="DN17928">
            <v>0</v>
          </cell>
        </row>
        <row r="17929">
          <cell r="E17929">
            <v>0</v>
          </cell>
          <cell r="F17929">
            <v>0</v>
          </cell>
          <cell r="DN17929">
            <v>0</v>
          </cell>
        </row>
        <row r="17930">
          <cell r="E17930">
            <v>0</v>
          </cell>
          <cell r="F17930">
            <v>0</v>
          </cell>
          <cell r="DN17930">
            <v>0</v>
          </cell>
        </row>
        <row r="17931">
          <cell r="E17931">
            <v>0</v>
          </cell>
          <cell r="F17931">
            <v>0</v>
          </cell>
          <cell r="DN17931">
            <v>0</v>
          </cell>
        </row>
        <row r="17932">
          <cell r="E17932">
            <v>0</v>
          </cell>
          <cell r="F17932">
            <v>0</v>
          </cell>
          <cell r="DN17932">
            <v>0</v>
          </cell>
        </row>
        <row r="17933">
          <cell r="E17933">
            <v>0</v>
          </cell>
          <cell r="F17933">
            <v>0</v>
          </cell>
          <cell r="DN17933">
            <v>0</v>
          </cell>
        </row>
        <row r="17934">
          <cell r="E17934">
            <v>0</v>
          </cell>
          <cell r="F17934">
            <v>0</v>
          </cell>
          <cell r="DN17934">
            <v>0</v>
          </cell>
        </row>
        <row r="17935">
          <cell r="E17935">
            <v>0</v>
          </cell>
          <cell r="F17935">
            <v>0</v>
          </cell>
          <cell r="DN17935">
            <v>0</v>
          </cell>
        </row>
        <row r="17936">
          <cell r="E17936">
            <v>0</v>
          </cell>
          <cell r="F17936">
            <v>0</v>
          </cell>
          <cell r="DN17936">
            <v>0</v>
          </cell>
        </row>
        <row r="17937">
          <cell r="E17937">
            <v>0</v>
          </cell>
          <cell r="F17937">
            <v>0</v>
          </cell>
          <cell r="DN17937">
            <v>0</v>
          </cell>
        </row>
        <row r="17938">
          <cell r="E17938">
            <v>0</v>
          </cell>
          <cell r="F17938">
            <v>0</v>
          </cell>
          <cell r="DN17938">
            <v>0</v>
          </cell>
        </row>
        <row r="17939">
          <cell r="E17939">
            <v>0</v>
          </cell>
          <cell r="F17939">
            <v>0</v>
          </cell>
          <cell r="DN17939">
            <v>0</v>
          </cell>
        </row>
        <row r="17940">
          <cell r="E17940">
            <v>0</v>
          </cell>
          <cell r="F17940">
            <v>0</v>
          </cell>
          <cell r="DN17940">
            <v>0</v>
          </cell>
        </row>
        <row r="17941">
          <cell r="E17941">
            <v>0</v>
          </cell>
          <cell r="F17941">
            <v>0</v>
          </cell>
          <cell r="DN17941">
            <v>0</v>
          </cell>
        </row>
        <row r="17942">
          <cell r="E17942">
            <v>0</v>
          </cell>
          <cell r="F17942">
            <v>0</v>
          </cell>
          <cell r="DN17942">
            <v>0</v>
          </cell>
        </row>
        <row r="17943">
          <cell r="E17943">
            <v>0</v>
          </cell>
          <cell r="F17943">
            <v>0</v>
          </cell>
          <cell r="DN17943">
            <v>0</v>
          </cell>
        </row>
        <row r="17944">
          <cell r="E17944">
            <v>0</v>
          </cell>
          <cell r="F17944">
            <v>0</v>
          </cell>
          <cell r="DN17944">
            <v>0</v>
          </cell>
        </row>
        <row r="17945">
          <cell r="E17945">
            <v>0</v>
          </cell>
          <cell r="F17945">
            <v>0</v>
          </cell>
          <cell r="DN17945">
            <v>0</v>
          </cell>
        </row>
        <row r="17946">
          <cell r="E17946">
            <v>0</v>
          </cell>
          <cell r="F17946">
            <v>0</v>
          </cell>
          <cell r="DN17946">
            <v>0</v>
          </cell>
        </row>
        <row r="17947">
          <cell r="E17947">
            <v>0</v>
          </cell>
          <cell r="F17947">
            <v>0</v>
          </cell>
          <cell r="DN17947">
            <v>0</v>
          </cell>
        </row>
        <row r="17948">
          <cell r="E17948">
            <v>0</v>
          </cell>
          <cell r="F17948">
            <v>0</v>
          </cell>
          <cell r="DN17948">
            <v>0</v>
          </cell>
        </row>
        <row r="17949">
          <cell r="E17949">
            <v>0</v>
          </cell>
          <cell r="F17949">
            <v>0</v>
          </cell>
          <cell r="DN17949">
            <v>0</v>
          </cell>
        </row>
        <row r="17950">
          <cell r="E17950">
            <v>0</v>
          </cell>
          <cell r="F17950">
            <v>0</v>
          </cell>
          <cell r="DN17950">
            <v>0</v>
          </cell>
        </row>
        <row r="17951">
          <cell r="E17951">
            <v>0</v>
          </cell>
          <cell r="F17951">
            <v>0</v>
          </cell>
          <cell r="DN17951">
            <v>0</v>
          </cell>
        </row>
        <row r="17952">
          <cell r="E17952">
            <v>0</v>
          </cell>
          <cell r="F17952">
            <v>0</v>
          </cell>
          <cell r="DN17952">
            <v>0</v>
          </cell>
        </row>
        <row r="17953">
          <cell r="E17953">
            <v>0</v>
          </cell>
          <cell r="F17953">
            <v>0</v>
          </cell>
          <cell r="DN17953">
            <v>0</v>
          </cell>
        </row>
        <row r="17954">
          <cell r="E17954">
            <v>0</v>
          </cell>
          <cell r="F17954">
            <v>0</v>
          </cell>
          <cell r="DN17954">
            <v>0</v>
          </cell>
        </row>
        <row r="17955">
          <cell r="E17955">
            <v>0</v>
          </cell>
          <cell r="F17955">
            <v>0</v>
          </cell>
          <cell r="DN17955">
            <v>0</v>
          </cell>
        </row>
        <row r="17956">
          <cell r="E17956">
            <v>0</v>
          </cell>
          <cell r="F17956">
            <v>0</v>
          </cell>
          <cell r="DN17956">
            <v>0</v>
          </cell>
        </row>
        <row r="17957">
          <cell r="E17957">
            <v>0</v>
          </cell>
          <cell r="F17957">
            <v>0</v>
          </cell>
          <cell r="DN17957">
            <v>0</v>
          </cell>
        </row>
        <row r="17958">
          <cell r="E17958">
            <v>0</v>
          </cell>
          <cell r="F17958">
            <v>0</v>
          </cell>
          <cell r="DN17958">
            <v>0</v>
          </cell>
        </row>
        <row r="17959">
          <cell r="E17959">
            <v>0</v>
          </cell>
          <cell r="F17959">
            <v>0</v>
          </cell>
          <cell r="DN17959">
            <v>0</v>
          </cell>
        </row>
        <row r="17960">
          <cell r="E17960">
            <v>0</v>
          </cell>
          <cell r="F17960">
            <v>0</v>
          </cell>
          <cell r="DN17960">
            <v>0</v>
          </cell>
        </row>
        <row r="17961">
          <cell r="E17961">
            <v>0</v>
          </cell>
          <cell r="F17961">
            <v>0</v>
          </cell>
          <cell r="DN17961">
            <v>0</v>
          </cell>
        </row>
        <row r="17962">
          <cell r="E17962">
            <v>0</v>
          </cell>
          <cell r="F17962">
            <v>0</v>
          </cell>
          <cell r="DN17962">
            <v>0</v>
          </cell>
        </row>
        <row r="17963">
          <cell r="E17963">
            <v>0</v>
          </cell>
          <cell r="F17963">
            <v>0</v>
          </cell>
          <cell r="DN17963">
            <v>0</v>
          </cell>
        </row>
        <row r="17964">
          <cell r="E17964">
            <v>0</v>
          </cell>
          <cell r="F17964">
            <v>0</v>
          </cell>
          <cell r="DN17964">
            <v>0</v>
          </cell>
        </row>
        <row r="17965">
          <cell r="E17965">
            <v>0</v>
          </cell>
          <cell r="F17965">
            <v>0</v>
          </cell>
          <cell r="DN17965">
            <v>0</v>
          </cell>
        </row>
        <row r="17966">
          <cell r="E17966">
            <v>0</v>
          </cell>
          <cell r="F17966">
            <v>0</v>
          </cell>
          <cell r="DN17966">
            <v>0</v>
          </cell>
        </row>
        <row r="17967">
          <cell r="E17967">
            <v>0</v>
          </cell>
          <cell r="F17967">
            <v>0</v>
          </cell>
          <cell r="DN17967">
            <v>0</v>
          </cell>
        </row>
        <row r="17968">
          <cell r="E17968">
            <v>0</v>
          </cell>
          <cell r="F17968">
            <v>0</v>
          </cell>
          <cell r="DN17968">
            <v>0</v>
          </cell>
        </row>
        <row r="17969">
          <cell r="E17969">
            <v>0</v>
          </cell>
          <cell r="F17969">
            <v>0</v>
          </cell>
          <cell r="DN17969">
            <v>0</v>
          </cell>
        </row>
        <row r="17970">
          <cell r="E17970">
            <v>0</v>
          </cell>
          <cell r="F17970">
            <v>0</v>
          </cell>
          <cell r="DN17970">
            <v>0</v>
          </cell>
        </row>
        <row r="17971">
          <cell r="E17971">
            <v>0</v>
          </cell>
          <cell r="F17971">
            <v>0</v>
          </cell>
          <cell r="DN17971">
            <v>0</v>
          </cell>
        </row>
        <row r="17972">
          <cell r="E17972">
            <v>0</v>
          </cell>
          <cell r="F17972">
            <v>0</v>
          </cell>
          <cell r="DN17972">
            <v>0</v>
          </cell>
        </row>
        <row r="17973">
          <cell r="E17973">
            <v>0</v>
          </cell>
          <cell r="F17973">
            <v>0</v>
          </cell>
          <cell r="DN17973">
            <v>0</v>
          </cell>
        </row>
        <row r="17974">
          <cell r="E17974">
            <v>0</v>
          </cell>
          <cell r="F17974">
            <v>0</v>
          </cell>
          <cell r="DN17974">
            <v>0</v>
          </cell>
        </row>
        <row r="17975">
          <cell r="E17975">
            <v>0</v>
          </cell>
          <cell r="F17975">
            <v>0</v>
          </cell>
          <cell r="DN17975">
            <v>0</v>
          </cell>
        </row>
        <row r="17976">
          <cell r="E17976">
            <v>0</v>
          </cell>
          <cell r="F17976">
            <v>0</v>
          </cell>
          <cell r="DN17976">
            <v>0</v>
          </cell>
        </row>
        <row r="17977">
          <cell r="E17977">
            <v>0</v>
          </cell>
          <cell r="F17977">
            <v>0</v>
          </cell>
          <cell r="DN17977">
            <v>0</v>
          </cell>
        </row>
        <row r="17978">
          <cell r="E17978">
            <v>0</v>
          </cell>
          <cell r="F17978">
            <v>0</v>
          </cell>
          <cell r="DN17978">
            <v>0</v>
          </cell>
        </row>
        <row r="17979">
          <cell r="E17979">
            <v>0</v>
          </cell>
          <cell r="F17979">
            <v>0</v>
          </cell>
          <cell r="DN17979">
            <v>0</v>
          </cell>
        </row>
        <row r="17980">
          <cell r="E17980">
            <v>0</v>
          </cell>
          <cell r="F17980">
            <v>0</v>
          </cell>
          <cell r="DN17980">
            <v>0</v>
          </cell>
        </row>
        <row r="17981">
          <cell r="E17981">
            <v>0</v>
          </cell>
          <cell r="F17981">
            <v>0</v>
          </cell>
          <cell r="DN17981">
            <v>0</v>
          </cell>
        </row>
        <row r="17982">
          <cell r="E17982">
            <v>0</v>
          </cell>
          <cell r="F17982">
            <v>0</v>
          </cell>
          <cell r="DN17982">
            <v>0</v>
          </cell>
        </row>
        <row r="17983">
          <cell r="E17983">
            <v>0</v>
          </cell>
          <cell r="F17983">
            <v>0</v>
          </cell>
          <cell r="DN17983">
            <v>0</v>
          </cell>
        </row>
        <row r="17984">
          <cell r="E17984">
            <v>0</v>
          </cell>
          <cell r="F17984">
            <v>0</v>
          </cell>
          <cell r="DN17984">
            <v>0</v>
          </cell>
        </row>
        <row r="17985">
          <cell r="E17985">
            <v>0</v>
          </cell>
          <cell r="F17985">
            <v>0</v>
          </cell>
          <cell r="DN17985">
            <v>0</v>
          </cell>
        </row>
        <row r="17986">
          <cell r="E17986">
            <v>0</v>
          </cell>
          <cell r="F17986">
            <v>0</v>
          </cell>
          <cell r="DN17986">
            <v>0</v>
          </cell>
        </row>
        <row r="17987">
          <cell r="E17987">
            <v>0</v>
          </cell>
          <cell r="F17987">
            <v>0</v>
          </cell>
          <cell r="DN17987">
            <v>0</v>
          </cell>
        </row>
        <row r="17988">
          <cell r="E17988">
            <v>0</v>
          </cell>
          <cell r="F17988">
            <v>0</v>
          </cell>
          <cell r="DN17988">
            <v>0</v>
          </cell>
        </row>
        <row r="17989">
          <cell r="E17989">
            <v>0</v>
          </cell>
          <cell r="F17989">
            <v>0</v>
          </cell>
          <cell r="DN17989">
            <v>0</v>
          </cell>
        </row>
        <row r="17990">
          <cell r="E17990">
            <v>0</v>
          </cell>
          <cell r="F17990">
            <v>0</v>
          </cell>
          <cell r="DN17990">
            <v>0</v>
          </cell>
        </row>
        <row r="17991">
          <cell r="E17991">
            <v>0</v>
          </cell>
          <cell r="F17991">
            <v>0</v>
          </cell>
          <cell r="DN17991">
            <v>0</v>
          </cell>
        </row>
        <row r="17992">
          <cell r="E17992">
            <v>0</v>
          </cell>
          <cell r="F17992">
            <v>0</v>
          </cell>
          <cell r="DN17992">
            <v>0</v>
          </cell>
        </row>
        <row r="17993">
          <cell r="E17993">
            <v>0</v>
          </cell>
          <cell r="F17993">
            <v>0</v>
          </cell>
          <cell r="DN17993">
            <v>0</v>
          </cell>
        </row>
        <row r="17994">
          <cell r="E17994">
            <v>0</v>
          </cell>
          <cell r="F17994">
            <v>0</v>
          </cell>
          <cell r="DN17994">
            <v>0</v>
          </cell>
        </row>
        <row r="17995">
          <cell r="E17995">
            <v>0</v>
          </cell>
          <cell r="F17995">
            <v>0</v>
          </cell>
          <cell r="DN17995">
            <v>0</v>
          </cell>
        </row>
        <row r="17996">
          <cell r="E17996">
            <v>0</v>
          </cell>
          <cell r="F17996">
            <v>0</v>
          </cell>
          <cell r="DN17996">
            <v>0</v>
          </cell>
        </row>
        <row r="17997">
          <cell r="E17997">
            <v>0</v>
          </cell>
          <cell r="F17997">
            <v>0</v>
          </cell>
          <cell r="DN17997">
            <v>0</v>
          </cell>
        </row>
        <row r="17998">
          <cell r="E17998">
            <v>0</v>
          </cell>
          <cell r="F17998">
            <v>0</v>
          </cell>
          <cell r="DN17998">
            <v>0</v>
          </cell>
        </row>
        <row r="17999">
          <cell r="E17999">
            <v>0</v>
          </cell>
          <cell r="F17999">
            <v>0</v>
          </cell>
          <cell r="DN17999">
            <v>0</v>
          </cell>
        </row>
        <row r="18000">
          <cell r="E18000">
            <v>0</v>
          </cell>
          <cell r="F18000">
            <v>0</v>
          </cell>
          <cell r="DN18000">
            <v>0</v>
          </cell>
        </row>
        <row r="18001">
          <cell r="E18001">
            <v>0</v>
          </cell>
          <cell r="F18001">
            <v>0</v>
          </cell>
          <cell r="DN18001">
            <v>0</v>
          </cell>
        </row>
        <row r="18002">
          <cell r="E18002">
            <v>0</v>
          </cell>
          <cell r="F18002">
            <v>0</v>
          </cell>
          <cell r="DN18002">
            <v>0</v>
          </cell>
        </row>
        <row r="18003">
          <cell r="E18003">
            <v>0</v>
          </cell>
          <cell r="F18003">
            <v>0</v>
          </cell>
          <cell r="DN18003">
            <v>0</v>
          </cell>
        </row>
        <row r="18004">
          <cell r="E18004">
            <v>0</v>
          </cell>
          <cell r="F18004">
            <v>0</v>
          </cell>
          <cell r="DN18004">
            <v>0</v>
          </cell>
        </row>
        <row r="18005">
          <cell r="E18005">
            <v>0</v>
          </cell>
          <cell r="F18005">
            <v>0</v>
          </cell>
          <cell r="DN18005">
            <v>0</v>
          </cell>
        </row>
        <row r="18006">
          <cell r="E18006">
            <v>0</v>
          </cell>
          <cell r="F18006">
            <v>0</v>
          </cell>
          <cell r="DN18006">
            <v>0</v>
          </cell>
        </row>
        <row r="18007">
          <cell r="E18007">
            <v>0</v>
          </cell>
          <cell r="F18007">
            <v>0</v>
          </cell>
          <cell r="DN18007">
            <v>0</v>
          </cell>
        </row>
        <row r="18008">
          <cell r="E18008">
            <v>0</v>
          </cell>
          <cell r="F18008">
            <v>0</v>
          </cell>
          <cell r="DN18008">
            <v>0</v>
          </cell>
        </row>
        <row r="18009">
          <cell r="E18009">
            <v>0</v>
          </cell>
          <cell r="F18009">
            <v>0</v>
          </cell>
          <cell r="DN18009">
            <v>0</v>
          </cell>
        </row>
        <row r="18010">
          <cell r="E18010">
            <v>0</v>
          </cell>
          <cell r="F18010">
            <v>0</v>
          </cell>
          <cell r="DN18010">
            <v>0</v>
          </cell>
        </row>
        <row r="18011">
          <cell r="E18011">
            <v>0</v>
          </cell>
          <cell r="F18011">
            <v>0</v>
          </cell>
          <cell r="DN18011">
            <v>0</v>
          </cell>
        </row>
        <row r="18012">
          <cell r="E18012">
            <v>0</v>
          </cell>
          <cell r="F18012">
            <v>0</v>
          </cell>
          <cell r="DN18012">
            <v>0</v>
          </cell>
        </row>
        <row r="18013">
          <cell r="E18013">
            <v>0</v>
          </cell>
          <cell r="F18013">
            <v>0</v>
          </cell>
          <cell r="DN18013">
            <v>0</v>
          </cell>
        </row>
        <row r="18014">
          <cell r="E18014">
            <v>0</v>
          </cell>
          <cell r="F18014">
            <v>0</v>
          </cell>
          <cell r="DN18014">
            <v>0</v>
          </cell>
        </row>
        <row r="18015">
          <cell r="E18015">
            <v>0</v>
          </cell>
          <cell r="F18015">
            <v>0</v>
          </cell>
          <cell r="DN18015">
            <v>0</v>
          </cell>
        </row>
        <row r="18016">
          <cell r="E18016">
            <v>0</v>
          </cell>
          <cell r="F18016">
            <v>0</v>
          </cell>
          <cell r="DN18016">
            <v>0</v>
          </cell>
        </row>
        <row r="18017">
          <cell r="E18017">
            <v>0</v>
          </cell>
          <cell r="F18017">
            <v>0</v>
          </cell>
          <cell r="DN18017">
            <v>0</v>
          </cell>
        </row>
        <row r="18018">
          <cell r="E18018">
            <v>0</v>
          </cell>
          <cell r="F18018">
            <v>0</v>
          </cell>
          <cell r="DN18018">
            <v>0</v>
          </cell>
        </row>
        <row r="18019">
          <cell r="E18019">
            <v>0</v>
          </cell>
          <cell r="F18019">
            <v>0</v>
          </cell>
          <cell r="DN18019">
            <v>0</v>
          </cell>
        </row>
        <row r="18020">
          <cell r="E18020">
            <v>0</v>
          </cell>
          <cell r="F18020">
            <v>0</v>
          </cell>
          <cell r="DN18020">
            <v>0</v>
          </cell>
        </row>
        <row r="18021">
          <cell r="E18021">
            <v>0</v>
          </cell>
          <cell r="F18021">
            <v>0</v>
          </cell>
          <cell r="DN18021">
            <v>0</v>
          </cell>
        </row>
        <row r="18022">
          <cell r="E18022">
            <v>0</v>
          </cell>
          <cell r="F18022">
            <v>0</v>
          </cell>
          <cell r="DN18022">
            <v>0</v>
          </cell>
        </row>
        <row r="18023">
          <cell r="E18023">
            <v>0</v>
          </cell>
          <cell r="F18023">
            <v>0</v>
          </cell>
          <cell r="DN18023">
            <v>0</v>
          </cell>
        </row>
        <row r="18024">
          <cell r="E18024">
            <v>0</v>
          </cell>
          <cell r="F18024">
            <v>0</v>
          </cell>
          <cell r="DN18024">
            <v>0</v>
          </cell>
        </row>
        <row r="18025">
          <cell r="E18025">
            <v>0</v>
          </cell>
          <cell r="F18025">
            <v>0</v>
          </cell>
          <cell r="DN18025">
            <v>0</v>
          </cell>
        </row>
        <row r="18026">
          <cell r="E18026">
            <v>0</v>
          </cell>
          <cell r="F18026">
            <v>0</v>
          </cell>
          <cell r="DN18026">
            <v>0</v>
          </cell>
        </row>
        <row r="18027">
          <cell r="E18027">
            <v>0</v>
          </cell>
          <cell r="F18027">
            <v>0</v>
          </cell>
          <cell r="DN18027">
            <v>0</v>
          </cell>
        </row>
        <row r="18028">
          <cell r="E18028">
            <v>0</v>
          </cell>
          <cell r="F18028">
            <v>0</v>
          </cell>
          <cell r="DN18028">
            <v>0</v>
          </cell>
        </row>
        <row r="18029">
          <cell r="E18029">
            <v>0</v>
          </cell>
          <cell r="F18029">
            <v>0</v>
          </cell>
          <cell r="DN18029">
            <v>0</v>
          </cell>
        </row>
        <row r="18030">
          <cell r="E18030">
            <v>0</v>
          </cell>
          <cell r="F18030">
            <v>0</v>
          </cell>
          <cell r="DN18030">
            <v>0</v>
          </cell>
        </row>
        <row r="18031">
          <cell r="E18031">
            <v>0</v>
          </cell>
          <cell r="F18031">
            <v>0</v>
          </cell>
          <cell r="DN18031">
            <v>0</v>
          </cell>
        </row>
        <row r="18032">
          <cell r="E18032">
            <v>0</v>
          </cell>
          <cell r="F18032">
            <v>0</v>
          </cell>
          <cell r="DN18032">
            <v>0</v>
          </cell>
        </row>
        <row r="18033">
          <cell r="E18033">
            <v>0</v>
          </cell>
          <cell r="F18033">
            <v>0</v>
          </cell>
          <cell r="DN18033">
            <v>0</v>
          </cell>
        </row>
        <row r="18034">
          <cell r="E18034">
            <v>0</v>
          </cell>
          <cell r="F18034">
            <v>0</v>
          </cell>
          <cell r="DN18034">
            <v>0</v>
          </cell>
        </row>
        <row r="18035">
          <cell r="E18035">
            <v>0</v>
          </cell>
          <cell r="F18035">
            <v>0</v>
          </cell>
          <cell r="DN18035">
            <v>0</v>
          </cell>
        </row>
        <row r="18036">
          <cell r="E18036">
            <v>0</v>
          </cell>
          <cell r="F18036">
            <v>0</v>
          </cell>
          <cell r="DN18036">
            <v>0</v>
          </cell>
        </row>
        <row r="18037">
          <cell r="E18037">
            <v>0</v>
          </cell>
          <cell r="F18037">
            <v>0</v>
          </cell>
          <cell r="DN18037">
            <v>0</v>
          </cell>
        </row>
        <row r="18038">
          <cell r="E18038">
            <v>0</v>
          </cell>
          <cell r="F18038">
            <v>0</v>
          </cell>
          <cell r="DN18038">
            <v>0</v>
          </cell>
        </row>
        <row r="18039">
          <cell r="E18039">
            <v>0</v>
          </cell>
          <cell r="F18039">
            <v>0</v>
          </cell>
          <cell r="DN18039">
            <v>0</v>
          </cell>
        </row>
        <row r="18040">
          <cell r="E18040">
            <v>0</v>
          </cell>
          <cell r="F18040">
            <v>0</v>
          </cell>
          <cell r="DN18040">
            <v>0</v>
          </cell>
        </row>
        <row r="18041">
          <cell r="E18041">
            <v>0</v>
          </cell>
          <cell r="F18041">
            <v>0</v>
          </cell>
          <cell r="DN18041">
            <v>0</v>
          </cell>
        </row>
        <row r="18042">
          <cell r="E18042">
            <v>0</v>
          </cell>
          <cell r="F18042">
            <v>0</v>
          </cell>
          <cell r="DN18042">
            <v>0</v>
          </cell>
        </row>
        <row r="18043">
          <cell r="E18043">
            <v>0</v>
          </cell>
          <cell r="F18043">
            <v>0</v>
          </cell>
          <cell r="DN18043">
            <v>0</v>
          </cell>
        </row>
        <row r="18044">
          <cell r="E18044">
            <v>0</v>
          </cell>
          <cell r="F18044">
            <v>0</v>
          </cell>
          <cell r="DN18044">
            <v>0</v>
          </cell>
        </row>
        <row r="18045">
          <cell r="E18045">
            <v>0</v>
          </cell>
          <cell r="F18045">
            <v>0</v>
          </cell>
          <cell r="DN18045">
            <v>0</v>
          </cell>
        </row>
        <row r="18046">
          <cell r="E18046">
            <v>0</v>
          </cell>
          <cell r="F18046">
            <v>0</v>
          </cell>
          <cell r="DN18046">
            <v>0</v>
          </cell>
        </row>
        <row r="18047">
          <cell r="E18047">
            <v>0</v>
          </cell>
          <cell r="F18047">
            <v>0</v>
          </cell>
          <cell r="DN18047">
            <v>0</v>
          </cell>
        </row>
        <row r="18048">
          <cell r="E18048">
            <v>0</v>
          </cell>
          <cell r="F18048">
            <v>0</v>
          </cell>
          <cell r="DN18048">
            <v>0</v>
          </cell>
        </row>
        <row r="18049">
          <cell r="E18049">
            <v>0</v>
          </cell>
          <cell r="F18049">
            <v>0</v>
          </cell>
          <cell r="DN18049">
            <v>0</v>
          </cell>
        </row>
        <row r="18050">
          <cell r="E18050">
            <v>0</v>
          </cell>
          <cell r="F18050">
            <v>0</v>
          </cell>
          <cell r="DN18050">
            <v>0</v>
          </cell>
        </row>
        <row r="18051">
          <cell r="E18051">
            <v>0</v>
          </cell>
          <cell r="F18051">
            <v>0</v>
          </cell>
          <cell r="DN18051">
            <v>0</v>
          </cell>
        </row>
        <row r="18052">
          <cell r="E18052">
            <v>0</v>
          </cell>
          <cell r="F18052">
            <v>0</v>
          </cell>
          <cell r="DN18052">
            <v>0</v>
          </cell>
        </row>
        <row r="18053">
          <cell r="E18053">
            <v>0</v>
          </cell>
          <cell r="F18053">
            <v>0</v>
          </cell>
          <cell r="DN18053">
            <v>0</v>
          </cell>
        </row>
        <row r="18054">
          <cell r="E18054">
            <v>0</v>
          </cell>
          <cell r="F18054">
            <v>0</v>
          </cell>
          <cell r="DN18054">
            <v>0</v>
          </cell>
        </row>
        <row r="18055">
          <cell r="E18055">
            <v>0</v>
          </cell>
          <cell r="F18055">
            <v>0</v>
          </cell>
          <cell r="DN18055">
            <v>0</v>
          </cell>
        </row>
        <row r="18056">
          <cell r="E18056">
            <v>0</v>
          </cell>
          <cell r="F18056">
            <v>0</v>
          </cell>
          <cell r="DN18056">
            <v>0</v>
          </cell>
        </row>
        <row r="18057">
          <cell r="E18057">
            <v>0</v>
          </cell>
          <cell r="F18057">
            <v>0</v>
          </cell>
          <cell r="DN18057">
            <v>0</v>
          </cell>
        </row>
        <row r="18058">
          <cell r="E18058">
            <v>0</v>
          </cell>
          <cell r="F18058">
            <v>0</v>
          </cell>
          <cell r="DN18058">
            <v>0</v>
          </cell>
        </row>
        <row r="18059">
          <cell r="E18059">
            <v>0</v>
          </cell>
          <cell r="F18059">
            <v>0</v>
          </cell>
          <cell r="DN18059">
            <v>0</v>
          </cell>
        </row>
        <row r="18060">
          <cell r="E18060">
            <v>0</v>
          </cell>
          <cell r="F18060">
            <v>0</v>
          </cell>
          <cell r="DN18060">
            <v>0</v>
          </cell>
        </row>
        <row r="18061">
          <cell r="E18061">
            <v>0</v>
          </cell>
          <cell r="F18061">
            <v>0</v>
          </cell>
          <cell r="DN18061">
            <v>0</v>
          </cell>
        </row>
        <row r="18062">
          <cell r="E18062">
            <v>0</v>
          </cell>
          <cell r="F18062">
            <v>0</v>
          </cell>
          <cell r="DN18062">
            <v>0</v>
          </cell>
        </row>
        <row r="18063">
          <cell r="E18063">
            <v>0</v>
          </cell>
          <cell r="F18063">
            <v>0</v>
          </cell>
          <cell r="DN18063">
            <v>0</v>
          </cell>
        </row>
        <row r="18064">
          <cell r="E18064">
            <v>0</v>
          </cell>
          <cell r="F18064">
            <v>0</v>
          </cell>
          <cell r="DN18064">
            <v>0</v>
          </cell>
        </row>
        <row r="18065">
          <cell r="E18065">
            <v>0</v>
          </cell>
          <cell r="F18065">
            <v>0</v>
          </cell>
          <cell r="DN18065">
            <v>0</v>
          </cell>
        </row>
        <row r="18066">
          <cell r="E18066">
            <v>0</v>
          </cell>
          <cell r="F18066">
            <v>0</v>
          </cell>
          <cell r="DN18066">
            <v>0</v>
          </cell>
        </row>
        <row r="18067">
          <cell r="E18067">
            <v>0</v>
          </cell>
          <cell r="F18067">
            <v>0</v>
          </cell>
          <cell r="DN18067">
            <v>0</v>
          </cell>
        </row>
        <row r="18068">
          <cell r="E18068">
            <v>0</v>
          </cell>
          <cell r="F18068">
            <v>0</v>
          </cell>
          <cell r="DN18068">
            <v>0</v>
          </cell>
        </row>
        <row r="18069">
          <cell r="E18069">
            <v>0</v>
          </cell>
          <cell r="F18069">
            <v>0</v>
          </cell>
          <cell r="DN18069">
            <v>0</v>
          </cell>
        </row>
        <row r="18070">
          <cell r="E18070">
            <v>0</v>
          </cell>
          <cell r="F18070">
            <v>0</v>
          </cell>
          <cell r="DN18070">
            <v>0</v>
          </cell>
        </row>
        <row r="18071">
          <cell r="E18071">
            <v>0</v>
          </cell>
          <cell r="F18071">
            <v>0</v>
          </cell>
          <cell r="DN18071">
            <v>0</v>
          </cell>
        </row>
        <row r="18072">
          <cell r="E18072">
            <v>0</v>
          </cell>
          <cell r="F18072">
            <v>0</v>
          </cell>
          <cell r="DN18072">
            <v>0</v>
          </cell>
        </row>
        <row r="18073">
          <cell r="E18073">
            <v>0</v>
          </cell>
          <cell r="F18073">
            <v>0</v>
          </cell>
          <cell r="DN18073">
            <v>0</v>
          </cell>
        </row>
        <row r="18074">
          <cell r="E18074">
            <v>0</v>
          </cell>
          <cell r="F18074">
            <v>0</v>
          </cell>
          <cell r="DN18074">
            <v>0</v>
          </cell>
        </row>
        <row r="18075">
          <cell r="E18075">
            <v>0</v>
          </cell>
          <cell r="F18075">
            <v>0</v>
          </cell>
          <cell r="DN18075">
            <v>0</v>
          </cell>
        </row>
        <row r="18076">
          <cell r="E18076">
            <v>0</v>
          </cell>
          <cell r="F18076">
            <v>0</v>
          </cell>
          <cell r="DN18076">
            <v>0</v>
          </cell>
        </row>
        <row r="18077">
          <cell r="E18077">
            <v>0</v>
          </cell>
          <cell r="F18077">
            <v>0</v>
          </cell>
          <cell r="DN18077">
            <v>0</v>
          </cell>
        </row>
        <row r="18078">
          <cell r="E18078">
            <v>0</v>
          </cell>
          <cell r="F18078">
            <v>0</v>
          </cell>
          <cell r="DN18078">
            <v>0</v>
          </cell>
        </row>
        <row r="18079">
          <cell r="E18079">
            <v>0</v>
          </cell>
          <cell r="F18079">
            <v>0</v>
          </cell>
          <cell r="DN18079">
            <v>0</v>
          </cell>
        </row>
        <row r="18080">
          <cell r="E18080">
            <v>0</v>
          </cell>
          <cell r="F18080">
            <v>0</v>
          </cell>
          <cell r="DN18080">
            <v>0</v>
          </cell>
        </row>
        <row r="18081">
          <cell r="E18081">
            <v>0</v>
          </cell>
          <cell r="F18081">
            <v>0</v>
          </cell>
          <cell r="DN18081">
            <v>0</v>
          </cell>
        </row>
        <row r="18082">
          <cell r="E18082">
            <v>0</v>
          </cell>
          <cell r="F18082">
            <v>0</v>
          </cell>
          <cell r="DN18082">
            <v>0</v>
          </cell>
        </row>
        <row r="18083">
          <cell r="E18083">
            <v>0</v>
          </cell>
          <cell r="F18083">
            <v>0</v>
          </cell>
          <cell r="DN18083">
            <v>0</v>
          </cell>
        </row>
        <row r="18084">
          <cell r="E18084">
            <v>0</v>
          </cell>
          <cell r="F18084">
            <v>0</v>
          </cell>
          <cell r="DN18084">
            <v>0</v>
          </cell>
        </row>
        <row r="18085">
          <cell r="E18085">
            <v>0</v>
          </cell>
          <cell r="F18085">
            <v>0</v>
          </cell>
          <cell r="DN18085">
            <v>0</v>
          </cell>
        </row>
        <row r="18086">
          <cell r="E18086">
            <v>0</v>
          </cell>
          <cell r="F18086">
            <v>0</v>
          </cell>
          <cell r="DN18086">
            <v>0</v>
          </cell>
        </row>
        <row r="18087">
          <cell r="E18087">
            <v>0</v>
          </cell>
          <cell r="F18087">
            <v>0</v>
          </cell>
          <cell r="DN18087">
            <v>0</v>
          </cell>
        </row>
        <row r="18088">
          <cell r="E18088">
            <v>0</v>
          </cell>
          <cell r="F18088">
            <v>0</v>
          </cell>
          <cell r="DN18088">
            <v>0</v>
          </cell>
        </row>
        <row r="18089">
          <cell r="E18089">
            <v>0</v>
          </cell>
          <cell r="F18089">
            <v>0</v>
          </cell>
          <cell r="DN18089">
            <v>0</v>
          </cell>
        </row>
        <row r="18090">
          <cell r="E18090">
            <v>0</v>
          </cell>
          <cell r="F18090">
            <v>0</v>
          </cell>
          <cell r="DN18090">
            <v>0</v>
          </cell>
        </row>
        <row r="18091">
          <cell r="E18091">
            <v>0</v>
          </cell>
          <cell r="F18091">
            <v>0</v>
          </cell>
          <cell r="DN18091">
            <v>0</v>
          </cell>
        </row>
        <row r="18092">
          <cell r="E18092">
            <v>0</v>
          </cell>
          <cell r="F18092">
            <v>0</v>
          </cell>
          <cell r="DN18092">
            <v>0</v>
          </cell>
        </row>
        <row r="18093">
          <cell r="E18093">
            <v>0</v>
          </cell>
          <cell r="F18093">
            <v>0</v>
          </cell>
          <cell r="DN18093">
            <v>0</v>
          </cell>
        </row>
        <row r="18094">
          <cell r="E18094">
            <v>0</v>
          </cell>
          <cell r="F18094">
            <v>0</v>
          </cell>
          <cell r="DN18094">
            <v>0</v>
          </cell>
        </row>
        <row r="18095">
          <cell r="E18095">
            <v>0</v>
          </cell>
          <cell r="F18095">
            <v>0</v>
          </cell>
          <cell r="DN18095">
            <v>0</v>
          </cell>
        </row>
        <row r="18096">
          <cell r="E18096">
            <v>0</v>
          </cell>
          <cell r="F18096">
            <v>0</v>
          </cell>
          <cell r="DN18096">
            <v>0</v>
          </cell>
        </row>
        <row r="18097">
          <cell r="E18097">
            <v>0</v>
          </cell>
          <cell r="F18097">
            <v>0</v>
          </cell>
          <cell r="DN18097">
            <v>0</v>
          </cell>
        </row>
        <row r="18098">
          <cell r="E18098">
            <v>0</v>
          </cell>
          <cell r="F18098">
            <v>0</v>
          </cell>
          <cell r="DN18098">
            <v>0</v>
          </cell>
        </row>
        <row r="18099">
          <cell r="E18099">
            <v>0</v>
          </cell>
          <cell r="F18099">
            <v>0</v>
          </cell>
          <cell r="DN18099">
            <v>0</v>
          </cell>
        </row>
        <row r="18100">
          <cell r="E18100">
            <v>0</v>
          </cell>
          <cell r="F18100">
            <v>0</v>
          </cell>
          <cell r="DN18100">
            <v>0</v>
          </cell>
        </row>
        <row r="18101">
          <cell r="E18101">
            <v>0</v>
          </cell>
          <cell r="F18101">
            <v>0</v>
          </cell>
          <cell r="DN18101">
            <v>0</v>
          </cell>
        </row>
        <row r="18102">
          <cell r="E18102">
            <v>0</v>
          </cell>
          <cell r="F18102">
            <v>0</v>
          </cell>
          <cell r="DN18102">
            <v>0</v>
          </cell>
        </row>
        <row r="18103">
          <cell r="E18103">
            <v>0</v>
          </cell>
          <cell r="F18103">
            <v>0</v>
          </cell>
          <cell r="DN18103">
            <v>0</v>
          </cell>
        </row>
        <row r="18104">
          <cell r="E18104">
            <v>0</v>
          </cell>
          <cell r="F18104">
            <v>0</v>
          </cell>
          <cell r="DN18104">
            <v>0</v>
          </cell>
        </row>
        <row r="18105">
          <cell r="E18105">
            <v>0</v>
          </cell>
          <cell r="F18105">
            <v>0</v>
          </cell>
          <cell r="DN18105">
            <v>0</v>
          </cell>
        </row>
        <row r="18106">
          <cell r="E18106">
            <v>0</v>
          </cell>
          <cell r="F18106">
            <v>0</v>
          </cell>
          <cell r="DN18106">
            <v>0</v>
          </cell>
        </row>
        <row r="18107">
          <cell r="E18107">
            <v>0</v>
          </cell>
          <cell r="F18107">
            <v>0</v>
          </cell>
          <cell r="DN18107">
            <v>0</v>
          </cell>
        </row>
        <row r="18108">
          <cell r="E18108">
            <v>0</v>
          </cell>
          <cell r="F18108">
            <v>0</v>
          </cell>
          <cell r="DN18108">
            <v>0</v>
          </cell>
        </row>
        <row r="18109">
          <cell r="E18109">
            <v>0</v>
          </cell>
          <cell r="F18109">
            <v>0</v>
          </cell>
          <cell r="DN18109">
            <v>0</v>
          </cell>
        </row>
        <row r="18110">
          <cell r="E18110">
            <v>0</v>
          </cell>
          <cell r="F18110">
            <v>0</v>
          </cell>
          <cell r="DN18110">
            <v>0</v>
          </cell>
        </row>
        <row r="18111">
          <cell r="E18111">
            <v>0</v>
          </cell>
          <cell r="F18111">
            <v>0</v>
          </cell>
          <cell r="DN18111">
            <v>0</v>
          </cell>
        </row>
        <row r="18112">
          <cell r="E18112">
            <v>0</v>
          </cell>
          <cell r="F18112">
            <v>0</v>
          </cell>
          <cell r="DN18112">
            <v>0</v>
          </cell>
        </row>
        <row r="18113">
          <cell r="E18113">
            <v>0</v>
          </cell>
          <cell r="F18113">
            <v>0</v>
          </cell>
          <cell r="DN18113">
            <v>0</v>
          </cell>
        </row>
        <row r="18114">
          <cell r="E18114">
            <v>0</v>
          </cell>
          <cell r="F18114">
            <v>0</v>
          </cell>
          <cell r="DN18114">
            <v>0</v>
          </cell>
        </row>
        <row r="18115">
          <cell r="E18115">
            <v>0</v>
          </cell>
          <cell r="F18115">
            <v>0</v>
          </cell>
          <cell r="DN18115">
            <v>0</v>
          </cell>
        </row>
        <row r="18116">
          <cell r="E18116">
            <v>0</v>
          </cell>
          <cell r="F18116">
            <v>0</v>
          </cell>
          <cell r="DN18116">
            <v>0</v>
          </cell>
        </row>
        <row r="18117">
          <cell r="E18117">
            <v>0</v>
          </cell>
          <cell r="F18117">
            <v>0</v>
          </cell>
          <cell r="DN18117">
            <v>0</v>
          </cell>
        </row>
        <row r="18118">
          <cell r="E18118">
            <v>0</v>
          </cell>
          <cell r="F18118">
            <v>0</v>
          </cell>
          <cell r="DN18118">
            <v>0</v>
          </cell>
        </row>
        <row r="18119">
          <cell r="E18119">
            <v>0</v>
          </cell>
          <cell r="F18119">
            <v>0</v>
          </cell>
          <cell r="DN18119">
            <v>0</v>
          </cell>
        </row>
        <row r="18120">
          <cell r="E18120">
            <v>0</v>
          </cell>
          <cell r="F18120">
            <v>0</v>
          </cell>
          <cell r="DN18120">
            <v>0</v>
          </cell>
        </row>
        <row r="18121">
          <cell r="E18121">
            <v>0</v>
          </cell>
          <cell r="F18121">
            <v>0</v>
          </cell>
          <cell r="DN18121">
            <v>0</v>
          </cell>
        </row>
        <row r="18122">
          <cell r="E18122">
            <v>0</v>
          </cell>
          <cell r="F18122">
            <v>0</v>
          </cell>
          <cell r="DN18122">
            <v>0</v>
          </cell>
        </row>
        <row r="18123">
          <cell r="E18123">
            <v>0</v>
          </cell>
          <cell r="F18123">
            <v>0</v>
          </cell>
          <cell r="DN18123">
            <v>0</v>
          </cell>
        </row>
        <row r="18124">
          <cell r="E18124">
            <v>0</v>
          </cell>
          <cell r="F18124">
            <v>0</v>
          </cell>
          <cell r="DN18124">
            <v>0</v>
          </cell>
        </row>
        <row r="18125">
          <cell r="E18125">
            <v>0</v>
          </cell>
          <cell r="F18125">
            <v>0</v>
          </cell>
          <cell r="DN18125">
            <v>0</v>
          </cell>
        </row>
        <row r="18126">
          <cell r="E18126">
            <v>0</v>
          </cell>
          <cell r="F18126">
            <v>0</v>
          </cell>
          <cell r="DN18126">
            <v>0</v>
          </cell>
        </row>
        <row r="18127">
          <cell r="E18127">
            <v>0</v>
          </cell>
          <cell r="F18127">
            <v>0</v>
          </cell>
          <cell r="DN18127">
            <v>0</v>
          </cell>
        </row>
        <row r="18128">
          <cell r="E18128">
            <v>0</v>
          </cell>
          <cell r="F18128">
            <v>0</v>
          </cell>
          <cell r="DN18128">
            <v>0</v>
          </cell>
        </row>
        <row r="18129">
          <cell r="E18129">
            <v>0</v>
          </cell>
          <cell r="F18129">
            <v>0</v>
          </cell>
          <cell r="DN18129">
            <v>0</v>
          </cell>
        </row>
        <row r="18130">
          <cell r="E18130">
            <v>0</v>
          </cell>
          <cell r="F18130">
            <v>0</v>
          </cell>
          <cell r="DN18130">
            <v>0</v>
          </cell>
        </row>
        <row r="18131">
          <cell r="E18131">
            <v>0</v>
          </cell>
          <cell r="F18131">
            <v>0</v>
          </cell>
          <cell r="DN18131">
            <v>0</v>
          </cell>
        </row>
        <row r="18132">
          <cell r="E18132">
            <v>0</v>
          </cell>
          <cell r="F18132">
            <v>0</v>
          </cell>
          <cell r="DN18132">
            <v>0</v>
          </cell>
        </row>
        <row r="18133">
          <cell r="E18133">
            <v>0</v>
          </cell>
          <cell r="F18133">
            <v>0</v>
          </cell>
          <cell r="DN18133">
            <v>0</v>
          </cell>
        </row>
        <row r="18134">
          <cell r="E18134">
            <v>0</v>
          </cell>
          <cell r="F18134">
            <v>0</v>
          </cell>
          <cell r="DN18134">
            <v>0</v>
          </cell>
        </row>
        <row r="18135">
          <cell r="E18135">
            <v>0</v>
          </cell>
          <cell r="F18135">
            <v>0</v>
          </cell>
          <cell r="DN18135">
            <v>0</v>
          </cell>
        </row>
        <row r="18136">
          <cell r="E18136">
            <v>0</v>
          </cell>
          <cell r="F18136">
            <v>0</v>
          </cell>
          <cell r="DN18136">
            <v>0</v>
          </cell>
        </row>
        <row r="18137">
          <cell r="E18137">
            <v>0</v>
          </cell>
          <cell r="F18137">
            <v>0</v>
          </cell>
          <cell r="DN18137">
            <v>0</v>
          </cell>
        </row>
        <row r="18138">
          <cell r="E18138">
            <v>0</v>
          </cell>
          <cell r="F18138">
            <v>0</v>
          </cell>
          <cell r="DN18138">
            <v>0</v>
          </cell>
        </row>
        <row r="18139">
          <cell r="E18139">
            <v>0</v>
          </cell>
          <cell r="F18139">
            <v>0</v>
          </cell>
          <cell r="DN18139">
            <v>0</v>
          </cell>
        </row>
        <row r="18140">
          <cell r="E18140">
            <v>0</v>
          </cell>
          <cell r="F18140">
            <v>0</v>
          </cell>
          <cell r="DN18140">
            <v>0</v>
          </cell>
        </row>
        <row r="18141">
          <cell r="E18141">
            <v>0</v>
          </cell>
          <cell r="F18141">
            <v>0</v>
          </cell>
          <cell r="DN18141">
            <v>0</v>
          </cell>
        </row>
        <row r="18142">
          <cell r="E18142">
            <v>0</v>
          </cell>
          <cell r="F18142">
            <v>0</v>
          </cell>
          <cell r="DN18142">
            <v>0</v>
          </cell>
        </row>
        <row r="18143">
          <cell r="E18143">
            <v>0</v>
          </cell>
          <cell r="F18143">
            <v>0</v>
          </cell>
          <cell r="DN18143">
            <v>0</v>
          </cell>
        </row>
        <row r="18144">
          <cell r="E18144">
            <v>0</v>
          </cell>
          <cell r="F18144">
            <v>0</v>
          </cell>
          <cell r="DN18144">
            <v>0</v>
          </cell>
        </row>
        <row r="18145">
          <cell r="E18145">
            <v>0</v>
          </cell>
          <cell r="F18145">
            <v>0</v>
          </cell>
          <cell r="DN18145">
            <v>0</v>
          </cell>
        </row>
        <row r="18146">
          <cell r="E18146">
            <v>0</v>
          </cell>
          <cell r="F18146">
            <v>0</v>
          </cell>
          <cell r="DN18146">
            <v>0</v>
          </cell>
        </row>
        <row r="18147">
          <cell r="E18147">
            <v>0</v>
          </cell>
          <cell r="F18147">
            <v>0</v>
          </cell>
          <cell r="DN18147">
            <v>0</v>
          </cell>
        </row>
        <row r="18148">
          <cell r="E18148">
            <v>0</v>
          </cell>
          <cell r="F18148">
            <v>0</v>
          </cell>
          <cell r="DN18148">
            <v>0</v>
          </cell>
        </row>
        <row r="18149">
          <cell r="E18149">
            <v>0</v>
          </cell>
          <cell r="F18149">
            <v>0</v>
          </cell>
          <cell r="DN18149">
            <v>0</v>
          </cell>
        </row>
        <row r="18150">
          <cell r="E18150">
            <v>0</v>
          </cell>
          <cell r="F18150">
            <v>0</v>
          </cell>
          <cell r="DN18150">
            <v>0</v>
          </cell>
        </row>
        <row r="18151">
          <cell r="E18151">
            <v>0</v>
          </cell>
          <cell r="F18151">
            <v>0</v>
          </cell>
          <cell r="DN18151">
            <v>0</v>
          </cell>
        </row>
        <row r="18152">
          <cell r="E18152">
            <v>0</v>
          </cell>
          <cell r="F18152">
            <v>0</v>
          </cell>
          <cell r="DN18152">
            <v>0</v>
          </cell>
        </row>
        <row r="18153">
          <cell r="E18153">
            <v>0</v>
          </cell>
          <cell r="F18153">
            <v>0</v>
          </cell>
          <cell r="DN18153">
            <v>0</v>
          </cell>
        </row>
        <row r="18154">
          <cell r="E18154">
            <v>0</v>
          </cell>
          <cell r="F18154">
            <v>0</v>
          </cell>
          <cell r="DN18154">
            <v>0</v>
          </cell>
        </row>
        <row r="18155">
          <cell r="E18155">
            <v>0</v>
          </cell>
          <cell r="F18155">
            <v>0</v>
          </cell>
          <cell r="DN18155">
            <v>0</v>
          </cell>
        </row>
        <row r="18156">
          <cell r="E18156">
            <v>0</v>
          </cell>
          <cell r="F18156">
            <v>0</v>
          </cell>
          <cell r="DN18156">
            <v>0</v>
          </cell>
        </row>
        <row r="18157">
          <cell r="E18157">
            <v>0</v>
          </cell>
          <cell r="F18157">
            <v>0</v>
          </cell>
          <cell r="DN18157">
            <v>0</v>
          </cell>
        </row>
        <row r="18158">
          <cell r="E18158">
            <v>0</v>
          </cell>
          <cell r="F18158">
            <v>0</v>
          </cell>
          <cell r="DN18158">
            <v>0</v>
          </cell>
        </row>
        <row r="18159">
          <cell r="E18159">
            <v>0</v>
          </cell>
          <cell r="F18159">
            <v>0</v>
          </cell>
          <cell r="DN18159">
            <v>0</v>
          </cell>
        </row>
        <row r="18160">
          <cell r="E18160">
            <v>0</v>
          </cell>
          <cell r="F18160">
            <v>0</v>
          </cell>
          <cell r="DN18160">
            <v>0</v>
          </cell>
        </row>
        <row r="18161">
          <cell r="E18161">
            <v>0</v>
          </cell>
          <cell r="F18161">
            <v>0</v>
          </cell>
          <cell r="DN18161">
            <v>0</v>
          </cell>
        </row>
        <row r="18162">
          <cell r="E18162">
            <v>0</v>
          </cell>
          <cell r="F18162">
            <v>0</v>
          </cell>
          <cell r="DN18162">
            <v>0</v>
          </cell>
        </row>
        <row r="18163">
          <cell r="E18163">
            <v>0</v>
          </cell>
          <cell r="F18163">
            <v>0</v>
          </cell>
          <cell r="DN18163">
            <v>0</v>
          </cell>
        </row>
        <row r="18164">
          <cell r="E18164">
            <v>0</v>
          </cell>
          <cell r="F18164">
            <v>0</v>
          </cell>
          <cell r="DN18164">
            <v>0</v>
          </cell>
        </row>
        <row r="18165">
          <cell r="E18165">
            <v>0</v>
          </cell>
          <cell r="F18165">
            <v>0</v>
          </cell>
          <cell r="DN18165">
            <v>0</v>
          </cell>
        </row>
        <row r="18166">
          <cell r="E18166">
            <v>0</v>
          </cell>
          <cell r="F18166">
            <v>0</v>
          </cell>
          <cell r="DN18166">
            <v>0</v>
          </cell>
        </row>
        <row r="18167">
          <cell r="E18167">
            <v>0</v>
          </cell>
          <cell r="F18167">
            <v>0</v>
          </cell>
          <cell r="DN18167">
            <v>0</v>
          </cell>
        </row>
        <row r="18168">
          <cell r="E18168">
            <v>0</v>
          </cell>
          <cell r="F18168">
            <v>0</v>
          </cell>
          <cell r="DN18168">
            <v>0</v>
          </cell>
        </row>
        <row r="18169">
          <cell r="E18169">
            <v>0</v>
          </cell>
          <cell r="F18169">
            <v>0</v>
          </cell>
          <cell r="DN18169">
            <v>0</v>
          </cell>
        </row>
        <row r="18170">
          <cell r="E18170">
            <v>0</v>
          </cell>
          <cell r="F18170">
            <v>0</v>
          </cell>
          <cell r="DN18170">
            <v>0</v>
          </cell>
        </row>
        <row r="18171">
          <cell r="E18171">
            <v>0</v>
          </cell>
          <cell r="F18171">
            <v>0</v>
          </cell>
          <cell r="DN18171">
            <v>0</v>
          </cell>
        </row>
        <row r="18172">
          <cell r="E18172">
            <v>0</v>
          </cell>
          <cell r="F18172">
            <v>0</v>
          </cell>
          <cell r="DN18172">
            <v>0</v>
          </cell>
        </row>
        <row r="18173">
          <cell r="E18173">
            <v>0</v>
          </cell>
          <cell r="F18173">
            <v>0</v>
          </cell>
          <cell r="DN18173">
            <v>0</v>
          </cell>
        </row>
        <row r="18174">
          <cell r="E18174">
            <v>0</v>
          </cell>
          <cell r="F18174">
            <v>0</v>
          </cell>
          <cell r="DN18174">
            <v>0</v>
          </cell>
        </row>
        <row r="18175">
          <cell r="E18175">
            <v>0</v>
          </cell>
          <cell r="F18175">
            <v>0</v>
          </cell>
          <cell r="DN18175">
            <v>0</v>
          </cell>
        </row>
        <row r="18176">
          <cell r="E18176">
            <v>0</v>
          </cell>
          <cell r="F18176">
            <v>0</v>
          </cell>
          <cell r="DN18176">
            <v>0</v>
          </cell>
        </row>
        <row r="18177">
          <cell r="E18177">
            <v>0</v>
          </cell>
          <cell r="F18177">
            <v>0</v>
          </cell>
          <cell r="DN18177">
            <v>0</v>
          </cell>
        </row>
        <row r="18178">
          <cell r="E18178">
            <v>0</v>
          </cell>
          <cell r="F18178">
            <v>0</v>
          </cell>
          <cell r="DN18178">
            <v>0</v>
          </cell>
        </row>
        <row r="18179">
          <cell r="E18179">
            <v>0</v>
          </cell>
          <cell r="F18179">
            <v>0</v>
          </cell>
          <cell r="DN18179">
            <v>0</v>
          </cell>
        </row>
        <row r="18180">
          <cell r="E18180">
            <v>0</v>
          </cell>
          <cell r="F18180">
            <v>0</v>
          </cell>
          <cell r="DN18180">
            <v>0</v>
          </cell>
        </row>
        <row r="18181">
          <cell r="E18181">
            <v>0</v>
          </cell>
          <cell r="F18181">
            <v>0</v>
          </cell>
          <cell r="DN18181">
            <v>0</v>
          </cell>
        </row>
        <row r="18182">
          <cell r="E18182">
            <v>0</v>
          </cell>
          <cell r="F18182">
            <v>0</v>
          </cell>
          <cell r="DN18182">
            <v>0</v>
          </cell>
        </row>
        <row r="18183">
          <cell r="E18183">
            <v>0</v>
          </cell>
          <cell r="F18183">
            <v>0</v>
          </cell>
          <cell r="DN18183">
            <v>0</v>
          </cell>
        </row>
        <row r="18184">
          <cell r="E18184">
            <v>0</v>
          </cell>
          <cell r="F18184">
            <v>0</v>
          </cell>
          <cell r="DN18184">
            <v>0</v>
          </cell>
        </row>
        <row r="18185">
          <cell r="E18185">
            <v>0</v>
          </cell>
          <cell r="F18185">
            <v>0</v>
          </cell>
          <cell r="DN18185">
            <v>0</v>
          </cell>
        </row>
        <row r="18186">
          <cell r="E18186">
            <v>0</v>
          </cell>
          <cell r="F18186">
            <v>0</v>
          </cell>
          <cell r="DN18186">
            <v>0</v>
          </cell>
        </row>
        <row r="18187">
          <cell r="E18187">
            <v>0</v>
          </cell>
          <cell r="F18187">
            <v>0</v>
          </cell>
          <cell r="DN18187">
            <v>0</v>
          </cell>
        </row>
        <row r="18188">
          <cell r="E18188">
            <v>0</v>
          </cell>
          <cell r="F18188">
            <v>0</v>
          </cell>
          <cell r="DN18188">
            <v>0</v>
          </cell>
        </row>
        <row r="18189">
          <cell r="E18189">
            <v>0</v>
          </cell>
          <cell r="F18189">
            <v>0</v>
          </cell>
          <cell r="DN18189">
            <v>0</v>
          </cell>
        </row>
        <row r="18190">
          <cell r="E18190">
            <v>0</v>
          </cell>
          <cell r="F18190">
            <v>0</v>
          </cell>
          <cell r="DN18190">
            <v>0</v>
          </cell>
        </row>
        <row r="18191">
          <cell r="E18191">
            <v>0</v>
          </cell>
          <cell r="F18191">
            <v>0</v>
          </cell>
          <cell r="DN18191">
            <v>0</v>
          </cell>
        </row>
        <row r="18192">
          <cell r="E18192">
            <v>0</v>
          </cell>
          <cell r="F18192">
            <v>0</v>
          </cell>
          <cell r="DN18192">
            <v>0</v>
          </cell>
        </row>
        <row r="18193">
          <cell r="E18193">
            <v>0</v>
          </cell>
          <cell r="F18193">
            <v>0</v>
          </cell>
          <cell r="DN18193">
            <v>0</v>
          </cell>
        </row>
        <row r="18194">
          <cell r="E18194">
            <v>0</v>
          </cell>
          <cell r="F18194">
            <v>0</v>
          </cell>
          <cell r="DN18194">
            <v>0</v>
          </cell>
        </row>
        <row r="18195">
          <cell r="E18195">
            <v>0</v>
          </cell>
          <cell r="F18195">
            <v>0</v>
          </cell>
          <cell r="DN18195">
            <v>0</v>
          </cell>
        </row>
        <row r="18196">
          <cell r="E18196">
            <v>0</v>
          </cell>
          <cell r="F18196">
            <v>0</v>
          </cell>
          <cell r="DN18196">
            <v>0</v>
          </cell>
        </row>
        <row r="18197">
          <cell r="E18197">
            <v>0</v>
          </cell>
          <cell r="F18197">
            <v>0</v>
          </cell>
          <cell r="DN18197">
            <v>0</v>
          </cell>
        </row>
        <row r="18198">
          <cell r="E18198">
            <v>0</v>
          </cell>
          <cell r="F18198">
            <v>0</v>
          </cell>
          <cell r="DN18198">
            <v>0</v>
          </cell>
        </row>
        <row r="18199">
          <cell r="E18199">
            <v>0</v>
          </cell>
          <cell r="F18199">
            <v>0</v>
          </cell>
          <cell r="DN18199">
            <v>0</v>
          </cell>
        </row>
        <row r="18200">
          <cell r="E18200">
            <v>0</v>
          </cell>
          <cell r="F18200">
            <v>0</v>
          </cell>
          <cell r="DN18200">
            <v>0</v>
          </cell>
        </row>
        <row r="18201">
          <cell r="E18201">
            <v>0</v>
          </cell>
          <cell r="F18201">
            <v>0</v>
          </cell>
          <cell r="DN18201">
            <v>0</v>
          </cell>
        </row>
        <row r="18202">
          <cell r="E18202">
            <v>0</v>
          </cell>
          <cell r="F18202">
            <v>0</v>
          </cell>
          <cell r="DN18202">
            <v>0</v>
          </cell>
        </row>
        <row r="18203">
          <cell r="E18203">
            <v>0</v>
          </cell>
          <cell r="F18203">
            <v>0</v>
          </cell>
          <cell r="DN18203">
            <v>0</v>
          </cell>
        </row>
        <row r="18204">
          <cell r="E18204">
            <v>0</v>
          </cell>
          <cell r="F18204">
            <v>0</v>
          </cell>
          <cell r="DN18204">
            <v>0</v>
          </cell>
        </row>
        <row r="18205">
          <cell r="E18205">
            <v>0</v>
          </cell>
          <cell r="F18205">
            <v>0</v>
          </cell>
          <cell r="DN18205">
            <v>0</v>
          </cell>
        </row>
        <row r="18206">
          <cell r="E18206">
            <v>0</v>
          </cell>
          <cell r="F18206">
            <v>0</v>
          </cell>
          <cell r="DN18206">
            <v>0</v>
          </cell>
        </row>
        <row r="18207">
          <cell r="E18207">
            <v>0</v>
          </cell>
          <cell r="F18207">
            <v>0</v>
          </cell>
          <cell r="DN18207">
            <v>0</v>
          </cell>
        </row>
        <row r="18208">
          <cell r="E18208">
            <v>0</v>
          </cell>
          <cell r="F18208">
            <v>0</v>
          </cell>
          <cell r="DN18208">
            <v>0</v>
          </cell>
        </row>
        <row r="18209">
          <cell r="E18209">
            <v>0</v>
          </cell>
          <cell r="F18209">
            <v>0</v>
          </cell>
          <cell r="DN18209">
            <v>0</v>
          </cell>
        </row>
        <row r="18210">
          <cell r="E18210">
            <v>0</v>
          </cell>
          <cell r="F18210">
            <v>0</v>
          </cell>
          <cell r="DN18210">
            <v>0</v>
          </cell>
        </row>
        <row r="18211">
          <cell r="E18211">
            <v>0</v>
          </cell>
          <cell r="F18211">
            <v>0</v>
          </cell>
          <cell r="DN18211">
            <v>0</v>
          </cell>
        </row>
        <row r="18212">
          <cell r="E18212">
            <v>0</v>
          </cell>
          <cell r="F18212">
            <v>0</v>
          </cell>
          <cell r="DN18212">
            <v>0</v>
          </cell>
        </row>
        <row r="18213">
          <cell r="E18213">
            <v>0</v>
          </cell>
          <cell r="F18213">
            <v>0</v>
          </cell>
          <cell r="DN18213">
            <v>0</v>
          </cell>
        </row>
        <row r="18214">
          <cell r="E18214">
            <v>0</v>
          </cell>
          <cell r="F18214">
            <v>0</v>
          </cell>
          <cell r="DN18214">
            <v>0</v>
          </cell>
        </row>
        <row r="18215">
          <cell r="E18215">
            <v>0</v>
          </cell>
          <cell r="F18215">
            <v>0</v>
          </cell>
          <cell r="DN18215">
            <v>0</v>
          </cell>
        </row>
        <row r="18216">
          <cell r="E18216">
            <v>0</v>
          </cell>
          <cell r="F18216">
            <v>0</v>
          </cell>
          <cell r="DN18216">
            <v>0</v>
          </cell>
        </row>
        <row r="18217">
          <cell r="E18217">
            <v>0</v>
          </cell>
          <cell r="F18217">
            <v>0</v>
          </cell>
          <cell r="DN18217">
            <v>0</v>
          </cell>
        </row>
        <row r="18218">
          <cell r="E18218">
            <v>0</v>
          </cell>
          <cell r="F18218">
            <v>0</v>
          </cell>
          <cell r="DN18218">
            <v>0</v>
          </cell>
        </row>
        <row r="18219">
          <cell r="E18219">
            <v>0</v>
          </cell>
          <cell r="F18219">
            <v>0</v>
          </cell>
          <cell r="DN18219">
            <v>0</v>
          </cell>
        </row>
        <row r="18220">
          <cell r="E18220">
            <v>0</v>
          </cell>
          <cell r="F18220">
            <v>0</v>
          </cell>
          <cell r="DN18220">
            <v>0</v>
          </cell>
        </row>
        <row r="18221">
          <cell r="E18221">
            <v>0</v>
          </cell>
          <cell r="F18221">
            <v>0</v>
          </cell>
          <cell r="DN18221">
            <v>0</v>
          </cell>
        </row>
        <row r="18222">
          <cell r="E18222">
            <v>0</v>
          </cell>
          <cell r="F18222">
            <v>0</v>
          </cell>
          <cell r="DN18222">
            <v>0</v>
          </cell>
        </row>
        <row r="18223">
          <cell r="E18223">
            <v>0</v>
          </cell>
          <cell r="F18223">
            <v>0</v>
          </cell>
          <cell r="DN18223">
            <v>0</v>
          </cell>
        </row>
        <row r="18224">
          <cell r="E18224">
            <v>0</v>
          </cell>
          <cell r="F18224">
            <v>0</v>
          </cell>
          <cell r="DN18224">
            <v>0</v>
          </cell>
        </row>
        <row r="18225">
          <cell r="E18225">
            <v>0</v>
          </cell>
          <cell r="F18225">
            <v>0</v>
          </cell>
          <cell r="DN18225">
            <v>0</v>
          </cell>
        </row>
        <row r="18226">
          <cell r="E18226">
            <v>0</v>
          </cell>
          <cell r="F18226">
            <v>0</v>
          </cell>
          <cell r="DN18226">
            <v>0</v>
          </cell>
        </row>
        <row r="18227">
          <cell r="E18227">
            <v>0</v>
          </cell>
          <cell r="F18227">
            <v>0</v>
          </cell>
          <cell r="DN18227">
            <v>0</v>
          </cell>
        </row>
        <row r="18228">
          <cell r="E18228">
            <v>0</v>
          </cell>
          <cell r="F18228">
            <v>0</v>
          </cell>
          <cell r="DN18228">
            <v>0</v>
          </cell>
        </row>
        <row r="18229">
          <cell r="E18229">
            <v>0</v>
          </cell>
          <cell r="F18229">
            <v>0</v>
          </cell>
          <cell r="DN18229">
            <v>0</v>
          </cell>
        </row>
        <row r="18230">
          <cell r="E18230">
            <v>0</v>
          </cell>
          <cell r="F18230">
            <v>0</v>
          </cell>
          <cell r="DN18230">
            <v>0</v>
          </cell>
        </row>
        <row r="18231">
          <cell r="E18231">
            <v>0</v>
          </cell>
          <cell r="F18231">
            <v>0</v>
          </cell>
          <cell r="DN18231">
            <v>0</v>
          </cell>
        </row>
        <row r="18232">
          <cell r="E18232">
            <v>0</v>
          </cell>
          <cell r="F18232">
            <v>0</v>
          </cell>
          <cell r="DN18232">
            <v>0</v>
          </cell>
        </row>
        <row r="18233">
          <cell r="E18233">
            <v>0</v>
          </cell>
          <cell r="F18233">
            <v>0</v>
          </cell>
          <cell r="DN18233">
            <v>0</v>
          </cell>
        </row>
        <row r="18234">
          <cell r="E18234">
            <v>0</v>
          </cell>
          <cell r="F18234">
            <v>0</v>
          </cell>
          <cell r="DN18234">
            <v>0</v>
          </cell>
        </row>
        <row r="18235">
          <cell r="E18235">
            <v>0</v>
          </cell>
          <cell r="F18235">
            <v>0</v>
          </cell>
          <cell r="DN18235">
            <v>0</v>
          </cell>
        </row>
        <row r="18236">
          <cell r="E18236">
            <v>0</v>
          </cell>
          <cell r="F18236">
            <v>0</v>
          </cell>
          <cell r="DN18236">
            <v>0</v>
          </cell>
        </row>
        <row r="18237">
          <cell r="E18237">
            <v>0</v>
          </cell>
          <cell r="F18237">
            <v>0</v>
          </cell>
          <cell r="DN18237">
            <v>0</v>
          </cell>
        </row>
        <row r="18238">
          <cell r="E18238">
            <v>0</v>
          </cell>
          <cell r="F18238">
            <v>0</v>
          </cell>
          <cell r="DN18238">
            <v>0</v>
          </cell>
        </row>
        <row r="18239">
          <cell r="E18239">
            <v>0</v>
          </cell>
          <cell r="F18239">
            <v>0</v>
          </cell>
          <cell r="DN18239">
            <v>0</v>
          </cell>
        </row>
        <row r="18240">
          <cell r="E18240">
            <v>0</v>
          </cell>
          <cell r="F18240">
            <v>0</v>
          </cell>
          <cell r="DN18240">
            <v>0</v>
          </cell>
        </row>
        <row r="18241">
          <cell r="E18241">
            <v>0</v>
          </cell>
          <cell r="F18241">
            <v>0</v>
          </cell>
          <cell r="DN18241">
            <v>0</v>
          </cell>
        </row>
        <row r="18242">
          <cell r="E18242">
            <v>0</v>
          </cell>
          <cell r="F18242">
            <v>0</v>
          </cell>
          <cell r="DN18242">
            <v>0</v>
          </cell>
        </row>
        <row r="18243">
          <cell r="E18243">
            <v>0</v>
          </cell>
          <cell r="F18243">
            <v>0</v>
          </cell>
          <cell r="DN18243">
            <v>0</v>
          </cell>
        </row>
        <row r="18244">
          <cell r="E18244">
            <v>0</v>
          </cell>
          <cell r="F18244">
            <v>0</v>
          </cell>
          <cell r="DN18244">
            <v>0</v>
          </cell>
        </row>
        <row r="18245">
          <cell r="E18245">
            <v>0</v>
          </cell>
          <cell r="F18245">
            <v>0</v>
          </cell>
          <cell r="DN18245">
            <v>0</v>
          </cell>
        </row>
        <row r="18246">
          <cell r="E18246">
            <v>0</v>
          </cell>
          <cell r="F18246">
            <v>0</v>
          </cell>
          <cell r="DN18246">
            <v>0</v>
          </cell>
        </row>
        <row r="18247">
          <cell r="E18247">
            <v>0</v>
          </cell>
          <cell r="F18247">
            <v>0</v>
          </cell>
          <cell r="DN18247">
            <v>0</v>
          </cell>
        </row>
        <row r="18248">
          <cell r="E18248">
            <v>0</v>
          </cell>
          <cell r="F18248">
            <v>0</v>
          </cell>
          <cell r="DN18248">
            <v>0</v>
          </cell>
        </row>
        <row r="18249">
          <cell r="E18249">
            <v>0</v>
          </cell>
          <cell r="F18249">
            <v>0</v>
          </cell>
          <cell r="DN18249">
            <v>0</v>
          </cell>
        </row>
        <row r="18250">
          <cell r="E18250">
            <v>0</v>
          </cell>
          <cell r="F18250">
            <v>0</v>
          </cell>
          <cell r="DN18250">
            <v>0</v>
          </cell>
        </row>
        <row r="18251">
          <cell r="E18251">
            <v>0</v>
          </cell>
          <cell r="F18251">
            <v>0</v>
          </cell>
          <cell r="DN18251">
            <v>0</v>
          </cell>
        </row>
        <row r="18252">
          <cell r="E18252">
            <v>0</v>
          </cell>
          <cell r="F18252">
            <v>0</v>
          </cell>
          <cell r="DN18252">
            <v>0</v>
          </cell>
        </row>
        <row r="18253">
          <cell r="E18253">
            <v>0</v>
          </cell>
          <cell r="F18253">
            <v>0</v>
          </cell>
          <cell r="DN18253">
            <v>0</v>
          </cell>
        </row>
        <row r="18254">
          <cell r="E18254">
            <v>0</v>
          </cell>
          <cell r="F18254">
            <v>0</v>
          </cell>
          <cell r="DN18254">
            <v>0</v>
          </cell>
        </row>
        <row r="18255">
          <cell r="E18255">
            <v>0</v>
          </cell>
          <cell r="F18255">
            <v>0</v>
          </cell>
          <cell r="DN18255">
            <v>0</v>
          </cell>
        </row>
        <row r="18256">
          <cell r="E18256">
            <v>0</v>
          </cell>
          <cell r="F18256">
            <v>0</v>
          </cell>
          <cell r="DN18256">
            <v>0</v>
          </cell>
        </row>
        <row r="18257">
          <cell r="E18257">
            <v>0</v>
          </cell>
          <cell r="F18257">
            <v>0</v>
          </cell>
          <cell r="DN18257">
            <v>0</v>
          </cell>
        </row>
        <row r="18258">
          <cell r="E18258">
            <v>0</v>
          </cell>
          <cell r="F18258">
            <v>0</v>
          </cell>
          <cell r="DN18258">
            <v>0</v>
          </cell>
        </row>
        <row r="18259">
          <cell r="E18259">
            <v>0</v>
          </cell>
          <cell r="F18259">
            <v>0</v>
          </cell>
          <cell r="DN18259">
            <v>0</v>
          </cell>
        </row>
        <row r="18260">
          <cell r="E18260">
            <v>0</v>
          </cell>
          <cell r="F18260">
            <v>0</v>
          </cell>
          <cell r="DN18260">
            <v>0</v>
          </cell>
        </row>
        <row r="18261">
          <cell r="E18261">
            <v>0</v>
          </cell>
          <cell r="F18261">
            <v>0</v>
          </cell>
          <cell r="DN18261">
            <v>0</v>
          </cell>
        </row>
        <row r="18262">
          <cell r="E18262">
            <v>0</v>
          </cell>
          <cell r="F18262">
            <v>0</v>
          </cell>
          <cell r="DN18262">
            <v>0</v>
          </cell>
        </row>
        <row r="18263">
          <cell r="E18263">
            <v>0</v>
          </cell>
          <cell r="F18263">
            <v>0</v>
          </cell>
          <cell r="DN18263">
            <v>0</v>
          </cell>
        </row>
        <row r="18264">
          <cell r="E18264">
            <v>0</v>
          </cell>
          <cell r="F18264">
            <v>0</v>
          </cell>
          <cell r="DN18264">
            <v>0</v>
          </cell>
        </row>
        <row r="18265">
          <cell r="E18265">
            <v>0</v>
          </cell>
          <cell r="F18265">
            <v>0</v>
          </cell>
          <cell r="DN18265">
            <v>0</v>
          </cell>
        </row>
        <row r="18266">
          <cell r="E18266">
            <v>0</v>
          </cell>
          <cell r="F18266">
            <v>0</v>
          </cell>
          <cell r="DN18266">
            <v>0</v>
          </cell>
        </row>
        <row r="18267">
          <cell r="E18267">
            <v>0</v>
          </cell>
          <cell r="F18267">
            <v>0</v>
          </cell>
          <cell r="DN18267">
            <v>0</v>
          </cell>
        </row>
        <row r="18268">
          <cell r="E18268">
            <v>0</v>
          </cell>
          <cell r="F18268">
            <v>0</v>
          </cell>
          <cell r="DN18268">
            <v>0</v>
          </cell>
        </row>
        <row r="18269">
          <cell r="E18269">
            <v>0</v>
          </cell>
          <cell r="F18269">
            <v>0</v>
          </cell>
          <cell r="DN18269">
            <v>0</v>
          </cell>
        </row>
        <row r="18270">
          <cell r="E18270">
            <v>0</v>
          </cell>
          <cell r="F18270">
            <v>0</v>
          </cell>
          <cell r="DN18270">
            <v>0</v>
          </cell>
        </row>
        <row r="18271">
          <cell r="E18271">
            <v>0</v>
          </cell>
          <cell r="F18271">
            <v>0</v>
          </cell>
          <cell r="DN18271">
            <v>0</v>
          </cell>
        </row>
        <row r="18272">
          <cell r="E18272">
            <v>0</v>
          </cell>
          <cell r="F18272">
            <v>0</v>
          </cell>
          <cell r="DN18272">
            <v>0</v>
          </cell>
        </row>
        <row r="18273">
          <cell r="E18273">
            <v>0</v>
          </cell>
          <cell r="F18273">
            <v>0</v>
          </cell>
          <cell r="DN18273">
            <v>0</v>
          </cell>
        </row>
        <row r="18274">
          <cell r="E18274">
            <v>0</v>
          </cell>
          <cell r="F18274">
            <v>0</v>
          </cell>
          <cell r="DN18274">
            <v>0</v>
          </cell>
        </row>
        <row r="18275">
          <cell r="E18275">
            <v>0</v>
          </cell>
          <cell r="F18275">
            <v>0</v>
          </cell>
          <cell r="DN18275">
            <v>0</v>
          </cell>
        </row>
        <row r="18276">
          <cell r="E18276">
            <v>0</v>
          </cell>
          <cell r="F18276">
            <v>0</v>
          </cell>
          <cell r="DN18276">
            <v>0</v>
          </cell>
        </row>
        <row r="18277">
          <cell r="E18277">
            <v>0</v>
          </cell>
          <cell r="F18277">
            <v>0</v>
          </cell>
          <cell r="DN18277">
            <v>0</v>
          </cell>
        </row>
        <row r="18278">
          <cell r="E18278">
            <v>0</v>
          </cell>
          <cell r="F18278">
            <v>0</v>
          </cell>
          <cell r="DN18278">
            <v>0</v>
          </cell>
        </row>
        <row r="18279">
          <cell r="E18279">
            <v>0</v>
          </cell>
          <cell r="F18279">
            <v>0</v>
          </cell>
          <cell r="DN18279">
            <v>0</v>
          </cell>
        </row>
        <row r="18280">
          <cell r="E18280">
            <v>0</v>
          </cell>
          <cell r="F18280">
            <v>0</v>
          </cell>
          <cell r="DN18280">
            <v>0</v>
          </cell>
        </row>
        <row r="18281">
          <cell r="E18281">
            <v>0</v>
          </cell>
          <cell r="F18281">
            <v>0</v>
          </cell>
          <cell r="DN18281">
            <v>0</v>
          </cell>
        </row>
        <row r="18282">
          <cell r="E18282">
            <v>0</v>
          </cell>
          <cell r="F18282">
            <v>0</v>
          </cell>
          <cell r="DN18282">
            <v>0</v>
          </cell>
        </row>
        <row r="18283">
          <cell r="E18283">
            <v>0</v>
          </cell>
          <cell r="F18283">
            <v>0</v>
          </cell>
          <cell r="DN18283">
            <v>0</v>
          </cell>
        </row>
        <row r="18284">
          <cell r="E18284">
            <v>0</v>
          </cell>
          <cell r="F18284">
            <v>0</v>
          </cell>
          <cell r="DN18284">
            <v>0</v>
          </cell>
        </row>
        <row r="18285">
          <cell r="E18285">
            <v>0</v>
          </cell>
          <cell r="F18285">
            <v>0</v>
          </cell>
          <cell r="DN18285">
            <v>0</v>
          </cell>
        </row>
        <row r="18286">
          <cell r="E18286">
            <v>0</v>
          </cell>
          <cell r="F18286">
            <v>0</v>
          </cell>
          <cell r="DN18286">
            <v>0</v>
          </cell>
        </row>
        <row r="18287">
          <cell r="E18287">
            <v>0</v>
          </cell>
          <cell r="F18287">
            <v>0</v>
          </cell>
          <cell r="DN18287">
            <v>0</v>
          </cell>
        </row>
        <row r="18288">
          <cell r="E18288">
            <v>0</v>
          </cell>
          <cell r="F18288">
            <v>0</v>
          </cell>
          <cell r="DN18288">
            <v>0</v>
          </cell>
        </row>
        <row r="18289">
          <cell r="E18289">
            <v>0</v>
          </cell>
          <cell r="F18289">
            <v>0</v>
          </cell>
          <cell r="DN18289">
            <v>0</v>
          </cell>
        </row>
        <row r="18290">
          <cell r="E18290">
            <v>0</v>
          </cell>
          <cell r="F18290">
            <v>0</v>
          </cell>
          <cell r="DN18290">
            <v>0</v>
          </cell>
        </row>
        <row r="18291">
          <cell r="E18291">
            <v>0</v>
          </cell>
          <cell r="F18291">
            <v>0</v>
          </cell>
          <cell r="DN18291">
            <v>0</v>
          </cell>
        </row>
        <row r="18292">
          <cell r="E18292">
            <v>0</v>
          </cell>
          <cell r="F18292">
            <v>0</v>
          </cell>
          <cell r="DN18292">
            <v>0</v>
          </cell>
        </row>
        <row r="18293">
          <cell r="E18293">
            <v>0</v>
          </cell>
          <cell r="F18293">
            <v>0</v>
          </cell>
          <cell r="DN18293">
            <v>0</v>
          </cell>
        </row>
        <row r="18294">
          <cell r="E18294">
            <v>0</v>
          </cell>
          <cell r="F18294">
            <v>0</v>
          </cell>
          <cell r="DN18294">
            <v>0</v>
          </cell>
        </row>
        <row r="18295">
          <cell r="E18295">
            <v>0</v>
          </cell>
          <cell r="F18295">
            <v>0</v>
          </cell>
          <cell r="DN18295">
            <v>0</v>
          </cell>
        </row>
        <row r="18296">
          <cell r="E18296">
            <v>0</v>
          </cell>
          <cell r="F18296">
            <v>0</v>
          </cell>
          <cell r="DN18296">
            <v>0</v>
          </cell>
        </row>
        <row r="18297">
          <cell r="E18297">
            <v>0</v>
          </cell>
          <cell r="F18297">
            <v>0</v>
          </cell>
          <cell r="DN18297">
            <v>0</v>
          </cell>
        </row>
        <row r="18298">
          <cell r="E18298">
            <v>0</v>
          </cell>
          <cell r="F18298">
            <v>0</v>
          </cell>
          <cell r="DN18298">
            <v>0</v>
          </cell>
        </row>
        <row r="18299">
          <cell r="E18299">
            <v>0</v>
          </cell>
          <cell r="F18299">
            <v>0</v>
          </cell>
          <cell r="DN18299">
            <v>0</v>
          </cell>
        </row>
        <row r="18300">
          <cell r="E18300">
            <v>0</v>
          </cell>
          <cell r="F18300">
            <v>0</v>
          </cell>
          <cell r="DN18300">
            <v>0</v>
          </cell>
        </row>
        <row r="18301">
          <cell r="E18301">
            <v>0</v>
          </cell>
          <cell r="F18301">
            <v>0</v>
          </cell>
          <cell r="DN18301">
            <v>0</v>
          </cell>
        </row>
        <row r="18302">
          <cell r="E18302">
            <v>0</v>
          </cell>
          <cell r="F18302">
            <v>0</v>
          </cell>
          <cell r="DN18302">
            <v>0</v>
          </cell>
        </row>
        <row r="18303">
          <cell r="E18303">
            <v>0</v>
          </cell>
          <cell r="F18303">
            <v>0</v>
          </cell>
          <cell r="DN18303">
            <v>0</v>
          </cell>
        </row>
        <row r="18304">
          <cell r="E18304">
            <v>0</v>
          </cell>
          <cell r="F18304">
            <v>0</v>
          </cell>
          <cell r="DN18304">
            <v>0</v>
          </cell>
        </row>
        <row r="18305">
          <cell r="E18305">
            <v>0</v>
          </cell>
          <cell r="F18305">
            <v>0</v>
          </cell>
          <cell r="DN18305">
            <v>0</v>
          </cell>
        </row>
        <row r="18306">
          <cell r="E18306">
            <v>0</v>
          </cell>
          <cell r="F18306">
            <v>0</v>
          </cell>
          <cell r="DN18306">
            <v>0</v>
          </cell>
        </row>
        <row r="18307">
          <cell r="E18307">
            <v>0</v>
          </cell>
          <cell r="F18307">
            <v>0</v>
          </cell>
          <cell r="DN18307">
            <v>0</v>
          </cell>
        </row>
        <row r="18308">
          <cell r="E18308">
            <v>0</v>
          </cell>
          <cell r="F18308">
            <v>0</v>
          </cell>
          <cell r="DN18308">
            <v>0</v>
          </cell>
        </row>
        <row r="18309">
          <cell r="E18309">
            <v>0</v>
          </cell>
          <cell r="F18309">
            <v>0</v>
          </cell>
          <cell r="DN18309">
            <v>0</v>
          </cell>
        </row>
        <row r="18310">
          <cell r="E18310">
            <v>0</v>
          </cell>
          <cell r="F18310">
            <v>0</v>
          </cell>
          <cell r="DN18310">
            <v>0</v>
          </cell>
        </row>
        <row r="18311">
          <cell r="E18311">
            <v>0</v>
          </cell>
          <cell r="F18311">
            <v>0</v>
          </cell>
          <cell r="DN18311">
            <v>0</v>
          </cell>
        </row>
        <row r="18312">
          <cell r="E18312">
            <v>0</v>
          </cell>
          <cell r="F18312">
            <v>0</v>
          </cell>
          <cell r="DN18312">
            <v>0</v>
          </cell>
        </row>
        <row r="18313">
          <cell r="E18313">
            <v>0</v>
          </cell>
          <cell r="F18313">
            <v>0</v>
          </cell>
          <cell r="DN18313">
            <v>0</v>
          </cell>
        </row>
        <row r="18314">
          <cell r="E18314">
            <v>0</v>
          </cell>
          <cell r="F18314">
            <v>0</v>
          </cell>
          <cell r="DN18314">
            <v>0</v>
          </cell>
        </row>
        <row r="18315">
          <cell r="E18315">
            <v>0</v>
          </cell>
          <cell r="F18315">
            <v>0</v>
          </cell>
          <cell r="DN18315">
            <v>0</v>
          </cell>
        </row>
        <row r="18316">
          <cell r="E18316">
            <v>0</v>
          </cell>
          <cell r="F18316">
            <v>0</v>
          </cell>
          <cell r="DN18316">
            <v>0</v>
          </cell>
        </row>
        <row r="18317">
          <cell r="E18317">
            <v>0</v>
          </cell>
          <cell r="F18317">
            <v>0</v>
          </cell>
          <cell r="DN18317">
            <v>0</v>
          </cell>
        </row>
        <row r="18318">
          <cell r="E18318">
            <v>0</v>
          </cell>
          <cell r="F18318">
            <v>0</v>
          </cell>
          <cell r="DN18318">
            <v>0</v>
          </cell>
        </row>
        <row r="18319">
          <cell r="E18319">
            <v>0</v>
          </cell>
          <cell r="F18319">
            <v>0</v>
          </cell>
          <cell r="DN18319">
            <v>0</v>
          </cell>
        </row>
        <row r="18320">
          <cell r="E18320">
            <v>0</v>
          </cell>
          <cell r="F18320">
            <v>0</v>
          </cell>
          <cell r="DN18320">
            <v>0</v>
          </cell>
        </row>
        <row r="18321">
          <cell r="E18321">
            <v>0</v>
          </cell>
          <cell r="F18321">
            <v>0</v>
          </cell>
          <cell r="DN18321">
            <v>0</v>
          </cell>
        </row>
        <row r="18322">
          <cell r="E18322">
            <v>0</v>
          </cell>
          <cell r="F18322">
            <v>0</v>
          </cell>
          <cell r="DN18322">
            <v>0</v>
          </cell>
        </row>
        <row r="18323">
          <cell r="E18323">
            <v>0</v>
          </cell>
          <cell r="F18323">
            <v>0</v>
          </cell>
          <cell r="DN18323">
            <v>0</v>
          </cell>
        </row>
        <row r="18324">
          <cell r="E18324">
            <v>0</v>
          </cell>
          <cell r="F18324">
            <v>0</v>
          </cell>
          <cell r="DN18324">
            <v>0</v>
          </cell>
        </row>
        <row r="18325">
          <cell r="E18325">
            <v>0</v>
          </cell>
          <cell r="F18325">
            <v>0</v>
          </cell>
          <cell r="DN18325">
            <v>0</v>
          </cell>
        </row>
        <row r="18326">
          <cell r="E18326">
            <v>0</v>
          </cell>
          <cell r="F18326">
            <v>0</v>
          </cell>
          <cell r="DN18326">
            <v>0</v>
          </cell>
        </row>
        <row r="18327">
          <cell r="E18327">
            <v>0</v>
          </cell>
          <cell r="F18327">
            <v>0</v>
          </cell>
          <cell r="DN18327">
            <v>0</v>
          </cell>
        </row>
        <row r="18328">
          <cell r="E18328">
            <v>0</v>
          </cell>
          <cell r="F18328">
            <v>0</v>
          </cell>
          <cell r="DN18328">
            <v>0</v>
          </cell>
        </row>
        <row r="18329">
          <cell r="E18329">
            <v>0</v>
          </cell>
          <cell r="F18329">
            <v>0</v>
          </cell>
          <cell r="DN18329">
            <v>0</v>
          </cell>
        </row>
        <row r="18330">
          <cell r="E18330">
            <v>0</v>
          </cell>
          <cell r="F18330">
            <v>0</v>
          </cell>
          <cell r="DN18330">
            <v>0</v>
          </cell>
        </row>
        <row r="18331">
          <cell r="E18331">
            <v>0</v>
          </cell>
          <cell r="F18331">
            <v>0</v>
          </cell>
          <cell r="DN18331">
            <v>0</v>
          </cell>
        </row>
        <row r="18332">
          <cell r="E18332">
            <v>0</v>
          </cell>
          <cell r="F18332">
            <v>0</v>
          </cell>
          <cell r="DN18332">
            <v>0</v>
          </cell>
        </row>
        <row r="18333">
          <cell r="E18333">
            <v>0</v>
          </cell>
          <cell r="F18333">
            <v>0</v>
          </cell>
          <cell r="DN18333">
            <v>0</v>
          </cell>
        </row>
        <row r="18334">
          <cell r="E18334">
            <v>0</v>
          </cell>
          <cell r="F18334">
            <v>0</v>
          </cell>
          <cell r="DN18334">
            <v>0</v>
          </cell>
        </row>
        <row r="18335">
          <cell r="E18335">
            <v>0</v>
          </cell>
          <cell r="F18335">
            <v>0</v>
          </cell>
          <cell r="DN18335">
            <v>0</v>
          </cell>
        </row>
        <row r="18336">
          <cell r="E18336">
            <v>0</v>
          </cell>
          <cell r="F18336">
            <v>0</v>
          </cell>
          <cell r="DN18336">
            <v>0</v>
          </cell>
        </row>
        <row r="18337">
          <cell r="E18337">
            <v>0</v>
          </cell>
          <cell r="F18337">
            <v>0</v>
          </cell>
          <cell r="DN18337">
            <v>0</v>
          </cell>
        </row>
        <row r="18338">
          <cell r="E18338">
            <v>0</v>
          </cell>
          <cell r="F18338">
            <v>0</v>
          </cell>
          <cell r="DN18338">
            <v>0</v>
          </cell>
        </row>
        <row r="18339">
          <cell r="E18339">
            <v>0</v>
          </cell>
          <cell r="F18339">
            <v>0</v>
          </cell>
          <cell r="DN18339">
            <v>0</v>
          </cell>
        </row>
        <row r="18340">
          <cell r="E18340">
            <v>0</v>
          </cell>
          <cell r="F18340">
            <v>0</v>
          </cell>
          <cell r="DN18340">
            <v>0</v>
          </cell>
        </row>
        <row r="18341">
          <cell r="E18341">
            <v>0</v>
          </cell>
          <cell r="F18341">
            <v>0</v>
          </cell>
          <cell r="DN18341">
            <v>0</v>
          </cell>
        </row>
        <row r="18342">
          <cell r="E18342">
            <v>0</v>
          </cell>
          <cell r="F18342">
            <v>0</v>
          </cell>
          <cell r="DN18342">
            <v>0</v>
          </cell>
        </row>
        <row r="18343">
          <cell r="E18343">
            <v>0</v>
          </cell>
          <cell r="F18343">
            <v>0</v>
          </cell>
          <cell r="DN18343">
            <v>0</v>
          </cell>
        </row>
        <row r="18344">
          <cell r="E18344">
            <v>0</v>
          </cell>
          <cell r="F18344">
            <v>0</v>
          </cell>
          <cell r="DN18344">
            <v>0</v>
          </cell>
        </row>
        <row r="18345">
          <cell r="E18345">
            <v>0</v>
          </cell>
          <cell r="F18345">
            <v>0</v>
          </cell>
          <cell r="DN18345">
            <v>0</v>
          </cell>
        </row>
        <row r="18346">
          <cell r="E18346">
            <v>0</v>
          </cell>
          <cell r="F18346">
            <v>0</v>
          </cell>
          <cell r="DN18346">
            <v>0</v>
          </cell>
        </row>
        <row r="18347">
          <cell r="E18347">
            <v>0</v>
          </cell>
          <cell r="F18347">
            <v>0</v>
          </cell>
          <cell r="DN18347">
            <v>0</v>
          </cell>
        </row>
        <row r="18348">
          <cell r="E18348">
            <v>0</v>
          </cell>
          <cell r="F18348">
            <v>0</v>
          </cell>
          <cell r="DN18348">
            <v>0</v>
          </cell>
        </row>
        <row r="18349">
          <cell r="E18349">
            <v>0</v>
          </cell>
          <cell r="F18349">
            <v>0</v>
          </cell>
          <cell r="DN18349">
            <v>0</v>
          </cell>
        </row>
        <row r="18350">
          <cell r="E18350">
            <v>0</v>
          </cell>
          <cell r="F18350">
            <v>0</v>
          </cell>
          <cell r="DN18350">
            <v>0</v>
          </cell>
        </row>
        <row r="18351">
          <cell r="E18351">
            <v>0</v>
          </cell>
          <cell r="F18351">
            <v>0</v>
          </cell>
          <cell r="DN18351">
            <v>0</v>
          </cell>
        </row>
        <row r="18352">
          <cell r="E18352">
            <v>0</v>
          </cell>
          <cell r="F18352">
            <v>0</v>
          </cell>
          <cell r="DN18352">
            <v>0</v>
          </cell>
        </row>
        <row r="18353">
          <cell r="E18353">
            <v>0</v>
          </cell>
          <cell r="F18353">
            <v>0</v>
          </cell>
          <cell r="DN18353">
            <v>0</v>
          </cell>
        </row>
        <row r="18354">
          <cell r="E18354">
            <v>0</v>
          </cell>
          <cell r="F18354">
            <v>0</v>
          </cell>
          <cell r="DN18354">
            <v>0</v>
          </cell>
        </row>
        <row r="18355">
          <cell r="E18355">
            <v>0</v>
          </cell>
          <cell r="F18355">
            <v>0</v>
          </cell>
          <cell r="DN18355">
            <v>0</v>
          </cell>
        </row>
        <row r="18356">
          <cell r="E18356">
            <v>0</v>
          </cell>
          <cell r="F18356">
            <v>0</v>
          </cell>
          <cell r="DN18356">
            <v>0</v>
          </cell>
        </row>
        <row r="18357">
          <cell r="E18357">
            <v>0</v>
          </cell>
          <cell r="F18357">
            <v>0</v>
          </cell>
          <cell r="DN18357">
            <v>0</v>
          </cell>
        </row>
        <row r="18358">
          <cell r="E18358">
            <v>0</v>
          </cell>
          <cell r="F18358">
            <v>0</v>
          </cell>
          <cell r="DN18358">
            <v>0</v>
          </cell>
        </row>
        <row r="18359">
          <cell r="E18359">
            <v>0</v>
          </cell>
          <cell r="F18359">
            <v>0</v>
          </cell>
          <cell r="DN18359">
            <v>0</v>
          </cell>
        </row>
        <row r="18360">
          <cell r="E18360">
            <v>0</v>
          </cell>
          <cell r="F18360">
            <v>0</v>
          </cell>
          <cell r="DN18360">
            <v>0</v>
          </cell>
        </row>
        <row r="18361">
          <cell r="E18361">
            <v>0</v>
          </cell>
          <cell r="F18361">
            <v>0</v>
          </cell>
          <cell r="DN18361">
            <v>0</v>
          </cell>
        </row>
        <row r="18362">
          <cell r="E18362">
            <v>0</v>
          </cell>
          <cell r="F18362">
            <v>0</v>
          </cell>
          <cell r="DN18362">
            <v>0</v>
          </cell>
        </row>
        <row r="18363">
          <cell r="E18363">
            <v>0</v>
          </cell>
          <cell r="F18363">
            <v>0</v>
          </cell>
          <cell r="DN18363">
            <v>0</v>
          </cell>
        </row>
        <row r="18364">
          <cell r="E18364">
            <v>0</v>
          </cell>
          <cell r="F18364">
            <v>0</v>
          </cell>
          <cell r="DN18364">
            <v>0</v>
          </cell>
        </row>
        <row r="18365">
          <cell r="E18365">
            <v>0</v>
          </cell>
          <cell r="F18365">
            <v>0</v>
          </cell>
          <cell r="DN18365">
            <v>0</v>
          </cell>
        </row>
        <row r="18366">
          <cell r="E18366">
            <v>0</v>
          </cell>
          <cell r="F18366">
            <v>0</v>
          </cell>
          <cell r="DN18366">
            <v>0</v>
          </cell>
        </row>
        <row r="18367">
          <cell r="E18367">
            <v>0</v>
          </cell>
          <cell r="F18367">
            <v>0</v>
          </cell>
          <cell r="DN18367">
            <v>0</v>
          </cell>
        </row>
        <row r="18368">
          <cell r="E18368">
            <v>0</v>
          </cell>
          <cell r="F18368">
            <v>0</v>
          </cell>
          <cell r="DN18368">
            <v>0</v>
          </cell>
        </row>
        <row r="18369">
          <cell r="E18369">
            <v>0</v>
          </cell>
          <cell r="F18369">
            <v>0</v>
          </cell>
          <cell r="DN18369">
            <v>0</v>
          </cell>
        </row>
        <row r="18370">
          <cell r="E18370">
            <v>0</v>
          </cell>
          <cell r="F18370">
            <v>0</v>
          </cell>
          <cell r="DN18370">
            <v>0</v>
          </cell>
        </row>
        <row r="18371">
          <cell r="E18371">
            <v>0</v>
          </cell>
          <cell r="F18371">
            <v>0</v>
          </cell>
          <cell r="DN18371">
            <v>0</v>
          </cell>
        </row>
        <row r="18372">
          <cell r="E18372">
            <v>0</v>
          </cell>
          <cell r="F18372">
            <v>0</v>
          </cell>
          <cell r="DN18372">
            <v>0</v>
          </cell>
        </row>
        <row r="18373">
          <cell r="E18373">
            <v>0</v>
          </cell>
          <cell r="F18373">
            <v>0</v>
          </cell>
          <cell r="DN18373">
            <v>0</v>
          </cell>
        </row>
        <row r="18374">
          <cell r="E18374">
            <v>0</v>
          </cell>
          <cell r="F18374">
            <v>0</v>
          </cell>
          <cell r="DN18374">
            <v>0</v>
          </cell>
        </row>
        <row r="18375">
          <cell r="E18375">
            <v>0</v>
          </cell>
          <cell r="F18375">
            <v>0</v>
          </cell>
          <cell r="DN18375">
            <v>0</v>
          </cell>
        </row>
        <row r="18376">
          <cell r="E18376">
            <v>0</v>
          </cell>
          <cell r="F18376">
            <v>0</v>
          </cell>
          <cell r="DN18376">
            <v>0</v>
          </cell>
        </row>
        <row r="18377">
          <cell r="E18377">
            <v>0</v>
          </cell>
          <cell r="F18377">
            <v>0</v>
          </cell>
          <cell r="DN18377">
            <v>0</v>
          </cell>
        </row>
        <row r="18378">
          <cell r="E18378">
            <v>0</v>
          </cell>
          <cell r="F18378">
            <v>0</v>
          </cell>
          <cell r="DN18378">
            <v>0</v>
          </cell>
        </row>
        <row r="18379">
          <cell r="E18379">
            <v>0</v>
          </cell>
          <cell r="F18379">
            <v>0</v>
          </cell>
          <cell r="DN18379">
            <v>0</v>
          </cell>
        </row>
        <row r="18380">
          <cell r="E18380">
            <v>0</v>
          </cell>
          <cell r="F18380">
            <v>0</v>
          </cell>
          <cell r="DN18380">
            <v>0</v>
          </cell>
        </row>
        <row r="18381">
          <cell r="E18381">
            <v>0</v>
          </cell>
          <cell r="F18381">
            <v>0</v>
          </cell>
          <cell r="DN18381">
            <v>0</v>
          </cell>
        </row>
        <row r="18382">
          <cell r="E18382">
            <v>0</v>
          </cell>
          <cell r="F18382">
            <v>0</v>
          </cell>
          <cell r="DN18382">
            <v>0</v>
          </cell>
        </row>
        <row r="18383">
          <cell r="E18383">
            <v>0</v>
          </cell>
          <cell r="F18383">
            <v>0</v>
          </cell>
          <cell r="DN18383">
            <v>0</v>
          </cell>
        </row>
        <row r="18384">
          <cell r="E18384">
            <v>0</v>
          </cell>
          <cell r="F18384">
            <v>0</v>
          </cell>
          <cell r="DN18384">
            <v>0</v>
          </cell>
        </row>
        <row r="18385">
          <cell r="E18385">
            <v>0</v>
          </cell>
          <cell r="F18385">
            <v>0</v>
          </cell>
          <cell r="DN18385">
            <v>0</v>
          </cell>
        </row>
        <row r="18386">
          <cell r="E18386">
            <v>0</v>
          </cell>
          <cell r="F18386">
            <v>0</v>
          </cell>
          <cell r="DN18386">
            <v>0</v>
          </cell>
        </row>
        <row r="18387">
          <cell r="E18387">
            <v>0</v>
          </cell>
          <cell r="F18387">
            <v>0</v>
          </cell>
          <cell r="DN18387">
            <v>0</v>
          </cell>
        </row>
        <row r="18388">
          <cell r="E18388">
            <v>0</v>
          </cell>
          <cell r="F18388">
            <v>0</v>
          </cell>
          <cell r="DN18388">
            <v>0</v>
          </cell>
        </row>
        <row r="18389">
          <cell r="E18389">
            <v>0</v>
          </cell>
          <cell r="F18389">
            <v>0</v>
          </cell>
          <cell r="DN18389">
            <v>0</v>
          </cell>
        </row>
        <row r="18390">
          <cell r="E18390">
            <v>0</v>
          </cell>
          <cell r="F18390">
            <v>0</v>
          </cell>
          <cell r="DN18390">
            <v>0</v>
          </cell>
        </row>
        <row r="18391">
          <cell r="E18391">
            <v>0</v>
          </cell>
          <cell r="F18391">
            <v>0</v>
          </cell>
          <cell r="DN18391">
            <v>0</v>
          </cell>
        </row>
        <row r="18392">
          <cell r="E18392">
            <v>0</v>
          </cell>
          <cell r="F18392">
            <v>0</v>
          </cell>
          <cell r="DN18392">
            <v>0</v>
          </cell>
        </row>
        <row r="18393">
          <cell r="E18393">
            <v>0</v>
          </cell>
          <cell r="F18393">
            <v>0</v>
          </cell>
          <cell r="DN18393">
            <v>0</v>
          </cell>
        </row>
        <row r="18394">
          <cell r="E18394">
            <v>0</v>
          </cell>
          <cell r="F18394">
            <v>0</v>
          </cell>
          <cell r="DN18394">
            <v>0</v>
          </cell>
        </row>
        <row r="18395">
          <cell r="E18395">
            <v>0</v>
          </cell>
          <cell r="F18395">
            <v>0</v>
          </cell>
          <cell r="DN18395">
            <v>0</v>
          </cell>
        </row>
        <row r="18396">
          <cell r="E18396">
            <v>0</v>
          </cell>
          <cell r="F18396">
            <v>0</v>
          </cell>
          <cell r="DN18396">
            <v>0</v>
          </cell>
        </row>
        <row r="18397">
          <cell r="E18397">
            <v>0</v>
          </cell>
          <cell r="F18397">
            <v>0</v>
          </cell>
          <cell r="DN18397">
            <v>0</v>
          </cell>
        </row>
        <row r="18398">
          <cell r="E18398">
            <v>0</v>
          </cell>
          <cell r="F18398">
            <v>0</v>
          </cell>
          <cell r="DN18398">
            <v>0</v>
          </cell>
        </row>
        <row r="18399">
          <cell r="E18399">
            <v>0</v>
          </cell>
          <cell r="F18399">
            <v>0</v>
          </cell>
          <cell r="DN18399">
            <v>0</v>
          </cell>
        </row>
        <row r="18400">
          <cell r="E18400">
            <v>0</v>
          </cell>
          <cell r="F18400">
            <v>0</v>
          </cell>
          <cell r="DN18400">
            <v>0</v>
          </cell>
        </row>
        <row r="18401">
          <cell r="E18401">
            <v>0</v>
          </cell>
          <cell r="F18401">
            <v>0</v>
          </cell>
          <cell r="DN18401">
            <v>0</v>
          </cell>
        </row>
        <row r="18402">
          <cell r="E18402">
            <v>0</v>
          </cell>
          <cell r="F18402">
            <v>0</v>
          </cell>
          <cell r="DN18402">
            <v>0</v>
          </cell>
        </row>
        <row r="18403">
          <cell r="E18403">
            <v>0</v>
          </cell>
          <cell r="F18403">
            <v>0</v>
          </cell>
          <cell r="DN18403">
            <v>0</v>
          </cell>
        </row>
        <row r="18404">
          <cell r="E18404">
            <v>0</v>
          </cell>
          <cell r="F18404">
            <v>0</v>
          </cell>
          <cell r="DN18404">
            <v>0</v>
          </cell>
        </row>
        <row r="18405">
          <cell r="E18405">
            <v>0</v>
          </cell>
          <cell r="F18405">
            <v>0</v>
          </cell>
          <cell r="DN18405">
            <v>0</v>
          </cell>
        </row>
        <row r="18406">
          <cell r="E18406">
            <v>0</v>
          </cell>
          <cell r="F18406">
            <v>0</v>
          </cell>
          <cell r="DN18406">
            <v>0</v>
          </cell>
        </row>
        <row r="18407">
          <cell r="E18407">
            <v>0</v>
          </cell>
          <cell r="F18407">
            <v>0</v>
          </cell>
          <cell r="DN18407">
            <v>0</v>
          </cell>
        </row>
        <row r="18408">
          <cell r="E18408">
            <v>0</v>
          </cell>
          <cell r="F18408">
            <v>0</v>
          </cell>
          <cell r="DN18408">
            <v>0</v>
          </cell>
        </row>
        <row r="18409">
          <cell r="E18409">
            <v>0</v>
          </cell>
          <cell r="F18409">
            <v>0</v>
          </cell>
          <cell r="DN18409">
            <v>0</v>
          </cell>
        </row>
        <row r="18410">
          <cell r="E18410">
            <v>0</v>
          </cell>
          <cell r="F18410">
            <v>0</v>
          </cell>
          <cell r="DN18410">
            <v>0</v>
          </cell>
        </row>
        <row r="18411">
          <cell r="E18411">
            <v>0</v>
          </cell>
          <cell r="F18411">
            <v>0</v>
          </cell>
          <cell r="DN18411">
            <v>0</v>
          </cell>
        </row>
        <row r="18412">
          <cell r="E18412">
            <v>0</v>
          </cell>
          <cell r="F18412">
            <v>0</v>
          </cell>
          <cell r="DN18412">
            <v>0</v>
          </cell>
        </row>
        <row r="18413">
          <cell r="E18413">
            <v>0</v>
          </cell>
          <cell r="F18413">
            <v>0</v>
          </cell>
          <cell r="DN18413">
            <v>0</v>
          </cell>
        </row>
        <row r="18414">
          <cell r="E18414">
            <v>0</v>
          </cell>
          <cell r="F18414">
            <v>0</v>
          </cell>
          <cell r="DN18414">
            <v>0</v>
          </cell>
        </row>
        <row r="18415">
          <cell r="E18415">
            <v>0</v>
          </cell>
          <cell r="F18415">
            <v>0</v>
          </cell>
          <cell r="DN18415">
            <v>0</v>
          </cell>
        </row>
        <row r="18416">
          <cell r="E18416">
            <v>0</v>
          </cell>
          <cell r="F18416">
            <v>0</v>
          </cell>
          <cell r="DN18416">
            <v>0</v>
          </cell>
        </row>
        <row r="18417">
          <cell r="E18417">
            <v>0</v>
          </cell>
          <cell r="F18417">
            <v>0</v>
          </cell>
          <cell r="DN18417">
            <v>0</v>
          </cell>
        </row>
        <row r="18418">
          <cell r="E18418">
            <v>0</v>
          </cell>
          <cell r="F18418">
            <v>0</v>
          </cell>
          <cell r="DN18418">
            <v>0</v>
          </cell>
        </row>
        <row r="18419">
          <cell r="E18419">
            <v>0</v>
          </cell>
          <cell r="F18419">
            <v>0</v>
          </cell>
          <cell r="DN18419">
            <v>0</v>
          </cell>
        </row>
        <row r="18420">
          <cell r="E18420">
            <v>0</v>
          </cell>
          <cell r="F18420">
            <v>0</v>
          </cell>
          <cell r="DN18420">
            <v>0</v>
          </cell>
        </row>
        <row r="18421">
          <cell r="E18421">
            <v>0</v>
          </cell>
          <cell r="F18421">
            <v>0</v>
          </cell>
          <cell r="DN18421">
            <v>0</v>
          </cell>
        </row>
        <row r="18422">
          <cell r="E18422">
            <v>0</v>
          </cell>
          <cell r="F18422">
            <v>0</v>
          </cell>
          <cell r="DN18422">
            <v>0</v>
          </cell>
        </row>
        <row r="18423">
          <cell r="E18423">
            <v>0</v>
          </cell>
          <cell r="F18423">
            <v>0</v>
          </cell>
          <cell r="DN18423">
            <v>0</v>
          </cell>
        </row>
        <row r="18424">
          <cell r="E18424">
            <v>0</v>
          </cell>
          <cell r="F18424">
            <v>0</v>
          </cell>
          <cell r="DN18424">
            <v>0</v>
          </cell>
        </row>
        <row r="18425">
          <cell r="E18425">
            <v>0</v>
          </cell>
          <cell r="F18425">
            <v>0</v>
          </cell>
          <cell r="DN18425">
            <v>0</v>
          </cell>
        </row>
        <row r="18426">
          <cell r="E18426">
            <v>0</v>
          </cell>
          <cell r="F18426">
            <v>0</v>
          </cell>
          <cell r="DN18426">
            <v>0</v>
          </cell>
        </row>
        <row r="18427">
          <cell r="E18427">
            <v>0</v>
          </cell>
          <cell r="F18427">
            <v>0</v>
          </cell>
          <cell r="DN18427">
            <v>0</v>
          </cell>
        </row>
        <row r="18428">
          <cell r="E18428">
            <v>0</v>
          </cell>
          <cell r="F18428">
            <v>0</v>
          </cell>
          <cell r="DN18428">
            <v>0</v>
          </cell>
        </row>
        <row r="18429">
          <cell r="E18429">
            <v>0</v>
          </cell>
          <cell r="F18429">
            <v>0</v>
          </cell>
          <cell r="DN18429">
            <v>0</v>
          </cell>
        </row>
        <row r="18430">
          <cell r="E18430">
            <v>0</v>
          </cell>
          <cell r="F18430">
            <v>0</v>
          </cell>
          <cell r="DN18430">
            <v>0</v>
          </cell>
        </row>
        <row r="18431">
          <cell r="E18431">
            <v>0</v>
          </cell>
          <cell r="F18431">
            <v>0</v>
          </cell>
          <cell r="DN18431">
            <v>0</v>
          </cell>
        </row>
        <row r="18432">
          <cell r="E18432">
            <v>0</v>
          </cell>
          <cell r="F18432">
            <v>0</v>
          </cell>
          <cell r="DN18432">
            <v>0</v>
          </cell>
        </row>
        <row r="18433">
          <cell r="E18433">
            <v>0</v>
          </cell>
          <cell r="F18433">
            <v>0</v>
          </cell>
          <cell r="DN18433">
            <v>0</v>
          </cell>
        </row>
        <row r="18434">
          <cell r="E18434">
            <v>0</v>
          </cell>
          <cell r="F18434">
            <v>0</v>
          </cell>
          <cell r="DN18434">
            <v>0</v>
          </cell>
        </row>
        <row r="18435">
          <cell r="E18435">
            <v>0</v>
          </cell>
          <cell r="F18435">
            <v>0</v>
          </cell>
          <cell r="DN18435">
            <v>0</v>
          </cell>
        </row>
        <row r="18436">
          <cell r="E18436">
            <v>0</v>
          </cell>
          <cell r="F18436">
            <v>0</v>
          </cell>
          <cell r="DN18436">
            <v>0</v>
          </cell>
        </row>
        <row r="18437">
          <cell r="E18437">
            <v>0</v>
          </cell>
          <cell r="F18437">
            <v>0</v>
          </cell>
          <cell r="DN18437">
            <v>0</v>
          </cell>
        </row>
        <row r="18438">
          <cell r="E18438">
            <v>0</v>
          </cell>
          <cell r="F18438">
            <v>0</v>
          </cell>
          <cell r="DN18438">
            <v>0</v>
          </cell>
        </row>
        <row r="18439">
          <cell r="E18439">
            <v>0</v>
          </cell>
          <cell r="F18439">
            <v>0</v>
          </cell>
          <cell r="DN18439">
            <v>0</v>
          </cell>
        </row>
        <row r="18440">
          <cell r="E18440">
            <v>0</v>
          </cell>
          <cell r="F18440">
            <v>0</v>
          </cell>
          <cell r="DN18440">
            <v>0</v>
          </cell>
        </row>
        <row r="18441">
          <cell r="E18441">
            <v>0</v>
          </cell>
          <cell r="F18441">
            <v>0</v>
          </cell>
          <cell r="DN18441">
            <v>0</v>
          </cell>
        </row>
        <row r="18442">
          <cell r="E18442">
            <v>0</v>
          </cell>
          <cell r="F18442">
            <v>0</v>
          </cell>
          <cell r="DN18442">
            <v>0</v>
          </cell>
        </row>
        <row r="18443">
          <cell r="E18443">
            <v>0</v>
          </cell>
          <cell r="F18443">
            <v>0</v>
          </cell>
          <cell r="DN18443">
            <v>0</v>
          </cell>
        </row>
        <row r="18444">
          <cell r="E18444">
            <v>0</v>
          </cell>
          <cell r="F18444">
            <v>0</v>
          </cell>
          <cell r="DN18444">
            <v>0</v>
          </cell>
        </row>
        <row r="18445">
          <cell r="E18445">
            <v>0</v>
          </cell>
          <cell r="F18445">
            <v>0</v>
          </cell>
          <cell r="DN18445">
            <v>0</v>
          </cell>
        </row>
        <row r="18446">
          <cell r="E18446">
            <v>0</v>
          </cell>
          <cell r="F18446">
            <v>0</v>
          </cell>
          <cell r="DN18446">
            <v>0</v>
          </cell>
        </row>
        <row r="18447">
          <cell r="E18447">
            <v>0</v>
          </cell>
          <cell r="F18447">
            <v>0</v>
          </cell>
          <cell r="DN18447">
            <v>0</v>
          </cell>
        </row>
        <row r="18448">
          <cell r="E18448">
            <v>0</v>
          </cell>
          <cell r="F18448">
            <v>0</v>
          </cell>
          <cell r="DN18448">
            <v>0</v>
          </cell>
        </row>
        <row r="18449">
          <cell r="E18449">
            <v>0</v>
          </cell>
          <cell r="F18449">
            <v>0</v>
          </cell>
          <cell r="DN18449">
            <v>0</v>
          </cell>
        </row>
        <row r="18450">
          <cell r="E18450">
            <v>0</v>
          </cell>
          <cell r="F18450">
            <v>0</v>
          </cell>
          <cell r="DN18450">
            <v>0</v>
          </cell>
        </row>
        <row r="18451">
          <cell r="E18451">
            <v>0</v>
          </cell>
          <cell r="F18451">
            <v>0</v>
          </cell>
          <cell r="DN18451">
            <v>0</v>
          </cell>
        </row>
        <row r="18452">
          <cell r="E18452">
            <v>0</v>
          </cell>
          <cell r="F18452">
            <v>0</v>
          </cell>
          <cell r="DN18452">
            <v>0</v>
          </cell>
        </row>
        <row r="18453">
          <cell r="E18453">
            <v>0</v>
          </cell>
          <cell r="F18453">
            <v>0</v>
          </cell>
          <cell r="DN18453">
            <v>0</v>
          </cell>
        </row>
        <row r="18454">
          <cell r="E18454">
            <v>0</v>
          </cell>
          <cell r="F18454">
            <v>0</v>
          </cell>
          <cell r="DN18454">
            <v>0</v>
          </cell>
        </row>
        <row r="18455">
          <cell r="E18455">
            <v>0</v>
          </cell>
          <cell r="F18455">
            <v>0</v>
          </cell>
          <cell r="DN18455">
            <v>0</v>
          </cell>
        </row>
        <row r="18456">
          <cell r="E18456">
            <v>0</v>
          </cell>
          <cell r="F18456">
            <v>0</v>
          </cell>
          <cell r="DN18456">
            <v>0</v>
          </cell>
        </row>
        <row r="18457">
          <cell r="E18457">
            <v>0</v>
          </cell>
          <cell r="F18457">
            <v>0</v>
          </cell>
          <cell r="DN18457">
            <v>0</v>
          </cell>
        </row>
        <row r="18458">
          <cell r="E18458">
            <v>0</v>
          </cell>
          <cell r="F18458">
            <v>0</v>
          </cell>
          <cell r="DN18458">
            <v>0</v>
          </cell>
        </row>
        <row r="18459">
          <cell r="E18459">
            <v>0</v>
          </cell>
          <cell r="F18459">
            <v>0</v>
          </cell>
          <cell r="DN18459">
            <v>0</v>
          </cell>
        </row>
        <row r="18460">
          <cell r="E18460">
            <v>0</v>
          </cell>
          <cell r="F18460">
            <v>0</v>
          </cell>
          <cell r="DN18460">
            <v>0</v>
          </cell>
        </row>
        <row r="18461">
          <cell r="E18461">
            <v>0</v>
          </cell>
          <cell r="F18461">
            <v>0</v>
          </cell>
          <cell r="DN18461">
            <v>0</v>
          </cell>
        </row>
        <row r="18462">
          <cell r="E18462">
            <v>0</v>
          </cell>
          <cell r="F18462">
            <v>0</v>
          </cell>
          <cell r="DN18462">
            <v>0</v>
          </cell>
        </row>
        <row r="18463">
          <cell r="E18463">
            <v>0</v>
          </cell>
          <cell r="F18463">
            <v>0</v>
          </cell>
          <cell r="DN18463">
            <v>0</v>
          </cell>
        </row>
        <row r="18464">
          <cell r="E18464">
            <v>0</v>
          </cell>
          <cell r="F18464">
            <v>0</v>
          </cell>
          <cell r="DN18464">
            <v>0</v>
          </cell>
        </row>
        <row r="18465">
          <cell r="E18465">
            <v>0</v>
          </cell>
          <cell r="F18465">
            <v>0</v>
          </cell>
          <cell r="DN18465">
            <v>0</v>
          </cell>
        </row>
        <row r="18466">
          <cell r="E18466">
            <v>0</v>
          </cell>
          <cell r="F18466">
            <v>0</v>
          </cell>
          <cell r="DN18466">
            <v>0</v>
          </cell>
        </row>
        <row r="18467">
          <cell r="E18467">
            <v>0</v>
          </cell>
          <cell r="F18467">
            <v>0</v>
          </cell>
          <cell r="DN18467">
            <v>0</v>
          </cell>
        </row>
        <row r="18468">
          <cell r="E18468">
            <v>0</v>
          </cell>
          <cell r="F18468">
            <v>0</v>
          </cell>
          <cell r="DN18468">
            <v>0</v>
          </cell>
        </row>
        <row r="18469">
          <cell r="E18469">
            <v>0</v>
          </cell>
          <cell r="F18469">
            <v>0</v>
          </cell>
          <cell r="DN18469">
            <v>0</v>
          </cell>
        </row>
        <row r="18470">
          <cell r="E18470">
            <v>0</v>
          </cell>
          <cell r="F18470">
            <v>0</v>
          </cell>
          <cell r="DN18470">
            <v>0</v>
          </cell>
        </row>
        <row r="18471">
          <cell r="E18471">
            <v>0</v>
          </cell>
          <cell r="F18471">
            <v>0</v>
          </cell>
          <cell r="DN18471">
            <v>0</v>
          </cell>
        </row>
        <row r="18472">
          <cell r="E18472">
            <v>0</v>
          </cell>
          <cell r="F18472">
            <v>0</v>
          </cell>
          <cell r="DN18472">
            <v>0</v>
          </cell>
        </row>
        <row r="18473">
          <cell r="E18473">
            <v>0</v>
          </cell>
          <cell r="F18473">
            <v>0</v>
          </cell>
          <cell r="DN18473">
            <v>0</v>
          </cell>
        </row>
        <row r="18474">
          <cell r="E18474">
            <v>0</v>
          </cell>
          <cell r="F18474">
            <v>0</v>
          </cell>
          <cell r="DN18474">
            <v>0</v>
          </cell>
        </row>
        <row r="18475">
          <cell r="E18475">
            <v>0</v>
          </cell>
          <cell r="F18475">
            <v>0</v>
          </cell>
          <cell r="DN18475">
            <v>0</v>
          </cell>
        </row>
        <row r="18476">
          <cell r="E18476">
            <v>0</v>
          </cell>
          <cell r="F18476">
            <v>0</v>
          </cell>
          <cell r="DN18476">
            <v>0</v>
          </cell>
        </row>
        <row r="18477">
          <cell r="E18477">
            <v>0</v>
          </cell>
          <cell r="F18477">
            <v>0</v>
          </cell>
          <cell r="DN18477">
            <v>0</v>
          </cell>
        </row>
        <row r="18478">
          <cell r="E18478">
            <v>0</v>
          </cell>
          <cell r="F18478">
            <v>0</v>
          </cell>
          <cell r="DN18478">
            <v>0</v>
          </cell>
        </row>
        <row r="18479">
          <cell r="E18479">
            <v>0</v>
          </cell>
          <cell r="F18479">
            <v>0</v>
          </cell>
          <cell r="DN18479">
            <v>0</v>
          </cell>
        </row>
        <row r="18480">
          <cell r="E18480">
            <v>0</v>
          </cell>
          <cell r="F18480">
            <v>0</v>
          </cell>
          <cell r="DN18480">
            <v>0</v>
          </cell>
        </row>
        <row r="18481">
          <cell r="E18481">
            <v>0</v>
          </cell>
          <cell r="F18481">
            <v>0</v>
          </cell>
          <cell r="DN18481">
            <v>0</v>
          </cell>
        </row>
        <row r="18482">
          <cell r="E18482">
            <v>0</v>
          </cell>
          <cell r="F18482">
            <v>0</v>
          </cell>
          <cell r="DN18482">
            <v>0</v>
          </cell>
        </row>
        <row r="18483">
          <cell r="E18483">
            <v>0</v>
          </cell>
          <cell r="F18483">
            <v>0</v>
          </cell>
          <cell r="DN18483">
            <v>0</v>
          </cell>
        </row>
        <row r="18484">
          <cell r="E18484">
            <v>0</v>
          </cell>
          <cell r="F18484">
            <v>0</v>
          </cell>
          <cell r="DN18484">
            <v>0</v>
          </cell>
        </row>
        <row r="18485">
          <cell r="E18485">
            <v>0</v>
          </cell>
          <cell r="F18485">
            <v>0</v>
          </cell>
          <cell r="DN18485">
            <v>0</v>
          </cell>
        </row>
        <row r="18486">
          <cell r="E18486">
            <v>0</v>
          </cell>
          <cell r="F18486">
            <v>0</v>
          </cell>
          <cell r="DN18486">
            <v>0</v>
          </cell>
        </row>
        <row r="18487">
          <cell r="E18487">
            <v>0</v>
          </cell>
          <cell r="F18487">
            <v>0</v>
          </cell>
          <cell r="DN18487">
            <v>0</v>
          </cell>
        </row>
        <row r="18488">
          <cell r="E18488">
            <v>0</v>
          </cell>
          <cell r="F18488">
            <v>0</v>
          </cell>
          <cell r="DN18488">
            <v>0</v>
          </cell>
        </row>
        <row r="18489">
          <cell r="E18489">
            <v>0</v>
          </cell>
          <cell r="F18489">
            <v>0</v>
          </cell>
          <cell r="DN18489">
            <v>0</v>
          </cell>
        </row>
        <row r="18490">
          <cell r="E18490">
            <v>0</v>
          </cell>
          <cell r="F18490">
            <v>0</v>
          </cell>
          <cell r="DN18490">
            <v>0</v>
          </cell>
        </row>
        <row r="18491">
          <cell r="E18491">
            <v>0</v>
          </cell>
          <cell r="F18491">
            <v>0</v>
          </cell>
          <cell r="DN18491">
            <v>0</v>
          </cell>
        </row>
        <row r="18492">
          <cell r="E18492">
            <v>0</v>
          </cell>
          <cell r="F18492">
            <v>0</v>
          </cell>
          <cell r="DN18492">
            <v>0</v>
          </cell>
        </row>
        <row r="18493">
          <cell r="E18493">
            <v>0</v>
          </cell>
          <cell r="F18493">
            <v>0</v>
          </cell>
          <cell r="DN18493">
            <v>0</v>
          </cell>
        </row>
        <row r="18494">
          <cell r="E18494">
            <v>0</v>
          </cell>
          <cell r="F18494">
            <v>0</v>
          </cell>
          <cell r="DN18494">
            <v>0</v>
          </cell>
        </row>
        <row r="18495">
          <cell r="E18495">
            <v>0</v>
          </cell>
          <cell r="F18495">
            <v>0</v>
          </cell>
          <cell r="DN18495">
            <v>0</v>
          </cell>
        </row>
        <row r="18496">
          <cell r="E18496">
            <v>0</v>
          </cell>
          <cell r="F18496">
            <v>0</v>
          </cell>
          <cell r="DN18496">
            <v>0</v>
          </cell>
        </row>
        <row r="18497">
          <cell r="E18497">
            <v>0</v>
          </cell>
          <cell r="F18497">
            <v>0</v>
          </cell>
          <cell r="DN18497">
            <v>0</v>
          </cell>
        </row>
        <row r="18498">
          <cell r="E18498">
            <v>0</v>
          </cell>
          <cell r="F18498">
            <v>0</v>
          </cell>
          <cell r="DN18498">
            <v>0</v>
          </cell>
        </row>
        <row r="18499">
          <cell r="E18499">
            <v>0</v>
          </cell>
          <cell r="F18499">
            <v>0</v>
          </cell>
          <cell r="DN18499">
            <v>0</v>
          </cell>
        </row>
        <row r="18500">
          <cell r="E18500">
            <v>0</v>
          </cell>
          <cell r="F18500">
            <v>0</v>
          </cell>
          <cell r="DN18500">
            <v>0</v>
          </cell>
        </row>
        <row r="18501">
          <cell r="E18501">
            <v>0</v>
          </cell>
          <cell r="F18501">
            <v>0</v>
          </cell>
          <cell r="DN18501">
            <v>0</v>
          </cell>
        </row>
        <row r="18502">
          <cell r="E18502">
            <v>0</v>
          </cell>
          <cell r="F18502">
            <v>0</v>
          </cell>
          <cell r="DN18502">
            <v>0</v>
          </cell>
        </row>
        <row r="18503">
          <cell r="E18503">
            <v>0</v>
          </cell>
          <cell r="F18503">
            <v>0</v>
          </cell>
          <cell r="DN18503">
            <v>0</v>
          </cell>
        </row>
        <row r="18504">
          <cell r="E18504">
            <v>0</v>
          </cell>
          <cell r="F18504">
            <v>0</v>
          </cell>
          <cell r="DN18504">
            <v>0</v>
          </cell>
        </row>
        <row r="18505">
          <cell r="E18505">
            <v>0</v>
          </cell>
          <cell r="F18505">
            <v>0</v>
          </cell>
          <cell r="DN18505">
            <v>0</v>
          </cell>
        </row>
        <row r="18506">
          <cell r="E18506">
            <v>0</v>
          </cell>
          <cell r="F18506">
            <v>0</v>
          </cell>
          <cell r="DN18506">
            <v>0</v>
          </cell>
        </row>
        <row r="18507">
          <cell r="E18507">
            <v>0</v>
          </cell>
          <cell r="F18507">
            <v>0</v>
          </cell>
          <cell r="DN18507">
            <v>0</v>
          </cell>
        </row>
        <row r="18508">
          <cell r="E18508">
            <v>0</v>
          </cell>
          <cell r="F18508">
            <v>0</v>
          </cell>
          <cell r="DN18508">
            <v>0</v>
          </cell>
        </row>
        <row r="18509">
          <cell r="E18509">
            <v>0</v>
          </cell>
          <cell r="F18509">
            <v>0</v>
          </cell>
          <cell r="DN18509">
            <v>0</v>
          </cell>
        </row>
        <row r="18510">
          <cell r="E18510">
            <v>0</v>
          </cell>
          <cell r="F18510">
            <v>0</v>
          </cell>
          <cell r="DN18510">
            <v>0</v>
          </cell>
        </row>
        <row r="18511">
          <cell r="E18511">
            <v>0</v>
          </cell>
          <cell r="F18511">
            <v>0</v>
          </cell>
          <cell r="DN18511">
            <v>0</v>
          </cell>
        </row>
        <row r="18512">
          <cell r="E18512">
            <v>0</v>
          </cell>
          <cell r="F18512">
            <v>0</v>
          </cell>
          <cell r="DN18512">
            <v>0</v>
          </cell>
        </row>
        <row r="18513">
          <cell r="E18513">
            <v>0</v>
          </cell>
          <cell r="F18513">
            <v>0</v>
          </cell>
          <cell r="DN18513">
            <v>0</v>
          </cell>
        </row>
        <row r="18514">
          <cell r="E18514">
            <v>0</v>
          </cell>
          <cell r="F18514">
            <v>0</v>
          </cell>
          <cell r="DN18514">
            <v>0</v>
          </cell>
        </row>
        <row r="18515">
          <cell r="E18515">
            <v>0</v>
          </cell>
          <cell r="F18515">
            <v>0</v>
          </cell>
          <cell r="DN18515">
            <v>0</v>
          </cell>
        </row>
        <row r="18516">
          <cell r="E18516">
            <v>0</v>
          </cell>
          <cell r="F18516">
            <v>0</v>
          </cell>
          <cell r="DN18516">
            <v>0</v>
          </cell>
        </row>
        <row r="18517">
          <cell r="E18517">
            <v>0</v>
          </cell>
          <cell r="F18517">
            <v>0</v>
          </cell>
          <cell r="DN18517">
            <v>0</v>
          </cell>
        </row>
        <row r="18518">
          <cell r="E18518">
            <v>0</v>
          </cell>
          <cell r="F18518">
            <v>0</v>
          </cell>
          <cell r="DN18518">
            <v>0</v>
          </cell>
        </row>
        <row r="18519">
          <cell r="E18519">
            <v>0</v>
          </cell>
          <cell r="F18519">
            <v>0</v>
          </cell>
          <cell r="DN18519">
            <v>0</v>
          </cell>
        </row>
        <row r="18520">
          <cell r="E18520">
            <v>0</v>
          </cell>
          <cell r="F18520">
            <v>0</v>
          </cell>
          <cell r="DN18520">
            <v>0</v>
          </cell>
        </row>
        <row r="18521">
          <cell r="E18521">
            <v>0</v>
          </cell>
          <cell r="F18521">
            <v>0</v>
          </cell>
          <cell r="DN18521">
            <v>0</v>
          </cell>
        </row>
        <row r="18522">
          <cell r="E18522">
            <v>0</v>
          </cell>
          <cell r="F18522">
            <v>0</v>
          </cell>
          <cell r="DN18522">
            <v>0</v>
          </cell>
        </row>
        <row r="18523">
          <cell r="E18523">
            <v>0</v>
          </cell>
          <cell r="F18523">
            <v>0</v>
          </cell>
          <cell r="DN18523">
            <v>0</v>
          </cell>
        </row>
        <row r="18524">
          <cell r="E18524">
            <v>0</v>
          </cell>
          <cell r="F18524">
            <v>0</v>
          </cell>
          <cell r="DN18524">
            <v>0</v>
          </cell>
        </row>
        <row r="18525">
          <cell r="E18525">
            <v>0</v>
          </cell>
          <cell r="F18525">
            <v>0</v>
          </cell>
          <cell r="DN18525">
            <v>0</v>
          </cell>
        </row>
        <row r="18526">
          <cell r="E18526">
            <v>0</v>
          </cell>
          <cell r="F18526">
            <v>0</v>
          </cell>
          <cell r="DN18526">
            <v>0</v>
          </cell>
        </row>
        <row r="18527">
          <cell r="E18527">
            <v>0</v>
          </cell>
          <cell r="F18527">
            <v>0</v>
          </cell>
          <cell r="DN18527">
            <v>0</v>
          </cell>
        </row>
        <row r="18528">
          <cell r="E18528">
            <v>0</v>
          </cell>
          <cell r="F18528">
            <v>0</v>
          </cell>
          <cell r="DN18528">
            <v>0</v>
          </cell>
        </row>
        <row r="18529">
          <cell r="E18529">
            <v>0</v>
          </cell>
          <cell r="F18529">
            <v>0</v>
          </cell>
          <cell r="DN18529">
            <v>0</v>
          </cell>
        </row>
        <row r="18530">
          <cell r="E18530">
            <v>0</v>
          </cell>
          <cell r="F18530">
            <v>0</v>
          </cell>
          <cell r="DN18530">
            <v>0</v>
          </cell>
        </row>
        <row r="18531">
          <cell r="E18531">
            <v>0</v>
          </cell>
          <cell r="F18531">
            <v>0</v>
          </cell>
          <cell r="DN18531">
            <v>0</v>
          </cell>
        </row>
        <row r="18532">
          <cell r="E18532">
            <v>0</v>
          </cell>
          <cell r="F18532">
            <v>0</v>
          </cell>
          <cell r="DN18532">
            <v>0</v>
          </cell>
        </row>
        <row r="18533">
          <cell r="E18533">
            <v>0</v>
          </cell>
          <cell r="F18533">
            <v>0</v>
          </cell>
          <cell r="DN18533">
            <v>0</v>
          </cell>
        </row>
        <row r="18534">
          <cell r="E18534">
            <v>0</v>
          </cell>
          <cell r="F18534">
            <v>0</v>
          </cell>
          <cell r="DN18534">
            <v>0</v>
          </cell>
        </row>
        <row r="18535">
          <cell r="E18535">
            <v>0</v>
          </cell>
          <cell r="F18535">
            <v>0</v>
          </cell>
          <cell r="DN18535">
            <v>0</v>
          </cell>
        </row>
        <row r="18536">
          <cell r="E18536">
            <v>0</v>
          </cell>
          <cell r="F18536">
            <v>0</v>
          </cell>
          <cell r="DN18536">
            <v>0</v>
          </cell>
        </row>
        <row r="18537">
          <cell r="E18537">
            <v>0</v>
          </cell>
          <cell r="F18537">
            <v>0</v>
          </cell>
          <cell r="DN18537">
            <v>0</v>
          </cell>
        </row>
        <row r="18538">
          <cell r="E18538">
            <v>0</v>
          </cell>
          <cell r="F18538">
            <v>0</v>
          </cell>
          <cell r="DN18538">
            <v>0</v>
          </cell>
        </row>
        <row r="18539">
          <cell r="E18539">
            <v>0</v>
          </cell>
          <cell r="F18539">
            <v>0</v>
          </cell>
          <cell r="DN18539">
            <v>0</v>
          </cell>
        </row>
        <row r="18540">
          <cell r="E18540">
            <v>0</v>
          </cell>
          <cell r="F18540">
            <v>0</v>
          </cell>
          <cell r="DN18540">
            <v>0</v>
          </cell>
        </row>
        <row r="18541">
          <cell r="E18541">
            <v>0</v>
          </cell>
          <cell r="F18541">
            <v>0</v>
          </cell>
          <cell r="DN18541">
            <v>0</v>
          </cell>
        </row>
        <row r="18542">
          <cell r="E18542">
            <v>0</v>
          </cell>
          <cell r="F18542">
            <v>0</v>
          </cell>
          <cell r="DN18542">
            <v>0</v>
          </cell>
        </row>
        <row r="18543">
          <cell r="E18543">
            <v>0</v>
          </cell>
          <cell r="F18543">
            <v>0</v>
          </cell>
          <cell r="DN18543">
            <v>0</v>
          </cell>
        </row>
        <row r="18544">
          <cell r="E18544">
            <v>0</v>
          </cell>
          <cell r="F18544">
            <v>0</v>
          </cell>
          <cell r="DN18544">
            <v>0</v>
          </cell>
        </row>
        <row r="18545">
          <cell r="E18545">
            <v>0</v>
          </cell>
          <cell r="F18545">
            <v>0</v>
          </cell>
          <cell r="DN18545">
            <v>0</v>
          </cell>
        </row>
        <row r="18546">
          <cell r="E18546">
            <v>0</v>
          </cell>
          <cell r="F18546">
            <v>0</v>
          </cell>
          <cell r="DN18546">
            <v>0</v>
          </cell>
        </row>
        <row r="18547">
          <cell r="E18547">
            <v>0</v>
          </cell>
          <cell r="F18547">
            <v>0</v>
          </cell>
          <cell r="DN18547">
            <v>0</v>
          </cell>
        </row>
        <row r="18548">
          <cell r="E18548">
            <v>0</v>
          </cell>
          <cell r="F18548">
            <v>0</v>
          </cell>
          <cell r="DN18548">
            <v>0</v>
          </cell>
        </row>
        <row r="18549">
          <cell r="E18549">
            <v>0</v>
          </cell>
          <cell r="F18549">
            <v>0</v>
          </cell>
          <cell r="DN18549">
            <v>0</v>
          </cell>
        </row>
        <row r="18550">
          <cell r="E18550">
            <v>0</v>
          </cell>
          <cell r="F18550">
            <v>0</v>
          </cell>
          <cell r="DN18550">
            <v>0</v>
          </cell>
        </row>
        <row r="18551">
          <cell r="E18551">
            <v>0</v>
          </cell>
          <cell r="F18551">
            <v>0</v>
          </cell>
          <cell r="DN18551">
            <v>0</v>
          </cell>
        </row>
        <row r="18552">
          <cell r="E18552">
            <v>0</v>
          </cell>
          <cell r="F18552">
            <v>0</v>
          </cell>
          <cell r="DN18552">
            <v>0</v>
          </cell>
        </row>
        <row r="18553">
          <cell r="E18553">
            <v>0</v>
          </cell>
          <cell r="F18553">
            <v>0</v>
          </cell>
          <cell r="DN18553">
            <v>0</v>
          </cell>
        </row>
        <row r="18554">
          <cell r="E18554">
            <v>0</v>
          </cell>
          <cell r="F18554">
            <v>0</v>
          </cell>
          <cell r="DN18554">
            <v>0</v>
          </cell>
        </row>
        <row r="18555">
          <cell r="E18555">
            <v>0</v>
          </cell>
          <cell r="F18555">
            <v>0</v>
          </cell>
          <cell r="DN18555">
            <v>0</v>
          </cell>
        </row>
        <row r="18556">
          <cell r="E18556">
            <v>0</v>
          </cell>
          <cell r="F18556">
            <v>0</v>
          </cell>
          <cell r="DN18556">
            <v>0</v>
          </cell>
        </row>
        <row r="18557">
          <cell r="E18557">
            <v>0</v>
          </cell>
          <cell r="F18557">
            <v>0</v>
          </cell>
          <cell r="DN18557">
            <v>0</v>
          </cell>
        </row>
        <row r="18558">
          <cell r="E18558">
            <v>0</v>
          </cell>
          <cell r="F18558">
            <v>0</v>
          </cell>
          <cell r="DN18558">
            <v>0</v>
          </cell>
        </row>
        <row r="18559">
          <cell r="E18559">
            <v>0</v>
          </cell>
          <cell r="F18559">
            <v>0</v>
          </cell>
          <cell r="DN18559">
            <v>0</v>
          </cell>
        </row>
        <row r="18560">
          <cell r="E18560">
            <v>0</v>
          </cell>
          <cell r="F18560">
            <v>0</v>
          </cell>
          <cell r="DN18560">
            <v>0</v>
          </cell>
        </row>
        <row r="18561">
          <cell r="E18561">
            <v>0</v>
          </cell>
          <cell r="F18561">
            <v>0</v>
          </cell>
          <cell r="DN18561">
            <v>0</v>
          </cell>
        </row>
        <row r="18562">
          <cell r="E18562">
            <v>0</v>
          </cell>
          <cell r="F18562">
            <v>0</v>
          </cell>
          <cell r="DN18562">
            <v>0</v>
          </cell>
        </row>
        <row r="18563">
          <cell r="E18563">
            <v>0</v>
          </cell>
          <cell r="F18563">
            <v>0</v>
          </cell>
          <cell r="DN18563">
            <v>0</v>
          </cell>
        </row>
        <row r="18564">
          <cell r="E18564">
            <v>0</v>
          </cell>
          <cell r="F18564">
            <v>0</v>
          </cell>
          <cell r="DN18564">
            <v>0</v>
          </cell>
        </row>
        <row r="18565">
          <cell r="E18565">
            <v>0</v>
          </cell>
          <cell r="F18565">
            <v>0</v>
          </cell>
          <cell r="DN18565">
            <v>0</v>
          </cell>
        </row>
        <row r="18566">
          <cell r="E18566">
            <v>0</v>
          </cell>
          <cell r="F18566">
            <v>0</v>
          </cell>
          <cell r="DN18566">
            <v>0</v>
          </cell>
        </row>
        <row r="18567">
          <cell r="E18567">
            <v>0</v>
          </cell>
          <cell r="F18567">
            <v>0</v>
          </cell>
          <cell r="DN18567">
            <v>0</v>
          </cell>
        </row>
        <row r="18568">
          <cell r="E18568">
            <v>0</v>
          </cell>
          <cell r="F18568">
            <v>0</v>
          </cell>
          <cell r="DN18568">
            <v>0</v>
          </cell>
        </row>
        <row r="18569">
          <cell r="E18569">
            <v>0</v>
          </cell>
          <cell r="F18569">
            <v>0</v>
          </cell>
          <cell r="DN18569">
            <v>0</v>
          </cell>
        </row>
        <row r="18570">
          <cell r="E18570">
            <v>0</v>
          </cell>
          <cell r="F18570">
            <v>0</v>
          </cell>
          <cell r="DN18570">
            <v>0</v>
          </cell>
        </row>
        <row r="18571">
          <cell r="E18571">
            <v>0</v>
          </cell>
          <cell r="F18571">
            <v>0</v>
          </cell>
          <cell r="DN18571">
            <v>0</v>
          </cell>
        </row>
        <row r="18572">
          <cell r="E18572">
            <v>0</v>
          </cell>
          <cell r="F18572">
            <v>0</v>
          </cell>
          <cell r="DN18572">
            <v>0</v>
          </cell>
        </row>
        <row r="18573">
          <cell r="E18573">
            <v>0</v>
          </cell>
          <cell r="F18573">
            <v>0</v>
          </cell>
          <cell r="DN18573">
            <v>0</v>
          </cell>
        </row>
        <row r="18574">
          <cell r="E18574">
            <v>0</v>
          </cell>
          <cell r="F18574">
            <v>0</v>
          </cell>
          <cell r="DN18574">
            <v>0</v>
          </cell>
        </row>
        <row r="18575">
          <cell r="E18575">
            <v>0</v>
          </cell>
          <cell r="F18575">
            <v>0</v>
          </cell>
          <cell r="DN18575">
            <v>0</v>
          </cell>
        </row>
        <row r="18576">
          <cell r="E18576">
            <v>0</v>
          </cell>
          <cell r="F18576">
            <v>0</v>
          </cell>
          <cell r="DN18576">
            <v>0</v>
          </cell>
        </row>
        <row r="18577">
          <cell r="E18577">
            <v>0</v>
          </cell>
          <cell r="F18577">
            <v>0</v>
          </cell>
          <cell r="DN18577">
            <v>0</v>
          </cell>
        </row>
        <row r="18578">
          <cell r="E18578">
            <v>0</v>
          </cell>
          <cell r="F18578">
            <v>0</v>
          </cell>
          <cell r="DN18578">
            <v>0</v>
          </cell>
        </row>
        <row r="18579">
          <cell r="E18579">
            <v>0</v>
          </cell>
          <cell r="F18579">
            <v>0</v>
          </cell>
          <cell r="DN18579">
            <v>0</v>
          </cell>
        </row>
        <row r="18580">
          <cell r="E18580">
            <v>0</v>
          </cell>
          <cell r="F18580">
            <v>0</v>
          </cell>
          <cell r="DN18580">
            <v>0</v>
          </cell>
        </row>
        <row r="18581">
          <cell r="E18581">
            <v>0</v>
          </cell>
          <cell r="F18581">
            <v>0</v>
          </cell>
          <cell r="DN18581">
            <v>0</v>
          </cell>
        </row>
        <row r="18582">
          <cell r="E18582">
            <v>0</v>
          </cell>
          <cell r="F18582">
            <v>0</v>
          </cell>
          <cell r="DN18582">
            <v>0</v>
          </cell>
        </row>
        <row r="18583">
          <cell r="E18583">
            <v>0</v>
          </cell>
          <cell r="F18583">
            <v>0</v>
          </cell>
          <cell r="DN18583">
            <v>0</v>
          </cell>
        </row>
        <row r="18584">
          <cell r="E18584">
            <v>0</v>
          </cell>
          <cell r="F18584">
            <v>0</v>
          </cell>
          <cell r="DN18584">
            <v>0</v>
          </cell>
        </row>
        <row r="18585">
          <cell r="E18585">
            <v>0</v>
          </cell>
          <cell r="F18585">
            <v>0</v>
          </cell>
          <cell r="DN18585">
            <v>0</v>
          </cell>
        </row>
        <row r="18586">
          <cell r="E18586">
            <v>0</v>
          </cell>
          <cell r="F18586">
            <v>0</v>
          </cell>
          <cell r="DN18586">
            <v>0</v>
          </cell>
        </row>
        <row r="18587">
          <cell r="E18587">
            <v>0</v>
          </cell>
          <cell r="F18587">
            <v>0</v>
          </cell>
          <cell r="DN18587">
            <v>0</v>
          </cell>
        </row>
        <row r="18588">
          <cell r="E18588">
            <v>0</v>
          </cell>
          <cell r="F18588">
            <v>0</v>
          </cell>
          <cell r="DN18588">
            <v>0</v>
          </cell>
        </row>
        <row r="18589">
          <cell r="E18589">
            <v>0</v>
          </cell>
          <cell r="F18589">
            <v>0</v>
          </cell>
          <cell r="DN18589">
            <v>0</v>
          </cell>
        </row>
        <row r="18590">
          <cell r="E18590">
            <v>0</v>
          </cell>
          <cell r="F18590">
            <v>0</v>
          </cell>
          <cell r="DN18590">
            <v>0</v>
          </cell>
        </row>
        <row r="18591">
          <cell r="E18591">
            <v>0</v>
          </cell>
          <cell r="F18591">
            <v>0</v>
          </cell>
          <cell r="DN18591">
            <v>0</v>
          </cell>
        </row>
        <row r="18592">
          <cell r="E18592">
            <v>0</v>
          </cell>
          <cell r="F18592">
            <v>0</v>
          </cell>
          <cell r="DN18592">
            <v>0</v>
          </cell>
        </row>
        <row r="18593">
          <cell r="E18593">
            <v>0</v>
          </cell>
          <cell r="F18593">
            <v>0</v>
          </cell>
          <cell r="DN18593">
            <v>0</v>
          </cell>
        </row>
        <row r="18594">
          <cell r="E18594">
            <v>0</v>
          </cell>
          <cell r="F18594">
            <v>0</v>
          </cell>
          <cell r="DN18594">
            <v>0</v>
          </cell>
        </row>
        <row r="18595">
          <cell r="E18595">
            <v>0</v>
          </cell>
          <cell r="F18595">
            <v>0</v>
          </cell>
          <cell r="DN18595">
            <v>0</v>
          </cell>
        </row>
        <row r="18596">
          <cell r="E18596">
            <v>0</v>
          </cell>
          <cell r="F18596">
            <v>0</v>
          </cell>
          <cell r="DN18596">
            <v>0</v>
          </cell>
        </row>
        <row r="18597">
          <cell r="E18597">
            <v>0</v>
          </cell>
          <cell r="F18597">
            <v>0</v>
          </cell>
          <cell r="DN18597">
            <v>0</v>
          </cell>
        </row>
        <row r="18598">
          <cell r="E18598">
            <v>0</v>
          </cell>
          <cell r="F18598">
            <v>0</v>
          </cell>
          <cell r="DN18598">
            <v>0</v>
          </cell>
        </row>
        <row r="18599">
          <cell r="E18599">
            <v>0</v>
          </cell>
          <cell r="F18599">
            <v>0</v>
          </cell>
          <cell r="DN18599">
            <v>0</v>
          </cell>
        </row>
        <row r="18600">
          <cell r="E18600">
            <v>0</v>
          </cell>
          <cell r="F18600">
            <v>0</v>
          </cell>
          <cell r="DN18600">
            <v>0</v>
          </cell>
        </row>
        <row r="18601">
          <cell r="E18601">
            <v>0</v>
          </cell>
          <cell r="F18601">
            <v>0</v>
          </cell>
          <cell r="DN18601">
            <v>0</v>
          </cell>
        </row>
        <row r="18602">
          <cell r="E18602">
            <v>0</v>
          </cell>
          <cell r="F18602">
            <v>0</v>
          </cell>
          <cell r="DN18602">
            <v>0</v>
          </cell>
        </row>
        <row r="18603">
          <cell r="E18603">
            <v>0</v>
          </cell>
          <cell r="F18603">
            <v>0</v>
          </cell>
          <cell r="DN18603">
            <v>0</v>
          </cell>
        </row>
        <row r="18604">
          <cell r="E18604">
            <v>0</v>
          </cell>
          <cell r="F18604">
            <v>0</v>
          </cell>
          <cell r="DN18604">
            <v>0</v>
          </cell>
        </row>
        <row r="18605">
          <cell r="E18605">
            <v>0</v>
          </cell>
          <cell r="F18605">
            <v>0</v>
          </cell>
          <cell r="DN18605">
            <v>0</v>
          </cell>
        </row>
        <row r="18606">
          <cell r="E18606">
            <v>0</v>
          </cell>
          <cell r="F18606">
            <v>0</v>
          </cell>
          <cell r="DN18606">
            <v>0</v>
          </cell>
        </row>
        <row r="18607">
          <cell r="E18607">
            <v>0</v>
          </cell>
          <cell r="F18607">
            <v>0</v>
          </cell>
          <cell r="DN18607">
            <v>0</v>
          </cell>
        </row>
        <row r="18608">
          <cell r="E18608">
            <v>0</v>
          </cell>
          <cell r="F18608">
            <v>0</v>
          </cell>
          <cell r="DN18608">
            <v>0</v>
          </cell>
        </row>
        <row r="18609">
          <cell r="E18609">
            <v>0</v>
          </cell>
          <cell r="F18609">
            <v>0</v>
          </cell>
          <cell r="DN18609">
            <v>0</v>
          </cell>
        </row>
        <row r="18610">
          <cell r="E18610">
            <v>0</v>
          </cell>
          <cell r="F18610">
            <v>0</v>
          </cell>
          <cell r="DN18610">
            <v>0</v>
          </cell>
        </row>
        <row r="18611">
          <cell r="E18611">
            <v>0</v>
          </cell>
          <cell r="F18611">
            <v>0</v>
          </cell>
          <cell r="DN18611">
            <v>0</v>
          </cell>
        </row>
        <row r="18612">
          <cell r="E18612">
            <v>0</v>
          </cell>
          <cell r="F18612">
            <v>0</v>
          </cell>
          <cell r="DN18612">
            <v>0</v>
          </cell>
        </row>
        <row r="18613">
          <cell r="E18613">
            <v>0</v>
          </cell>
          <cell r="F18613">
            <v>0</v>
          </cell>
          <cell r="DN18613">
            <v>0</v>
          </cell>
        </row>
        <row r="18614">
          <cell r="E18614">
            <v>0</v>
          </cell>
          <cell r="F18614">
            <v>0</v>
          </cell>
          <cell r="DN18614">
            <v>0</v>
          </cell>
        </row>
        <row r="18615">
          <cell r="E18615">
            <v>0</v>
          </cell>
          <cell r="F18615">
            <v>0</v>
          </cell>
          <cell r="DN18615">
            <v>0</v>
          </cell>
        </row>
        <row r="18616">
          <cell r="E18616">
            <v>0</v>
          </cell>
          <cell r="F18616">
            <v>0</v>
          </cell>
          <cell r="DN18616">
            <v>0</v>
          </cell>
        </row>
        <row r="18617">
          <cell r="E18617">
            <v>0</v>
          </cell>
          <cell r="F18617">
            <v>0</v>
          </cell>
          <cell r="DN18617">
            <v>0</v>
          </cell>
        </row>
        <row r="18618">
          <cell r="E18618">
            <v>0</v>
          </cell>
          <cell r="F18618">
            <v>0</v>
          </cell>
          <cell r="DN18618">
            <v>0</v>
          </cell>
        </row>
        <row r="18619">
          <cell r="E18619">
            <v>0</v>
          </cell>
          <cell r="F18619">
            <v>0</v>
          </cell>
          <cell r="DN18619">
            <v>0</v>
          </cell>
        </row>
        <row r="18620">
          <cell r="E18620">
            <v>0</v>
          </cell>
          <cell r="F18620">
            <v>0</v>
          </cell>
          <cell r="DN18620">
            <v>0</v>
          </cell>
        </row>
        <row r="18621">
          <cell r="E18621">
            <v>0</v>
          </cell>
          <cell r="F18621">
            <v>0</v>
          </cell>
          <cell r="DN18621">
            <v>0</v>
          </cell>
        </row>
        <row r="18622">
          <cell r="E18622">
            <v>0</v>
          </cell>
          <cell r="F18622">
            <v>0</v>
          </cell>
          <cell r="DN18622">
            <v>0</v>
          </cell>
        </row>
        <row r="18623">
          <cell r="E18623">
            <v>0</v>
          </cell>
          <cell r="F18623">
            <v>0</v>
          </cell>
          <cell r="DN18623">
            <v>0</v>
          </cell>
        </row>
        <row r="18624">
          <cell r="E18624">
            <v>0</v>
          </cell>
          <cell r="F18624">
            <v>0</v>
          </cell>
          <cell r="DN18624">
            <v>0</v>
          </cell>
        </row>
        <row r="18625">
          <cell r="E18625">
            <v>0</v>
          </cell>
          <cell r="F18625">
            <v>0</v>
          </cell>
          <cell r="DN18625">
            <v>0</v>
          </cell>
        </row>
        <row r="18626">
          <cell r="E18626">
            <v>0</v>
          </cell>
          <cell r="F18626">
            <v>0</v>
          </cell>
          <cell r="DN18626">
            <v>0</v>
          </cell>
        </row>
        <row r="18627">
          <cell r="E18627">
            <v>0</v>
          </cell>
          <cell r="F18627">
            <v>0</v>
          </cell>
          <cell r="DN18627">
            <v>0</v>
          </cell>
        </row>
        <row r="18628">
          <cell r="E18628">
            <v>0</v>
          </cell>
          <cell r="F18628">
            <v>0</v>
          </cell>
          <cell r="DN18628">
            <v>0</v>
          </cell>
        </row>
        <row r="18629">
          <cell r="E18629">
            <v>0</v>
          </cell>
          <cell r="F18629">
            <v>0</v>
          </cell>
          <cell r="DN18629">
            <v>0</v>
          </cell>
        </row>
        <row r="18630">
          <cell r="E18630">
            <v>0</v>
          </cell>
          <cell r="F18630">
            <v>0</v>
          </cell>
          <cell r="DN18630">
            <v>0</v>
          </cell>
        </row>
        <row r="18631">
          <cell r="E18631">
            <v>0</v>
          </cell>
          <cell r="F18631">
            <v>0</v>
          </cell>
          <cell r="DN18631">
            <v>0</v>
          </cell>
        </row>
        <row r="18632">
          <cell r="E18632">
            <v>0</v>
          </cell>
          <cell r="F18632">
            <v>0</v>
          </cell>
          <cell r="DN18632">
            <v>0</v>
          </cell>
        </row>
        <row r="18633">
          <cell r="E18633">
            <v>0</v>
          </cell>
          <cell r="F18633">
            <v>0</v>
          </cell>
          <cell r="DN18633">
            <v>0</v>
          </cell>
        </row>
        <row r="18634">
          <cell r="E18634">
            <v>0</v>
          </cell>
          <cell r="F18634">
            <v>0</v>
          </cell>
          <cell r="DN18634">
            <v>0</v>
          </cell>
        </row>
        <row r="18635">
          <cell r="E18635">
            <v>0</v>
          </cell>
          <cell r="F18635">
            <v>0</v>
          </cell>
          <cell r="DN18635">
            <v>0</v>
          </cell>
        </row>
        <row r="18636">
          <cell r="E18636">
            <v>0</v>
          </cell>
          <cell r="F18636">
            <v>0</v>
          </cell>
          <cell r="DN18636">
            <v>0</v>
          </cell>
        </row>
        <row r="18637">
          <cell r="E18637">
            <v>0</v>
          </cell>
          <cell r="F18637">
            <v>0</v>
          </cell>
          <cell r="DN18637">
            <v>0</v>
          </cell>
        </row>
        <row r="18638">
          <cell r="E18638">
            <v>0</v>
          </cell>
          <cell r="F18638">
            <v>0</v>
          </cell>
          <cell r="DN18638">
            <v>0</v>
          </cell>
        </row>
        <row r="18639">
          <cell r="E18639">
            <v>0</v>
          </cell>
          <cell r="F18639">
            <v>0</v>
          </cell>
          <cell r="DN18639">
            <v>0</v>
          </cell>
        </row>
        <row r="18640">
          <cell r="E18640">
            <v>0</v>
          </cell>
          <cell r="F18640">
            <v>0</v>
          </cell>
          <cell r="DN18640">
            <v>0</v>
          </cell>
        </row>
        <row r="18641">
          <cell r="E18641">
            <v>0</v>
          </cell>
          <cell r="F18641">
            <v>0</v>
          </cell>
          <cell r="DN18641">
            <v>0</v>
          </cell>
        </row>
        <row r="18642">
          <cell r="E18642">
            <v>0</v>
          </cell>
          <cell r="F18642">
            <v>0</v>
          </cell>
          <cell r="DN18642">
            <v>0</v>
          </cell>
        </row>
        <row r="18643">
          <cell r="E18643">
            <v>0</v>
          </cell>
          <cell r="F18643">
            <v>0</v>
          </cell>
          <cell r="DN18643">
            <v>0</v>
          </cell>
        </row>
        <row r="18644">
          <cell r="E18644">
            <v>0</v>
          </cell>
          <cell r="F18644">
            <v>0</v>
          </cell>
          <cell r="DN18644">
            <v>0</v>
          </cell>
        </row>
        <row r="18645">
          <cell r="E18645">
            <v>0</v>
          </cell>
          <cell r="F18645">
            <v>0</v>
          </cell>
          <cell r="DN18645">
            <v>0</v>
          </cell>
        </row>
        <row r="18646">
          <cell r="E18646">
            <v>0</v>
          </cell>
          <cell r="F18646">
            <v>0</v>
          </cell>
          <cell r="DN18646">
            <v>0</v>
          </cell>
        </row>
        <row r="18647">
          <cell r="E18647">
            <v>0</v>
          </cell>
          <cell r="F18647">
            <v>0</v>
          </cell>
          <cell r="DN18647">
            <v>0</v>
          </cell>
        </row>
        <row r="18648">
          <cell r="E18648">
            <v>0</v>
          </cell>
          <cell r="F18648">
            <v>0</v>
          </cell>
          <cell r="DN18648">
            <v>0</v>
          </cell>
        </row>
        <row r="18649">
          <cell r="E18649">
            <v>0</v>
          </cell>
          <cell r="F18649">
            <v>0</v>
          </cell>
          <cell r="DN18649">
            <v>0</v>
          </cell>
        </row>
        <row r="18650">
          <cell r="E18650">
            <v>0</v>
          </cell>
          <cell r="F18650">
            <v>0</v>
          </cell>
          <cell r="DN18650">
            <v>0</v>
          </cell>
        </row>
        <row r="18651">
          <cell r="E18651">
            <v>0</v>
          </cell>
          <cell r="F18651">
            <v>0</v>
          </cell>
          <cell r="DN18651">
            <v>0</v>
          </cell>
        </row>
        <row r="18652">
          <cell r="E18652">
            <v>0</v>
          </cell>
          <cell r="F18652">
            <v>0</v>
          </cell>
          <cell r="DN18652">
            <v>0</v>
          </cell>
        </row>
        <row r="18653">
          <cell r="E18653">
            <v>0</v>
          </cell>
          <cell r="F18653">
            <v>0</v>
          </cell>
          <cell r="DN18653">
            <v>0</v>
          </cell>
        </row>
        <row r="18654">
          <cell r="E18654">
            <v>0</v>
          </cell>
          <cell r="F18654">
            <v>0</v>
          </cell>
          <cell r="DN18654">
            <v>0</v>
          </cell>
        </row>
        <row r="18655">
          <cell r="E18655">
            <v>0</v>
          </cell>
          <cell r="F18655">
            <v>0</v>
          </cell>
          <cell r="DN18655">
            <v>0</v>
          </cell>
        </row>
        <row r="18656">
          <cell r="E18656">
            <v>0</v>
          </cell>
          <cell r="F18656">
            <v>0</v>
          </cell>
          <cell r="DN18656">
            <v>0</v>
          </cell>
        </row>
        <row r="18657">
          <cell r="E18657">
            <v>0</v>
          </cell>
          <cell r="F18657">
            <v>0</v>
          </cell>
          <cell r="DN18657">
            <v>0</v>
          </cell>
        </row>
        <row r="18658">
          <cell r="E18658">
            <v>0</v>
          </cell>
          <cell r="F18658">
            <v>0</v>
          </cell>
          <cell r="DN18658">
            <v>0</v>
          </cell>
        </row>
        <row r="18659">
          <cell r="E18659">
            <v>0</v>
          </cell>
          <cell r="F18659">
            <v>0</v>
          </cell>
          <cell r="DN18659">
            <v>0</v>
          </cell>
        </row>
        <row r="18660">
          <cell r="E18660">
            <v>0</v>
          </cell>
          <cell r="F18660">
            <v>0</v>
          </cell>
          <cell r="DN18660">
            <v>0</v>
          </cell>
        </row>
        <row r="18661">
          <cell r="E18661">
            <v>0</v>
          </cell>
          <cell r="F18661">
            <v>0</v>
          </cell>
          <cell r="DN18661">
            <v>0</v>
          </cell>
        </row>
        <row r="18662">
          <cell r="E18662">
            <v>0</v>
          </cell>
          <cell r="F18662">
            <v>0</v>
          </cell>
          <cell r="DN18662">
            <v>0</v>
          </cell>
        </row>
        <row r="18663">
          <cell r="E18663">
            <v>0</v>
          </cell>
          <cell r="F18663">
            <v>0</v>
          </cell>
          <cell r="DN18663">
            <v>0</v>
          </cell>
        </row>
        <row r="18664">
          <cell r="E18664">
            <v>0</v>
          </cell>
          <cell r="F18664">
            <v>0</v>
          </cell>
          <cell r="DN18664">
            <v>0</v>
          </cell>
        </row>
        <row r="18665">
          <cell r="E18665">
            <v>0</v>
          </cell>
          <cell r="F18665">
            <v>0</v>
          </cell>
          <cell r="DN18665">
            <v>0</v>
          </cell>
        </row>
        <row r="18666">
          <cell r="E18666">
            <v>0</v>
          </cell>
          <cell r="F18666">
            <v>0</v>
          </cell>
          <cell r="DN18666">
            <v>0</v>
          </cell>
        </row>
        <row r="18667">
          <cell r="E18667">
            <v>0</v>
          </cell>
          <cell r="F18667">
            <v>0</v>
          </cell>
          <cell r="DN18667">
            <v>0</v>
          </cell>
        </row>
        <row r="18668">
          <cell r="E18668">
            <v>0</v>
          </cell>
          <cell r="F18668">
            <v>0</v>
          </cell>
          <cell r="DN18668">
            <v>0</v>
          </cell>
        </row>
        <row r="18669">
          <cell r="E18669">
            <v>0</v>
          </cell>
          <cell r="F18669">
            <v>0</v>
          </cell>
          <cell r="DN18669">
            <v>0</v>
          </cell>
        </row>
        <row r="18670">
          <cell r="E18670">
            <v>0</v>
          </cell>
          <cell r="F18670">
            <v>0</v>
          </cell>
          <cell r="DN18670">
            <v>0</v>
          </cell>
        </row>
        <row r="18671">
          <cell r="E18671">
            <v>0</v>
          </cell>
          <cell r="F18671">
            <v>0</v>
          </cell>
          <cell r="DN18671">
            <v>0</v>
          </cell>
        </row>
        <row r="18672">
          <cell r="E18672">
            <v>0</v>
          </cell>
          <cell r="F18672">
            <v>0</v>
          </cell>
          <cell r="DN18672">
            <v>0</v>
          </cell>
        </row>
        <row r="18673">
          <cell r="E18673">
            <v>0</v>
          </cell>
          <cell r="F18673">
            <v>0</v>
          </cell>
          <cell r="DN18673">
            <v>0</v>
          </cell>
        </row>
        <row r="18674">
          <cell r="E18674">
            <v>0</v>
          </cell>
          <cell r="F18674">
            <v>0</v>
          </cell>
          <cell r="DN18674">
            <v>0</v>
          </cell>
        </row>
        <row r="18675">
          <cell r="E18675">
            <v>0</v>
          </cell>
          <cell r="F18675">
            <v>0</v>
          </cell>
          <cell r="DN18675">
            <v>0</v>
          </cell>
        </row>
        <row r="18676">
          <cell r="E18676">
            <v>0</v>
          </cell>
          <cell r="F18676">
            <v>0</v>
          </cell>
          <cell r="DN18676">
            <v>0</v>
          </cell>
        </row>
        <row r="18677">
          <cell r="E18677">
            <v>0</v>
          </cell>
          <cell r="F18677">
            <v>0</v>
          </cell>
          <cell r="DN18677">
            <v>0</v>
          </cell>
        </row>
        <row r="18678">
          <cell r="E18678">
            <v>0</v>
          </cell>
          <cell r="F18678">
            <v>0</v>
          </cell>
          <cell r="DN18678">
            <v>0</v>
          </cell>
        </row>
        <row r="18679">
          <cell r="E18679">
            <v>0</v>
          </cell>
          <cell r="F18679">
            <v>0</v>
          </cell>
          <cell r="DN18679">
            <v>0</v>
          </cell>
        </row>
        <row r="18680">
          <cell r="E18680">
            <v>0</v>
          </cell>
          <cell r="F18680">
            <v>0</v>
          </cell>
          <cell r="DN18680">
            <v>0</v>
          </cell>
        </row>
        <row r="18681">
          <cell r="E18681">
            <v>0</v>
          </cell>
          <cell r="F18681">
            <v>0</v>
          </cell>
          <cell r="DN18681">
            <v>0</v>
          </cell>
        </row>
        <row r="18682">
          <cell r="E18682">
            <v>0</v>
          </cell>
          <cell r="F18682">
            <v>0</v>
          </cell>
          <cell r="DN18682">
            <v>0</v>
          </cell>
        </row>
        <row r="18683">
          <cell r="E18683">
            <v>0</v>
          </cell>
          <cell r="F18683">
            <v>0</v>
          </cell>
          <cell r="DN18683">
            <v>0</v>
          </cell>
        </row>
        <row r="18684">
          <cell r="E18684">
            <v>0</v>
          </cell>
          <cell r="F18684">
            <v>0</v>
          </cell>
          <cell r="DN18684">
            <v>0</v>
          </cell>
        </row>
        <row r="18685">
          <cell r="E18685">
            <v>0</v>
          </cell>
          <cell r="F18685">
            <v>0</v>
          </cell>
          <cell r="DN18685">
            <v>0</v>
          </cell>
        </row>
        <row r="18686">
          <cell r="E18686">
            <v>0</v>
          </cell>
          <cell r="F18686">
            <v>0</v>
          </cell>
          <cell r="DN18686">
            <v>0</v>
          </cell>
        </row>
        <row r="18687">
          <cell r="E18687">
            <v>0</v>
          </cell>
          <cell r="F18687">
            <v>0</v>
          </cell>
          <cell r="DN18687">
            <v>0</v>
          </cell>
        </row>
        <row r="18688">
          <cell r="E18688">
            <v>0</v>
          </cell>
          <cell r="F18688">
            <v>0</v>
          </cell>
          <cell r="DN18688">
            <v>0</v>
          </cell>
        </row>
        <row r="18689">
          <cell r="E18689">
            <v>0</v>
          </cell>
          <cell r="F18689">
            <v>0</v>
          </cell>
          <cell r="DN18689">
            <v>0</v>
          </cell>
        </row>
        <row r="18690">
          <cell r="E18690">
            <v>0</v>
          </cell>
          <cell r="F18690">
            <v>0</v>
          </cell>
          <cell r="DN18690">
            <v>0</v>
          </cell>
        </row>
        <row r="18691">
          <cell r="E18691">
            <v>0</v>
          </cell>
          <cell r="F18691">
            <v>0</v>
          </cell>
          <cell r="DN18691">
            <v>0</v>
          </cell>
        </row>
        <row r="18692">
          <cell r="E18692">
            <v>0</v>
          </cell>
          <cell r="F18692">
            <v>0</v>
          </cell>
          <cell r="DN18692">
            <v>0</v>
          </cell>
        </row>
        <row r="18693">
          <cell r="E18693">
            <v>0</v>
          </cell>
          <cell r="F18693">
            <v>0</v>
          </cell>
          <cell r="DN18693">
            <v>0</v>
          </cell>
        </row>
        <row r="18694">
          <cell r="E18694">
            <v>0</v>
          </cell>
          <cell r="F18694">
            <v>0</v>
          </cell>
          <cell r="DN18694">
            <v>0</v>
          </cell>
        </row>
        <row r="18695">
          <cell r="E18695">
            <v>0</v>
          </cell>
          <cell r="F18695">
            <v>0</v>
          </cell>
          <cell r="DN18695">
            <v>0</v>
          </cell>
        </row>
        <row r="18696">
          <cell r="E18696">
            <v>0</v>
          </cell>
          <cell r="F18696">
            <v>0</v>
          </cell>
          <cell r="DN18696">
            <v>0</v>
          </cell>
        </row>
        <row r="18697">
          <cell r="E18697">
            <v>0</v>
          </cell>
          <cell r="F18697">
            <v>0</v>
          </cell>
          <cell r="DN18697">
            <v>0</v>
          </cell>
        </row>
        <row r="18698">
          <cell r="E18698">
            <v>0</v>
          </cell>
          <cell r="F18698">
            <v>0</v>
          </cell>
          <cell r="DN18698">
            <v>0</v>
          </cell>
        </row>
        <row r="18699">
          <cell r="E18699">
            <v>0</v>
          </cell>
          <cell r="F18699">
            <v>0</v>
          </cell>
          <cell r="DN18699">
            <v>0</v>
          </cell>
        </row>
        <row r="18700">
          <cell r="E18700">
            <v>0</v>
          </cell>
          <cell r="F18700">
            <v>0</v>
          </cell>
          <cell r="DN18700">
            <v>0</v>
          </cell>
        </row>
        <row r="18701">
          <cell r="E18701">
            <v>0</v>
          </cell>
          <cell r="F18701">
            <v>0</v>
          </cell>
          <cell r="DN18701">
            <v>0</v>
          </cell>
        </row>
        <row r="18702">
          <cell r="E18702">
            <v>0</v>
          </cell>
          <cell r="F18702">
            <v>0</v>
          </cell>
          <cell r="DN18702">
            <v>0</v>
          </cell>
        </row>
        <row r="18703">
          <cell r="E18703">
            <v>0</v>
          </cell>
          <cell r="F18703">
            <v>0</v>
          </cell>
          <cell r="DN18703">
            <v>0</v>
          </cell>
        </row>
        <row r="18704">
          <cell r="E18704">
            <v>0</v>
          </cell>
          <cell r="F18704">
            <v>0</v>
          </cell>
          <cell r="DN18704">
            <v>0</v>
          </cell>
        </row>
        <row r="18705">
          <cell r="E18705">
            <v>0</v>
          </cell>
          <cell r="F18705">
            <v>0</v>
          </cell>
          <cell r="DN18705">
            <v>0</v>
          </cell>
        </row>
        <row r="18706">
          <cell r="E18706">
            <v>0</v>
          </cell>
          <cell r="F18706">
            <v>0</v>
          </cell>
          <cell r="DN18706">
            <v>0</v>
          </cell>
        </row>
        <row r="18707">
          <cell r="E18707">
            <v>0</v>
          </cell>
          <cell r="F18707">
            <v>0</v>
          </cell>
          <cell r="DN18707">
            <v>0</v>
          </cell>
        </row>
        <row r="18708">
          <cell r="E18708">
            <v>0</v>
          </cell>
          <cell r="F18708">
            <v>0</v>
          </cell>
          <cell r="DN18708">
            <v>0</v>
          </cell>
        </row>
        <row r="18709">
          <cell r="E18709">
            <v>0</v>
          </cell>
          <cell r="F18709">
            <v>0</v>
          </cell>
          <cell r="DN18709">
            <v>0</v>
          </cell>
        </row>
        <row r="18710">
          <cell r="E18710">
            <v>0</v>
          </cell>
          <cell r="F18710">
            <v>0</v>
          </cell>
          <cell r="DN18710">
            <v>0</v>
          </cell>
        </row>
        <row r="18711">
          <cell r="E18711">
            <v>0</v>
          </cell>
          <cell r="F18711">
            <v>0</v>
          </cell>
          <cell r="DN18711">
            <v>0</v>
          </cell>
        </row>
        <row r="18712">
          <cell r="E18712">
            <v>0</v>
          </cell>
          <cell r="F18712">
            <v>0</v>
          </cell>
          <cell r="DN18712">
            <v>0</v>
          </cell>
        </row>
        <row r="18713">
          <cell r="E18713">
            <v>0</v>
          </cell>
          <cell r="F18713">
            <v>0</v>
          </cell>
          <cell r="DN18713">
            <v>0</v>
          </cell>
        </row>
        <row r="18714">
          <cell r="E18714">
            <v>0</v>
          </cell>
          <cell r="F18714">
            <v>0</v>
          </cell>
          <cell r="DN18714">
            <v>0</v>
          </cell>
        </row>
        <row r="18715">
          <cell r="E18715">
            <v>0</v>
          </cell>
          <cell r="F18715">
            <v>0</v>
          </cell>
          <cell r="DN18715">
            <v>0</v>
          </cell>
        </row>
        <row r="18716">
          <cell r="E18716">
            <v>0</v>
          </cell>
          <cell r="F18716">
            <v>0</v>
          </cell>
          <cell r="DN18716">
            <v>0</v>
          </cell>
        </row>
        <row r="18717">
          <cell r="E18717">
            <v>0</v>
          </cell>
          <cell r="F18717">
            <v>0</v>
          </cell>
          <cell r="DN18717">
            <v>0</v>
          </cell>
        </row>
        <row r="18718">
          <cell r="E18718">
            <v>0</v>
          </cell>
          <cell r="F18718">
            <v>0</v>
          </cell>
          <cell r="DN18718">
            <v>0</v>
          </cell>
        </row>
        <row r="18719">
          <cell r="E18719">
            <v>0</v>
          </cell>
          <cell r="F18719">
            <v>0</v>
          </cell>
          <cell r="DN18719">
            <v>0</v>
          </cell>
        </row>
        <row r="18720">
          <cell r="E18720">
            <v>0</v>
          </cell>
          <cell r="F18720">
            <v>0</v>
          </cell>
          <cell r="DN18720">
            <v>0</v>
          </cell>
        </row>
        <row r="18721">
          <cell r="E18721">
            <v>0</v>
          </cell>
          <cell r="F18721">
            <v>0</v>
          </cell>
          <cell r="DN18721">
            <v>0</v>
          </cell>
        </row>
        <row r="18722">
          <cell r="E18722">
            <v>0</v>
          </cell>
          <cell r="F18722">
            <v>0</v>
          </cell>
          <cell r="DN18722">
            <v>0</v>
          </cell>
        </row>
        <row r="18723">
          <cell r="E18723">
            <v>0</v>
          </cell>
          <cell r="F18723">
            <v>0</v>
          </cell>
          <cell r="DN18723">
            <v>0</v>
          </cell>
        </row>
        <row r="18724">
          <cell r="E18724">
            <v>0</v>
          </cell>
          <cell r="F18724">
            <v>0</v>
          </cell>
          <cell r="DN18724">
            <v>0</v>
          </cell>
        </row>
        <row r="18725">
          <cell r="E18725">
            <v>0</v>
          </cell>
          <cell r="F18725">
            <v>0</v>
          </cell>
          <cell r="DN18725">
            <v>0</v>
          </cell>
        </row>
        <row r="18726">
          <cell r="E18726">
            <v>0</v>
          </cell>
          <cell r="F18726">
            <v>0</v>
          </cell>
          <cell r="DN18726">
            <v>0</v>
          </cell>
        </row>
        <row r="18727">
          <cell r="E18727">
            <v>0</v>
          </cell>
          <cell r="F18727">
            <v>0</v>
          </cell>
          <cell r="DN18727">
            <v>0</v>
          </cell>
        </row>
        <row r="18728">
          <cell r="E18728">
            <v>0</v>
          </cell>
          <cell r="F18728">
            <v>0</v>
          </cell>
          <cell r="DN18728">
            <v>0</v>
          </cell>
        </row>
        <row r="18729">
          <cell r="E18729">
            <v>0</v>
          </cell>
          <cell r="F18729">
            <v>0</v>
          </cell>
          <cell r="DN18729">
            <v>0</v>
          </cell>
        </row>
        <row r="18730">
          <cell r="E18730">
            <v>0</v>
          </cell>
          <cell r="F18730">
            <v>0</v>
          </cell>
          <cell r="DN18730">
            <v>0</v>
          </cell>
        </row>
        <row r="18731">
          <cell r="E18731">
            <v>0</v>
          </cell>
          <cell r="F18731">
            <v>0</v>
          </cell>
          <cell r="DN18731">
            <v>0</v>
          </cell>
        </row>
        <row r="18732">
          <cell r="E18732">
            <v>0</v>
          </cell>
          <cell r="F18732">
            <v>0</v>
          </cell>
          <cell r="DN18732">
            <v>0</v>
          </cell>
        </row>
        <row r="18733">
          <cell r="E18733">
            <v>0</v>
          </cell>
          <cell r="F18733">
            <v>0</v>
          </cell>
          <cell r="DN18733">
            <v>0</v>
          </cell>
        </row>
        <row r="18734">
          <cell r="E18734">
            <v>0</v>
          </cell>
          <cell r="F18734">
            <v>0</v>
          </cell>
          <cell r="DN18734">
            <v>0</v>
          </cell>
        </row>
        <row r="18735">
          <cell r="E18735">
            <v>0</v>
          </cell>
          <cell r="F18735">
            <v>0</v>
          </cell>
          <cell r="DN18735">
            <v>0</v>
          </cell>
        </row>
        <row r="18736">
          <cell r="E18736">
            <v>0</v>
          </cell>
          <cell r="F18736">
            <v>0</v>
          </cell>
          <cell r="DN18736">
            <v>0</v>
          </cell>
        </row>
        <row r="18737">
          <cell r="E18737">
            <v>0</v>
          </cell>
          <cell r="F18737">
            <v>0</v>
          </cell>
          <cell r="DN18737">
            <v>0</v>
          </cell>
        </row>
        <row r="18738">
          <cell r="E18738">
            <v>0</v>
          </cell>
          <cell r="F18738">
            <v>0</v>
          </cell>
          <cell r="DN18738">
            <v>0</v>
          </cell>
        </row>
        <row r="18739">
          <cell r="E18739">
            <v>0</v>
          </cell>
          <cell r="F18739">
            <v>0</v>
          </cell>
          <cell r="DN18739">
            <v>0</v>
          </cell>
        </row>
        <row r="18740">
          <cell r="E18740">
            <v>0</v>
          </cell>
          <cell r="F18740">
            <v>0</v>
          </cell>
          <cell r="DN18740">
            <v>0</v>
          </cell>
        </row>
        <row r="18741">
          <cell r="E18741">
            <v>0</v>
          </cell>
          <cell r="F18741">
            <v>0</v>
          </cell>
          <cell r="DN18741">
            <v>0</v>
          </cell>
        </row>
        <row r="18742">
          <cell r="E18742">
            <v>0</v>
          </cell>
          <cell r="F18742">
            <v>0</v>
          </cell>
          <cell r="DN18742">
            <v>0</v>
          </cell>
        </row>
        <row r="18743">
          <cell r="E18743">
            <v>0</v>
          </cell>
          <cell r="F18743">
            <v>0</v>
          </cell>
          <cell r="DN18743">
            <v>0</v>
          </cell>
        </row>
        <row r="18744">
          <cell r="E18744">
            <v>0</v>
          </cell>
          <cell r="F18744">
            <v>0</v>
          </cell>
          <cell r="DN18744">
            <v>0</v>
          </cell>
        </row>
        <row r="18745">
          <cell r="E18745">
            <v>0</v>
          </cell>
          <cell r="F18745">
            <v>0</v>
          </cell>
          <cell r="DN18745">
            <v>0</v>
          </cell>
        </row>
        <row r="18746">
          <cell r="E18746">
            <v>0</v>
          </cell>
          <cell r="F18746">
            <v>0</v>
          </cell>
          <cell r="DN18746">
            <v>0</v>
          </cell>
        </row>
        <row r="18747">
          <cell r="E18747">
            <v>0</v>
          </cell>
          <cell r="F18747">
            <v>0</v>
          </cell>
          <cell r="DN18747">
            <v>0</v>
          </cell>
        </row>
        <row r="18748">
          <cell r="E18748">
            <v>0</v>
          </cell>
          <cell r="F18748">
            <v>0</v>
          </cell>
          <cell r="DN18748">
            <v>0</v>
          </cell>
        </row>
        <row r="18749">
          <cell r="E18749">
            <v>0</v>
          </cell>
          <cell r="F18749">
            <v>0</v>
          </cell>
          <cell r="DN18749">
            <v>0</v>
          </cell>
        </row>
        <row r="18750">
          <cell r="E18750">
            <v>0</v>
          </cell>
          <cell r="F18750">
            <v>0</v>
          </cell>
          <cell r="DN18750">
            <v>0</v>
          </cell>
        </row>
        <row r="18751">
          <cell r="E18751">
            <v>0</v>
          </cell>
          <cell r="F18751">
            <v>0</v>
          </cell>
          <cell r="DN18751">
            <v>0</v>
          </cell>
        </row>
        <row r="18752">
          <cell r="E18752">
            <v>0</v>
          </cell>
          <cell r="F18752">
            <v>0</v>
          </cell>
          <cell r="DN18752">
            <v>0</v>
          </cell>
        </row>
        <row r="18753">
          <cell r="E18753">
            <v>0</v>
          </cell>
          <cell r="F18753">
            <v>0</v>
          </cell>
          <cell r="DN18753">
            <v>0</v>
          </cell>
        </row>
        <row r="18754">
          <cell r="E18754">
            <v>0</v>
          </cell>
          <cell r="F18754">
            <v>0</v>
          </cell>
          <cell r="DN18754">
            <v>0</v>
          </cell>
        </row>
        <row r="18755">
          <cell r="E18755">
            <v>0</v>
          </cell>
          <cell r="F18755">
            <v>0</v>
          </cell>
          <cell r="DN18755">
            <v>0</v>
          </cell>
        </row>
        <row r="18756">
          <cell r="E18756">
            <v>0</v>
          </cell>
          <cell r="F18756">
            <v>0</v>
          </cell>
          <cell r="DN18756">
            <v>0</v>
          </cell>
        </row>
        <row r="18757">
          <cell r="E18757">
            <v>0</v>
          </cell>
          <cell r="F18757">
            <v>0</v>
          </cell>
          <cell r="DN18757">
            <v>0</v>
          </cell>
        </row>
        <row r="18758">
          <cell r="E18758">
            <v>0</v>
          </cell>
          <cell r="F18758">
            <v>0</v>
          </cell>
          <cell r="DN18758">
            <v>0</v>
          </cell>
        </row>
        <row r="18759">
          <cell r="E18759">
            <v>0</v>
          </cell>
          <cell r="F18759">
            <v>0</v>
          </cell>
          <cell r="DN18759">
            <v>0</v>
          </cell>
        </row>
        <row r="18760">
          <cell r="E18760">
            <v>0</v>
          </cell>
          <cell r="F18760">
            <v>0</v>
          </cell>
          <cell r="DN18760">
            <v>0</v>
          </cell>
        </row>
        <row r="18761">
          <cell r="E18761">
            <v>0</v>
          </cell>
          <cell r="F18761">
            <v>0</v>
          </cell>
          <cell r="DN18761">
            <v>0</v>
          </cell>
        </row>
        <row r="18762">
          <cell r="E18762">
            <v>0</v>
          </cell>
          <cell r="F18762">
            <v>0</v>
          </cell>
          <cell r="DN18762">
            <v>0</v>
          </cell>
        </row>
        <row r="18763">
          <cell r="E18763">
            <v>0</v>
          </cell>
          <cell r="F18763">
            <v>0</v>
          </cell>
          <cell r="DN18763">
            <v>0</v>
          </cell>
        </row>
        <row r="18764">
          <cell r="E18764">
            <v>0</v>
          </cell>
          <cell r="F18764">
            <v>0</v>
          </cell>
          <cell r="DN18764">
            <v>0</v>
          </cell>
        </row>
        <row r="18765">
          <cell r="E18765">
            <v>0</v>
          </cell>
          <cell r="F18765">
            <v>0</v>
          </cell>
          <cell r="DN18765">
            <v>0</v>
          </cell>
        </row>
        <row r="18766">
          <cell r="E18766">
            <v>0</v>
          </cell>
          <cell r="F18766">
            <v>0</v>
          </cell>
          <cell r="DN18766">
            <v>0</v>
          </cell>
        </row>
        <row r="18767">
          <cell r="E18767">
            <v>0</v>
          </cell>
          <cell r="F18767">
            <v>0</v>
          </cell>
          <cell r="DN18767">
            <v>0</v>
          </cell>
        </row>
        <row r="18768">
          <cell r="E18768">
            <v>0</v>
          </cell>
          <cell r="F18768">
            <v>0</v>
          </cell>
          <cell r="DN18768">
            <v>0</v>
          </cell>
        </row>
        <row r="18769">
          <cell r="E18769">
            <v>0</v>
          </cell>
          <cell r="F18769">
            <v>0</v>
          </cell>
          <cell r="DN18769">
            <v>0</v>
          </cell>
        </row>
        <row r="18770">
          <cell r="E18770">
            <v>0</v>
          </cell>
          <cell r="F18770">
            <v>0</v>
          </cell>
          <cell r="DN18770">
            <v>0</v>
          </cell>
        </row>
        <row r="18771">
          <cell r="E18771">
            <v>0</v>
          </cell>
          <cell r="F18771">
            <v>0</v>
          </cell>
          <cell r="DN18771">
            <v>0</v>
          </cell>
        </row>
        <row r="18772">
          <cell r="E18772">
            <v>0</v>
          </cell>
          <cell r="F18772">
            <v>0</v>
          </cell>
          <cell r="DN18772">
            <v>0</v>
          </cell>
        </row>
        <row r="18773">
          <cell r="E18773">
            <v>0</v>
          </cell>
          <cell r="F18773">
            <v>0</v>
          </cell>
          <cell r="DN18773">
            <v>0</v>
          </cell>
        </row>
        <row r="18774">
          <cell r="E18774">
            <v>0</v>
          </cell>
          <cell r="F18774">
            <v>0</v>
          </cell>
          <cell r="DN18774">
            <v>0</v>
          </cell>
        </row>
        <row r="18775">
          <cell r="E18775">
            <v>0</v>
          </cell>
          <cell r="F18775">
            <v>0</v>
          </cell>
          <cell r="DN18775">
            <v>0</v>
          </cell>
        </row>
        <row r="18776">
          <cell r="E18776">
            <v>0</v>
          </cell>
          <cell r="F18776">
            <v>0</v>
          </cell>
          <cell r="DN18776">
            <v>0</v>
          </cell>
        </row>
        <row r="18777">
          <cell r="E18777">
            <v>0</v>
          </cell>
          <cell r="F18777">
            <v>0</v>
          </cell>
          <cell r="DN18777">
            <v>0</v>
          </cell>
        </row>
        <row r="18778">
          <cell r="E18778">
            <v>0</v>
          </cell>
          <cell r="F18778">
            <v>0</v>
          </cell>
          <cell r="DN18778">
            <v>0</v>
          </cell>
        </row>
        <row r="18779">
          <cell r="E18779">
            <v>0</v>
          </cell>
          <cell r="F18779">
            <v>0</v>
          </cell>
          <cell r="DN18779">
            <v>0</v>
          </cell>
        </row>
        <row r="18780">
          <cell r="E18780">
            <v>0</v>
          </cell>
          <cell r="F18780">
            <v>0</v>
          </cell>
          <cell r="DN18780">
            <v>0</v>
          </cell>
        </row>
        <row r="18781">
          <cell r="E18781">
            <v>0</v>
          </cell>
          <cell r="F18781">
            <v>0</v>
          </cell>
          <cell r="DN18781">
            <v>0</v>
          </cell>
        </row>
        <row r="18782">
          <cell r="E18782">
            <v>0</v>
          </cell>
          <cell r="F18782">
            <v>0</v>
          </cell>
          <cell r="DN18782">
            <v>0</v>
          </cell>
        </row>
        <row r="18783">
          <cell r="E18783">
            <v>0</v>
          </cell>
          <cell r="F18783">
            <v>0</v>
          </cell>
          <cell r="DN18783">
            <v>0</v>
          </cell>
        </row>
        <row r="18784">
          <cell r="E18784">
            <v>0</v>
          </cell>
          <cell r="F18784">
            <v>0</v>
          </cell>
          <cell r="DN18784">
            <v>0</v>
          </cell>
        </row>
        <row r="18785">
          <cell r="E18785">
            <v>0</v>
          </cell>
          <cell r="F18785">
            <v>0</v>
          </cell>
          <cell r="DN18785">
            <v>0</v>
          </cell>
        </row>
        <row r="18786">
          <cell r="E18786">
            <v>0</v>
          </cell>
          <cell r="F18786">
            <v>0</v>
          </cell>
          <cell r="DN18786">
            <v>0</v>
          </cell>
        </row>
        <row r="18787">
          <cell r="E18787">
            <v>0</v>
          </cell>
          <cell r="F18787">
            <v>0</v>
          </cell>
          <cell r="DN18787">
            <v>0</v>
          </cell>
        </row>
        <row r="18788">
          <cell r="E18788">
            <v>0</v>
          </cell>
          <cell r="F18788">
            <v>0</v>
          </cell>
          <cell r="DN18788">
            <v>0</v>
          </cell>
        </row>
        <row r="18789">
          <cell r="E18789">
            <v>0</v>
          </cell>
          <cell r="F18789">
            <v>0</v>
          </cell>
          <cell r="DN18789">
            <v>0</v>
          </cell>
        </row>
        <row r="18790">
          <cell r="E18790">
            <v>0</v>
          </cell>
          <cell r="F18790">
            <v>0</v>
          </cell>
          <cell r="DN18790">
            <v>0</v>
          </cell>
        </row>
        <row r="18791">
          <cell r="E18791">
            <v>0</v>
          </cell>
          <cell r="F18791">
            <v>0</v>
          </cell>
          <cell r="DN18791">
            <v>0</v>
          </cell>
        </row>
        <row r="18792">
          <cell r="E18792">
            <v>0</v>
          </cell>
          <cell r="F18792">
            <v>0</v>
          </cell>
          <cell r="DN18792">
            <v>0</v>
          </cell>
        </row>
        <row r="18793">
          <cell r="E18793">
            <v>0</v>
          </cell>
          <cell r="F18793">
            <v>0</v>
          </cell>
          <cell r="DN18793">
            <v>0</v>
          </cell>
        </row>
        <row r="18794">
          <cell r="E18794">
            <v>0</v>
          </cell>
          <cell r="F18794">
            <v>0</v>
          </cell>
          <cell r="DN18794">
            <v>0</v>
          </cell>
        </row>
        <row r="18795">
          <cell r="E18795">
            <v>0</v>
          </cell>
          <cell r="F18795">
            <v>0</v>
          </cell>
          <cell r="DN18795">
            <v>0</v>
          </cell>
        </row>
        <row r="18796">
          <cell r="E18796">
            <v>0</v>
          </cell>
          <cell r="F18796">
            <v>0</v>
          </cell>
          <cell r="DN18796">
            <v>0</v>
          </cell>
        </row>
        <row r="18797">
          <cell r="E18797">
            <v>0</v>
          </cell>
          <cell r="F18797">
            <v>0</v>
          </cell>
          <cell r="DN18797">
            <v>0</v>
          </cell>
        </row>
        <row r="18798">
          <cell r="E18798">
            <v>0</v>
          </cell>
          <cell r="F18798">
            <v>0</v>
          </cell>
          <cell r="DN18798">
            <v>0</v>
          </cell>
        </row>
        <row r="18799">
          <cell r="E18799">
            <v>0</v>
          </cell>
          <cell r="F18799">
            <v>0</v>
          </cell>
          <cell r="DN18799">
            <v>0</v>
          </cell>
        </row>
        <row r="18800">
          <cell r="E18800">
            <v>0</v>
          </cell>
          <cell r="F18800">
            <v>0</v>
          </cell>
          <cell r="DN18800">
            <v>0</v>
          </cell>
        </row>
        <row r="18801">
          <cell r="E18801">
            <v>0</v>
          </cell>
          <cell r="F18801">
            <v>0</v>
          </cell>
          <cell r="DN18801">
            <v>0</v>
          </cell>
        </row>
        <row r="18802">
          <cell r="E18802">
            <v>0</v>
          </cell>
          <cell r="F18802">
            <v>0</v>
          </cell>
          <cell r="DN18802">
            <v>0</v>
          </cell>
        </row>
        <row r="18803">
          <cell r="E18803">
            <v>0</v>
          </cell>
          <cell r="F18803">
            <v>0</v>
          </cell>
          <cell r="DN18803">
            <v>0</v>
          </cell>
        </row>
        <row r="18804">
          <cell r="E18804">
            <v>0</v>
          </cell>
          <cell r="F18804">
            <v>0</v>
          </cell>
          <cell r="DN18804">
            <v>0</v>
          </cell>
        </row>
        <row r="18805">
          <cell r="E18805">
            <v>0</v>
          </cell>
          <cell r="F18805">
            <v>0</v>
          </cell>
          <cell r="DN18805">
            <v>0</v>
          </cell>
        </row>
        <row r="18806">
          <cell r="E18806">
            <v>0</v>
          </cell>
          <cell r="F18806">
            <v>0</v>
          </cell>
          <cell r="DN18806">
            <v>0</v>
          </cell>
        </row>
        <row r="18807">
          <cell r="E18807">
            <v>0</v>
          </cell>
          <cell r="F18807">
            <v>0</v>
          </cell>
          <cell r="DN18807">
            <v>0</v>
          </cell>
        </row>
        <row r="18808">
          <cell r="E18808">
            <v>0</v>
          </cell>
          <cell r="F18808">
            <v>0</v>
          </cell>
          <cell r="DN18808">
            <v>0</v>
          </cell>
        </row>
        <row r="18809">
          <cell r="E18809">
            <v>0</v>
          </cell>
          <cell r="F18809">
            <v>0</v>
          </cell>
          <cell r="DN18809">
            <v>0</v>
          </cell>
        </row>
        <row r="18810">
          <cell r="E18810">
            <v>0</v>
          </cell>
          <cell r="F18810">
            <v>0</v>
          </cell>
          <cell r="DN18810">
            <v>0</v>
          </cell>
        </row>
        <row r="18811">
          <cell r="E18811">
            <v>0</v>
          </cell>
          <cell r="F18811">
            <v>0</v>
          </cell>
          <cell r="DN18811">
            <v>0</v>
          </cell>
        </row>
        <row r="18812">
          <cell r="E18812">
            <v>0</v>
          </cell>
          <cell r="F18812">
            <v>0</v>
          </cell>
          <cell r="DN18812">
            <v>0</v>
          </cell>
        </row>
        <row r="18813">
          <cell r="E18813">
            <v>0</v>
          </cell>
          <cell r="F18813">
            <v>0</v>
          </cell>
          <cell r="DN18813">
            <v>0</v>
          </cell>
        </row>
        <row r="18814">
          <cell r="E18814">
            <v>0</v>
          </cell>
          <cell r="F18814">
            <v>0</v>
          </cell>
          <cell r="DN18814">
            <v>0</v>
          </cell>
        </row>
        <row r="18815">
          <cell r="E18815">
            <v>0</v>
          </cell>
          <cell r="F18815">
            <v>0</v>
          </cell>
          <cell r="DN18815">
            <v>0</v>
          </cell>
        </row>
        <row r="18816">
          <cell r="E18816">
            <v>0</v>
          </cell>
          <cell r="F18816">
            <v>0</v>
          </cell>
          <cell r="DN18816">
            <v>0</v>
          </cell>
        </row>
        <row r="18817">
          <cell r="E18817">
            <v>0</v>
          </cell>
          <cell r="F18817">
            <v>0</v>
          </cell>
          <cell r="DN18817">
            <v>0</v>
          </cell>
        </row>
        <row r="18818">
          <cell r="E18818">
            <v>0</v>
          </cell>
          <cell r="F18818">
            <v>0</v>
          </cell>
          <cell r="DN18818">
            <v>0</v>
          </cell>
        </row>
        <row r="18819">
          <cell r="E18819">
            <v>0</v>
          </cell>
          <cell r="F18819">
            <v>0</v>
          </cell>
          <cell r="DN18819">
            <v>0</v>
          </cell>
        </row>
        <row r="18820">
          <cell r="E18820">
            <v>0</v>
          </cell>
          <cell r="F18820">
            <v>0</v>
          </cell>
          <cell r="DN18820">
            <v>0</v>
          </cell>
        </row>
        <row r="18821">
          <cell r="E18821">
            <v>0</v>
          </cell>
          <cell r="F18821">
            <v>0</v>
          </cell>
          <cell r="DN18821">
            <v>0</v>
          </cell>
        </row>
        <row r="18822">
          <cell r="E18822">
            <v>0</v>
          </cell>
          <cell r="F18822">
            <v>0</v>
          </cell>
          <cell r="DN18822">
            <v>0</v>
          </cell>
        </row>
        <row r="18823">
          <cell r="E18823">
            <v>0</v>
          </cell>
          <cell r="F18823">
            <v>0</v>
          </cell>
          <cell r="DN18823">
            <v>0</v>
          </cell>
        </row>
        <row r="18824">
          <cell r="E18824">
            <v>0</v>
          </cell>
          <cell r="F18824">
            <v>0</v>
          </cell>
          <cell r="DN18824">
            <v>0</v>
          </cell>
        </row>
        <row r="18825">
          <cell r="E18825">
            <v>0</v>
          </cell>
          <cell r="F18825">
            <v>0</v>
          </cell>
          <cell r="DN18825">
            <v>0</v>
          </cell>
        </row>
        <row r="18826">
          <cell r="E18826">
            <v>0</v>
          </cell>
          <cell r="F18826">
            <v>0</v>
          </cell>
          <cell r="DN18826">
            <v>0</v>
          </cell>
        </row>
        <row r="18827">
          <cell r="E18827">
            <v>0</v>
          </cell>
          <cell r="F18827">
            <v>0</v>
          </cell>
          <cell r="DN18827">
            <v>0</v>
          </cell>
        </row>
        <row r="18828">
          <cell r="E18828">
            <v>0</v>
          </cell>
          <cell r="F18828">
            <v>0</v>
          </cell>
          <cell r="DN18828">
            <v>0</v>
          </cell>
        </row>
        <row r="18829">
          <cell r="E18829">
            <v>0</v>
          </cell>
          <cell r="F18829">
            <v>0</v>
          </cell>
          <cell r="DN18829">
            <v>0</v>
          </cell>
        </row>
        <row r="18830">
          <cell r="E18830">
            <v>0</v>
          </cell>
          <cell r="F18830">
            <v>0</v>
          </cell>
          <cell r="DN18830">
            <v>0</v>
          </cell>
        </row>
        <row r="18831">
          <cell r="E18831">
            <v>0</v>
          </cell>
          <cell r="F18831">
            <v>0</v>
          </cell>
          <cell r="DN18831">
            <v>0</v>
          </cell>
        </row>
        <row r="18832">
          <cell r="E18832">
            <v>0</v>
          </cell>
          <cell r="F18832">
            <v>0</v>
          </cell>
          <cell r="DN18832">
            <v>0</v>
          </cell>
        </row>
        <row r="18833">
          <cell r="E18833">
            <v>0</v>
          </cell>
          <cell r="F18833">
            <v>0</v>
          </cell>
          <cell r="DN18833">
            <v>0</v>
          </cell>
        </row>
        <row r="18834">
          <cell r="E18834">
            <v>0</v>
          </cell>
          <cell r="F18834">
            <v>0</v>
          </cell>
          <cell r="DN18834">
            <v>0</v>
          </cell>
        </row>
        <row r="18835">
          <cell r="E18835">
            <v>0</v>
          </cell>
          <cell r="F18835">
            <v>0</v>
          </cell>
          <cell r="DN18835">
            <v>0</v>
          </cell>
        </row>
        <row r="18836">
          <cell r="E18836">
            <v>0</v>
          </cell>
          <cell r="F18836">
            <v>0</v>
          </cell>
          <cell r="DN18836">
            <v>0</v>
          </cell>
        </row>
        <row r="18837">
          <cell r="E18837">
            <v>0</v>
          </cell>
          <cell r="F18837">
            <v>0</v>
          </cell>
          <cell r="DN18837">
            <v>0</v>
          </cell>
        </row>
        <row r="18838">
          <cell r="E18838">
            <v>0</v>
          </cell>
          <cell r="F18838">
            <v>0</v>
          </cell>
          <cell r="DN18838">
            <v>0</v>
          </cell>
        </row>
        <row r="18839">
          <cell r="E18839">
            <v>0</v>
          </cell>
          <cell r="F18839">
            <v>0</v>
          </cell>
          <cell r="DN18839">
            <v>0</v>
          </cell>
        </row>
        <row r="18840">
          <cell r="E18840">
            <v>0</v>
          </cell>
          <cell r="F18840">
            <v>0</v>
          </cell>
          <cell r="DN18840">
            <v>0</v>
          </cell>
        </row>
        <row r="18841">
          <cell r="E18841">
            <v>0</v>
          </cell>
          <cell r="F18841">
            <v>0</v>
          </cell>
          <cell r="DN18841">
            <v>0</v>
          </cell>
        </row>
        <row r="18842">
          <cell r="E18842">
            <v>0</v>
          </cell>
          <cell r="F18842">
            <v>0</v>
          </cell>
          <cell r="DN18842">
            <v>0</v>
          </cell>
        </row>
        <row r="18843">
          <cell r="E18843">
            <v>0</v>
          </cell>
          <cell r="F18843">
            <v>0</v>
          </cell>
          <cell r="DN18843">
            <v>0</v>
          </cell>
        </row>
        <row r="18844">
          <cell r="E18844">
            <v>0</v>
          </cell>
          <cell r="F18844">
            <v>0</v>
          </cell>
          <cell r="DN18844">
            <v>0</v>
          </cell>
        </row>
        <row r="18845">
          <cell r="E18845">
            <v>0</v>
          </cell>
          <cell r="F18845">
            <v>0</v>
          </cell>
          <cell r="DN18845">
            <v>0</v>
          </cell>
        </row>
        <row r="18846">
          <cell r="E18846">
            <v>0</v>
          </cell>
          <cell r="F18846">
            <v>0</v>
          </cell>
          <cell r="DN18846">
            <v>0</v>
          </cell>
        </row>
        <row r="18847">
          <cell r="E18847">
            <v>0</v>
          </cell>
          <cell r="F18847">
            <v>0</v>
          </cell>
          <cell r="DN18847">
            <v>0</v>
          </cell>
        </row>
        <row r="18848">
          <cell r="E18848">
            <v>0</v>
          </cell>
          <cell r="F18848">
            <v>0</v>
          </cell>
          <cell r="DN18848">
            <v>0</v>
          </cell>
        </row>
        <row r="18849">
          <cell r="E18849">
            <v>0</v>
          </cell>
          <cell r="F18849">
            <v>0</v>
          </cell>
          <cell r="DN18849">
            <v>0</v>
          </cell>
        </row>
        <row r="18850">
          <cell r="E18850">
            <v>0</v>
          </cell>
          <cell r="F18850">
            <v>0</v>
          </cell>
          <cell r="DN18850">
            <v>0</v>
          </cell>
        </row>
        <row r="18851">
          <cell r="E18851">
            <v>0</v>
          </cell>
          <cell r="F18851">
            <v>0</v>
          </cell>
          <cell r="DN18851">
            <v>0</v>
          </cell>
        </row>
        <row r="18852">
          <cell r="E18852">
            <v>0</v>
          </cell>
          <cell r="F18852">
            <v>0</v>
          </cell>
          <cell r="DN18852">
            <v>0</v>
          </cell>
        </row>
        <row r="18853">
          <cell r="E18853">
            <v>0</v>
          </cell>
          <cell r="F18853">
            <v>0</v>
          </cell>
          <cell r="DN18853">
            <v>0</v>
          </cell>
        </row>
        <row r="18854">
          <cell r="E18854">
            <v>0</v>
          </cell>
          <cell r="F18854">
            <v>0</v>
          </cell>
          <cell r="DN18854">
            <v>0</v>
          </cell>
        </row>
        <row r="18855">
          <cell r="E18855">
            <v>0</v>
          </cell>
          <cell r="F18855">
            <v>0</v>
          </cell>
          <cell r="DN18855">
            <v>0</v>
          </cell>
        </row>
        <row r="18856">
          <cell r="E18856">
            <v>0</v>
          </cell>
          <cell r="F18856">
            <v>0</v>
          </cell>
          <cell r="DN18856">
            <v>0</v>
          </cell>
        </row>
        <row r="18857">
          <cell r="E18857">
            <v>0</v>
          </cell>
          <cell r="F18857">
            <v>0</v>
          </cell>
          <cell r="DN18857">
            <v>0</v>
          </cell>
        </row>
        <row r="18858">
          <cell r="E18858">
            <v>0</v>
          </cell>
          <cell r="F18858">
            <v>0</v>
          </cell>
          <cell r="DN18858">
            <v>0</v>
          </cell>
        </row>
        <row r="18859">
          <cell r="E18859">
            <v>0</v>
          </cell>
          <cell r="F18859">
            <v>0</v>
          </cell>
          <cell r="DN18859">
            <v>0</v>
          </cell>
        </row>
        <row r="18860">
          <cell r="E18860">
            <v>0</v>
          </cell>
          <cell r="F18860">
            <v>0</v>
          </cell>
          <cell r="DN18860">
            <v>0</v>
          </cell>
        </row>
        <row r="18861">
          <cell r="E18861">
            <v>0</v>
          </cell>
          <cell r="F18861">
            <v>0</v>
          </cell>
          <cell r="DN18861">
            <v>0</v>
          </cell>
        </row>
        <row r="18862">
          <cell r="E18862">
            <v>0</v>
          </cell>
          <cell r="F18862">
            <v>0</v>
          </cell>
          <cell r="DN18862">
            <v>0</v>
          </cell>
        </row>
        <row r="18863">
          <cell r="E18863">
            <v>0</v>
          </cell>
          <cell r="F18863">
            <v>0</v>
          </cell>
          <cell r="DN18863">
            <v>0</v>
          </cell>
        </row>
        <row r="18864">
          <cell r="E18864">
            <v>0</v>
          </cell>
          <cell r="F18864">
            <v>0</v>
          </cell>
          <cell r="DN18864">
            <v>0</v>
          </cell>
        </row>
        <row r="18865">
          <cell r="E18865">
            <v>0</v>
          </cell>
          <cell r="F18865">
            <v>0</v>
          </cell>
          <cell r="DN18865">
            <v>0</v>
          </cell>
        </row>
        <row r="18866">
          <cell r="E18866">
            <v>0</v>
          </cell>
          <cell r="F18866">
            <v>0</v>
          </cell>
          <cell r="DN18866">
            <v>0</v>
          </cell>
        </row>
        <row r="18867">
          <cell r="E18867">
            <v>0</v>
          </cell>
          <cell r="F18867">
            <v>0</v>
          </cell>
          <cell r="DN18867">
            <v>0</v>
          </cell>
        </row>
        <row r="18868">
          <cell r="E18868">
            <v>0</v>
          </cell>
          <cell r="F18868">
            <v>0</v>
          </cell>
          <cell r="DN18868">
            <v>0</v>
          </cell>
        </row>
        <row r="18869">
          <cell r="E18869">
            <v>0</v>
          </cell>
          <cell r="F18869">
            <v>0</v>
          </cell>
          <cell r="DN18869">
            <v>0</v>
          </cell>
        </row>
        <row r="18870">
          <cell r="E18870">
            <v>0</v>
          </cell>
          <cell r="F18870">
            <v>0</v>
          </cell>
          <cell r="DN18870">
            <v>0</v>
          </cell>
        </row>
        <row r="18871">
          <cell r="E18871">
            <v>0</v>
          </cell>
          <cell r="F18871">
            <v>0</v>
          </cell>
          <cell r="DN18871">
            <v>0</v>
          </cell>
        </row>
        <row r="18872">
          <cell r="E18872">
            <v>0</v>
          </cell>
          <cell r="F18872">
            <v>0</v>
          </cell>
          <cell r="DN18872">
            <v>0</v>
          </cell>
        </row>
        <row r="18873">
          <cell r="E18873">
            <v>0</v>
          </cell>
          <cell r="F18873">
            <v>0</v>
          </cell>
          <cell r="DN18873">
            <v>0</v>
          </cell>
        </row>
        <row r="18874">
          <cell r="E18874">
            <v>0</v>
          </cell>
          <cell r="F18874">
            <v>0</v>
          </cell>
          <cell r="DN18874">
            <v>0</v>
          </cell>
        </row>
        <row r="18875">
          <cell r="E18875">
            <v>0</v>
          </cell>
          <cell r="F18875">
            <v>0</v>
          </cell>
          <cell r="DN18875">
            <v>0</v>
          </cell>
        </row>
        <row r="18876">
          <cell r="E18876">
            <v>0</v>
          </cell>
          <cell r="F18876">
            <v>0</v>
          </cell>
          <cell r="DN18876">
            <v>0</v>
          </cell>
        </row>
        <row r="18877">
          <cell r="E18877">
            <v>0</v>
          </cell>
          <cell r="F18877">
            <v>0</v>
          </cell>
          <cell r="DN18877">
            <v>0</v>
          </cell>
        </row>
        <row r="18878">
          <cell r="E18878">
            <v>0</v>
          </cell>
          <cell r="F18878">
            <v>0</v>
          </cell>
          <cell r="DN18878">
            <v>0</v>
          </cell>
        </row>
        <row r="18879">
          <cell r="E18879">
            <v>0</v>
          </cell>
          <cell r="F18879">
            <v>0</v>
          </cell>
          <cell r="DN18879">
            <v>0</v>
          </cell>
        </row>
        <row r="18880">
          <cell r="E18880">
            <v>0</v>
          </cell>
          <cell r="F18880">
            <v>0</v>
          </cell>
          <cell r="DN18880">
            <v>0</v>
          </cell>
        </row>
        <row r="18881">
          <cell r="E18881">
            <v>0</v>
          </cell>
          <cell r="F18881">
            <v>0</v>
          </cell>
          <cell r="DN18881">
            <v>0</v>
          </cell>
        </row>
        <row r="18882">
          <cell r="E18882">
            <v>0</v>
          </cell>
          <cell r="F18882">
            <v>0</v>
          </cell>
          <cell r="DN18882">
            <v>0</v>
          </cell>
        </row>
        <row r="18883">
          <cell r="E18883">
            <v>0</v>
          </cell>
          <cell r="F18883">
            <v>0</v>
          </cell>
          <cell r="DN18883">
            <v>0</v>
          </cell>
        </row>
        <row r="18884">
          <cell r="E18884">
            <v>0</v>
          </cell>
          <cell r="F18884">
            <v>0</v>
          </cell>
          <cell r="DN18884">
            <v>0</v>
          </cell>
        </row>
        <row r="18885">
          <cell r="E18885">
            <v>0</v>
          </cell>
          <cell r="F18885">
            <v>0</v>
          </cell>
          <cell r="DN18885">
            <v>0</v>
          </cell>
        </row>
        <row r="18886">
          <cell r="E18886">
            <v>0</v>
          </cell>
          <cell r="F18886">
            <v>0</v>
          </cell>
          <cell r="DN18886">
            <v>0</v>
          </cell>
        </row>
        <row r="18887">
          <cell r="E18887">
            <v>0</v>
          </cell>
          <cell r="F18887">
            <v>0</v>
          </cell>
          <cell r="DN18887">
            <v>0</v>
          </cell>
        </row>
        <row r="18888">
          <cell r="E18888">
            <v>0</v>
          </cell>
          <cell r="F18888">
            <v>0</v>
          </cell>
          <cell r="DN18888">
            <v>0</v>
          </cell>
        </row>
        <row r="18889">
          <cell r="E18889">
            <v>0</v>
          </cell>
          <cell r="F18889">
            <v>0</v>
          </cell>
          <cell r="DN18889">
            <v>0</v>
          </cell>
        </row>
        <row r="18890">
          <cell r="E18890">
            <v>0</v>
          </cell>
          <cell r="F18890">
            <v>0</v>
          </cell>
          <cell r="DN18890">
            <v>0</v>
          </cell>
        </row>
        <row r="18891">
          <cell r="E18891">
            <v>0</v>
          </cell>
          <cell r="F18891">
            <v>0</v>
          </cell>
          <cell r="DN18891">
            <v>0</v>
          </cell>
        </row>
        <row r="18892">
          <cell r="E18892">
            <v>0</v>
          </cell>
          <cell r="F18892">
            <v>0</v>
          </cell>
          <cell r="DN18892">
            <v>0</v>
          </cell>
        </row>
        <row r="18893">
          <cell r="E18893">
            <v>0</v>
          </cell>
          <cell r="F18893">
            <v>0</v>
          </cell>
          <cell r="DN18893">
            <v>0</v>
          </cell>
        </row>
        <row r="18894">
          <cell r="E18894">
            <v>0</v>
          </cell>
          <cell r="F18894">
            <v>0</v>
          </cell>
          <cell r="DN18894">
            <v>0</v>
          </cell>
        </row>
        <row r="18895">
          <cell r="E18895">
            <v>0</v>
          </cell>
          <cell r="F18895">
            <v>0</v>
          </cell>
          <cell r="DN18895">
            <v>0</v>
          </cell>
        </row>
        <row r="18896">
          <cell r="E18896">
            <v>0</v>
          </cell>
          <cell r="F18896">
            <v>0</v>
          </cell>
          <cell r="DN18896">
            <v>0</v>
          </cell>
        </row>
        <row r="18897">
          <cell r="E18897">
            <v>0</v>
          </cell>
          <cell r="F18897">
            <v>0</v>
          </cell>
          <cell r="DN18897">
            <v>0</v>
          </cell>
        </row>
        <row r="18898">
          <cell r="E18898">
            <v>0</v>
          </cell>
          <cell r="F18898">
            <v>0</v>
          </cell>
          <cell r="DN18898">
            <v>0</v>
          </cell>
        </row>
        <row r="18899">
          <cell r="E18899">
            <v>0</v>
          </cell>
          <cell r="F18899">
            <v>0</v>
          </cell>
          <cell r="DN18899">
            <v>0</v>
          </cell>
        </row>
        <row r="18900">
          <cell r="E18900">
            <v>0</v>
          </cell>
          <cell r="F18900">
            <v>0</v>
          </cell>
          <cell r="DN18900">
            <v>0</v>
          </cell>
        </row>
        <row r="18901">
          <cell r="E18901">
            <v>0</v>
          </cell>
          <cell r="F18901">
            <v>0</v>
          </cell>
          <cell r="DN18901">
            <v>0</v>
          </cell>
        </row>
        <row r="18902">
          <cell r="E18902">
            <v>0</v>
          </cell>
          <cell r="F18902">
            <v>0</v>
          </cell>
          <cell r="DN18902">
            <v>0</v>
          </cell>
        </row>
        <row r="18903">
          <cell r="E18903">
            <v>0</v>
          </cell>
          <cell r="F18903">
            <v>0</v>
          </cell>
          <cell r="DN18903">
            <v>0</v>
          </cell>
        </row>
        <row r="18904">
          <cell r="E18904">
            <v>0</v>
          </cell>
          <cell r="F18904">
            <v>0</v>
          </cell>
          <cell r="DN18904">
            <v>0</v>
          </cell>
        </row>
        <row r="18905">
          <cell r="E18905">
            <v>0</v>
          </cell>
          <cell r="F18905">
            <v>0</v>
          </cell>
          <cell r="DN18905">
            <v>0</v>
          </cell>
        </row>
        <row r="18906">
          <cell r="E18906">
            <v>0</v>
          </cell>
          <cell r="F18906">
            <v>0</v>
          </cell>
          <cell r="DN18906">
            <v>0</v>
          </cell>
        </row>
        <row r="18907">
          <cell r="E18907">
            <v>0</v>
          </cell>
          <cell r="F18907">
            <v>0</v>
          </cell>
          <cell r="DN18907">
            <v>0</v>
          </cell>
        </row>
        <row r="18908">
          <cell r="E18908">
            <v>0</v>
          </cell>
          <cell r="F18908">
            <v>0</v>
          </cell>
          <cell r="DN18908">
            <v>0</v>
          </cell>
        </row>
        <row r="18909">
          <cell r="E18909">
            <v>0</v>
          </cell>
          <cell r="F18909">
            <v>0</v>
          </cell>
          <cell r="DN18909">
            <v>0</v>
          </cell>
        </row>
        <row r="18910">
          <cell r="E18910">
            <v>0</v>
          </cell>
          <cell r="F18910">
            <v>0</v>
          </cell>
          <cell r="DN18910">
            <v>0</v>
          </cell>
        </row>
        <row r="18911">
          <cell r="E18911">
            <v>0</v>
          </cell>
          <cell r="F18911">
            <v>0</v>
          </cell>
          <cell r="DN18911">
            <v>0</v>
          </cell>
        </row>
        <row r="18912">
          <cell r="E18912">
            <v>0</v>
          </cell>
          <cell r="F18912">
            <v>0</v>
          </cell>
          <cell r="DN18912">
            <v>0</v>
          </cell>
        </row>
        <row r="18913">
          <cell r="E18913">
            <v>0</v>
          </cell>
          <cell r="F18913">
            <v>0</v>
          </cell>
          <cell r="DN18913">
            <v>0</v>
          </cell>
        </row>
        <row r="18914">
          <cell r="E18914">
            <v>0</v>
          </cell>
          <cell r="F18914">
            <v>0</v>
          </cell>
          <cell r="DN18914">
            <v>0</v>
          </cell>
        </row>
        <row r="18915">
          <cell r="E18915">
            <v>0</v>
          </cell>
          <cell r="F18915">
            <v>0</v>
          </cell>
          <cell r="DN18915">
            <v>0</v>
          </cell>
        </row>
        <row r="18916">
          <cell r="E18916">
            <v>0</v>
          </cell>
          <cell r="F18916">
            <v>0</v>
          </cell>
          <cell r="DN18916">
            <v>0</v>
          </cell>
        </row>
        <row r="18917">
          <cell r="E18917">
            <v>0</v>
          </cell>
          <cell r="F18917">
            <v>0</v>
          </cell>
          <cell r="DN18917">
            <v>0</v>
          </cell>
        </row>
        <row r="18918">
          <cell r="E18918">
            <v>0</v>
          </cell>
          <cell r="F18918">
            <v>0</v>
          </cell>
          <cell r="DN18918">
            <v>0</v>
          </cell>
        </row>
        <row r="18919">
          <cell r="E18919">
            <v>0</v>
          </cell>
          <cell r="F18919">
            <v>0</v>
          </cell>
          <cell r="DN18919">
            <v>0</v>
          </cell>
        </row>
        <row r="18920">
          <cell r="E18920">
            <v>0</v>
          </cell>
          <cell r="F18920">
            <v>0</v>
          </cell>
          <cell r="DN18920">
            <v>0</v>
          </cell>
        </row>
        <row r="18921">
          <cell r="E18921">
            <v>0</v>
          </cell>
          <cell r="F18921">
            <v>0</v>
          </cell>
          <cell r="DN18921">
            <v>0</v>
          </cell>
        </row>
        <row r="18922">
          <cell r="E18922">
            <v>0</v>
          </cell>
          <cell r="F18922">
            <v>0</v>
          </cell>
          <cell r="DN18922">
            <v>0</v>
          </cell>
        </row>
        <row r="18923">
          <cell r="E18923">
            <v>0</v>
          </cell>
          <cell r="F18923">
            <v>0</v>
          </cell>
          <cell r="DN18923">
            <v>0</v>
          </cell>
        </row>
        <row r="18924">
          <cell r="E18924">
            <v>0</v>
          </cell>
          <cell r="F18924">
            <v>0</v>
          </cell>
          <cell r="DN18924">
            <v>0</v>
          </cell>
        </row>
        <row r="18925">
          <cell r="E18925">
            <v>0</v>
          </cell>
          <cell r="F18925">
            <v>0</v>
          </cell>
          <cell r="DN18925">
            <v>0</v>
          </cell>
        </row>
        <row r="18926">
          <cell r="E18926">
            <v>0</v>
          </cell>
          <cell r="F18926">
            <v>0</v>
          </cell>
          <cell r="DN18926">
            <v>0</v>
          </cell>
        </row>
        <row r="18927">
          <cell r="E18927">
            <v>0</v>
          </cell>
          <cell r="F18927">
            <v>0</v>
          </cell>
          <cell r="DN18927">
            <v>0</v>
          </cell>
        </row>
        <row r="18928">
          <cell r="E18928">
            <v>0</v>
          </cell>
          <cell r="F18928">
            <v>0</v>
          </cell>
          <cell r="DN18928">
            <v>0</v>
          </cell>
        </row>
        <row r="18929">
          <cell r="E18929">
            <v>0</v>
          </cell>
          <cell r="F18929">
            <v>0</v>
          </cell>
          <cell r="DN18929">
            <v>0</v>
          </cell>
        </row>
        <row r="18930">
          <cell r="E18930">
            <v>0</v>
          </cell>
          <cell r="F18930">
            <v>0</v>
          </cell>
          <cell r="DN18930">
            <v>0</v>
          </cell>
        </row>
        <row r="18931">
          <cell r="E18931">
            <v>0</v>
          </cell>
          <cell r="F18931">
            <v>0</v>
          </cell>
          <cell r="DN18931">
            <v>0</v>
          </cell>
        </row>
        <row r="18932">
          <cell r="E18932">
            <v>0</v>
          </cell>
          <cell r="F18932">
            <v>0</v>
          </cell>
          <cell r="DN18932">
            <v>0</v>
          </cell>
        </row>
        <row r="18933">
          <cell r="E18933">
            <v>0</v>
          </cell>
          <cell r="F18933">
            <v>0</v>
          </cell>
          <cell r="DN18933">
            <v>0</v>
          </cell>
        </row>
        <row r="18934">
          <cell r="E18934">
            <v>0</v>
          </cell>
          <cell r="F18934">
            <v>0</v>
          </cell>
          <cell r="DN18934">
            <v>0</v>
          </cell>
        </row>
        <row r="18935">
          <cell r="E18935">
            <v>0</v>
          </cell>
          <cell r="F18935">
            <v>0</v>
          </cell>
          <cell r="DN18935">
            <v>0</v>
          </cell>
        </row>
        <row r="18936">
          <cell r="E18936">
            <v>0</v>
          </cell>
          <cell r="F18936">
            <v>0</v>
          </cell>
          <cell r="DN18936">
            <v>0</v>
          </cell>
        </row>
        <row r="18937">
          <cell r="E18937">
            <v>0</v>
          </cell>
          <cell r="F18937">
            <v>0</v>
          </cell>
          <cell r="DN18937">
            <v>0</v>
          </cell>
        </row>
        <row r="18938">
          <cell r="E18938">
            <v>0</v>
          </cell>
          <cell r="F18938">
            <v>0</v>
          </cell>
          <cell r="DN18938">
            <v>0</v>
          </cell>
        </row>
        <row r="18939">
          <cell r="E18939">
            <v>0</v>
          </cell>
          <cell r="F18939">
            <v>0</v>
          </cell>
          <cell r="DN18939">
            <v>0</v>
          </cell>
        </row>
        <row r="18940">
          <cell r="E18940">
            <v>0</v>
          </cell>
          <cell r="F18940">
            <v>0</v>
          </cell>
          <cell r="DN18940">
            <v>0</v>
          </cell>
        </row>
        <row r="18941">
          <cell r="E18941">
            <v>0</v>
          </cell>
          <cell r="F18941">
            <v>0</v>
          </cell>
          <cell r="DN18941">
            <v>0</v>
          </cell>
        </row>
        <row r="18942">
          <cell r="E18942">
            <v>0</v>
          </cell>
          <cell r="F18942">
            <v>0</v>
          </cell>
          <cell r="DN18942">
            <v>0</v>
          </cell>
        </row>
        <row r="18943">
          <cell r="E18943">
            <v>0</v>
          </cell>
          <cell r="F18943">
            <v>0</v>
          </cell>
          <cell r="DN18943">
            <v>0</v>
          </cell>
        </row>
        <row r="18944">
          <cell r="E18944">
            <v>0</v>
          </cell>
          <cell r="F18944">
            <v>0</v>
          </cell>
          <cell r="DN18944">
            <v>0</v>
          </cell>
        </row>
        <row r="18945">
          <cell r="E18945">
            <v>0</v>
          </cell>
          <cell r="F18945">
            <v>0</v>
          </cell>
          <cell r="DN18945">
            <v>0</v>
          </cell>
        </row>
        <row r="18946">
          <cell r="E18946">
            <v>0</v>
          </cell>
          <cell r="F18946">
            <v>0</v>
          </cell>
          <cell r="DN18946">
            <v>0</v>
          </cell>
        </row>
        <row r="18947">
          <cell r="E18947">
            <v>0</v>
          </cell>
          <cell r="F18947">
            <v>0</v>
          </cell>
          <cell r="DN18947">
            <v>0</v>
          </cell>
        </row>
        <row r="18948">
          <cell r="E18948">
            <v>0</v>
          </cell>
          <cell r="F18948">
            <v>0</v>
          </cell>
          <cell r="DN18948">
            <v>0</v>
          </cell>
        </row>
        <row r="18949">
          <cell r="E18949">
            <v>0</v>
          </cell>
          <cell r="F18949">
            <v>0</v>
          </cell>
          <cell r="DN18949">
            <v>0</v>
          </cell>
        </row>
        <row r="18950">
          <cell r="E18950">
            <v>0</v>
          </cell>
          <cell r="F18950">
            <v>0</v>
          </cell>
          <cell r="DN18950">
            <v>0</v>
          </cell>
        </row>
        <row r="18951">
          <cell r="E18951">
            <v>0</v>
          </cell>
          <cell r="F18951">
            <v>0</v>
          </cell>
          <cell r="DN18951">
            <v>0</v>
          </cell>
        </row>
        <row r="18952">
          <cell r="E18952">
            <v>0</v>
          </cell>
          <cell r="F18952">
            <v>0</v>
          </cell>
          <cell r="DN18952">
            <v>0</v>
          </cell>
        </row>
        <row r="18953">
          <cell r="E18953">
            <v>0</v>
          </cell>
          <cell r="F18953">
            <v>0</v>
          </cell>
          <cell r="DN18953">
            <v>0</v>
          </cell>
        </row>
        <row r="18954">
          <cell r="E18954">
            <v>0</v>
          </cell>
          <cell r="F18954">
            <v>0</v>
          </cell>
          <cell r="DN18954">
            <v>0</v>
          </cell>
        </row>
        <row r="18955">
          <cell r="E18955">
            <v>0</v>
          </cell>
          <cell r="F18955">
            <v>0</v>
          </cell>
          <cell r="DN18955">
            <v>0</v>
          </cell>
        </row>
        <row r="18956">
          <cell r="E18956">
            <v>0</v>
          </cell>
          <cell r="F18956">
            <v>0</v>
          </cell>
          <cell r="DN18956">
            <v>0</v>
          </cell>
        </row>
        <row r="18957">
          <cell r="E18957">
            <v>0</v>
          </cell>
          <cell r="F18957">
            <v>0</v>
          </cell>
          <cell r="DN18957">
            <v>0</v>
          </cell>
        </row>
        <row r="18958">
          <cell r="E18958">
            <v>0</v>
          </cell>
          <cell r="F18958">
            <v>0</v>
          </cell>
          <cell r="DN18958">
            <v>0</v>
          </cell>
        </row>
        <row r="18959">
          <cell r="E18959">
            <v>0</v>
          </cell>
          <cell r="F18959">
            <v>0</v>
          </cell>
          <cell r="DN18959">
            <v>0</v>
          </cell>
        </row>
        <row r="18960">
          <cell r="E18960">
            <v>0</v>
          </cell>
          <cell r="F18960">
            <v>0</v>
          </cell>
          <cell r="DN18960">
            <v>0</v>
          </cell>
        </row>
        <row r="18961">
          <cell r="E18961">
            <v>0</v>
          </cell>
          <cell r="F18961">
            <v>0</v>
          </cell>
          <cell r="DN18961">
            <v>0</v>
          </cell>
        </row>
        <row r="18962">
          <cell r="E18962">
            <v>0</v>
          </cell>
          <cell r="F18962">
            <v>0</v>
          </cell>
          <cell r="DN18962">
            <v>0</v>
          </cell>
        </row>
        <row r="18963">
          <cell r="E18963">
            <v>0</v>
          </cell>
          <cell r="F18963">
            <v>0</v>
          </cell>
          <cell r="DN18963">
            <v>0</v>
          </cell>
        </row>
        <row r="18964">
          <cell r="E18964">
            <v>0</v>
          </cell>
          <cell r="F18964">
            <v>0</v>
          </cell>
          <cell r="DN18964">
            <v>0</v>
          </cell>
        </row>
        <row r="18965">
          <cell r="E18965">
            <v>0</v>
          </cell>
          <cell r="F18965">
            <v>0</v>
          </cell>
          <cell r="DN18965">
            <v>0</v>
          </cell>
        </row>
        <row r="18966">
          <cell r="E18966">
            <v>0</v>
          </cell>
          <cell r="F18966">
            <v>0</v>
          </cell>
          <cell r="DN18966">
            <v>0</v>
          </cell>
        </row>
        <row r="18967">
          <cell r="E18967">
            <v>0</v>
          </cell>
          <cell r="F18967">
            <v>0</v>
          </cell>
          <cell r="DN18967">
            <v>0</v>
          </cell>
        </row>
        <row r="18968">
          <cell r="E18968">
            <v>0</v>
          </cell>
          <cell r="F18968">
            <v>0</v>
          </cell>
          <cell r="DN18968">
            <v>0</v>
          </cell>
        </row>
        <row r="18969">
          <cell r="E18969">
            <v>0</v>
          </cell>
          <cell r="F18969">
            <v>0</v>
          </cell>
          <cell r="DN18969">
            <v>0</v>
          </cell>
        </row>
        <row r="18970">
          <cell r="E18970">
            <v>0</v>
          </cell>
          <cell r="F18970">
            <v>0</v>
          </cell>
          <cell r="DN18970">
            <v>0</v>
          </cell>
        </row>
        <row r="18971">
          <cell r="E18971">
            <v>0</v>
          </cell>
          <cell r="F18971">
            <v>0</v>
          </cell>
          <cell r="DN18971">
            <v>0</v>
          </cell>
        </row>
        <row r="18972">
          <cell r="E18972">
            <v>0</v>
          </cell>
          <cell r="F18972">
            <v>0</v>
          </cell>
          <cell r="DN18972">
            <v>0</v>
          </cell>
        </row>
        <row r="18973">
          <cell r="E18973">
            <v>0</v>
          </cell>
          <cell r="F18973">
            <v>0</v>
          </cell>
          <cell r="DN18973">
            <v>0</v>
          </cell>
        </row>
        <row r="18974">
          <cell r="E18974">
            <v>0</v>
          </cell>
          <cell r="F18974">
            <v>0</v>
          </cell>
          <cell r="DN18974">
            <v>0</v>
          </cell>
        </row>
        <row r="18975">
          <cell r="E18975">
            <v>0</v>
          </cell>
          <cell r="F18975">
            <v>0</v>
          </cell>
          <cell r="DN18975">
            <v>0</v>
          </cell>
        </row>
        <row r="18976">
          <cell r="E18976">
            <v>0</v>
          </cell>
          <cell r="F18976">
            <v>0</v>
          </cell>
          <cell r="DN18976">
            <v>0</v>
          </cell>
        </row>
        <row r="18977">
          <cell r="E18977">
            <v>0</v>
          </cell>
          <cell r="F18977">
            <v>0</v>
          </cell>
          <cell r="DN18977">
            <v>0</v>
          </cell>
        </row>
        <row r="18978">
          <cell r="E18978">
            <v>0</v>
          </cell>
          <cell r="F18978">
            <v>0</v>
          </cell>
          <cell r="DN18978">
            <v>0</v>
          </cell>
        </row>
        <row r="18979">
          <cell r="E18979">
            <v>0</v>
          </cell>
          <cell r="F18979">
            <v>0</v>
          </cell>
          <cell r="DN18979">
            <v>0</v>
          </cell>
        </row>
        <row r="18980">
          <cell r="E18980">
            <v>0</v>
          </cell>
          <cell r="F18980">
            <v>0</v>
          </cell>
          <cell r="DN18980">
            <v>0</v>
          </cell>
        </row>
        <row r="18981">
          <cell r="E18981">
            <v>0</v>
          </cell>
          <cell r="F18981">
            <v>0</v>
          </cell>
          <cell r="DN18981">
            <v>0</v>
          </cell>
        </row>
        <row r="18982">
          <cell r="E18982">
            <v>0</v>
          </cell>
          <cell r="F18982">
            <v>0</v>
          </cell>
          <cell r="DN18982">
            <v>0</v>
          </cell>
        </row>
        <row r="18983">
          <cell r="E18983">
            <v>0</v>
          </cell>
          <cell r="F18983">
            <v>0</v>
          </cell>
          <cell r="DN18983">
            <v>0</v>
          </cell>
        </row>
        <row r="18984">
          <cell r="E18984">
            <v>0</v>
          </cell>
          <cell r="F18984">
            <v>0</v>
          </cell>
          <cell r="DN18984">
            <v>0</v>
          </cell>
        </row>
        <row r="18985">
          <cell r="E18985">
            <v>0</v>
          </cell>
          <cell r="F18985">
            <v>0</v>
          </cell>
          <cell r="DN18985">
            <v>0</v>
          </cell>
        </row>
        <row r="18986">
          <cell r="E18986">
            <v>0</v>
          </cell>
          <cell r="F18986">
            <v>0</v>
          </cell>
          <cell r="DN18986">
            <v>0</v>
          </cell>
        </row>
        <row r="18987">
          <cell r="E18987">
            <v>0</v>
          </cell>
          <cell r="F18987">
            <v>0</v>
          </cell>
          <cell r="DN18987">
            <v>0</v>
          </cell>
        </row>
        <row r="18988">
          <cell r="E18988">
            <v>0</v>
          </cell>
          <cell r="F18988">
            <v>0</v>
          </cell>
          <cell r="DN18988">
            <v>0</v>
          </cell>
        </row>
        <row r="18989">
          <cell r="E18989">
            <v>0</v>
          </cell>
          <cell r="F18989">
            <v>0</v>
          </cell>
          <cell r="DN18989">
            <v>0</v>
          </cell>
        </row>
        <row r="18990">
          <cell r="E18990">
            <v>0</v>
          </cell>
          <cell r="F18990">
            <v>0</v>
          </cell>
          <cell r="DN18990">
            <v>0</v>
          </cell>
        </row>
        <row r="18991">
          <cell r="E18991">
            <v>0</v>
          </cell>
          <cell r="F18991">
            <v>0</v>
          </cell>
          <cell r="DN18991">
            <v>0</v>
          </cell>
        </row>
        <row r="18992">
          <cell r="E18992">
            <v>0</v>
          </cell>
          <cell r="F18992">
            <v>0</v>
          </cell>
          <cell r="DN18992">
            <v>0</v>
          </cell>
        </row>
        <row r="18993">
          <cell r="E18993">
            <v>0</v>
          </cell>
          <cell r="F18993">
            <v>0</v>
          </cell>
          <cell r="DN18993">
            <v>0</v>
          </cell>
        </row>
        <row r="18994">
          <cell r="E18994">
            <v>0</v>
          </cell>
          <cell r="F18994">
            <v>0</v>
          </cell>
          <cell r="DN18994">
            <v>0</v>
          </cell>
        </row>
        <row r="18995">
          <cell r="E18995">
            <v>0</v>
          </cell>
          <cell r="F18995">
            <v>0</v>
          </cell>
          <cell r="DN18995">
            <v>0</v>
          </cell>
        </row>
        <row r="18996">
          <cell r="E18996">
            <v>0</v>
          </cell>
          <cell r="F18996">
            <v>0</v>
          </cell>
          <cell r="DN18996">
            <v>0</v>
          </cell>
        </row>
        <row r="18997">
          <cell r="E18997">
            <v>0</v>
          </cell>
          <cell r="F18997">
            <v>0</v>
          </cell>
          <cell r="DN18997">
            <v>0</v>
          </cell>
        </row>
        <row r="18998">
          <cell r="E18998">
            <v>0</v>
          </cell>
          <cell r="F18998">
            <v>0</v>
          </cell>
          <cell r="DN18998">
            <v>0</v>
          </cell>
        </row>
        <row r="18999">
          <cell r="E18999">
            <v>0</v>
          </cell>
          <cell r="F18999">
            <v>0</v>
          </cell>
          <cell r="DN18999">
            <v>0</v>
          </cell>
        </row>
        <row r="19000">
          <cell r="E19000">
            <v>0</v>
          </cell>
          <cell r="F19000">
            <v>0</v>
          </cell>
          <cell r="DN19000">
            <v>0</v>
          </cell>
        </row>
        <row r="19001">
          <cell r="E19001">
            <v>0</v>
          </cell>
          <cell r="F19001">
            <v>0</v>
          </cell>
          <cell r="DN19001">
            <v>0</v>
          </cell>
        </row>
        <row r="19002">
          <cell r="E19002">
            <v>0</v>
          </cell>
          <cell r="F19002">
            <v>0</v>
          </cell>
          <cell r="DN19002">
            <v>0</v>
          </cell>
        </row>
        <row r="19003">
          <cell r="E19003">
            <v>0</v>
          </cell>
          <cell r="F19003">
            <v>0</v>
          </cell>
          <cell r="DN19003">
            <v>0</v>
          </cell>
        </row>
        <row r="19004">
          <cell r="E19004">
            <v>0</v>
          </cell>
          <cell r="F19004">
            <v>0</v>
          </cell>
          <cell r="DN19004">
            <v>0</v>
          </cell>
        </row>
        <row r="19005">
          <cell r="E19005">
            <v>0</v>
          </cell>
          <cell r="F19005">
            <v>0</v>
          </cell>
          <cell r="DN19005">
            <v>0</v>
          </cell>
        </row>
        <row r="19006">
          <cell r="E19006">
            <v>0</v>
          </cell>
          <cell r="F19006">
            <v>0</v>
          </cell>
          <cell r="DN19006">
            <v>0</v>
          </cell>
        </row>
        <row r="19007">
          <cell r="E19007">
            <v>0</v>
          </cell>
          <cell r="F19007">
            <v>0</v>
          </cell>
          <cell r="DN19007">
            <v>0</v>
          </cell>
        </row>
        <row r="19008">
          <cell r="E19008">
            <v>0</v>
          </cell>
          <cell r="F19008">
            <v>0</v>
          </cell>
          <cell r="DN19008">
            <v>0</v>
          </cell>
        </row>
        <row r="19009">
          <cell r="E19009">
            <v>0</v>
          </cell>
          <cell r="F19009">
            <v>0</v>
          </cell>
          <cell r="DN19009">
            <v>0</v>
          </cell>
        </row>
        <row r="19010">
          <cell r="E19010">
            <v>0</v>
          </cell>
          <cell r="F19010">
            <v>0</v>
          </cell>
          <cell r="DN19010">
            <v>0</v>
          </cell>
        </row>
        <row r="19011">
          <cell r="E19011">
            <v>0</v>
          </cell>
          <cell r="F19011">
            <v>0</v>
          </cell>
          <cell r="DN19011">
            <v>0</v>
          </cell>
        </row>
        <row r="19012">
          <cell r="E19012">
            <v>0</v>
          </cell>
          <cell r="F19012">
            <v>0</v>
          </cell>
          <cell r="DN19012">
            <v>0</v>
          </cell>
        </row>
        <row r="19013">
          <cell r="E19013">
            <v>0</v>
          </cell>
          <cell r="F19013">
            <v>0</v>
          </cell>
          <cell r="DN19013">
            <v>0</v>
          </cell>
        </row>
        <row r="19014">
          <cell r="E19014">
            <v>0</v>
          </cell>
          <cell r="F19014">
            <v>0</v>
          </cell>
          <cell r="DN19014">
            <v>0</v>
          </cell>
        </row>
        <row r="19015">
          <cell r="E19015">
            <v>0</v>
          </cell>
          <cell r="F19015">
            <v>0</v>
          </cell>
          <cell r="DN19015">
            <v>0</v>
          </cell>
        </row>
        <row r="19016">
          <cell r="E19016">
            <v>0</v>
          </cell>
          <cell r="F19016">
            <v>0</v>
          </cell>
          <cell r="DN19016">
            <v>0</v>
          </cell>
        </row>
        <row r="19017">
          <cell r="E19017">
            <v>0</v>
          </cell>
          <cell r="F19017">
            <v>0</v>
          </cell>
          <cell r="DN19017">
            <v>0</v>
          </cell>
        </row>
        <row r="19018">
          <cell r="E19018">
            <v>0</v>
          </cell>
          <cell r="F19018">
            <v>0</v>
          </cell>
          <cell r="DN19018">
            <v>0</v>
          </cell>
        </row>
        <row r="19019">
          <cell r="E19019">
            <v>0</v>
          </cell>
          <cell r="F19019">
            <v>0</v>
          </cell>
          <cell r="DN19019">
            <v>0</v>
          </cell>
        </row>
        <row r="19020">
          <cell r="E19020">
            <v>0</v>
          </cell>
          <cell r="F19020">
            <v>0</v>
          </cell>
          <cell r="DN19020">
            <v>0</v>
          </cell>
        </row>
        <row r="19021">
          <cell r="E19021">
            <v>0</v>
          </cell>
          <cell r="F19021">
            <v>0</v>
          </cell>
          <cell r="DN19021">
            <v>0</v>
          </cell>
        </row>
        <row r="19022">
          <cell r="E19022">
            <v>0</v>
          </cell>
          <cell r="F19022">
            <v>0</v>
          </cell>
          <cell r="DN19022">
            <v>0</v>
          </cell>
        </row>
        <row r="19023">
          <cell r="E19023">
            <v>0</v>
          </cell>
          <cell r="F19023">
            <v>0</v>
          </cell>
          <cell r="DN19023">
            <v>0</v>
          </cell>
        </row>
        <row r="19024">
          <cell r="E19024">
            <v>0</v>
          </cell>
          <cell r="F19024">
            <v>0</v>
          </cell>
          <cell r="DN19024">
            <v>0</v>
          </cell>
        </row>
        <row r="19025">
          <cell r="E19025">
            <v>0</v>
          </cell>
          <cell r="F19025">
            <v>0</v>
          </cell>
          <cell r="DN19025">
            <v>0</v>
          </cell>
        </row>
        <row r="19026">
          <cell r="E19026">
            <v>0</v>
          </cell>
          <cell r="F19026">
            <v>0</v>
          </cell>
          <cell r="DN19026">
            <v>0</v>
          </cell>
        </row>
        <row r="19027">
          <cell r="E19027">
            <v>0</v>
          </cell>
          <cell r="F19027">
            <v>0</v>
          </cell>
          <cell r="DN19027">
            <v>0</v>
          </cell>
        </row>
        <row r="19028">
          <cell r="E19028">
            <v>0</v>
          </cell>
          <cell r="F19028">
            <v>0</v>
          </cell>
          <cell r="DN19028">
            <v>0</v>
          </cell>
        </row>
        <row r="19029">
          <cell r="E19029">
            <v>0</v>
          </cell>
          <cell r="F19029">
            <v>0</v>
          </cell>
          <cell r="DN19029">
            <v>0</v>
          </cell>
        </row>
        <row r="19030">
          <cell r="E19030">
            <v>0</v>
          </cell>
          <cell r="F19030">
            <v>0</v>
          </cell>
          <cell r="DN19030">
            <v>0</v>
          </cell>
        </row>
        <row r="19031">
          <cell r="E19031">
            <v>0</v>
          </cell>
          <cell r="F19031">
            <v>0</v>
          </cell>
          <cell r="DN19031">
            <v>0</v>
          </cell>
        </row>
        <row r="19032">
          <cell r="E19032">
            <v>0</v>
          </cell>
          <cell r="F19032">
            <v>0</v>
          </cell>
          <cell r="DN19032">
            <v>0</v>
          </cell>
        </row>
        <row r="19033">
          <cell r="E19033">
            <v>0</v>
          </cell>
          <cell r="F19033">
            <v>0</v>
          </cell>
          <cell r="DN19033">
            <v>0</v>
          </cell>
        </row>
        <row r="19034">
          <cell r="E19034">
            <v>0</v>
          </cell>
          <cell r="F19034">
            <v>0</v>
          </cell>
          <cell r="DN19034">
            <v>0</v>
          </cell>
        </row>
        <row r="19035">
          <cell r="E19035">
            <v>0</v>
          </cell>
          <cell r="F19035">
            <v>0</v>
          </cell>
          <cell r="DN19035">
            <v>0</v>
          </cell>
        </row>
        <row r="19036">
          <cell r="E19036">
            <v>0</v>
          </cell>
          <cell r="F19036">
            <v>0</v>
          </cell>
          <cell r="DN19036">
            <v>0</v>
          </cell>
        </row>
        <row r="19037">
          <cell r="E19037">
            <v>0</v>
          </cell>
          <cell r="F19037">
            <v>0</v>
          </cell>
          <cell r="DN19037">
            <v>0</v>
          </cell>
        </row>
        <row r="19038">
          <cell r="E19038">
            <v>0</v>
          </cell>
          <cell r="F19038">
            <v>0</v>
          </cell>
          <cell r="DN19038">
            <v>0</v>
          </cell>
        </row>
        <row r="19039">
          <cell r="E19039">
            <v>0</v>
          </cell>
          <cell r="F19039">
            <v>0</v>
          </cell>
          <cell r="DN19039">
            <v>0</v>
          </cell>
        </row>
        <row r="19040">
          <cell r="E19040">
            <v>0</v>
          </cell>
          <cell r="F19040">
            <v>0</v>
          </cell>
          <cell r="DN19040">
            <v>0</v>
          </cell>
        </row>
        <row r="19041">
          <cell r="E19041">
            <v>0</v>
          </cell>
          <cell r="F19041">
            <v>0</v>
          </cell>
          <cell r="DN19041">
            <v>0</v>
          </cell>
        </row>
        <row r="19042">
          <cell r="E19042">
            <v>0</v>
          </cell>
          <cell r="F19042">
            <v>0</v>
          </cell>
          <cell r="DN19042">
            <v>0</v>
          </cell>
        </row>
        <row r="19043">
          <cell r="E19043">
            <v>0</v>
          </cell>
          <cell r="F19043">
            <v>0</v>
          </cell>
          <cell r="DN19043">
            <v>0</v>
          </cell>
        </row>
        <row r="19044">
          <cell r="E19044">
            <v>0</v>
          </cell>
          <cell r="F19044">
            <v>0</v>
          </cell>
          <cell r="DN19044">
            <v>0</v>
          </cell>
        </row>
        <row r="19045">
          <cell r="E19045">
            <v>0</v>
          </cell>
          <cell r="F19045">
            <v>0</v>
          </cell>
          <cell r="DN19045">
            <v>0</v>
          </cell>
        </row>
        <row r="19046">
          <cell r="E19046">
            <v>0</v>
          </cell>
          <cell r="F19046">
            <v>0</v>
          </cell>
          <cell r="DN19046">
            <v>0</v>
          </cell>
        </row>
        <row r="19047">
          <cell r="E19047">
            <v>0</v>
          </cell>
          <cell r="F19047">
            <v>0</v>
          </cell>
          <cell r="DN19047">
            <v>0</v>
          </cell>
        </row>
        <row r="19048">
          <cell r="E19048">
            <v>0</v>
          </cell>
          <cell r="F19048">
            <v>0</v>
          </cell>
          <cell r="DN19048">
            <v>0</v>
          </cell>
        </row>
        <row r="19049">
          <cell r="E19049">
            <v>0</v>
          </cell>
          <cell r="F19049">
            <v>0</v>
          </cell>
          <cell r="DN19049">
            <v>0</v>
          </cell>
        </row>
        <row r="19050">
          <cell r="E19050">
            <v>0</v>
          </cell>
          <cell r="F19050">
            <v>0</v>
          </cell>
          <cell r="DN19050">
            <v>0</v>
          </cell>
        </row>
        <row r="19051">
          <cell r="E19051">
            <v>0</v>
          </cell>
          <cell r="F19051">
            <v>0</v>
          </cell>
          <cell r="DN19051">
            <v>0</v>
          </cell>
        </row>
        <row r="19052">
          <cell r="E19052">
            <v>0</v>
          </cell>
          <cell r="F19052">
            <v>0</v>
          </cell>
          <cell r="DN19052">
            <v>0</v>
          </cell>
        </row>
        <row r="19053">
          <cell r="E19053">
            <v>0</v>
          </cell>
          <cell r="F19053">
            <v>0</v>
          </cell>
          <cell r="DN19053">
            <v>0</v>
          </cell>
        </row>
        <row r="19054">
          <cell r="E19054">
            <v>0</v>
          </cell>
          <cell r="F19054">
            <v>0</v>
          </cell>
          <cell r="DN19054">
            <v>0</v>
          </cell>
        </row>
        <row r="19055">
          <cell r="E19055">
            <v>0</v>
          </cell>
          <cell r="F19055">
            <v>0</v>
          </cell>
          <cell r="DN19055">
            <v>0</v>
          </cell>
        </row>
        <row r="19056">
          <cell r="E19056">
            <v>0</v>
          </cell>
          <cell r="F19056">
            <v>0</v>
          </cell>
          <cell r="DN19056">
            <v>0</v>
          </cell>
        </row>
        <row r="19057">
          <cell r="E19057">
            <v>0</v>
          </cell>
          <cell r="F19057">
            <v>0</v>
          </cell>
          <cell r="DN19057">
            <v>0</v>
          </cell>
        </row>
        <row r="19058">
          <cell r="E19058">
            <v>0</v>
          </cell>
          <cell r="F19058">
            <v>0</v>
          </cell>
          <cell r="DN19058">
            <v>0</v>
          </cell>
        </row>
        <row r="19059">
          <cell r="E19059">
            <v>0</v>
          </cell>
          <cell r="F19059">
            <v>0</v>
          </cell>
          <cell r="DN19059">
            <v>0</v>
          </cell>
        </row>
        <row r="19060">
          <cell r="E19060">
            <v>0</v>
          </cell>
          <cell r="F19060">
            <v>0</v>
          </cell>
          <cell r="DN19060">
            <v>0</v>
          </cell>
        </row>
        <row r="19061">
          <cell r="E19061">
            <v>0</v>
          </cell>
          <cell r="F19061">
            <v>0</v>
          </cell>
          <cell r="DN19061">
            <v>0</v>
          </cell>
        </row>
        <row r="19062">
          <cell r="E19062">
            <v>0</v>
          </cell>
          <cell r="F19062">
            <v>0</v>
          </cell>
          <cell r="DN19062">
            <v>0</v>
          </cell>
        </row>
        <row r="19063">
          <cell r="E19063">
            <v>0</v>
          </cell>
          <cell r="F19063">
            <v>0</v>
          </cell>
          <cell r="DN19063">
            <v>0</v>
          </cell>
        </row>
        <row r="19064">
          <cell r="E19064">
            <v>0</v>
          </cell>
          <cell r="F19064">
            <v>0</v>
          </cell>
          <cell r="DN19064">
            <v>0</v>
          </cell>
        </row>
        <row r="19065">
          <cell r="E19065">
            <v>0</v>
          </cell>
          <cell r="F19065">
            <v>0</v>
          </cell>
          <cell r="DN19065">
            <v>0</v>
          </cell>
        </row>
        <row r="19066">
          <cell r="E19066">
            <v>0</v>
          </cell>
          <cell r="F19066">
            <v>0</v>
          </cell>
          <cell r="DN19066">
            <v>0</v>
          </cell>
        </row>
        <row r="19067">
          <cell r="E19067">
            <v>0</v>
          </cell>
          <cell r="F19067">
            <v>0</v>
          </cell>
          <cell r="DN19067">
            <v>0</v>
          </cell>
        </row>
        <row r="19068">
          <cell r="E19068">
            <v>0</v>
          </cell>
          <cell r="F19068">
            <v>0</v>
          </cell>
          <cell r="DN19068">
            <v>0</v>
          </cell>
        </row>
        <row r="19069">
          <cell r="E19069">
            <v>0</v>
          </cell>
          <cell r="F19069">
            <v>0</v>
          </cell>
          <cell r="DN19069">
            <v>0</v>
          </cell>
        </row>
        <row r="19070">
          <cell r="E19070">
            <v>0</v>
          </cell>
          <cell r="F19070">
            <v>0</v>
          </cell>
          <cell r="DN19070">
            <v>0</v>
          </cell>
        </row>
        <row r="19071">
          <cell r="E19071">
            <v>0</v>
          </cell>
          <cell r="F19071">
            <v>0</v>
          </cell>
          <cell r="DN19071">
            <v>0</v>
          </cell>
        </row>
        <row r="19072">
          <cell r="E19072">
            <v>0</v>
          </cell>
          <cell r="F19072">
            <v>0</v>
          </cell>
          <cell r="DN19072">
            <v>0</v>
          </cell>
        </row>
        <row r="19073">
          <cell r="E19073">
            <v>0</v>
          </cell>
          <cell r="F19073">
            <v>0</v>
          </cell>
          <cell r="DN19073">
            <v>0</v>
          </cell>
        </row>
        <row r="19074">
          <cell r="E19074">
            <v>0</v>
          </cell>
          <cell r="F19074">
            <v>0</v>
          </cell>
          <cell r="DN19074">
            <v>0</v>
          </cell>
        </row>
        <row r="19075">
          <cell r="E19075">
            <v>0</v>
          </cell>
          <cell r="F19075">
            <v>0</v>
          </cell>
          <cell r="DN19075">
            <v>0</v>
          </cell>
        </row>
        <row r="19076">
          <cell r="E19076">
            <v>0</v>
          </cell>
          <cell r="F19076">
            <v>0</v>
          </cell>
          <cell r="DN19076">
            <v>0</v>
          </cell>
        </row>
        <row r="19077">
          <cell r="E19077">
            <v>0</v>
          </cell>
          <cell r="F19077">
            <v>0</v>
          </cell>
          <cell r="DN19077">
            <v>0</v>
          </cell>
        </row>
        <row r="19078">
          <cell r="E19078">
            <v>0</v>
          </cell>
          <cell r="F19078">
            <v>0</v>
          </cell>
          <cell r="DN19078">
            <v>0</v>
          </cell>
        </row>
        <row r="19079">
          <cell r="E19079">
            <v>0</v>
          </cell>
          <cell r="F19079">
            <v>0</v>
          </cell>
          <cell r="DN19079">
            <v>0</v>
          </cell>
        </row>
        <row r="19080">
          <cell r="E19080">
            <v>0</v>
          </cell>
          <cell r="F19080">
            <v>0</v>
          </cell>
          <cell r="DN19080">
            <v>0</v>
          </cell>
        </row>
        <row r="19081">
          <cell r="E19081">
            <v>0</v>
          </cell>
          <cell r="F19081">
            <v>0</v>
          </cell>
          <cell r="DN19081">
            <v>0</v>
          </cell>
        </row>
        <row r="19082">
          <cell r="E19082">
            <v>0</v>
          </cell>
          <cell r="F19082">
            <v>0</v>
          </cell>
          <cell r="DN19082">
            <v>0</v>
          </cell>
        </row>
        <row r="19083">
          <cell r="E19083">
            <v>0</v>
          </cell>
          <cell r="F19083">
            <v>0</v>
          </cell>
          <cell r="DN19083">
            <v>0</v>
          </cell>
        </row>
        <row r="19084">
          <cell r="E19084">
            <v>0</v>
          </cell>
          <cell r="F19084">
            <v>0</v>
          </cell>
          <cell r="DN19084">
            <v>0</v>
          </cell>
        </row>
        <row r="19085">
          <cell r="E19085">
            <v>0</v>
          </cell>
          <cell r="F19085">
            <v>0</v>
          </cell>
          <cell r="DN19085">
            <v>0</v>
          </cell>
        </row>
        <row r="19086">
          <cell r="E19086">
            <v>0</v>
          </cell>
          <cell r="F19086">
            <v>0</v>
          </cell>
          <cell r="DN19086">
            <v>0</v>
          </cell>
        </row>
        <row r="19087">
          <cell r="E19087">
            <v>0</v>
          </cell>
          <cell r="F19087">
            <v>0</v>
          </cell>
          <cell r="DN19087">
            <v>0</v>
          </cell>
        </row>
        <row r="19088">
          <cell r="E19088">
            <v>0</v>
          </cell>
          <cell r="F19088">
            <v>0</v>
          </cell>
          <cell r="DN19088">
            <v>0</v>
          </cell>
        </row>
        <row r="19089">
          <cell r="E19089">
            <v>0</v>
          </cell>
          <cell r="F19089">
            <v>0</v>
          </cell>
          <cell r="DN19089">
            <v>0</v>
          </cell>
        </row>
        <row r="19090">
          <cell r="E19090">
            <v>0</v>
          </cell>
          <cell r="F19090">
            <v>0</v>
          </cell>
          <cell r="DN19090">
            <v>0</v>
          </cell>
        </row>
        <row r="19091">
          <cell r="E19091">
            <v>0</v>
          </cell>
          <cell r="F19091">
            <v>0</v>
          </cell>
          <cell r="DN19091">
            <v>0</v>
          </cell>
        </row>
        <row r="19092">
          <cell r="E19092">
            <v>0</v>
          </cell>
          <cell r="F19092">
            <v>0</v>
          </cell>
          <cell r="DN19092">
            <v>0</v>
          </cell>
        </row>
        <row r="19093">
          <cell r="E19093">
            <v>0</v>
          </cell>
          <cell r="F19093">
            <v>0</v>
          </cell>
          <cell r="DN19093">
            <v>0</v>
          </cell>
        </row>
        <row r="19094">
          <cell r="E19094">
            <v>0</v>
          </cell>
          <cell r="F19094">
            <v>0</v>
          </cell>
          <cell r="DN19094">
            <v>0</v>
          </cell>
        </row>
        <row r="19095">
          <cell r="E19095">
            <v>0</v>
          </cell>
          <cell r="F19095">
            <v>0</v>
          </cell>
          <cell r="DN19095">
            <v>0</v>
          </cell>
        </row>
        <row r="19096">
          <cell r="E19096">
            <v>0</v>
          </cell>
          <cell r="F19096">
            <v>0</v>
          </cell>
          <cell r="DN19096">
            <v>0</v>
          </cell>
        </row>
        <row r="19097">
          <cell r="E19097">
            <v>0</v>
          </cell>
          <cell r="F19097">
            <v>0</v>
          </cell>
          <cell r="DN19097">
            <v>0</v>
          </cell>
        </row>
        <row r="19098">
          <cell r="E19098">
            <v>0</v>
          </cell>
          <cell r="F19098">
            <v>0</v>
          </cell>
          <cell r="DN19098">
            <v>0</v>
          </cell>
        </row>
        <row r="19099">
          <cell r="E19099">
            <v>0</v>
          </cell>
          <cell r="F19099">
            <v>0</v>
          </cell>
          <cell r="DN19099">
            <v>0</v>
          </cell>
        </row>
        <row r="19100">
          <cell r="E19100">
            <v>0</v>
          </cell>
          <cell r="F19100">
            <v>0</v>
          </cell>
          <cell r="DN19100">
            <v>0</v>
          </cell>
        </row>
        <row r="19101">
          <cell r="E19101">
            <v>0</v>
          </cell>
          <cell r="F19101">
            <v>0</v>
          </cell>
          <cell r="DN19101">
            <v>0</v>
          </cell>
        </row>
        <row r="19102">
          <cell r="E19102">
            <v>0</v>
          </cell>
          <cell r="F19102">
            <v>0</v>
          </cell>
          <cell r="DN19102">
            <v>0</v>
          </cell>
        </row>
        <row r="19103">
          <cell r="E19103">
            <v>0</v>
          </cell>
          <cell r="F19103">
            <v>0</v>
          </cell>
          <cell r="DN19103">
            <v>0</v>
          </cell>
        </row>
        <row r="19104">
          <cell r="E19104">
            <v>0</v>
          </cell>
          <cell r="F19104">
            <v>0</v>
          </cell>
          <cell r="DN19104">
            <v>0</v>
          </cell>
        </row>
        <row r="19105">
          <cell r="E19105">
            <v>0</v>
          </cell>
          <cell r="F19105">
            <v>0</v>
          </cell>
          <cell r="DN19105">
            <v>0</v>
          </cell>
        </row>
        <row r="19106">
          <cell r="E19106">
            <v>0</v>
          </cell>
          <cell r="F19106">
            <v>0</v>
          </cell>
          <cell r="DN19106">
            <v>0</v>
          </cell>
        </row>
        <row r="19107">
          <cell r="E19107">
            <v>0</v>
          </cell>
          <cell r="F19107">
            <v>0</v>
          </cell>
          <cell r="DN19107">
            <v>0</v>
          </cell>
        </row>
        <row r="19108">
          <cell r="E19108">
            <v>0</v>
          </cell>
          <cell r="F19108">
            <v>0</v>
          </cell>
          <cell r="DN19108">
            <v>0</v>
          </cell>
        </row>
        <row r="19109">
          <cell r="E19109">
            <v>0</v>
          </cell>
          <cell r="F19109">
            <v>0</v>
          </cell>
          <cell r="DN19109">
            <v>0</v>
          </cell>
        </row>
        <row r="19110">
          <cell r="E19110">
            <v>0</v>
          </cell>
          <cell r="F19110">
            <v>0</v>
          </cell>
          <cell r="DN19110">
            <v>0</v>
          </cell>
        </row>
        <row r="19111">
          <cell r="E19111">
            <v>0</v>
          </cell>
          <cell r="F19111">
            <v>0</v>
          </cell>
          <cell r="DN19111">
            <v>0</v>
          </cell>
        </row>
        <row r="19112">
          <cell r="E19112">
            <v>0</v>
          </cell>
          <cell r="F19112">
            <v>0</v>
          </cell>
          <cell r="DN19112">
            <v>0</v>
          </cell>
        </row>
        <row r="19113">
          <cell r="E19113">
            <v>0</v>
          </cell>
          <cell r="F19113">
            <v>0</v>
          </cell>
          <cell r="DN19113">
            <v>0</v>
          </cell>
        </row>
        <row r="19114">
          <cell r="E19114">
            <v>0</v>
          </cell>
          <cell r="F19114">
            <v>0</v>
          </cell>
          <cell r="DN19114">
            <v>0</v>
          </cell>
        </row>
        <row r="19115">
          <cell r="E19115">
            <v>0</v>
          </cell>
          <cell r="F19115">
            <v>0</v>
          </cell>
          <cell r="DN19115">
            <v>0</v>
          </cell>
        </row>
        <row r="19116">
          <cell r="E19116">
            <v>0</v>
          </cell>
          <cell r="F19116">
            <v>0</v>
          </cell>
          <cell r="DN19116">
            <v>0</v>
          </cell>
        </row>
        <row r="19117">
          <cell r="E19117">
            <v>0</v>
          </cell>
          <cell r="F19117">
            <v>0</v>
          </cell>
          <cell r="DN19117">
            <v>0</v>
          </cell>
        </row>
        <row r="19118">
          <cell r="E19118">
            <v>0</v>
          </cell>
          <cell r="F19118">
            <v>0</v>
          </cell>
          <cell r="DN19118">
            <v>0</v>
          </cell>
        </row>
        <row r="19119">
          <cell r="E19119">
            <v>0</v>
          </cell>
          <cell r="F19119">
            <v>0</v>
          </cell>
          <cell r="DN19119">
            <v>0</v>
          </cell>
        </row>
        <row r="19120">
          <cell r="E19120">
            <v>0</v>
          </cell>
          <cell r="F19120">
            <v>0</v>
          </cell>
          <cell r="DN19120">
            <v>0</v>
          </cell>
        </row>
        <row r="19121">
          <cell r="E19121">
            <v>0</v>
          </cell>
          <cell r="F19121">
            <v>0</v>
          </cell>
          <cell r="DN19121">
            <v>0</v>
          </cell>
        </row>
        <row r="19122">
          <cell r="E19122">
            <v>0</v>
          </cell>
          <cell r="F19122">
            <v>0</v>
          </cell>
          <cell r="DN19122">
            <v>0</v>
          </cell>
        </row>
        <row r="19123">
          <cell r="E19123">
            <v>0</v>
          </cell>
          <cell r="F19123">
            <v>0</v>
          </cell>
          <cell r="DN19123">
            <v>0</v>
          </cell>
        </row>
        <row r="19124">
          <cell r="E19124">
            <v>0</v>
          </cell>
          <cell r="F19124">
            <v>0</v>
          </cell>
          <cell r="DN19124">
            <v>0</v>
          </cell>
        </row>
        <row r="19125">
          <cell r="E19125">
            <v>0</v>
          </cell>
          <cell r="F19125">
            <v>0</v>
          </cell>
          <cell r="DN19125">
            <v>0</v>
          </cell>
        </row>
        <row r="19126">
          <cell r="E19126">
            <v>0</v>
          </cell>
          <cell r="F19126">
            <v>0</v>
          </cell>
          <cell r="DN19126">
            <v>0</v>
          </cell>
        </row>
        <row r="19127">
          <cell r="E19127">
            <v>0</v>
          </cell>
          <cell r="F19127">
            <v>0</v>
          </cell>
          <cell r="DN19127">
            <v>0</v>
          </cell>
        </row>
        <row r="19128">
          <cell r="E19128">
            <v>0</v>
          </cell>
          <cell r="F19128">
            <v>0</v>
          </cell>
          <cell r="DN19128">
            <v>0</v>
          </cell>
        </row>
        <row r="19129">
          <cell r="E19129">
            <v>0</v>
          </cell>
          <cell r="F19129">
            <v>0</v>
          </cell>
          <cell r="DN19129">
            <v>0</v>
          </cell>
        </row>
        <row r="19130">
          <cell r="E19130">
            <v>0</v>
          </cell>
          <cell r="F19130">
            <v>0</v>
          </cell>
          <cell r="DN19130">
            <v>0</v>
          </cell>
        </row>
        <row r="19131">
          <cell r="E19131">
            <v>0</v>
          </cell>
          <cell r="F19131">
            <v>0</v>
          </cell>
          <cell r="DN19131">
            <v>0</v>
          </cell>
        </row>
        <row r="19132">
          <cell r="E19132">
            <v>0</v>
          </cell>
          <cell r="F19132">
            <v>0</v>
          </cell>
          <cell r="DN19132">
            <v>0</v>
          </cell>
        </row>
        <row r="19133">
          <cell r="E19133">
            <v>0</v>
          </cell>
          <cell r="F19133">
            <v>0</v>
          </cell>
          <cell r="DN19133">
            <v>0</v>
          </cell>
        </row>
        <row r="19134">
          <cell r="E19134">
            <v>0</v>
          </cell>
          <cell r="F19134">
            <v>0</v>
          </cell>
          <cell r="DN19134">
            <v>0</v>
          </cell>
        </row>
        <row r="19135">
          <cell r="E19135">
            <v>0</v>
          </cell>
          <cell r="F19135">
            <v>0</v>
          </cell>
          <cell r="DN19135">
            <v>0</v>
          </cell>
        </row>
        <row r="19136">
          <cell r="E19136">
            <v>0</v>
          </cell>
          <cell r="F19136">
            <v>0</v>
          </cell>
          <cell r="DN19136">
            <v>0</v>
          </cell>
        </row>
        <row r="19137">
          <cell r="E19137">
            <v>0</v>
          </cell>
          <cell r="F19137">
            <v>0</v>
          </cell>
          <cell r="DN19137">
            <v>0</v>
          </cell>
        </row>
        <row r="19138">
          <cell r="E19138">
            <v>0</v>
          </cell>
          <cell r="F19138">
            <v>0</v>
          </cell>
          <cell r="DN19138">
            <v>0</v>
          </cell>
        </row>
        <row r="19139">
          <cell r="E19139">
            <v>0</v>
          </cell>
          <cell r="F19139">
            <v>0</v>
          </cell>
          <cell r="DN19139">
            <v>0</v>
          </cell>
        </row>
        <row r="19140">
          <cell r="E19140">
            <v>0</v>
          </cell>
          <cell r="F19140">
            <v>0</v>
          </cell>
          <cell r="DN19140">
            <v>0</v>
          </cell>
        </row>
        <row r="19141">
          <cell r="E19141">
            <v>0</v>
          </cell>
          <cell r="F19141">
            <v>0</v>
          </cell>
          <cell r="DN19141">
            <v>0</v>
          </cell>
        </row>
        <row r="19142">
          <cell r="E19142">
            <v>0</v>
          </cell>
          <cell r="F19142">
            <v>0</v>
          </cell>
          <cell r="DN19142">
            <v>0</v>
          </cell>
        </row>
        <row r="19143">
          <cell r="E19143">
            <v>0</v>
          </cell>
          <cell r="F19143">
            <v>0</v>
          </cell>
          <cell r="DN19143">
            <v>0</v>
          </cell>
        </row>
        <row r="19144">
          <cell r="E19144">
            <v>0</v>
          </cell>
          <cell r="F19144">
            <v>0</v>
          </cell>
          <cell r="DN19144">
            <v>0</v>
          </cell>
        </row>
        <row r="19145">
          <cell r="E19145">
            <v>0</v>
          </cell>
          <cell r="F19145">
            <v>0</v>
          </cell>
          <cell r="DN19145">
            <v>0</v>
          </cell>
        </row>
        <row r="19146">
          <cell r="E19146">
            <v>0</v>
          </cell>
          <cell r="F19146">
            <v>0</v>
          </cell>
          <cell r="DN19146">
            <v>0</v>
          </cell>
        </row>
        <row r="19147">
          <cell r="E19147">
            <v>0</v>
          </cell>
          <cell r="F19147">
            <v>0</v>
          </cell>
          <cell r="DN19147">
            <v>0</v>
          </cell>
        </row>
        <row r="19148">
          <cell r="E19148">
            <v>0</v>
          </cell>
          <cell r="F19148">
            <v>0</v>
          </cell>
          <cell r="DN19148">
            <v>0</v>
          </cell>
        </row>
        <row r="19149">
          <cell r="E19149">
            <v>0</v>
          </cell>
          <cell r="F19149">
            <v>0</v>
          </cell>
          <cell r="DN19149">
            <v>0</v>
          </cell>
        </row>
        <row r="19150">
          <cell r="E19150">
            <v>0</v>
          </cell>
          <cell r="F19150">
            <v>0</v>
          </cell>
          <cell r="DN19150">
            <v>0</v>
          </cell>
        </row>
        <row r="19151">
          <cell r="E19151">
            <v>0</v>
          </cell>
          <cell r="F19151">
            <v>0</v>
          </cell>
          <cell r="DN19151">
            <v>0</v>
          </cell>
        </row>
        <row r="19152">
          <cell r="E19152">
            <v>0</v>
          </cell>
          <cell r="F19152">
            <v>0</v>
          </cell>
          <cell r="DN19152">
            <v>0</v>
          </cell>
        </row>
        <row r="19153">
          <cell r="E19153">
            <v>0</v>
          </cell>
          <cell r="F19153">
            <v>0</v>
          </cell>
          <cell r="DN19153">
            <v>0</v>
          </cell>
        </row>
        <row r="19154">
          <cell r="E19154">
            <v>0</v>
          </cell>
          <cell r="F19154">
            <v>0</v>
          </cell>
          <cell r="DN19154">
            <v>0</v>
          </cell>
        </row>
        <row r="19155">
          <cell r="E19155">
            <v>0</v>
          </cell>
          <cell r="F19155">
            <v>0</v>
          </cell>
          <cell r="DN19155">
            <v>0</v>
          </cell>
        </row>
        <row r="19156">
          <cell r="E19156">
            <v>0</v>
          </cell>
          <cell r="F19156">
            <v>0</v>
          </cell>
          <cell r="DN19156">
            <v>0</v>
          </cell>
        </row>
        <row r="19157">
          <cell r="E19157">
            <v>0</v>
          </cell>
          <cell r="F19157">
            <v>0</v>
          </cell>
          <cell r="DN19157">
            <v>0</v>
          </cell>
        </row>
        <row r="19158">
          <cell r="E19158">
            <v>0</v>
          </cell>
          <cell r="F19158">
            <v>0</v>
          </cell>
          <cell r="DN19158">
            <v>0</v>
          </cell>
        </row>
        <row r="19159">
          <cell r="E19159">
            <v>0</v>
          </cell>
          <cell r="F19159">
            <v>0</v>
          </cell>
          <cell r="DN19159">
            <v>0</v>
          </cell>
        </row>
        <row r="19160">
          <cell r="E19160">
            <v>0</v>
          </cell>
          <cell r="F19160">
            <v>0</v>
          </cell>
          <cell r="DN19160">
            <v>0</v>
          </cell>
        </row>
        <row r="19161">
          <cell r="E19161">
            <v>0</v>
          </cell>
          <cell r="F19161">
            <v>0</v>
          </cell>
          <cell r="DN19161">
            <v>0</v>
          </cell>
        </row>
        <row r="19162">
          <cell r="E19162">
            <v>0</v>
          </cell>
          <cell r="F19162">
            <v>0</v>
          </cell>
          <cell r="DN19162">
            <v>0</v>
          </cell>
        </row>
        <row r="19163">
          <cell r="E19163">
            <v>0</v>
          </cell>
          <cell r="F19163">
            <v>0</v>
          </cell>
          <cell r="DN19163">
            <v>0</v>
          </cell>
        </row>
        <row r="19164">
          <cell r="E19164">
            <v>0</v>
          </cell>
          <cell r="F19164">
            <v>0</v>
          </cell>
          <cell r="DN19164">
            <v>0</v>
          </cell>
        </row>
        <row r="19165">
          <cell r="E19165">
            <v>0</v>
          </cell>
          <cell r="F19165">
            <v>0</v>
          </cell>
          <cell r="DN19165">
            <v>0</v>
          </cell>
        </row>
        <row r="19166">
          <cell r="E19166">
            <v>0</v>
          </cell>
          <cell r="F19166">
            <v>0</v>
          </cell>
          <cell r="DN19166">
            <v>0</v>
          </cell>
        </row>
        <row r="19167">
          <cell r="E19167">
            <v>0</v>
          </cell>
          <cell r="F19167">
            <v>0</v>
          </cell>
          <cell r="DN19167">
            <v>0</v>
          </cell>
        </row>
        <row r="19168">
          <cell r="E19168">
            <v>0</v>
          </cell>
          <cell r="F19168">
            <v>0</v>
          </cell>
          <cell r="DN19168">
            <v>0</v>
          </cell>
        </row>
        <row r="19169">
          <cell r="E19169">
            <v>0</v>
          </cell>
          <cell r="F19169">
            <v>0</v>
          </cell>
          <cell r="DN19169">
            <v>0</v>
          </cell>
        </row>
        <row r="19170">
          <cell r="E19170">
            <v>0</v>
          </cell>
          <cell r="F19170">
            <v>0</v>
          </cell>
          <cell r="DN19170">
            <v>0</v>
          </cell>
        </row>
        <row r="19171">
          <cell r="E19171">
            <v>0</v>
          </cell>
          <cell r="F19171">
            <v>0</v>
          </cell>
          <cell r="DN19171">
            <v>0</v>
          </cell>
        </row>
        <row r="19172">
          <cell r="E19172">
            <v>0</v>
          </cell>
          <cell r="F19172">
            <v>0</v>
          </cell>
          <cell r="DN19172">
            <v>0</v>
          </cell>
        </row>
        <row r="19173">
          <cell r="E19173">
            <v>0</v>
          </cell>
          <cell r="F19173">
            <v>0</v>
          </cell>
          <cell r="DN19173">
            <v>0</v>
          </cell>
        </row>
        <row r="19174">
          <cell r="E19174">
            <v>0</v>
          </cell>
          <cell r="F19174">
            <v>0</v>
          </cell>
          <cell r="DN19174">
            <v>0</v>
          </cell>
        </row>
        <row r="19175">
          <cell r="E19175">
            <v>0</v>
          </cell>
          <cell r="F19175">
            <v>0</v>
          </cell>
          <cell r="DN19175">
            <v>0</v>
          </cell>
        </row>
        <row r="19176">
          <cell r="E19176">
            <v>0</v>
          </cell>
          <cell r="F19176">
            <v>0</v>
          </cell>
          <cell r="DN19176">
            <v>0</v>
          </cell>
        </row>
        <row r="19177">
          <cell r="E19177">
            <v>0</v>
          </cell>
          <cell r="F19177">
            <v>0</v>
          </cell>
          <cell r="DN19177">
            <v>0</v>
          </cell>
        </row>
        <row r="19178">
          <cell r="E19178">
            <v>0</v>
          </cell>
          <cell r="F19178">
            <v>0</v>
          </cell>
          <cell r="DN19178">
            <v>0</v>
          </cell>
        </row>
        <row r="19179">
          <cell r="E19179">
            <v>0</v>
          </cell>
          <cell r="F19179">
            <v>0</v>
          </cell>
          <cell r="DN19179">
            <v>0</v>
          </cell>
        </row>
        <row r="19180">
          <cell r="E19180">
            <v>0</v>
          </cell>
          <cell r="F19180">
            <v>0</v>
          </cell>
          <cell r="DN19180">
            <v>0</v>
          </cell>
        </row>
        <row r="19181">
          <cell r="E19181">
            <v>0</v>
          </cell>
          <cell r="F19181">
            <v>0</v>
          </cell>
          <cell r="DN19181">
            <v>0</v>
          </cell>
        </row>
        <row r="19182">
          <cell r="E19182">
            <v>0</v>
          </cell>
          <cell r="F19182">
            <v>0</v>
          </cell>
          <cell r="DN19182">
            <v>0</v>
          </cell>
        </row>
        <row r="19183">
          <cell r="E19183">
            <v>0</v>
          </cell>
          <cell r="F19183">
            <v>0</v>
          </cell>
          <cell r="DN19183">
            <v>0</v>
          </cell>
        </row>
        <row r="19184">
          <cell r="E19184">
            <v>0</v>
          </cell>
          <cell r="F19184">
            <v>0</v>
          </cell>
          <cell r="DN19184">
            <v>0</v>
          </cell>
        </row>
        <row r="19185">
          <cell r="E19185">
            <v>0</v>
          </cell>
          <cell r="F19185">
            <v>0</v>
          </cell>
          <cell r="DN19185">
            <v>0</v>
          </cell>
        </row>
        <row r="19186">
          <cell r="E19186">
            <v>0</v>
          </cell>
          <cell r="F19186">
            <v>0</v>
          </cell>
          <cell r="DN19186">
            <v>0</v>
          </cell>
        </row>
        <row r="19187">
          <cell r="E19187">
            <v>0</v>
          </cell>
          <cell r="F19187">
            <v>0</v>
          </cell>
          <cell r="DN19187">
            <v>0</v>
          </cell>
        </row>
        <row r="19188">
          <cell r="E19188">
            <v>0</v>
          </cell>
          <cell r="F19188">
            <v>0</v>
          </cell>
          <cell r="DN19188">
            <v>0</v>
          </cell>
        </row>
        <row r="19189">
          <cell r="E19189">
            <v>0</v>
          </cell>
          <cell r="F19189">
            <v>0</v>
          </cell>
          <cell r="DN19189">
            <v>0</v>
          </cell>
        </row>
        <row r="19190">
          <cell r="E19190">
            <v>0</v>
          </cell>
          <cell r="F19190">
            <v>0</v>
          </cell>
          <cell r="DN19190">
            <v>0</v>
          </cell>
        </row>
        <row r="19191">
          <cell r="E19191">
            <v>0</v>
          </cell>
          <cell r="F19191">
            <v>0</v>
          </cell>
          <cell r="DN19191">
            <v>0</v>
          </cell>
        </row>
        <row r="19192">
          <cell r="E19192">
            <v>0</v>
          </cell>
          <cell r="F19192">
            <v>0</v>
          </cell>
          <cell r="DN19192">
            <v>0</v>
          </cell>
        </row>
        <row r="19193">
          <cell r="E19193">
            <v>0</v>
          </cell>
          <cell r="F19193">
            <v>0</v>
          </cell>
          <cell r="DN19193">
            <v>0</v>
          </cell>
        </row>
        <row r="19194">
          <cell r="E19194">
            <v>0</v>
          </cell>
          <cell r="F19194">
            <v>0</v>
          </cell>
          <cell r="DN19194">
            <v>0</v>
          </cell>
        </row>
        <row r="19195">
          <cell r="E19195">
            <v>0</v>
          </cell>
          <cell r="F19195">
            <v>0</v>
          </cell>
          <cell r="DN19195">
            <v>0</v>
          </cell>
        </row>
        <row r="19196">
          <cell r="E19196">
            <v>0</v>
          </cell>
          <cell r="F19196">
            <v>0</v>
          </cell>
          <cell r="DN19196">
            <v>0</v>
          </cell>
        </row>
        <row r="19197">
          <cell r="E19197">
            <v>0</v>
          </cell>
          <cell r="F19197">
            <v>0</v>
          </cell>
          <cell r="DN19197">
            <v>0</v>
          </cell>
        </row>
        <row r="19198">
          <cell r="E19198">
            <v>0</v>
          </cell>
          <cell r="F19198">
            <v>0</v>
          </cell>
          <cell r="DN19198">
            <v>0</v>
          </cell>
        </row>
        <row r="19199">
          <cell r="E19199">
            <v>0</v>
          </cell>
          <cell r="F19199">
            <v>0</v>
          </cell>
          <cell r="DN19199">
            <v>0</v>
          </cell>
        </row>
        <row r="19200">
          <cell r="E19200">
            <v>0</v>
          </cell>
          <cell r="F19200">
            <v>0</v>
          </cell>
          <cell r="DN19200">
            <v>0</v>
          </cell>
        </row>
        <row r="19201">
          <cell r="E19201">
            <v>0</v>
          </cell>
          <cell r="F19201">
            <v>0</v>
          </cell>
          <cell r="DN19201">
            <v>0</v>
          </cell>
        </row>
        <row r="19202">
          <cell r="E19202">
            <v>0</v>
          </cell>
          <cell r="F19202">
            <v>0</v>
          </cell>
          <cell r="DN19202">
            <v>0</v>
          </cell>
        </row>
        <row r="19203">
          <cell r="E19203">
            <v>0</v>
          </cell>
          <cell r="F19203">
            <v>0</v>
          </cell>
          <cell r="DN19203">
            <v>0</v>
          </cell>
        </row>
        <row r="19204">
          <cell r="E19204">
            <v>0</v>
          </cell>
          <cell r="F19204">
            <v>0</v>
          </cell>
          <cell r="DN19204">
            <v>0</v>
          </cell>
        </row>
        <row r="19205">
          <cell r="E19205">
            <v>0</v>
          </cell>
          <cell r="F19205">
            <v>0</v>
          </cell>
          <cell r="DN19205">
            <v>0</v>
          </cell>
        </row>
        <row r="19206">
          <cell r="E19206">
            <v>0</v>
          </cell>
          <cell r="F19206">
            <v>0</v>
          </cell>
          <cell r="DN19206">
            <v>0</v>
          </cell>
        </row>
        <row r="19207">
          <cell r="E19207">
            <v>0</v>
          </cell>
          <cell r="F19207">
            <v>0</v>
          </cell>
          <cell r="DN19207">
            <v>0</v>
          </cell>
        </row>
        <row r="19208">
          <cell r="E19208">
            <v>0</v>
          </cell>
          <cell r="F19208">
            <v>0</v>
          </cell>
          <cell r="DN19208">
            <v>0</v>
          </cell>
        </row>
        <row r="19209">
          <cell r="E19209">
            <v>0</v>
          </cell>
          <cell r="F19209">
            <v>0</v>
          </cell>
          <cell r="DN19209">
            <v>0</v>
          </cell>
        </row>
        <row r="19210">
          <cell r="E19210">
            <v>0</v>
          </cell>
          <cell r="F19210">
            <v>0</v>
          </cell>
          <cell r="DN19210">
            <v>0</v>
          </cell>
        </row>
        <row r="19211">
          <cell r="E19211">
            <v>0</v>
          </cell>
          <cell r="F19211">
            <v>0</v>
          </cell>
          <cell r="DN19211">
            <v>0</v>
          </cell>
        </row>
        <row r="19212">
          <cell r="E19212">
            <v>0</v>
          </cell>
          <cell r="F19212">
            <v>0</v>
          </cell>
          <cell r="DN19212">
            <v>0</v>
          </cell>
        </row>
        <row r="19213">
          <cell r="E19213">
            <v>0</v>
          </cell>
          <cell r="F19213">
            <v>0</v>
          </cell>
          <cell r="DN19213">
            <v>0</v>
          </cell>
        </row>
        <row r="19214">
          <cell r="E19214">
            <v>0</v>
          </cell>
          <cell r="F19214">
            <v>0</v>
          </cell>
          <cell r="DN19214">
            <v>0</v>
          </cell>
        </row>
        <row r="19215">
          <cell r="E19215">
            <v>0</v>
          </cell>
          <cell r="F19215">
            <v>0</v>
          </cell>
          <cell r="DN19215">
            <v>0</v>
          </cell>
        </row>
        <row r="19216">
          <cell r="E19216">
            <v>0</v>
          </cell>
          <cell r="F19216">
            <v>0</v>
          </cell>
          <cell r="DN19216">
            <v>0</v>
          </cell>
        </row>
        <row r="19217">
          <cell r="E19217">
            <v>0</v>
          </cell>
          <cell r="F19217">
            <v>0</v>
          </cell>
          <cell r="DN19217">
            <v>0</v>
          </cell>
        </row>
        <row r="19218">
          <cell r="E19218">
            <v>0</v>
          </cell>
          <cell r="F19218">
            <v>0</v>
          </cell>
          <cell r="DN19218">
            <v>0</v>
          </cell>
        </row>
        <row r="19219">
          <cell r="E19219">
            <v>0</v>
          </cell>
          <cell r="F19219">
            <v>0</v>
          </cell>
          <cell r="DN19219">
            <v>0</v>
          </cell>
        </row>
        <row r="19220">
          <cell r="E19220">
            <v>0</v>
          </cell>
          <cell r="F19220">
            <v>0</v>
          </cell>
          <cell r="DN19220">
            <v>0</v>
          </cell>
        </row>
        <row r="19221">
          <cell r="E19221">
            <v>0</v>
          </cell>
          <cell r="F19221">
            <v>0</v>
          </cell>
          <cell r="DN19221">
            <v>0</v>
          </cell>
        </row>
        <row r="19222">
          <cell r="E19222">
            <v>0</v>
          </cell>
          <cell r="F19222">
            <v>0</v>
          </cell>
          <cell r="DN19222">
            <v>0</v>
          </cell>
        </row>
        <row r="19223">
          <cell r="E19223">
            <v>0</v>
          </cell>
          <cell r="F19223">
            <v>0</v>
          </cell>
          <cell r="DN19223">
            <v>0</v>
          </cell>
        </row>
        <row r="19224">
          <cell r="E19224">
            <v>0</v>
          </cell>
          <cell r="F19224">
            <v>0</v>
          </cell>
          <cell r="DN19224">
            <v>0</v>
          </cell>
        </row>
        <row r="19225">
          <cell r="E19225">
            <v>0</v>
          </cell>
          <cell r="F19225">
            <v>0</v>
          </cell>
          <cell r="DN19225">
            <v>0</v>
          </cell>
        </row>
        <row r="19226">
          <cell r="E19226">
            <v>0</v>
          </cell>
          <cell r="F19226">
            <v>0</v>
          </cell>
          <cell r="DN19226">
            <v>0</v>
          </cell>
        </row>
        <row r="19227">
          <cell r="E19227">
            <v>0</v>
          </cell>
          <cell r="F19227">
            <v>0</v>
          </cell>
          <cell r="DN19227">
            <v>0</v>
          </cell>
        </row>
        <row r="19228">
          <cell r="E19228">
            <v>0</v>
          </cell>
          <cell r="F19228">
            <v>0</v>
          </cell>
          <cell r="DN19228">
            <v>0</v>
          </cell>
        </row>
        <row r="19229">
          <cell r="E19229">
            <v>0</v>
          </cell>
          <cell r="F19229">
            <v>0</v>
          </cell>
          <cell r="DN19229">
            <v>0</v>
          </cell>
        </row>
        <row r="19230">
          <cell r="E19230">
            <v>0</v>
          </cell>
          <cell r="F19230">
            <v>0</v>
          </cell>
          <cell r="DN19230">
            <v>0</v>
          </cell>
        </row>
        <row r="19231">
          <cell r="E19231">
            <v>0</v>
          </cell>
          <cell r="F19231">
            <v>0</v>
          </cell>
          <cell r="DN19231">
            <v>0</v>
          </cell>
        </row>
        <row r="19232">
          <cell r="E19232">
            <v>0</v>
          </cell>
          <cell r="F19232">
            <v>0</v>
          </cell>
          <cell r="DN19232">
            <v>0</v>
          </cell>
        </row>
        <row r="19233">
          <cell r="E19233">
            <v>0</v>
          </cell>
          <cell r="F19233">
            <v>0</v>
          </cell>
          <cell r="DN19233">
            <v>0</v>
          </cell>
        </row>
        <row r="19234">
          <cell r="E19234">
            <v>0</v>
          </cell>
          <cell r="F19234">
            <v>0</v>
          </cell>
          <cell r="DN19234">
            <v>0</v>
          </cell>
        </row>
        <row r="19235">
          <cell r="E19235">
            <v>0</v>
          </cell>
          <cell r="F19235">
            <v>0</v>
          </cell>
          <cell r="DN19235">
            <v>0</v>
          </cell>
        </row>
        <row r="19236">
          <cell r="E19236">
            <v>0</v>
          </cell>
          <cell r="F19236">
            <v>0</v>
          </cell>
          <cell r="DN19236">
            <v>0</v>
          </cell>
        </row>
        <row r="19237">
          <cell r="E19237">
            <v>0</v>
          </cell>
          <cell r="F19237">
            <v>0</v>
          </cell>
          <cell r="DN19237">
            <v>0</v>
          </cell>
        </row>
        <row r="19238">
          <cell r="E19238">
            <v>0</v>
          </cell>
          <cell r="F19238">
            <v>0</v>
          </cell>
          <cell r="DN19238">
            <v>0</v>
          </cell>
        </row>
        <row r="19239">
          <cell r="E19239">
            <v>0</v>
          </cell>
          <cell r="F19239">
            <v>0</v>
          </cell>
          <cell r="DN19239">
            <v>0</v>
          </cell>
        </row>
        <row r="19240">
          <cell r="E19240">
            <v>0</v>
          </cell>
          <cell r="F19240">
            <v>0</v>
          </cell>
          <cell r="DN19240">
            <v>0</v>
          </cell>
        </row>
        <row r="19241">
          <cell r="E19241">
            <v>0</v>
          </cell>
          <cell r="F19241">
            <v>0</v>
          </cell>
          <cell r="DN19241">
            <v>0</v>
          </cell>
        </row>
        <row r="19242">
          <cell r="E19242">
            <v>0</v>
          </cell>
          <cell r="F19242">
            <v>0</v>
          </cell>
          <cell r="DN19242">
            <v>0</v>
          </cell>
        </row>
        <row r="19243">
          <cell r="E19243">
            <v>0</v>
          </cell>
          <cell r="F19243">
            <v>0</v>
          </cell>
          <cell r="DN19243">
            <v>0</v>
          </cell>
        </row>
        <row r="19244">
          <cell r="E19244">
            <v>0</v>
          </cell>
          <cell r="F19244">
            <v>0</v>
          </cell>
          <cell r="DN19244">
            <v>0</v>
          </cell>
        </row>
        <row r="19245">
          <cell r="E19245">
            <v>0</v>
          </cell>
          <cell r="F19245">
            <v>0</v>
          </cell>
          <cell r="DN19245">
            <v>0</v>
          </cell>
        </row>
        <row r="19246">
          <cell r="E19246">
            <v>0</v>
          </cell>
          <cell r="F19246">
            <v>0</v>
          </cell>
          <cell r="DN19246">
            <v>0</v>
          </cell>
        </row>
        <row r="19247">
          <cell r="E19247">
            <v>0</v>
          </cell>
          <cell r="F19247">
            <v>0</v>
          </cell>
          <cell r="DN19247">
            <v>0</v>
          </cell>
        </row>
        <row r="19248">
          <cell r="E19248">
            <v>0</v>
          </cell>
          <cell r="F19248">
            <v>0</v>
          </cell>
          <cell r="DN19248">
            <v>0</v>
          </cell>
        </row>
        <row r="19249">
          <cell r="E19249">
            <v>0</v>
          </cell>
          <cell r="F19249">
            <v>0</v>
          </cell>
          <cell r="DN19249">
            <v>0</v>
          </cell>
        </row>
        <row r="19250">
          <cell r="E19250">
            <v>0</v>
          </cell>
          <cell r="F19250">
            <v>0</v>
          </cell>
          <cell r="DN19250">
            <v>0</v>
          </cell>
        </row>
        <row r="19251">
          <cell r="E19251">
            <v>0</v>
          </cell>
          <cell r="F19251">
            <v>0</v>
          </cell>
          <cell r="DN19251">
            <v>0</v>
          </cell>
        </row>
        <row r="19252">
          <cell r="E19252">
            <v>0</v>
          </cell>
          <cell r="F19252">
            <v>0</v>
          </cell>
          <cell r="DN19252">
            <v>0</v>
          </cell>
        </row>
        <row r="19253">
          <cell r="E19253">
            <v>0</v>
          </cell>
          <cell r="F19253">
            <v>0</v>
          </cell>
          <cell r="DN19253">
            <v>0</v>
          </cell>
        </row>
        <row r="19254">
          <cell r="E19254">
            <v>0</v>
          </cell>
          <cell r="F19254">
            <v>0</v>
          </cell>
          <cell r="DN19254">
            <v>0</v>
          </cell>
        </row>
        <row r="19255">
          <cell r="E19255">
            <v>0</v>
          </cell>
          <cell r="F19255">
            <v>0</v>
          </cell>
          <cell r="DN19255">
            <v>0</v>
          </cell>
        </row>
        <row r="19256">
          <cell r="E19256">
            <v>0</v>
          </cell>
          <cell r="F19256">
            <v>0</v>
          </cell>
          <cell r="DN19256">
            <v>0</v>
          </cell>
        </row>
        <row r="19257">
          <cell r="E19257">
            <v>0</v>
          </cell>
          <cell r="F19257">
            <v>0</v>
          </cell>
          <cell r="DN19257">
            <v>0</v>
          </cell>
        </row>
        <row r="19258">
          <cell r="E19258">
            <v>0</v>
          </cell>
          <cell r="F19258">
            <v>0</v>
          </cell>
          <cell r="DN19258">
            <v>0</v>
          </cell>
        </row>
        <row r="19259">
          <cell r="E19259">
            <v>0</v>
          </cell>
          <cell r="F19259">
            <v>0</v>
          </cell>
          <cell r="DN19259">
            <v>0</v>
          </cell>
        </row>
        <row r="19260">
          <cell r="E19260">
            <v>0</v>
          </cell>
          <cell r="F19260">
            <v>0</v>
          </cell>
          <cell r="DN19260">
            <v>0</v>
          </cell>
        </row>
        <row r="19261">
          <cell r="E19261">
            <v>0</v>
          </cell>
          <cell r="F19261">
            <v>0</v>
          </cell>
          <cell r="DN19261">
            <v>0</v>
          </cell>
        </row>
        <row r="19262">
          <cell r="E19262">
            <v>0</v>
          </cell>
          <cell r="F19262">
            <v>0</v>
          </cell>
          <cell r="DN19262">
            <v>0</v>
          </cell>
        </row>
        <row r="19263">
          <cell r="E19263">
            <v>0</v>
          </cell>
          <cell r="F19263">
            <v>0</v>
          </cell>
          <cell r="DN19263">
            <v>0</v>
          </cell>
        </row>
        <row r="19264">
          <cell r="E19264">
            <v>0</v>
          </cell>
          <cell r="F19264">
            <v>0</v>
          </cell>
          <cell r="DN19264">
            <v>0</v>
          </cell>
        </row>
        <row r="19265">
          <cell r="E19265">
            <v>0</v>
          </cell>
          <cell r="F19265">
            <v>0</v>
          </cell>
          <cell r="DN19265">
            <v>0</v>
          </cell>
        </row>
        <row r="19266">
          <cell r="E19266">
            <v>0</v>
          </cell>
          <cell r="F19266">
            <v>0</v>
          </cell>
          <cell r="DN19266">
            <v>0</v>
          </cell>
        </row>
        <row r="19267">
          <cell r="E19267">
            <v>0</v>
          </cell>
          <cell r="F19267">
            <v>0</v>
          </cell>
          <cell r="DN19267">
            <v>0</v>
          </cell>
        </row>
        <row r="19268">
          <cell r="E19268">
            <v>0</v>
          </cell>
          <cell r="F19268">
            <v>0</v>
          </cell>
          <cell r="DN19268">
            <v>0</v>
          </cell>
        </row>
        <row r="19269">
          <cell r="E19269">
            <v>0</v>
          </cell>
          <cell r="F19269">
            <v>0</v>
          </cell>
          <cell r="DN19269">
            <v>0</v>
          </cell>
        </row>
        <row r="19270">
          <cell r="E19270">
            <v>0</v>
          </cell>
          <cell r="F19270">
            <v>0</v>
          </cell>
          <cell r="DN19270">
            <v>0</v>
          </cell>
        </row>
        <row r="19271">
          <cell r="E19271">
            <v>0</v>
          </cell>
          <cell r="F19271">
            <v>0</v>
          </cell>
          <cell r="DN19271">
            <v>0</v>
          </cell>
        </row>
        <row r="19272">
          <cell r="E19272">
            <v>0</v>
          </cell>
          <cell r="F19272">
            <v>0</v>
          </cell>
          <cell r="DN19272">
            <v>0</v>
          </cell>
        </row>
        <row r="19273">
          <cell r="E19273">
            <v>0</v>
          </cell>
          <cell r="F19273">
            <v>0</v>
          </cell>
          <cell r="DN19273">
            <v>0</v>
          </cell>
        </row>
        <row r="19274">
          <cell r="E19274">
            <v>0</v>
          </cell>
          <cell r="F19274">
            <v>0</v>
          </cell>
          <cell r="DN19274">
            <v>0</v>
          </cell>
        </row>
        <row r="19275">
          <cell r="E19275">
            <v>0</v>
          </cell>
          <cell r="F19275">
            <v>0</v>
          </cell>
          <cell r="DN19275">
            <v>0</v>
          </cell>
        </row>
        <row r="19276">
          <cell r="E19276">
            <v>0</v>
          </cell>
          <cell r="F19276">
            <v>0</v>
          </cell>
          <cell r="DN19276">
            <v>0</v>
          </cell>
        </row>
        <row r="19277">
          <cell r="E19277">
            <v>0</v>
          </cell>
          <cell r="F19277">
            <v>0</v>
          </cell>
          <cell r="DN19277">
            <v>0</v>
          </cell>
        </row>
        <row r="19278">
          <cell r="E19278">
            <v>0</v>
          </cell>
          <cell r="F19278">
            <v>0</v>
          </cell>
          <cell r="DN19278">
            <v>0</v>
          </cell>
        </row>
        <row r="19279">
          <cell r="E19279">
            <v>0</v>
          </cell>
          <cell r="F19279">
            <v>0</v>
          </cell>
          <cell r="DN19279">
            <v>0</v>
          </cell>
        </row>
        <row r="19280">
          <cell r="E19280">
            <v>0</v>
          </cell>
          <cell r="F19280">
            <v>0</v>
          </cell>
          <cell r="DN19280">
            <v>0</v>
          </cell>
        </row>
        <row r="19281">
          <cell r="E19281">
            <v>0</v>
          </cell>
          <cell r="F19281">
            <v>0</v>
          </cell>
          <cell r="DN19281">
            <v>0</v>
          </cell>
        </row>
        <row r="19282">
          <cell r="E19282">
            <v>0</v>
          </cell>
          <cell r="F19282">
            <v>0</v>
          </cell>
          <cell r="DN19282">
            <v>0</v>
          </cell>
        </row>
        <row r="19283">
          <cell r="E19283">
            <v>0</v>
          </cell>
          <cell r="F19283">
            <v>0</v>
          </cell>
          <cell r="DN19283">
            <v>0</v>
          </cell>
        </row>
        <row r="19284">
          <cell r="E19284">
            <v>0</v>
          </cell>
          <cell r="F19284">
            <v>0</v>
          </cell>
          <cell r="DN19284">
            <v>0</v>
          </cell>
        </row>
        <row r="19285">
          <cell r="E19285">
            <v>0</v>
          </cell>
          <cell r="F19285">
            <v>0</v>
          </cell>
          <cell r="DN19285">
            <v>0</v>
          </cell>
        </row>
        <row r="19286">
          <cell r="E19286">
            <v>0</v>
          </cell>
          <cell r="F19286">
            <v>0</v>
          </cell>
          <cell r="DN19286">
            <v>0</v>
          </cell>
        </row>
        <row r="19287">
          <cell r="E19287">
            <v>0</v>
          </cell>
          <cell r="F19287">
            <v>0</v>
          </cell>
          <cell r="DN19287">
            <v>0</v>
          </cell>
        </row>
        <row r="19288">
          <cell r="E19288">
            <v>0</v>
          </cell>
          <cell r="F19288">
            <v>0</v>
          </cell>
          <cell r="DN19288">
            <v>0</v>
          </cell>
        </row>
        <row r="19289">
          <cell r="E19289">
            <v>0</v>
          </cell>
          <cell r="F19289">
            <v>0</v>
          </cell>
          <cell r="DN19289">
            <v>0</v>
          </cell>
        </row>
        <row r="19290">
          <cell r="E19290">
            <v>0</v>
          </cell>
          <cell r="F19290">
            <v>0</v>
          </cell>
          <cell r="DN19290">
            <v>0</v>
          </cell>
        </row>
        <row r="19291">
          <cell r="E19291">
            <v>0</v>
          </cell>
          <cell r="F19291">
            <v>0</v>
          </cell>
          <cell r="DN19291">
            <v>0</v>
          </cell>
        </row>
        <row r="19292">
          <cell r="E19292">
            <v>0</v>
          </cell>
          <cell r="F19292">
            <v>0</v>
          </cell>
          <cell r="DN19292">
            <v>0</v>
          </cell>
        </row>
        <row r="19293">
          <cell r="E19293">
            <v>0</v>
          </cell>
          <cell r="F19293">
            <v>0</v>
          </cell>
          <cell r="DN19293">
            <v>0</v>
          </cell>
        </row>
        <row r="19294">
          <cell r="E19294">
            <v>0</v>
          </cell>
          <cell r="F19294">
            <v>0</v>
          </cell>
          <cell r="DN19294">
            <v>0</v>
          </cell>
        </row>
        <row r="19295">
          <cell r="E19295">
            <v>0</v>
          </cell>
          <cell r="F19295">
            <v>0</v>
          </cell>
          <cell r="DN19295">
            <v>0</v>
          </cell>
        </row>
        <row r="19296">
          <cell r="E19296">
            <v>0</v>
          </cell>
          <cell r="F19296">
            <v>0</v>
          </cell>
          <cell r="DN19296">
            <v>0</v>
          </cell>
        </row>
        <row r="19297">
          <cell r="E19297">
            <v>0</v>
          </cell>
          <cell r="F19297">
            <v>0</v>
          </cell>
          <cell r="DN19297">
            <v>0</v>
          </cell>
        </row>
        <row r="19298">
          <cell r="E19298">
            <v>0</v>
          </cell>
          <cell r="F19298">
            <v>0</v>
          </cell>
          <cell r="DN19298">
            <v>0</v>
          </cell>
        </row>
        <row r="19299">
          <cell r="E19299">
            <v>0</v>
          </cell>
          <cell r="F19299">
            <v>0</v>
          </cell>
          <cell r="DN19299">
            <v>0</v>
          </cell>
        </row>
        <row r="19300">
          <cell r="E19300">
            <v>0</v>
          </cell>
          <cell r="F19300">
            <v>0</v>
          </cell>
          <cell r="DN19300">
            <v>0</v>
          </cell>
        </row>
        <row r="19301">
          <cell r="E19301">
            <v>0</v>
          </cell>
          <cell r="F19301">
            <v>0</v>
          </cell>
          <cell r="DN19301">
            <v>0</v>
          </cell>
        </row>
        <row r="19302">
          <cell r="E19302">
            <v>0</v>
          </cell>
          <cell r="F19302">
            <v>0</v>
          </cell>
          <cell r="DN19302">
            <v>0</v>
          </cell>
        </row>
        <row r="19303">
          <cell r="E19303">
            <v>0</v>
          </cell>
          <cell r="F19303">
            <v>0</v>
          </cell>
          <cell r="DN19303">
            <v>0</v>
          </cell>
        </row>
        <row r="19304">
          <cell r="E19304">
            <v>0</v>
          </cell>
          <cell r="F19304">
            <v>0</v>
          </cell>
          <cell r="DN19304">
            <v>0</v>
          </cell>
        </row>
        <row r="19305">
          <cell r="E19305">
            <v>0</v>
          </cell>
          <cell r="F19305">
            <v>0</v>
          </cell>
          <cell r="DN19305">
            <v>0</v>
          </cell>
        </row>
        <row r="19306">
          <cell r="E19306">
            <v>0</v>
          </cell>
          <cell r="F19306">
            <v>0</v>
          </cell>
          <cell r="DN19306">
            <v>0</v>
          </cell>
        </row>
        <row r="19307">
          <cell r="E19307">
            <v>0</v>
          </cell>
          <cell r="F19307">
            <v>0</v>
          </cell>
          <cell r="DN19307">
            <v>0</v>
          </cell>
        </row>
        <row r="19308">
          <cell r="E19308">
            <v>0</v>
          </cell>
          <cell r="F19308">
            <v>0</v>
          </cell>
          <cell r="DN19308">
            <v>0</v>
          </cell>
        </row>
        <row r="19309">
          <cell r="E19309">
            <v>0</v>
          </cell>
          <cell r="F19309">
            <v>0</v>
          </cell>
          <cell r="DN19309">
            <v>0</v>
          </cell>
        </row>
        <row r="19310">
          <cell r="E19310">
            <v>0</v>
          </cell>
          <cell r="F19310">
            <v>0</v>
          </cell>
          <cell r="DN19310">
            <v>0</v>
          </cell>
        </row>
        <row r="19311">
          <cell r="E19311">
            <v>0</v>
          </cell>
          <cell r="F19311">
            <v>0</v>
          </cell>
          <cell r="DN19311">
            <v>0</v>
          </cell>
        </row>
        <row r="19312">
          <cell r="E19312">
            <v>0</v>
          </cell>
          <cell r="F19312">
            <v>0</v>
          </cell>
          <cell r="DN19312">
            <v>0</v>
          </cell>
        </row>
        <row r="19313">
          <cell r="E19313">
            <v>0</v>
          </cell>
          <cell r="F19313">
            <v>0</v>
          </cell>
          <cell r="DN19313">
            <v>0</v>
          </cell>
        </row>
        <row r="19314">
          <cell r="E19314">
            <v>0</v>
          </cell>
          <cell r="F19314">
            <v>0</v>
          </cell>
          <cell r="DN19314">
            <v>0</v>
          </cell>
        </row>
        <row r="19315">
          <cell r="E19315">
            <v>0</v>
          </cell>
          <cell r="F19315">
            <v>0</v>
          </cell>
          <cell r="DN19315">
            <v>0</v>
          </cell>
        </row>
        <row r="19316">
          <cell r="E19316">
            <v>0</v>
          </cell>
          <cell r="F19316">
            <v>0</v>
          </cell>
          <cell r="DN19316">
            <v>0</v>
          </cell>
        </row>
        <row r="19317">
          <cell r="E19317">
            <v>0</v>
          </cell>
          <cell r="F19317">
            <v>0</v>
          </cell>
          <cell r="DN19317">
            <v>0</v>
          </cell>
        </row>
        <row r="19318">
          <cell r="E19318">
            <v>0</v>
          </cell>
          <cell r="F19318">
            <v>0</v>
          </cell>
          <cell r="DN19318">
            <v>0</v>
          </cell>
        </row>
        <row r="19319">
          <cell r="E19319">
            <v>0</v>
          </cell>
          <cell r="F19319">
            <v>0</v>
          </cell>
          <cell r="DN19319">
            <v>0</v>
          </cell>
        </row>
        <row r="19320">
          <cell r="E19320">
            <v>0</v>
          </cell>
          <cell r="F19320">
            <v>0</v>
          </cell>
          <cell r="DN19320">
            <v>0</v>
          </cell>
        </row>
        <row r="19321">
          <cell r="E19321">
            <v>0</v>
          </cell>
          <cell r="F19321">
            <v>0</v>
          </cell>
          <cell r="DN19321">
            <v>0</v>
          </cell>
        </row>
        <row r="19322">
          <cell r="E19322">
            <v>0</v>
          </cell>
          <cell r="F19322">
            <v>0</v>
          </cell>
          <cell r="DN19322">
            <v>0</v>
          </cell>
        </row>
        <row r="19323">
          <cell r="E19323">
            <v>0</v>
          </cell>
          <cell r="F19323">
            <v>0</v>
          </cell>
          <cell r="DN19323">
            <v>0</v>
          </cell>
        </row>
        <row r="19324">
          <cell r="E19324">
            <v>0</v>
          </cell>
          <cell r="F19324">
            <v>0</v>
          </cell>
          <cell r="DN19324">
            <v>0</v>
          </cell>
        </row>
        <row r="19325">
          <cell r="E19325">
            <v>0</v>
          </cell>
          <cell r="F19325">
            <v>0</v>
          </cell>
          <cell r="DN19325">
            <v>0</v>
          </cell>
        </row>
        <row r="19326">
          <cell r="E19326">
            <v>0</v>
          </cell>
          <cell r="F19326">
            <v>0</v>
          </cell>
          <cell r="DN19326">
            <v>0</v>
          </cell>
        </row>
        <row r="19327">
          <cell r="E19327">
            <v>0</v>
          </cell>
          <cell r="F19327">
            <v>0</v>
          </cell>
          <cell r="DN19327">
            <v>0</v>
          </cell>
        </row>
        <row r="19328">
          <cell r="E19328">
            <v>0</v>
          </cell>
          <cell r="F19328">
            <v>0</v>
          </cell>
          <cell r="DN19328">
            <v>0</v>
          </cell>
        </row>
        <row r="19329">
          <cell r="E19329">
            <v>0</v>
          </cell>
          <cell r="F19329">
            <v>0</v>
          </cell>
          <cell r="DN19329">
            <v>0</v>
          </cell>
        </row>
        <row r="19330">
          <cell r="E19330">
            <v>0</v>
          </cell>
          <cell r="F19330">
            <v>0</v>
          </cell>
          <cell r="DN19330">
            <v>0</v>
          </cell>
        </row>
        <row r="19331">
          <cell r="E19331">
            <v>0</v>
          </cell>
          <cell r="F19331">
            <v>0</v>
          </cell>
          <cell r="DN19331">
            <v>0</v>
          </cell>
        </row>
        <row r="19332">
          <cell r="E19332">
            <v>0</v>
          </cell>
          <cell r="F19332">
            <v>0</v>
          </cell>
          <cell r="DN19332">
            <v>0</v>
          </cell>
        </row>
        <row r="19333">
          <cell r="E19333">
            <v>0</v>
          </cell>
          <cell r="F19333">
            <v>0</v>
          </cell>
          <cell r="DN19333">
            <v>0</v>
          </cell>
        </row>
        <row r="19334">
          <cell r="E19334">
            <v>0</v>
          </cell>
          <cell r="F19334">
            <v>0</v>
          </cell>
          <cell r="DN19334">
            <v>0</v>
          </cell>
        </row>
        <row r="19335">
          <cell r="E19335">
            <v>0</v>
          </cell>
          <cell r="F19335">
            <v>0</v>
          </cell>
          <cell r="DN19335">
            <v>0</v>
          </cell>
        </row>
        <row r="19336">
          <cell r="E19336">
            <v>0</v>
          </cell>
          <cell r="F19336">
            <v>0</v>
          </cell>
          <cell r="DN19336">
            <v>0</v>
          </cell>
        </row>
        <row r="19337">
          <cell r="E19337">
            <v>0</v>
          </cell>
          <cell r="F19337">
            <v>0</v>
          </cell>
          <cell r="DN19337">
            <v>0</v>
          </cell>
        </row>
        <row r="19338">
          <cell r="E19338">
            <v>0</v>
          </cell>
          <cell r="F19338">
            <v>0</v>
          </cell>
          <cell r="DN19338">
            <v>0</v>
          </cell>
        </row>
        <row r="19339">
          <cell r="E19339">
            <v>0</v>
          </cell>
          <cell r="F19339">
            <v>0</v>
          </cell>
          <cell r="DN19339">
            <v>0</v>
          </cell>
        </row>
        <row r="19340">
          <cell r="E19340">
            <v>0</v>
          </cell>
          <cell r="F19340">
            <v>0</v>
          </cell>
          <cell r="DN19340">
            <v>0</v>
          </cell>
        </row>
        <row r="19341">
          <cell r="E19341">
            <v>0</v>
          </cell>
          <cell r="F19341">
            <v>0</v>
          </cell>
          <cell r="DN19341">
            <v>0</v>
          </cell>
        </row>
        <row r="19342">
          <cell r="E19342">
            <v>0</v>
          </cell>
          <cell r="F19342">
            <v>0</v>
          </cell>
          <cell r="DN19342">
            <v>0</v>
          </cell>
        </row>
        <row r="19343">
          <cell r="E19343">
            <v>0</v>
          </cell>
          <cell r="F19343">
            <v>0</v>
          </cell>
          <cell r="DN19343">
            <v>0</v>
          </cell>
        </row>
        <row r="19344">
          <cell r="E19344">
            <v>0</v>
          </cell>
          <cell r="F19344">
            <v>0</v>
          </cell>
          <cell r="DN19344">
            <v>0</v>
          </cell>
        </row>
        <row r="19345">
          <cell r="E19345">
            <v>0</v>
          </cell>
          <cell r="F19345">
            <v>0</v>
          </cell>
          <cell r="DN19345">
            <v>0</v>
          </cell>
        </row>
        <row r="19346">
          <cell r="E19346">
            <v>0</v>
          </cell>
          <cell r="F19346">
            <v>0</v>
          </cell>
          <cell r="DN19346">
            <v>0</v>
          </cell>
        </row>
        <row r="19347">
          <cell r="E19347">
            <v>0</v>
          </cell>
          <cell r="F19347">
            <v>0</v>
          </cell>
          <cell r="DN19347">
            <v>0</v>
          </cell>
        </row>
        <row r="19348">
          <cell r="E19348">
            <v>0</v>
          </cell>
          <cell r="F19348">
            <v>0</v>
          </cell>
          <cell r="DN19348">
            <v>0</v>
          </cell>
        </row>
        <row r="19349">
          <cell r="E19349">
            <v>0</v>
          </cell>
          <cell r="F19349">
            <v>0</v>
          </cell>
          <cell r="DN19349">
            <v>0</v>
          </cell>
        </row>
        <row r="19350">
          <cell r="E19350">
            <v>0</v>
          </cell>
          <cell r="F19350">
            <v>0</v>
          </cell>
          <cell r="DN19350">
            <v>0</v>
          </cell>
        </row>
        <row r="19351">
          <cell r="E19351">
            <v>0</v>
          </cell>
          <cell r="F19351">
            <v>0</v>
          </cell>
          <cell r="DN19351">
            <v>0</v>
          </cell>
        </row>
        <row r="19352">
          <cell r="E19352">
            <v>0</v>
          </cell>
          <cell r="F19352">
            <v>0</v>
          </cell>
          <cell r="DN19352">
            <v>0</v>
          </cell>
        </row>
        <row r="19353">
          <cell r="E19353">
            <v>0</v>
          </cell>
          <cell r="F19353">
            <v>0</v>
          </cell>
          <cell r="DN19353">
            <v>0</v>
          </cell>
        </row>
        <row r="19354">
          <cell r="E19354">
            <v>0</v>
          </cell>
          <cell r="F19354">
            <v>0</v>
          </cell>
          <cell r="DN19354">
            <v>0</v>
          </cell>
        </row>
        <row r="19355">
          <cell r="E19355">
            <v>0</v>
          </cell>
          <cell r="F19355">
            <v>0</v>
          </cell>
          <cell r="DN19355">
            <v>0</v>
          </cell>
        </row>
        <row r="19356">
          <cell r="E19356">
            <v>0</v>
          </cell>
          <cell r="F19356">
            <v>0</v>
          </cell>
          <cell r="DN19356">
            <v>0</v>
          </cell>
        </row>
        <row r="19357">
          <cell r="E19357">
            <v>0</v>
          </cell>
          <cell r="F19357">
            <v>0</v>
          </cell>
          <cell r="DN19357">
            <v>0</v>
          </cell>
        </row>
        <row r="19358">
          <cell r="E19358">
            <v>0</v>
          </cell>
          <cell r="F19358">
            <v>0</v>
          </cell>
          <cell r="DN19358">
            <v>0</v>
          </cell>
        </row>
        <row r="19359">
          <cell r="E19359">
            <v>0</v>
          </cell>
          <cell r="F19359">
            <v>0</v>
          </cell>
          <cell r="DN19359">
            <v>0</v>
          </cell>
        </row>
        <row r="19360">
          <cell r="E19360">
            <v>0</v>
          </cell>
          <cell r="F19360">
            <v>0</v>
          </cell>
          <cell r="DN19360">
            <v>0</v>
          </cell>
        </row>
        <row r="19361">
          <cell r="E19361">
            <v>0</v>
          </cell>
          <cell r="F19361">
            <v>0</v>
          </cell>
          <cell r="DN19361">
            <v>0</v>
          </cell>
        </row>
        <row r="19362">
          <cell r="E19362">
            <v>0</v>
          </cell>
          <cell r="F19362">
            <v>0</v>
          </cell>
          <cell r="DN19362">
            <v>0</v>
          </cell>
        </row>
        <row r="19363">
          <cell r="E19363">
            <v>0</v>
          </cell>
          <cell r="F19363">
            <v>0</v>
          </cell>
          <cell r="DN19363">
            <v>0</v>
          </cell>
        </row>
        <row r="19364">
          <cell r="E19364">
            <v>0</v>
          </cell>
          <cell r="F19364">
            <v>0</v>
          </cell>
          <cell r="DN19364">
            <v>0</v>
          </cell>
        </row>
        <row r="19365">
          <cell r="E19365">
            <v>0</v>
          </cell>
          <cell r="F19365">
            <v>0</v>
          </cell>
          <cell r="DN19365">
            <v>0</v>
          </cell>
        </row>
        <row r="19366">
          <cell r="E19366">
            <v>0</v>
          </cell>
          <cell r="F19366">
            <v>0</v>
          </cell>
          <cell r="DN19366">
            <v>0</v>
          </cell>
        </row>
        <row r="19367">
          <cell r="E19367">
            <v>0</v>
          </cell>
          <cell r="F19367">
            <v>0</v>
          </cell>
          <cell r="DN19367">
            <v>0</v>
          </cell>
        </row>
        <row r="19368">
          <cell r="E19368">
            <v>0</v>
          </cell>
          <cell r="F19368">
            <v>0</v>
          </cell>
          <cell r="DN19368">
            <v>0</v>
          </cell>
        </row>
        <row r="19369">
          <cell r="E19369">
            <v>0</v>
          </cell>
          <cell r="F19369">
            <v>0</v>
          </cell>
          <cell r="DN19369">
            <v>0</v>
          </cell>
        </row>
        <row r="19370">
          <cell r="E19370">
            <v>0</v>
          </cell>
          <cell r="F19370">
            <v>0</v>
          </cell>
          <cell r="DN19370">
            <v>0</v>
          </cell>
        </row>
        <row r="19371">
          <cell r="E19371">
            <v>0</v>
          </cell>
          <cell r="F19371">
            <v>0</v>
          </cell>
          <cell r="DN19371">
            <v>0</v>
          </cell>
        </row>
        <row r="19372">
          <cell r="E19372">
            <v>0</v>
          </cell>
          <cell r="F19372">
            <v>0</v>
          </cell>
          <cell r="DN19372">
            <v>0</v>
          </cell>
        </row>
        <row r="19373">
          <cell r="E19373">
            <v>0</v>
          </cell>
          <cell r="F19373">
            <v>0</v>
          </cell>
          <cell r="DN19373">
            <v>0</v>
          </cell>
        </row>
        <row r="19374">
          <cell r="E19374">
            <v>0</v>
          </cell>
          <cell r="F19374">
            <v>0</v>
          </cell>
          <cell r="DN19374">
            <v>0</v>
          </cell>
        </row>
        <row r="19375">
          <cell r="E19375">
            <v>0</v>
          </cell>
          <cell r="F19375">
            <v>0</v>
          </cell>
          <cell r="DN19375">
            <v>0</v>
          </cell>
        </row>
        <row r="19376">
          <cell r="E19376">
            <v>0</v>
          </cell>
          <cell r="F19376">
            <v>0</v>
          </cell>
          <cell r="DN19376">
            <v>0</v>
          </cell>
        </row>
        <row r="19377">
          <cell r="E19377">
            <v>0</v>
          </cell>
          <cell r="F19377">
            <v>0</v>
          </cell>
          <cell r="DN19377">
            <v>0</v>
          </cell>
        </row>
        <row r="19378">
          <cell r="E19378">
            <v>0</v>
          </cell>
          <cell r="F19378">
            <v>0</v>
          </cell>
          <cell r="DN19378">
            <v>0</v>
          </cell>
        </row>
        <row r="19379">
          <cell r="E19379">
            <v>0</v>
          </cell>
          <cell r="F19379">
            <v>0</v>
          </cell>
          <cell r="DN19379">
            <v>0</v>
          </cell>
        </row>
        <row r="19380">
          <cell r="E19380">
            <v>0</v>
          </cell>
          <cell r="F19380">
            <v>0</v>
          </cell>
          <cell r="DN19380">
            <v>0</v>
          </cell>
        </row>
        <row r="19381">
          <cell r="E19381">
            <v>0</v>
          </cell>
          <cell r="F19381">
            <v>0</v>
          </cell>
          <cell r="DN19381">
            <v>0</v>
          </cell>
        </row>
        <row r="19382">
          <cell r="E19382">
            <v>0</v>
          </cell>
          <cell r="F19382">
            <v>0</v>
          </cell>
          <cell r="DN19382">
            <v>0</v>
          </cell>
        </row>
        <row r="19383">
          <cell r="E19383">
            <v>0</v>
          </cell>
          <cell r="F19383">
            <v>0</v>
          </cell>
          <cell r="DN19383">
            <v>0</v>
          </cell>
        </row>
        <row r="19384">
          <cell r="E19384">
            <v>0</v>
          </cell>
          <cell r="F19384">
            <v>0</v>
          </cell>
          <cell r="DN19384">
            <v>0</v>
          </cell>
        </row>
        <row r="19385">
          <cell r="E19385">
            <v>0</v>
          </cell>
          <cell r="F19385">
            <v>0</v>
          </cell>
          <cell r="DN19385">
            <v>0</v>
          </cell>
        </row>
        <row r="19386">
          <cell r="E19386">
            <v>0</v>
          </cell>
          <cell r="F19386">
            <v>0</v>
          </cell>
          <cell r="DN19386">
            <v>0</v>
          </cell>
        </row>
        <row r="19387">
          <cell r="E19387">
            <v>0</v>
          </cell>
          <cell r="F19387">
            <v>0</v>
          </cell>
          <cell r="DN19387">
            <v>0</v>
          </cell>
        </row>
        <row r="19388">
          <cell r="E19388">
            <v>0</v>
          </cell>
          <cell r="F19388">
            <v>0</v>
          </cell>
          <cell r="DN19388">
            <v>0</v>
          </cell>
        </row>
        <row r="19389">
          <cell r="E19389">
            <v>0</v>
          </cell>
          <cell r="F19389">
            <v>0</v>
          </cell>
          <cell r="DN19389">
            <v>0</v>
          </cell>
        </row>
        <row r="19390">
          <cell r="E19390">
            <v>0</v>
          </cell>
          <cell r="F19390">
            <v>0</v>
          </cell>
          <cell r="DN19390">
            <v>0</v>
          </cell>
        </row>
        <row r="19391">
          <cell r="E19391">
            <v>0</v>
          </cell>
          <cell r="F19391">
            <v>0</v>
          </cell>
          <cell r="DN19391">
            <v>0</v>
          </cell>
        </row>
        <row r="19392">
          <cell r="E19392">
            <v>0</v>
          </cell>
          <cell r="F19392">
            <v>0</v>
          </cell>
          <cell r="DN19392">
            <v>0</v>
          </cell>
        </row>
        <row r="19393">
          <cell r="E19393">
            <v>0</v>
          </cell>
          <cell r="F19393">
            <v>0</v>
          </cell>
          <cell r="DN19393">
            <v>0</v>
          </cell>
        </row>
        <row r="19394">
          <cell r="E19394">
            <v>0</v>
          </cell>
          <cell r="F19394">
            <v>0</v>
          </cell>
          <cell r="DN19394">
            <v>0</v>
          </cell>
        </row>
        <row r="19395">
          <cell r="E19395">
            <v>0</v>
          </cell>
          <cell r="F19395">
            <v>0</v>
          </cell>
          <cell r="DN19395">
            <v>0</v>
          </cell>
        </row>
        <row r="19396">
          <cell r="E19396">
            <v>0</v>
          </cell>
          <cell r="F19396">
            <v>0</v>
          </cell>
          <cell r="DN19396">
            <v>0</v>
          </cell>
        </row>
        <row r="19397">
          <cell r="E19397">
            <v>0</v>
          </cell>
          <cell r="F19397">
            <v>0</v>
          </cell>
          <cell r="DN19397">
            <v>0</v>
          </cell>
        </row>
        <row r="19398">
          <cell r="E19398">
            <v>0</v>
          </cell>
          <cell r="F19398">
            <v>0</v>
          </cell>
          <cell r="DN19398">
            <v>0</v>
          </cell>
        </row>
        <row r="19399">
          <cell r="E19399">
            <v>0</v>
          </cell>
          <cell r="F19399">
            <v>0</v>
          </cell>
          <cell r="DN19399">
            <v>0</v>
          </cell>
        </row>
        <row r="19400">
          <cell r="E19400">
            <v>0</v>
          </cell>
          <cell r="F19400">
            <v>0</v>
          </cell>
          <cell r="DN19400">
            <v>0</v>
          </cell>
        </row>
        <row r="19401">
          <cell r="E19401">
            <v>0</v>
          </cell>
          <cell r="F19401">
            <v>0</v>
          </cell>
          <cell r="DN19401">
            <v>0</v>
          </cell>
        </row>
        <row r="19402">
          <cell r="E19402">
            <v>0</v>
          </cell>
          <cell r="F19402">
            <v>0</v>
          </cell>
          <cell r="DN19402">
            <v>0</v>
          </cell>
        </row>
        <row r="19403">
          <cell r="E19403">
            <v>0</v>
          </cell>
          <cell r="F19403">
            <v>0</v>
          </cell>
          <cell r="DN19403">
            <v>0</v>
          </cell>
        </row>
        <row r="19404">
          <cell r="E19404">
            <v>0</v>
          </cell>
          <cell r="F19404">
            <v>0</v>
          </cell>
          <cell r="DN19404">
            <v>0</v>
          </cell>
        </row>
        <row r="19405">
          <cell r="E19405">
            <v>0</v>
          </cell>
          <cell r="F19405">
            <v>0</v>
          </cell>
          <cell r="DN19405">
            <v>0</v>
          </cell>
        </row>
        <row r="19406">
          <cell r="E19406">
            <v>0</v>
          </cell>
          <cell r="F19406">
            <v>0</v>
          </cell>
          <cell r="DN19406">
            <v>0</v>
          </cell>
        </row>
        <row r="19407">
          <cell r="E19407">
            <v>0</v>
          </cell>
          <cell r="F19407">
            <v>0</v>
          </cell>
          <cell r="DN19407">
            <v>0</v>
          </cell>
        </row>
        <row r="19408">
          <cell r="E19408">
            <v>0</v>
          </cell>
          <cell r="F19408">
            <v>0</v>
          </cell>
          <cell r="DN19408">
            <v>0</v>
          </cell>
        </row>
        <row r="19409">
          <cell r="E19409">
            <v>0</v>
          </cell>
          <cell r="F19409">
            <v>0</v>
          </cell>
          <cell r="DN19409">
            <v>0</v>
          </cell>
        </row>
        <row r="19410">
          <cell r="E19410">
            <v>0</v>
          </cell>
          <cell r="F19410">
            <v>0</v>
          </cell>
          <cell r="DN19410">
            <v>0</v>
          </cell>
        </row>
        <row r="19411">
          <cell r="E19411">
            <v>0</v>
          </cell>
          <cell r="F19411">
            <v>0</v>
          </cell>
          <cell r="DN19411">
            <v>0</v>
          </cell>
        </row>
        <row r="19412">
          <cell r="E19412">
            <v>0</v>
          </cell>
          <cell r="F19412">
            <v>0</v>
          </cell>
          <cell r="DN19412">
            <v>0</v>
          </cell>
        </row>
        <row r="19413">
          <cell r="E19413">
            <v>0</v>
          </cell>
          <cell r="F19413">
            <v>0</v>
          </cell>
          <cell r="DN19413">
            <v>0</v>
          </cell>
        </row>
        <row r="19414">
          <cell r="E19414">
            <v>0</v>
          </cell>
          <cell r="F19414">
            <v>0</v>
          </cell>
          <cell r="DN19414">
            <v>0</v>
          </cell>
        </row>
        <row r="19415">
          <cell r="E19415">
            <v>0</v>
          </cell>
          <cell r="F19415">
            <v>0</v>
          </cell>
          <cell r="DN19415">
            <v>0</v>
          </cell>
        </row>
        <row r="19416">
          <cell r="E19416">
            <v>0</v>
          </cell>
          <cell r="F19416">
            <v>0</v>
          </cell>
          <cell r="DN19416">
            <v>0</v>
          </cell>
        </row>
        <row r="19417">
          <cell r="E19417">
            <v>0</v>
          </cell>
          <cell r="F19417">
            <v>0</v>
          </cell>
          <cell r="DN19417">
            <v>0</v>
          </cell>
        </row>
        <row r="19418">
          <cell r="E19418">
            <v>0</v>
          </cell>
          <cell r="F19418">
            <v>0</v>
          </cell>
          <cell r="DN19418">
            <v>0</v>
          </cell>
        </row>
        <row r="19419">
          <cell r="E19419">
            <v>0</v>
          </cell>
          <cell r="F19419">
            <v>0</v>
          </cell>
          <cell r="DN19419">
            <v>0</v>
          </cell>
        </row>
        <row r="19420">
          <cell r="E19420">
            <v>0</v>
          </cell>
          <cell r="F19420">
            <v>0</v>
          </cell>
          <cell r="DN19420">
            <v>0</v>
          </cell>
        </row>
        <row r="19421">
          <cell r="E19421">
            <v>0</v>
          </cell>
          <cell r="F19421">
            <v>0</v>
          </cell>
          <cell r="DN19421">
            <v>0</v>
          </cell>
        </row>
        <row r="19422">
          <cell r="E19422">
            <v>0</v>
          </cell>
          <cell r="F19422">
            <v>0</v>
          </cell>
          <cell r="DN19422">
            <v>0</v>
          </cell>
        </row>
        <row r="19423">
          <cell r="E19423">
            <v>0</v>
          </cell>
          <cell r="F19423">
            <v>0</v>
          </cell>
          <cell r="DN19423">
            <v>0</v>
          </cell>
        </row>
        <row r="19424">
          <cell r="E19424">
            <v>0</v>
          </cell>
          <cell r="F19424">
            <v>0</v>
          </cell>
          <cell r="DN19424">
            <v>0</v>
          </cell>
        </row>
        <row r="19425">
          <cell r="E19425">
            <v>0</v>
          </cell>
          <cell r="F19425">
            <v>0</v>
          </cell>
          <cell r="DN19425">
            <v>0</v>
          </cell>
        </row>
        <row r="19426">
          <cell r="E19426">
            <v>0</v>
          </cell>
          <cell r="F19426">
            <v>0</v>
          </cell>
          <cell r="DN19426">
            <v>0</v>
          </cell>
        </row>
        <row r="19427">
          <cell r="E19427">
            <v>0</v>
          </cell>
          <cell r="F19427">
            <v>0</v>
          </cell>
          <cell r="DN19427">
            <v>0</v>
          </cell>
        </row>
        <row r="19428">
          <cell r="E19428">
            <v>0</v>
          </cell>
          <cell r="F19428">
            <v>0</v>
          </cell>
          <cell r="DN19428">
            <v>0</v>
          </cell>
        </row>
        <row r="19429">
          <cell r="E19429">
            <v>0</v>
          </cell>
          <cell r="F19429">
            <v>0</v>
          </cell>
          <cell r="DN19429">
            <v>0</v>
          </cell>
        </row>
        <row r="19430">
          <cell r="E19430">
            <v>0</v>
          </cell>
          <cell r="F19430">
            <v>0</v>
          </cell>
          <cell r="DN19430">
            <v>0</v>
          </cell>
        </row>
        <row r="19431">
          <cell r="E19431">
            <v>0</v>
          </cell>
          <cell r="F19431">
            <v>0</v>
          </cell>
          <cell r="DN19431">
            <v>0</v>
          </cell>
        </row>
        <row r="19432">
          <cell r="E19432">
            <v>0</v>
          </cell>
          <cell r="F19432">
            <v>0</v>
          </cell>
          <cell r="DN19432">
            <v>0</v>
          </cell>
        </row>
        <row r="19433">
          <cell r="E19433">
            <v>0</v>
          </cell>
          <cell r="F19433">
            <v>0</v>
          </cell>
          <cell r="DN19433">
            <v>0</v>
          </cell>
        </row>
        <row r="19434">
          <cell r="E19434">
            <v>0</v>
          </cell>
          <cell r="F19434">
            <v>0</v>
          </cell>
          <cell r="DN19434">
            <v>0</v>
          </cell>
        </row>
        <row r="19435">
          <cell r="E19435">
            <v>0</v>
          </cell>
          <cell r="F19435">
            <v>0</v>
          </cell>
          <cell r="DN19435">
            <v>0</v>
          </cell>
        </row>
        <row r="19436">
          <cell r="E19436">
            <v>0</v>
          </cell>
          <cell r="F19436">
            <v>0</v>
          </cell>
          <cell r="DN19436">
            <v>0</v>
          </cell>
        </row>
        <row r="19437">
          <cell r="E19437">
            <v>0</v>
          </cell>
          <cell r="F19437">
            <v>0</v>
          </cell>
          <cell r="DN19437">
            <v>0</v>
          </cell>
        </row>
        <row r="19438">
          <cell r="E19438">
            <v>0</v>
          </cell>
          <cell r="F19438">
            <v>0</v>
          </cell>
          <cell r="DN19438">
            <v>0</v>
          </cell>
        </row>
        <row r="19439">
          <cell r="E19439">
            <v>0</v>
          </cell>
          <cell r="F19439">
            <v>0</v>
          </cell>
          <cell r="DN19439">
            <v>0</v>
          </cell>
        </row>
        <row r="19440">
          <cell r="E19440">
            <v>0</v>
          </cell>
          <cell r="F19440">
            <v>0</v>
          </cell>
          <cell r="DN19440">
            <v>0</v>
          </cell>
        </row>
        <row r="19441">
          <cell r="E19441">
            <v>0</v>
          </cell>
          <cell r="F19441">
            <v>0</v>
          </cell>
          <cell r="DN19441">
            <v>0</v>
          </cell>
        </row>
        <row r="19442">
          <cell r="E19442">
            <v>0</v>
          </cell>
          <cell r="F19442">
            <v>0</v>
          </cell>
          <cell r="DN19442">
            <v>0</v>
          </cell>
        </row>
        <row r="19443">
          <cell r="E19443">
            <v>0</v>
          </cell>
          <cell r="F19443">
            <v>0</v>
          </cell>
          <cell r="DN19443">
            <v>0</v>
          </cell>
        </row>
        <row r="19444">
          <cell r="E19444">
            <v>0</v>
          </cell>
          <cell r="F19444">
            <v>0</v>
          </cell>
          <cell r="DN19444">
            <v>0</v>
          </cell>
        </row>
        <row r="19445">
          <cell r="E19445">
            <v>0</v>
          </cell>
          <cell r="F19445">
            <v>0</v>
          </cell>
          <cell r="DN19445">
            <v>0</v>
          </cell>
        </row>
        <row r="19446">
          <cell r="E19446">
            <v>0</v>
          </cell>
          <cell r="F19446">
            <v>0</v>
          </cell>
          <cell r="DN19446">
            <v>0</v>
          </cell>
        </row>
        <row r="19447">
          <cell r="E19447">
            <v>0</v>
          </cell>
          <cell r="F19447">
            <v>0</v>
          </cell>
          <cell r="DN19447">
            <v>0</v>
          </cell>
        </row>
        <row r="19448">
          <cell r="E19448">
            <v>0</v>
          </cell>
          <cell r="F19448">
            <v>0</v>
          </cell>
          <cell r="DN19448">
            <v>0</v>
          </cell>
        </row>
        <row r="19449">
          <cell r="E19449">
            <v>0</v>
          </cell>
          <cell r="F19449">
            <v>0</v>
          </cell>
          <cell r="DN19449">
            <v>0</v>
          </cell>
        </row>
        <row r="19450">
          <cell r="E19450">
            <v>0</v>
          </cell>
          <cell r="F19450">
            <v>0</v>
          </cell>
          <cell r="DN19450">
            <v>0</v>
          </cell>
        </row>
        <row r="19451">
          <cell r="E19451">
            <v>0</v>
          </cell>
          <cell r="F19451">
            <v>0</v>
          </cell>
          <cell r="DN19451">
            <v>0</v>
          </cell>
        </row>
        <row r="19452">
          <cell r="E19452">
            <v>0</v>
          </cell>
          <cell r="F19452">
            <v>0</v>
          </cell>
          <cell r="DN19452">
            <v>0</v>
          </cell>
        </row>
        <row r="19453">
          <cell r="E19453">
            <v>0</v>
          </cell>
          <cell r="F19453">
            <v>0</v>
          </cell>
          <cell r="DN19453">
            <v>0</v>
          </cell>
        </row>
        <row r="19454">
          <cell r="E19454">
            <v>0</v>
          </cell>
          <cell r="F19454">
            <v>0</v>
          </cell>
          <cell r="DN19454">
            <v>0</v>
          </cell>
        </row>
        <row r="19455">
          <cell r="E19455">
            <v>0</v>
          </cell>
          <cell r="F19455">
            <v>0</v>
          </cell>
          <cell r="DN19455">
            <v>0</v>
          </cell>
        </row>
        <row r="19456">
          <cell r="E19456">
            <v>0</v>
          </cell>
          <cell r="F19456">
            <v>0</v>
          </cell>
          <cell r="DN19456">
            <v>0</v>
          </cell>
        </row>
        <row r="19457">
          <cell r="E19457">
            <v>0</v>
          </cell>
          <cell r="F19457">
            <v>0</v>
          </cell>
          <cell r="DN19457">
            <v>0</v>
          </cell>
        </row>
        <row r="19458">
          <cell r="E19458">
            <v>0</v>
          </cell>
          <cell r="F19458">
            <v>0</v>
          </cell>
          <cell r="DN19458">
            <v>0</v>
          </cell>
        </row>
        <row r="19459">
          <cell r="E19459">
            <v>0</v>
          </cell>
          <cell r="F19459">
            <v>0</v>
          </cell>
          <cell r="DN19459">
            <v>0</v>
          </cell>
        </row>
        <row r="19460">
          <cell r="E19460">
            <v>0</v>
          </cell>
          <cell r="F19460">
            <v>0</v>
          </cell>
          <cell r="DN19460">
            <v>0</v>
          </cell>
        </row>
        <row r="19461">
          <cell r="E19461">
            <v>0</v>
          </cell>
          <cell r="F19461">
            <v>0</v>
          </cell>
          <cell r="DN19461">
            <v>0</v>
          </cell>
        </row>
        <row r="19462">
          <cell r="E19462">
            <v>0</v>
          </cell>
          <cell r="F19462">
            <v>0</v>
          </cell>
          <cell r="DN19462">
            <v>0</v>
          </cell>
        </row>
        <row r="19463">
          <cell r="E19463">
            <v>0</v>
          </cell>
          <cell r="F19463">
            <v>0</v>
          </cell>
          <cell r="DN19463">
            <v>0</v>
          </cell>
        </row>
        <row r="19464">
          <cell r="E19464">
            <v>0</v>
          </cell>
          <cell r="F19464">
            <v>0</v>
          </cell>
          <cell r="DN19464">
            <v>0</v>
          </cell>
        </row>
        <row r="19465">
          <cell r="E19465">
            <v>0</v>
          </cell>
          <cell r="F19465">
            <v>0</v>
          </cell>
          <cell r="DN19465">
            <v>0</v>
          </cell>
        </row>
        <row r="19466">
          <cell r="E19466">
            <v>0</v>
          </cell>
          <cell r="F19466">
            <v>0</v>
          </cell>
          <cell r="DN19466">
            <v>0</v>
          </cell>
        </row>
        <row r="19467">
          <cell r="E19467">
            <v>0</v>
          </cell>
          <cell r="F19467">
            <v>0</v>
          </cell>
          <cell r="DN19467">
            <v>0</v>
          </cell>
        </row>
        <row r="19468">
          <cell r="E19468">
            <v>0</v>
          </cell>
          <cell r="F19468">
            <v>0</v>
          </cell>
          <cell r="DN19468">
            <v>0</v>
          </cell>
        </row>
        <row r="19469">
          <cell r="E19469">
            <v>0</v>
          </cell>
          <cell r="F19469">
            <v>0</v>
          </cell>
          <cell r="DN19469">
            <v>0</v>
          </cell>
        </row>
        <row r="19470">
          <cell r="E19470">
            <v>0</v>
          </cell>
          <cell r="F19470">
            <v>0</v>
          </cell>
          <cell r="DN19470">
            <v>0</v>
          </cell>
        </row>
        <row r="19471">
          <cell r="E19471">
            <v>0</v>
          </cell>
          <cell r="F19471">
            <v>0</v>
          </cell>
          <cell r="DN19471">
            <v>0</v>
          </cell>
        </row>
        <row r="19472">
          <cell r="E19472">
            <v>0</v>
          </cell>
          <cell r="F19472">
            <v>0</v>
          </cell>
          <cell r="DN19472">
            <v>0</v>
          </cell>
        </row>
        <row r="19473">
          <cell r="E19473">
            <v>0</v>
          </cell>
          <cell r="F19473">
            <v>0</v>
          </cell>
          <cell r="DN19473">
            <v>0</v>
          </cell>
        </row>
        <row r="19474">
          <cell r="E19474">
            <v>0</v>
          </cell>
          <cell r="F19474">
            <v>0</v>
          </cell>
          <cell r="DN19474">
            <v>0</v>
          </cell>
        </row>
        <row r="19475">
          <cell r="E19475">
            <v>0</v>
          </cell>
          <cell r="F19475">
            <v>0</v>
          </cell>
          <cell r="DN19475">
            <v>0</v>
          </cell>
        </row>
        <row r="19476">
          <cell r="E19476">
            <v>0</v>
          </cell>
          <cell r="F19476">
            <v>0</v>
          </cell>
          <cell r="DN19476">
            <v>0</v>
          </cell>
        </row>
        <row r="19477">
          <cell r="E19477">
            <v>0</v>
          </cell>
          <cell r="F19477">
            <v>0</v>
          </cell>
          <cell r="DN19477">
            <v>0</v>
          </cell>
        </row>
        <row r="19478">
          <cell r="E19478">
            <v>0</v>
          </cell>
          <cell r="F19478">
            <v>0</v>
          </cell>
          <cell r="DN19478">
            <v>0</v>
          </cell>
        </row>
        <row r="19479">
          <cell r="E19479">
            <v>0</v>
          </cell>
          <cell r="F19479">
            <v>0</v>
          </cell>
          <cell r="DN19479">
            <v>0</v>
          </cell>
        </row>
        <row r="19480">
          <cell r="E19480">
            <v>0</v>
          </cell>
          <cell r="F19480">
            <v>0</v>
          </cell>
          <cell r="DN19480">
            <v>0</v>
          </cell>
        </row>
        <row r="19481">
          <cell r="E19481">
            <v>0</v>
          </cell>
          <cell r="F19481">
            <v>0</v>
          </cell>
          <cell r="DN19481">
            <v>0</v>
          </cell>
        </row>
        <row r="19482">
          <cell r="E19482">
            <v>0</v>
          </cell>
          <cell r="F19482">
            <v>0</v>
          </cell>
          <cell r="DN19482">
            <v>0</v>
          </cell>
        </row>
        <row r="19483">
          <cell r="E19483">
            <v>0</v>
          </cell>
          <cell r="F19483">
            <v>0</v>
          </cell>
          <cell r="DN19483">
            <v>0</v>
          </cell>
        </row>
        <row r="19484">
          <cell r="E19484">
            <v>0</v>
          </cell>
          <cell r="F19484">
            <v>0</v>
          </cell>
          <cell r="DN19484">
            <v>0</v>
          </cell>
        </row>
        <row r="19485">
          <cell r="E19485">
            <v>0</v>
          </cell>
          <cell r="F19485">
            <v>0</v>
          </cell>
          <cell r="DN19485">
            <v>0</v>
          </cell>
        </row>
        <row r="19486">
          <cell r="E19486">
            <v>0</v>
          </cell>
          <cell r="F19486">
            <v>0</v>
          </cell>
          <cell r="DN19486">
            <v>0</v>
          </cell>
        </row>
        <row r="19487">
          <cell r="E19487">
            <v>0</v>
          </cell>
          <cell r="F19487">
            <v>0</v>
          </cell>
          <cell r="DN19487">
            <v>0</v>
          </cell>
        </row>
        <row r="19488">
          <cell r="E19488">
            <v>0</v>
          </cell>
          <cell r="F19488">
            <v>0</v>
          </cell>
          <cell r="DN19488">
            <v>0</v>
          </cell>
        </row>
        <row r="19489">
          <cell r="E19489">
            <v>0</v>
          </cell>
          <cell r="F19489">
            <v>0</v>
          </cell>
          <cell r="DN19489">
            <v>0</v>
          </cell>
        </row>
        <row r="19490">
          <cell r="E19490">
            <v>0</v>
          </cell>
          <cell r="F19490">
            <v>0</v>
          </cell>
          <cell r="DN19490">
            <v>0</v>
          </cell>
        </row>
        <row r="19491">
          <cell r="E19491">
            <v>0</v>
          </cell>
          <cell r="F19491">
            <v>0</v>
          </cell>
          <cell r="DN19491">
            <v>0</v>
          </cell>
        </row>
        <row r="19492">
          <cell r="E19492">
            <v>0</v>
          </cell>
          <cell r="F19492">
            <v>0</v>
          </cell>
          <cell r="DN19492">
            <v>0</v>
          </cell>
        </row>
        <row r="19493">
          <cell r="E19493">
            <v>0</v>
          </cell>
          <cell r="F19493">
            <v>0</v>
          </cell>
          <cell r="DN19493">
            <v>0</v>
          </cell>
        </row>
        <row r="19494">
          <cell r="E19494">
            <v>0</v>
          </cell>
          <cell r="F19494">
            <v>0</v>
          </cell>
          <cell r="DN19494">
            <v>0</v>
          </cell>
        </row>
        <row r="19495">
          <cell r="E19495">
            <v>0</v>
          </cell>
          <cell r="F19495">
            <v>0</v>
          </cell>
          <cell r="DN19495">
            <v>0</v>
          </cell>
        </row>
        <row r="19496">
          <cell r="E19496">
            <v>0</v>
          </cell>
          <cell r="F19496">
            <v>0</v>
          </cell>
          <cell r="DN19496">
            <v>0</v>
          </cell>
        </row>
        <row r="19497">
          <cell r="E19497">
            <v>0</v>
          </cell>
          <cell r="F19497">
            <v>0</v>
          </cell>
          <cell r="DN19497">
            <v>0</v>
          </cell>
        </row>
        <row r="19498">
          <cell r="E19498">
            <v>0</v>
          </cell>
          <cell r="F19498">
            <v>0</v>
          </cell>
          <cell r="DN19498">
            <v>0</v>
          </cell>
        </row>
        <row r="19499">
          <cell r="E19499">
            <v>0</v>
          </cell>
          <cell r="F19499">
            <v>0</v>
          </cell>
          <cell r="DN19499">
            <v>0</v>
          </cell>
        </row>
        <row r="19500">
          <cell r="E19500">
            <v>0</v>
          </cell>
          <cell r="F19500">
            <v>0</v>
          </cell>
          <cell r="DN19500">
            <v>0</v>
          </cell>
        </row>
        <row r="19501">
          <cell r="E19501">
            <v>0</v>
          </cell>
          <cell r="F19501">
            <v>0</v>
          </cell>
          <cell r="DN19501">
            <v>0</v>
          </cell>
        </row>
        <row r="19502">
          <cell r="E19502">
            <v>0</v>
          </cell>
          <cell r="F19502">
            <v>0</v>
          </cell>
          <cell r="DN19502">
            <v>0</v>
          </cell>
        </row>
        <row r="19503">
          <cell r="E19503">
            <v>0</v>
          </cell>
          <cell r="F19503">
            <v>0</v>
          </cell>
          <cell r="DN19503">
            <v>0</v>
          </cell>
        </row>
        <row r="19504">
          <cell r="E19504">
            <v>0</v>
          </cell>
          <cell r="F19504">
            <v>0</v>
          </cell>
          <cell r="DN19504">
            <v>0</v>
          </cell>
        </row>
        <row r="19505">
          <cell r="E19505">
            <v>0</v>
          </cell>
          <cell r="F19505">
            <v>0</v>
          </cell>
          <cell r="DN19505">
            <v>0</v>
          </cell>
        </row>
        <row r="19506">
          <cell r="E19506">
            <v>0</v>
          </cell>
          <cell r="F19506">
            <v>0</v>
          </cell>
          <cell r="DN19506">
            <v>0</v>
          </cell>
        </row>
        <row r="19507">
          <cell r="E19507">
            <v>0</v>
          </cell>
          <cell r="F19507">
            <v>0</v>
          </cell>
          <cell r="DN19507">
            <v>0</v>
          </cell>
        </row>
        <row r="19508">
          <cell r="E19508">
            <v>0</v>
          </cell>
          <cell r="F19508">
            <v>0</v>
          </cell>
          <cell r="DN19508">
            <v>0</v>
          </cell>
        </row>
        <row r="19509">
          <cell r="E19509">
            <v>0</v>
          </cell>
          <cell r="F19509">
            <v>0</v>
          </cell>
          <cell r="DN19509">
            <v>0</v>
          </cell>
        </row>
        <row r="19510">
          <cell r="E19510">
            <v>0</v>
          </cell>
          <cell r="F19510">
            <v>0</v>
          </cell>
          <cell r="DN19510">
            <v>0</v>
          </cell>
        </row>
        <row r="19511">
          <cell r="E19511">
            <v>0</v>
          </cell>
          <cell r="F19511">
            <v>0</v>
          </cell>
          <cell r="DN19511">
            <v>0</v>
          </cell>
        </row>
        <row r="19512">
          <cell r="E19512">
            <v>0</v>
          </cell>
          <cell r="F19512">
            <v>0</v>
          </cell>
          <cell r="DN19512">
            <v>0</v>
          </cell>
        </row>
        <row r="19513">
          <cell r="E19513">
            <v>0</v>
          </cell>
          <cell r="F19513">
            <v>0</v>
          </cell>
          <cell r="DN19513">
            <v>0</v>
          </cell>
        </row>
        <row r="19514">
          <cell r="E19514">
            <v>0</v>
          </cell>
          <cell r="F19514">
            <v>0</v>
          </cell>
          <cell r="DN19514">
            <v>0</v>
          </cell>
        </row>
        <row r="19515">
          <cell r="E19515">
            <v>0</v>
          </cell>
          <cell r="F19515">
            <v>0</v>
          </cell>
          <cell r="DN19515">
            <v>0</v>
          </cell>
        </row>
        <row r="19516">
          <cell r="E19516">
            <v>0</v>
          </cell>
          <cell r="F19516">
            <v>0</v>
          </cell>
          <cell r="DN19516">
            <v>0</v>
          </cell>
        </row>
        <row r="19517">
          <cell r="E19517">
            <v>0</v>
          </cell>
          <cell r="F19517">
            <v>0</v>
          </cell>
          <cell r="DN19517">
            <v>0</v>
          </cell>
        </row>
        <row r="19518">
          <cell r="E19518">
            <v>0</v>
          </cell>
          <cell r="F19518">
            <v>0</v>
          </cell>
          <cell r="DN19518">
            <v>0</v>
          </cell>
        </row>
        <row r="19519">
          <cell r="E19519">
            <v>0</v>
          </cell>
          <cell r="F19519">
            <v>0</v>
          </cell>
          <cell r="DN19519">
            <v>0</v>
          </cell>
        </row>
        <row r="19520">
          <cell r="E19520">
            <v>0</v>
          </cell>
          <cell r="F19520">
            <v>0</v>
          </cell>
          <cell r="DN19520">
            <v>0</v>
          </cell>
        </row>
        <row r="19521">
          <cell r="E19521">
            <v>0</v>
          </cell>
          <cell r="F19521">
            <v>0</v>
          </cell>
          <cell r="DN19521">
            <v>0</v>
          </cell>
        </row>
        <row r="19522">
          <cell r="E19522">
            <v>0</v>
          </cell>
          <cell r="F19522">
            <v>0</v>
          </cell>
          <cell r="DN19522">
            <v>0</v>
          </cell>
        </row>
        <row r="19523">
          <cell r="E19523">
            <v>0</v>
          </cell>
          <cell r="F19523">
            <v>0</v>
          </cell>
          <cell r="DN19523">
            <v>0</v>
          </cell>
        </row>
        <row r="19524">
          <cell r="E19524">
            <v>0</v>
          </cell>
          <cell r="F19524">
            <v>0</v>
          </cell>
          <cell r="DN19524">
            <v>0</v>
          </cell>
        </row>
        <row r="19525">
          <cell r="E19525">
            <v>0</v>
          </cell>
          <cell r="F19525">
            <v>0</v>
          </cell>
          <cell r="DN19525">
            <v>0</v>
          </cell>
        </row>
        <row r="19526">
          <cell r="E19526">
            <v>0</v>
          </cell>
          <cell r="F19526">
            <v>0</v>
          </cell>
          <cell r="DN19526">
            <v>0</v>
          </cell>
        </row>
        <row r="19527">
          <cell r="E19527">
            <v>0</v>
          </cell>
          <cell r="F19527">
            <v>0</v>
          </cell>
          <cell r="DN19527">
            <v>0</v>
          </cell>
        </row>
        <row r="19528">
          <cell r="E19528">
            <v>0</v>
          </cell>
          <cell r="F19528">
            <v>0</v>
          </cell>
          <cell r="DN19528">
            <v>0</v>
          </cell>
        </row>
        <row r="19529">
          <cell r="E19529">
            <v>0</v>
          </cell>
          <cell r="F19529">
            <v>0</v>
          </cell>
          <cell r="DN19529">
            <v>0</v>
          </cell>
        </row>
        <row r="19530">
          <cell r="E19530">
            <v>0</v>
          </cell>
          <cell r="F19530">
            <v>0</v>
          </cell>
          <cell r="DN19530">
            <v>0</v>
          </cell>
        </row>
        <row r="19531">
          <cell r="E19531">
            <v>0</v>
          </cell>
          <cell r="F19531">
            <v>0</v>
          </cell>
          <cell r="DN19531">
            <v>0</v>
          </cell>
        </row>
        <row r="19532">
          <cell r="E19532">
            <v>0</v>
          </cell>
          <cell r="F19532">
            <v>0</v>
          </cell>
          <cell r="DN19532">
            <v>0</v>
          </cell>
        </row>
        <row r="19533">
          <cell r="E19533">
            <v>0</v>
          </cell>
          <cell r="F19533">
            <v>0</v>
          </cell>
          <cell r="DN19533">
            <v>0</v>
          </cell>
        </row>
        <row r="19534">
          <cell r="E19534">
            <v>0</v>
          </cell>
          <cell r="F19534">
            <v>0</v>
          </cell>
          <cell r="DN19534">
            <v>0</v>
          </cell>
        </row>
        <row r="19535">
          <cell r="E19535">
            <v>0</v>
          </cell>
          <cell r="F19535">
            <v>0</v>
          </cell>
          <cell r="DN19535">
            <v>0</v>
          </cell>
        </row>
        <row r="19536">
          <cell r="E19536">
            <v>0</v>
          </cell>
          <cell r="F19536">
            <v>0</v>
          </cell>
          <cell r="DN19536">
            <v>0</v>
          </cell>
        </row>
        <row r="19537">
          <cell r="E19537">
            <v>0</v>
          </cell>
          <cell r="F19537">
            <v>0</v>
          </cell>
          <cell r="DN19537">
            <v>0</v>
          </cell>
        </row>
        <row r="19538">
          <cell r="E19538">
            <v>0</v>
          </cell>
          <cell r="F19538">
            <v>0</v>
          </cell>
          <cell r="DN19538">
            <v>0</v>
          </cell>
        </row>
        <row r="19539">
          <cell r="E19539">
            <v>0</v>
          </cell>
          <cell r="F19539">
            <v>0</v>
          </cell>
          <cell r="DN19539">
            <v>0</v>
          </cell>
        </row>
        <row r="19540">
          <cell r="E19540">
            <v>0</v>
          </cell>
          <cell r="F19540">
            <v>0</v>
          </cell>
          <cell r="DN19540">
            <v>0</v>
          </cell>
        </row>
        <row r="19541">
          <cell r="E19541">
            <v>0</v>
          </cell>
          <cell r="F19541">
            <v>0</v>
          </cell>
          <cell r="DN19541">
            <v>0</v>
          </cell>
        </row>
        <row r="19542">
          <cell r="E19542">
            <v>0</v>
          </cell>
          <cell r="F19542">
            <v>0</v>
          </cell>
          <cell r="DN19542">
            <v>0</v>
          </cell>
        </row>
        <row r="19543">
          <cell r="E19543">
            <v>0</v>
          </cell>
          <cell r="F19543">
            <v>0</v>
          </cell>
          <cell r="DN19543">
            <v>0</v>
          </cell>
        </row>
        <row r="19544">
          <cell r="E19544">
            <v>0</v>
          </cell>
          <cell r="F19544">
            <v>0</v>
          </cell>
          <cell r="DN19544">
            <v>0</v>
          </cell>
        </row>
        <row r="19545">
          <cell r="E19545">
            <v>0</v>
          </cell>
          <cell r="F19545">
            <v>0</v>
          </cell>
          <cell r="DN19545">
            <v>0</v>
          </cell>
        </row>
        <row r="19546">
          <cell r="E19546">
            <v>0</v>
          </cell>
          <cell r="F19546">
            <v>0</v>
          </cell>
          <cell r="DN19546">
            <v>0</v>
          </cell>
        </row>
        <row r="19547">
          <cell r="E19547">
            <v>0</v>
          </cell>
          <cell r="F19547">
            <v>0</v>
          </cell>
          <cell r="DN19547">
            <v>0</v>
          </cell>
        </row>
        <row r="19548">
          <cell r="E19548">
            <v>0</v>
          </cell>
          <cell r="F19548">
            <v>0</v>
          </cell>
          <cell r="DN19548">
            <v>0</v>
          </cell>
        </row>
        <row r="19549">
          <cell r="E19549">
            <v>0</v>
          </cell>
          <cell r="F19549">
            <v>0</v>
          </cell>
          <cell r="DN19549">
            <v>0</v>
          </cell>
        </row>
        <row r="19550">
          <cell r="E19550">
            <v>0</v>
          </cell>
          <cell r="F19550">
            <v>0</v>
          </cell>
          <cell r="DN19550">
            <v>0</v>
          </cell>
        </row>
        <row r="19551">
          <cell r="E19551">
            <v>0</v>
          </cell>
          <cell r="F19551">
            <v>0</v>
          </cell>
          <cell r="DN19551">
            <v>0</v>
          </cell>
        </row>
        <row r="19552">
          <cell r="E19552">
            <v>0</v>
          </cell>
          <cell r="F19552">
            <v>0</v>
          </cell>
          <cell r="DN19552">
            <v>0</v>
          </cell>
        </row>
        <row r="19553">
          <cell r="E19553">
            <v>0</v>
          </cell>
          <cell r="F19553">
            <v>0</v>
          </cell>
          <cell r="DN19553">
            <v>0</v>
          </cell>
        </row>
        <row r="19554">
          <cell r="E19554">
            <v>0</v>
          </cell>
          <cell r="F19554">
            <v>0</v>
          </cell>
          <cell r="DN19554">
            <v>0</v>
          </cell>
        </row>
        <row r="19555">
          <cell r="E19555">
            <v>0</v>
          </cell>
          <cell r="F19555">
            <v>0</v>
          </cell>
          <cell r="DN19555">
            <v>0</v>
          </cell>
        </row>
        <row r="19556">
          <cell r="E19556">
            <v>0</v>
          </cell>
          <cell r="F19556">
            <v>0</v>
          </cell>
          <cell r="DN19556">
            <v>0</v>
          </cell>
        </row>
        <row r="19557">
          <cell r="E19557">
            <v>0</v>
          </cell>
          <cell r="F19557">
            <v>0</v>
          </cell>
          <cell r="DN19557">
            <v>0</v>
          </cell>
        </row>
        <row r="19558">
          <cell r="E19558">
            <v>0</v>
          </cell>
          <cell r="F19558">
            <v>0</v>
          </cell>
          <cell r="DN19558">
            <v>0</v>
          </cell>
        </row>
        <row r="19559">
          <cell r="E19559">
            <v>0</v>
          </cell>
          <cell r="F19559">
            <v>0</v>
          </cell>
          <cell r="DN19559">
            <v>0</v>
          </cell>
        </row>
        <row r="19560">
          <cell r="E19560">
            <v>0</v>
          </cell>
          <cell r="F19560">
            <v>0</v>
          </cell>
          <cell r="DN19560">
            <v>0</v>
          </cell>
        </row>
        <row r="19561">
          <cell r="E19561">
            <v>0</v>
          </cell>
          <cell r="F19561">
            <v>0</v>
          </cell>
          <cell r="DN19561">
            <v>0</v>
          </cell>
        </row>
        <row r="19562">
          <cell r="E19562">
            <v>0</v>
          </cell>
          <cell r="F19562">
            <v>0</v>
          </cell>
          <cell r="DN19562">
            <v>0</v>
          </cell>
        </row>
        <row r="19563">
          <cell r="E19563">
            <v>0</v>
          </cell>
          <cell r="F19563">
            <v>0</v>
          </cell>
          <cell r="DN19563">
            <v>0</v>
          </cell>
        </row>
        <row r="19564">
          <cell r="E19564">
            <v>0</v>
          </cell>
          <cell r="F19564">
            <v>0</v>
          </cell>
          <cell r="DN19564">
            <v>0</v>
          </cell>
        </row>
        <row r="19565">
          <cell r="E19565">
            <v>0</v>
          </cell>
          <cell r="F19565">
            <v>0</v>
          </cell>
          <cell r="DN19565">
            <v>0</v>
          </cell>
        </row>
        <row r="19566">
          <cell r="E19566">
            <v>0</v>
          </cell>
          <cell r="F19566">
            <v>0</v>
          </cell>
          <cell r="DN19566">
            <v>0</v>
          </cell>
        </row>
        <row r="19567">
          <cell r="E19567">
            <v>0</v>
          </cell>
          <cell r="F19567">
            <v>0</v>
          </cell>
          <cell r="DN19567">
            <v>0</v>
          </cell>
        </row>
        <row r="19568">
          <cell r="E19568">
            <v>0</v>
          </cell>
          <cell r="F19568">
            <v>0</v>
          </cell>
          <cell r="DN19568">
            <v>0</v>
          </cell>
        </row>
        <row r="19569">
          <cell r="E19569">
            <v>0</v>
          </cell>
          <cell r="F19569">
            <v>0</v>
          </cell>
          <cell r="DN19569">
            <v>0</v>
          </cell>
        </row>
        <row r="19570">
          <cell r="E19570">
            <v>0</v>
          </cell>
          <cell r="F19570">
            <v>0</v>
          </cell>
          <cell r="DN19570">
            <v>0</v>
          </cell>
        </row>
        <row r="19571">
          <cell r="E19571">
            <v>0</v>
          </cell>
          <cell r="F19571">
            <v>0</v>
          </cell>
          <cell r="DN19571">
            <v>0</v>
          </cell>
        </row>
        <row r="19572">
          <cell r="E19572">
            <v>0</v>
          </cell>
          <cell r="F19572">
            <v>0</v>
          </cell>
          <cell r="DN19572">
            <v>0</v>
          </cell>
        </row>
        <row r="19573">
          <cell r="E19573">
            <v>0</v>
          </cell>
          <cell r="F19573">
            <v>0</v>
          </cell>
          <cell r="DN19573">
            <v>0</v>
          </cell>
        </row>
        <row r="19574">
          <cell r="E19574">
            <v>0</v>
          </cell>
          <cell r="F19574">
            <v>0</v>
          </cell>
          <cell r="DN19574">
            <v>0</v>
          </cell>
        </row>
        <row r="19575">
          <cell r="E19575">
            <v>0</v>
          </cell>
          <cell r="F19575">
            <v>0</v>
          </cell>
          <cell r="DN19575">
            <v>0</v>
          </cell>
        </row>
        <row r="19576">
          <cell r="E19576">
            <v>0</v>
          </cell>
          <cell r="F19576">
            <v>0</v>
          </cell>
          <cell r="DN19576">
            <v>0</v>
          </cell>
        </row>
        <row r="19577">
          <cell r="E19577">
            <v>0</v>
          </cell>
          <cell r="F19577">
            <v>0</v>
          </cell>
          <cell r="DN19577">
            <v>0</v>
          </cell>
        </row>
        <row r="19578">
          <cell r="E19578">
            <v>0</v>
          </cell>
          <cell r="F19578">
            <v>0</v>
          </cell>
          <cell r="DN19578">
            <v>0</v>
          </cell>
        </row>
        <row r="19579">
          <cell r="E19579">
            <v>0</v>
          </cell>
          <cell r="F19579">
            <v>0</v>
          </cell>
          <cell r="DN19579">
            <v>0</v>
          </cell>
        </row>
        <row r="19580">
          <cell r="E19580">
            <v>0</v>
          </cell>
          <cell r="F19580">
            <v>0</v>
          </cell>
          <cell r="DN19580">
            <v>0</v>
          </cell>
        </row>
        <row r="19581">
          <cell r="E19581">
            <v>0</v>
          </cell>
          <cell r="F19581">
            <v>0</v>
          </cell>
          <cell r="DN19581">
            <v>0</v>
          </cell>
        </row>
        <row r="19582">
          <cell r="E19582">
            <v>0</v>
          </cell>
          <cell r="F19582">
            <v>0</v>
          </cell>
          <cell r="DN19582">
            <v>0</v>
          </cell>
        </row>
        <row r="19583">
          <cell r="E19583">
            <v>0</v>
          </cell>
          <cell r="F19583">
            <v>0</v>
          </cell>
          <cell r="DN19583">
            <v>0</v>
          </cell>
        </row>
        <row r="19584">
          <cell r="E19584">
            <v>0</v>
          </cell>
          <cell r="F19584">
            <v>0</v>
          </cell>
          <cell r="DN19584">
            <v>0</v>
          </cell>
        </row>
        <row r="19585">
          <cell r="E19585">
            <v>0</v>
          </cell>
          <cell r="F19585">
            <v>0</v>
          </cell>
          <cell r="DN19585">
            <v>0</v>
          </cell>
        </row>
        <row r="19586">
          <cell r="E19586">
            <v>0</v>
          </cell>
          <cell r="F19586">
            <v>0</v>
          </cell>
          <cell r="DN19586">
            <v>0</v>
          </cell>
        </row>
        <row r="19587">
          <cell r="E19587">
            <v>0</v>
          </cell>
          <cell r="F19587">
            <v>0</v>
          </cell>
          <cell r="DN19587">
            <v>0</v>
          </cell>
        </row>
        <row r="19588">
          <cell r="E19588">
            <v>0</v>
          </cell>
          <cell r="F19588">
            <v>0</v>
          </cell>
          <cell r="DN19588">
            <v>0</v>
          </cell>
        </row>
        <row r="19589">
          <cell r="E19589">
            <v>0</v>
          </cell>
          <cell r="F19589">
            <v>0</v>
          </cell>
          <cell r="DN19589">
            <v>0</v>
          </cell>
        </row>
        <row r="19590">
          <cell r="E19590">
            <v>0</v>
          </cell>
          <cell r="F19590">
            <v>0</v>
          </cell>
          <cell r="DN19590">
            <v>0</v>
          </cell>
        </row>
        <row r="19591">
          <cell r="E19591">
            <v>0</v>
          </cell>
          <cell r="F19591">
            <v>0</v>
          </cell>
          <cell r="DN19591">
            <v>0</v>
          </cell>
        </row>
        <row r="19592">
          <cell r="E19592">
            <v>0</v>
          </cell>
          <cell r="F19592">
            <v>0</v>
          </cell>
          <cell r="DN19592">
            <v>0</v>
          </cell>
        </row>
        <row r="19593">
          <cell r="E19593">
            <v>0</v>
          </cell>
          <cell r="F19593">
            <v>0</v>
          </cell>
          <cell r="DN19593">
            <v>0</v>
          </cell>
        </row>
        <row r="19594">
          <cell r="E19594">
            <v>0</v>
          </cell>
          <cell r="F19594">
            <v>0</v>
          </cell>
          <cell r="DN19594">
            <v>0</v>
          </cell>
        </row>
        <row r="19595">
          <cell r="E19595">
            <v>0</v>
          </cell>
          <cell r="F19595">
            <v>0</v>
          </cell>
          <cell r="DN19595">
            <v>0</v>
          </cell>
        </row>
        <row r="19596">
          <cell r="E19596">
            <v>0</v>
          </cell>
          <cell r="F19596">
            <v>0</v>
          </cell>
          <cell r="DN19596">
            <v>0</v>
          </cell>
        </row>
        <row r="19597">
          <cell r="E19597">
            <v>0</v>
          </cell>
          <cell r="F19597">
            <v>0</v>
          </cell>
          <cell r="DN19597">
            <v>0</v>
          </cell>
        </row>
        <row r="19598">
          <cell r="E19598">
            <v>0</v>
          </cell>
          <cell r="F19598">
            <v>0</v>
          </cell>
          <cell r="DN19598">
            <v>0</v>
          </cell>
        </row>
        <row r="19599">
          <cell r="E19599">
            <v>0</v>
          </cell>
          <cell r="F19599">
            <v>0</v>
          </cell>
          <cell r="DN19599">
            <v>0</v>
          </cell>
        </row>
        <row r="19600">
          <cell r="E19600">
            <v>0</v>
          </cell>
          <cell r="F19600">
            <v>0</v>
          </cell>
          <cell r="DN19600">
            <v>0</v>
          </cell>
        </row>
        <row r="19601">
          <cell r="E19601">
            <v>0</v>
          </cell>
          <cell r="F19601">
            <v>0</v>
          </cell>
          <cell r="DN19601">
            <v>0</v>
          </cell>
        </row>
        <row r="19602">
          <cell r="E19602">
            <v>0</v>
          </cell>
          <cell r="F19602">
            <v>0</v>
          </cell>
          <cell r="DN19602">
            <v>0</v>
          </cell>
        </row>
        <row r="19603">
          <cell r="E19603">
            <v>0</v>
          </cell>
          <cell r="F19603">
            <v>0</v>
          </cell>
          <cell r="DN19603">
            <v>0</v>
          </cell>
        </row>
        <row r="19604">
          <cell r="E19604">
            <v>0</v>
          </cell>
          <cell r="F19604">
            <v>0</v>
          </cell>
          <cell r="DN19604">
            <v>0</v>
          </cell>
        </row>
        <row r="19605">
          <cell r="E19605">
            <v>0</v>
          </cell>
          <cell r="F19605">
            <v>0</v>
          </cell>
          <cell r="DN19605">
            <v>0</v>
          </cell>
        </row>
        <row r="19606">
          <cell r="E19606">
            <v>0</v>
          </cell>
          <cell r="F19606">
            <v>0</v>
          </cell>
          <cell r="DN19606">
            <v>0</v>
          </cell>
        </row>
        <row r="19607">
          <cell r="E19607">
            <v>0</v>
          </cell>
          <cell r="F19607">
            <v>0</v>
          </cell>
          <cell r="DN19607">
            <v>0</v>
          </cell>
        </row>
        <row r="19608">
          <cell r="E19608">
            <v>0</v>
          </cell>
          <cell r="F19608">
            <v>0</v>
          </cell>
          <cell r="DN19608">
            <v>0</v>
          </cell>
        </row>
        <row r="19609">
          <cell r="E19609">
            <v>0</v>
          </cell>
          <cell r="F19609">
            <v>0</v>
          </cell>
          <cell r="DN19609">
            <v>0</v>
          </cell>
        </row>
        <row r="19610">
          <cell r="E19610">
            <v>0</v>
          </cell>
          <cell r="F19610">
            <v>0</v>
          </cell>
          <cell r="DN19610">
            <v>0</v>
          </cell>
        </row>
        <row r="19611">
          <cell r="E19611">
            <v>0</v>
          </cell>
          <cell r="F19611">
            <v>0</v>
          </cell>
          <cell r="DN19611">
            <v>0</v>
          </cell>
        </row>
        <row r="19612">
          <cell r="E19612">
            <v>0</v>
          </cell>
          <cell r="F19612">
            <v>0</v>
          </cell>
          <cell r="DN19612">
            <v>0</v>
          </cell>
        </row>
        <row r="19613">
          <cell r="E19613">
            <v>0</v>
          </cell>
          <cell r="F19613">
            <v>0</v>
          </cell>
          <cell r="DN19613">
            <v>0</v>
          </cell>
        </row>
        <row r="19614">
          <cell r="E19614">
            <v>0</v>
          </cell>
          <cell r="F19614">
            <v>0</v>
          </cell>
          <cell r="DN19614">
            <v>0</v>
          </cell>
        </row>
        <row r="19615">
          <cell r="E19615">
            <v>0</v>
          </cell>
          <cell r="F19615">
            <v>0</v>
          </cell>
          <cell r="DN19615">
            <v>0</v>
          </cell>
        </row>
        <row r="19616">
          <cell r="E19616">
            <v>0</v>
          </cell>
          <cell r="F19616">
            <v>0</v>
          </cell>
          <cell r="DN19616">
            <v>0</v>
          </cell>
        </row>
        <row r="19617">
          <cell r="E19617">
            <v>0</v>
          </cell>
          <cell r="F19617">
            <v>0</v>
          </cell>
          <cell r="DN19617">
            <v>0</v>
          </cell>
        </row>
        <row r="19618">
          <cell r="E19618">
            <v>0</v>
          </cell>
          <cell r="F19618">
            <v>0</v>
          </cell>
          <cell r="DN19618">
            <v>0</v>
          </cell>
        </row>
        <row r="19619">
          <cell r="E19619">
            <v>0</v>
          </cell>
          <cell r="F19619">
            <v>0</v>
          </cell>
          <cell r="DN19619">
            <v>0</v>
          </cell>
        </row>
        <row r="19620">
          <cell r="E19620">
            <v>0</v>
          </cell>
          <cell r="F19620">
            <v>0</v>
          </cell>
          <cell r="DN19620">
            <v>0</v>
          </cell>
        </row>
        <row r="19621">
          <cell r="E19621">
            <v>0</v>
          </cell>
          <cell r="F19621">
            <v>0</v>
          </cell>
          <cell r="DN19621">
            <v>0</v>
          </cell>
        </row>
        <row r="19622">
          <cell r="E19622">
            <v>0</v>
          </cell>
          <cell r="F19622">
            <v>0</v>
          </cell>
          <cell r="DN19622">
            <v>0</v>
          </cell>
        </row>
        <row r="19623">
          <cell r="E19623">
            <v>0</v>
          </cell>
          <cell r="F19623">
            <v>0</v>
          </cell>
          <cell r="DN19623">
            <v>0</v>
          </cell>
        </row>
        <row r="19624">
          <cell r="E19624">
            <v>0</v>
          </cell>
          <cell r="F19624">
            <v>0</v>
          </cell>
          <cell r="DN19624">
            <v>0</v>
          </cell>
        </row>
        <row r="19625">
          <cell r="E19625">
            <v>0</v>
          </cell>
          <cell r="F19625">
            <v>0</v>
          </cell>
          <cell r="DN19625">
            <v>0</v>
          </cell>
        </row>
        <row r="19626">
          <cell r="E19626">
            <v>0</v>
          </cell>
          <cell r="F19626">
            <v>0</v>
          </cell>
          <cell r="DN19626">
            <v>0</v>
          </cell>
        </row>
        <row r="19627">
          <cell r="E19627">
            <v>0</v>
          </cell>
          <cell r="F19627">
            <v>0</v>
          </cell>
          <cell r="DN19627">
            <v>0</v>
          </cell>
        </row>
        <row r="19628">
          <cell r="E19628">
            <v>0</v>
          </cell>
          <cell r="F19628">
            <v>0</v>
          </cell>
          <cell r="DN19628">
            <v>0</v>
          </cell>
        </row>
        <row r="19629">
          <cell r="E19629">
            <v>0</v>
          </cell>
          <cell r="F19629">
            <v>0</v>
          </cell>
          <cell r="DN19629">
            <v>0</v>
          </cell>
        </row>
        <row r="19630">
          <cell r="E19630">
            <v>0</v>
          </cell>
          <cell r="F19630">
            <v>0</v>
          </cell>
          <cell r="DN19630">
            <v>0</v>
          </cell>
        </row>
        <row r="19631">
          <cell r="E19631">
            <v>0</v>
          </cell>
          <cell r="F19631">
            <v>0</v>
          </cell>
          <cell r="DN19631">
            <v>0</v>
          </cell>
        </row>
        <row r="19632">
          <cell r="E19632">
            <v>0</v>
          </cell>
          <cell r="F19632">
            <v>0</v>
          </cell>
          <cell r="DN19632">
            <v>0</v>
          </cell>
        </row>
        <row r="19633">
          <cell r="E19633">
            <v>0</v>
          </cell>
          <cell r="F19633">
            <v>0</v>
          </cell>
          <cell r="DN19633">
            <v>0</v>
          </cell>
        </row>
        <row r="19634">
          <cell r="E19634">
            <v>0</v>
          </cell>
          <cell r="F19634">
            <v>0</v>
          </cell>
          <cell r="DN19634">
            <v>0</v>
          </cell>
        </row>
        <row r="19635">
          <cell r="E19635">
            <v>0</v>
          </cell>
          <cell r="F19635">
            <v>0</v>
          </cell>
          <cell r="DN19635">
            <v>0</v>
          </cell>
        </row>
        <row r="19636">
          <cell r="E19636">
            <v>0</v>
          </cell>
          <cell r="F19636">
            <v>0</v>
          </cell>
          <cell r="DN19636">
            <v>0</v>
          </cell>
        </row>
        <row r="19637">
          <cell r="E19637">
            <v>0</v>
          </cell>
          <cell r="F19637">
            <v>0</v>
          </cell>
          <cell r="DN19637">
            <v>0</v>
          </cell>
        </row>
        <row r="19638">
          <cell r="E19638">
            <v>0</v>
          </cell>
          <cell r="F19638">
            <v>0</v>
          </cell>
          <cell r="DN19638">
            <v>0</v>
          </cell>
        </row>
        <row r="19639">
          <cell r="E19639">
            <v>0</v>
          </cell>
          <cell r="F19639">
            <v>0</v>
          </cell>
          <cell r="DN19639">
            <v>0</v>
          </cell>
        </row>
        <row r="19640">
          <cell r="E19640">
            <v>0</v>
          </cell>
          <cell r="F19640">
            <v>0</v>
          </cell>
          <cell r="DN19640">
            <v>0</v>
          </cell>
        </row>
        <row r="19641">
          <cell r="E19641">
            <v>0</v>
          </cell>
          <cell r="F19641">
            <v>0</v>
          </cell>
          <cell r="DN19641">
            <v>0</v>
          </cell>
        </row>
        <row r="19642">
          <cell r="E19642">
            <v>0</v>
          </cell>
          <cell r="F19642">
            <v>0</v>
          </cell>
          <cell r="DN19642">
            <v>0</v>
          </cell>
        </row>
        <row r="19643">
          <cell r="E19643">
            <v>0</v>
          </cell>
          <cell r="F19643">
            <v>0</v>
          </cell>
          <cell r="DN19643">
            <v>0</v>
          </cell>
        </row>
        <row r="19644">
          <cell r="E19644">
            <v>0</v>
          </cell>
          <cell r="F19644">
            <v>0</v>
          </cell>
          <cell r="DN19644">
            <v>0</v>
          </cell>
        </row>
        <row r="19645">
          <cell r="E19645">
            <v>0</v>
          </cell>
          <cell r="F19645">
            <v>0</v>
          </cell>
          <cell r="DN19645">
            <v>0</v>
          </cell>
        </row>
        <row r="19646">
          <cell r="E19646">
            <v>0</v>
          </cell>
          <cell r="F19646">
            <v>0</v>
          </cell>
          <cell r="DN19646">
            <v>0</v>
          </cell>
        </row>
        <row r="19647">
          <cell r="E19647">
            <v>0</v>
          </cell>
          <cell r="F19647">
            <v>0</v>
          </cell>
          <cell r="DN19647">
            <v>0</v>
          </cell>
        </row>
        <row r="19648">
          <cell r="E19648">
            <v>0</v>
          </cell>
          <cell r="F19648">
            <v>0</v>
          </cell>
          <cell r="DN19648">
            <v>0</v>
          </cell>
        </row>
        <row r="19649">
          <cell r="E19649">
            <v>0</v>
          </cell>
          <cell r="F19649">
            <v>0</v>
          </cell>
          <cell r="DN19649">
            <v>0</v>
          </cell>
        </row>
        <row r="19650">
          <cell r="E19650">
            <v>0</v>
          </cell>
          <cell r="F19650">
            <v>0</v>
          </cell>
          <cell r="DN19650">
            <v>0</v>
          </cell>
        </row>
        <row r="19651">
          <cell r="E19651">
            <v>0</v>
          </cell>
          <cell r="F19651">
            <v>0</v>
          </cell>
          <cell r="DN19651">
            <v>0</v>
          </cell>
        </row>
        <row r="19652">
          <cell r="E19652">
            <v>0</v>
          </cell>
          <cell r="F19652">
            <v>0</v>
          </cell>
          <cell r="DN19652">
            <v>0</v>
          </cell>
        </row>
        <row r="19653">
          <cell r="E19653">
            <v>0</v>
          </cell>
          <cell r="F19653">
            <v>0</v>
          </cell>
          <cell r="DN19653">
            <v>0</v>
          </cell>
        </row>
        <row r="19654">
          <cell r="E19654">
            <v>0</v>
          </cell>
          <cell r="F19654">
            <v>0</v>
          </cell>
          <cell r="DN19654">
            <v>0</v>
          </cell>
        </row>
        <row r="19655">
          <cell r="E19655">
            <v>0</v>
          </cell>
          <cell r="F19655">
            <v>0</v>
          </cell>
          <cell r="DN19655">
            <v>0</v>
          </cell>
        </row>
        <row r="19656">
          <cell r="E19656">
            <v>0</v>
          </cell>
          <cell r="F19656">
            <v>0</v>
          </cell>
          <cell r="DN19656">
            <v>0</v>
          </cell>
        </row>
        <row r="19657">
          <cell r="E19657">
            <v>0</v>
          </cell>
          <cell r="F19657">
            <v>0</v>
          </cell>
          <cell r="DN19657">
            <v>0</v>
          </cell>
        </row>
        <row r="19658">
          <cell r="E19658">
            <v>0</v>
          </cell>
          <cell r="F19658">
            <v>0</v>
          </cell>
          <cell r="DN19658">
            <v>0</v>
          </cell>
        </row>
        <row r="19659">
          <cell r="E19659">
            <v>0</v>
          </cell>
          <cell r="F19659">
            <v>0</v>
          </cell>
          <cell r="DN19659">
            <v>0</v>
          </cell>
        </row>
        <row r="19660">
          <cell r="E19660">
            <v>0</v>
          </cell>
          <cell r="F19660">
            <v>0</v>
          </cell>
          <cell r="DN19660">
            <v>0</v>
          </cell>
        </row>
        <row r="19661">
          <cell r="E19661">
            <v>0</v>
          </cell>
          <cell r="F19661">
            <v>0</v>
          </cell>
          <cell r="DN19661">
            <v>0</v>
          </cell>
        </row>
        <row r="19662">
          <cell r="E19662">
            <v>0</v>
          </cell>
          <cell r="F19662">
            <v>0</v>
          </cell>
          <cell r="DN19662">
            <v>0</v>
          </cell>
        </row>
        <row r="19663">
          <cell r="E19663">
            <v>0</v>
          </cell>
          <cell r="F19663">
            <v>0</v>
          </cell>
          <cell r="DN19663">
            <v>0</v>
          </cell>
        </row>
        <row r="19664">
          <cell r="E19664">
            <v>0</v>
          </cell>
          <cell r="F19664">
            <v>0</v>
          </cell>
          <cell r="DN19664">
            <v>0</v>
          </cell>
        </row>
        <row r="19665">
          <cell r="E19665">
            <v>0</v>
          </cell>
          <cell r="F19665">
            <v>0</v>
          </cell>
          <cell r="DN19665">
            <v>0</v>
          </cell>
        </row>
        <row r="19666">
          <cell r="E19666">
            <v>0</v>
          </cell>
          <cell r="F19666">
            <v>0</v>
          </cell>
          <cell r="DN19666">
            <v>0</v>
          </cell>
        </row>
        <row r="19667">
          <cell r="E19667">
            <v>0</v>
          </cell>
          <cell r="F19667">
            <v>0</v>
          </cell>
          <cell r="DN19667">
            <v>0</v>
          </cell>
        </row>
        <row r="19668">
          <cell r="E19668">
            <v>0</v>
          </cell>
          <cell r="F19668">
            <v>0</v>
          </cell>
          <cell r="DN19668">
            <v>0</v>
          </cell>
        </row>
        <row r="19669">
          <cell r="E19669">
            <v>0</v>
          </cell>
          <cell r="F19669">
            <v>0</v>
          </cell>
          <cell r="DN19669">
            <v>0</v>
          </cell>
        </row>
        <row r="19670">
          <cell r="E19670">
            <v>0</v>
          </cell>
          <cell r="F19670">
            <v>0</v>
          </cell>
          <cell r="DN19670">
            <v>0</v>
          </cell>
        </row>
        <row r="19671">
          <cell r="E19671">
            <v>0</v>
          </cell>
          <cell r="F19671">
            <v>0</v>
          </cell>
          <cell r="DN19671">
            <v>0</v>
          </cell>
        </row>
        <row r="19672">
          <cell r="E19672">
            <v>0</v>
          </cell>
          <cell r="F19672">
            <v>0</v>
          </cell>
          <cell r="DN19672">
            <v>0</v>
          </cell>
        </row>
        <row r="19673">
          <cell r="E19673">
            <v>0</v>
          </cell>
          <cell r="F19673">
            <v>0</v>
          </cell>
          <cell r="DN19673">
            <v>0</v>
          </cell>
        </row>
        <row r="19674">
          <cell r="E19674">
            <v>0</v>
          </cell>
          <cell r="F19674">
            <v>0</v>
          </cell>
          <cell r="DN19674">
            <v>0</v>
          </cell>
        </row>
        <row r="19675">
          <cell r="E19675">
            <v>0</v>
          </cell>
          <cell r="F19675">
            <v>0</v>
          </cell>
          <cell r="DN19675">
            <v>0</v>
          </cell>
        </row>
        <row r="19676">
          <cell r="E19676">
            <v>0</v>
          </cell>
          <cell r="F19676">
            <v>0</v>
          </cell>
          <cell r="DN19676">
            <v>0</v>
          </cell>
        </row>
        <row r="19677">
          <cell r="E19677">
            <v>0</v>
          </cell>
          <cell r="F19677">
            <v>0</v>
          </cell>
          <cell r="DN19677">
            <v>0</v>
          </cell>
        </row>
        <row r="19678">
          <cell r="E19678">
            <v>0</v>
          </cell>
          <cell r="F19678">
            <v>0</v>
          </cell>
          <cell r="DN19678">
            <v>0</v>
          </cell>
        </row>
        <row r="19679">
          <cell r="E19679">
            <v>0</v>
          </cell>
          <cell r="F19679">
            <v>0</v>
          </cell>
          <cell r="DN19679">
            <v>0</v>
          </cell>
        </row>
        <row r="19680">
          <cell r="E19680">
            <v>0</v>
          </cell>
          <cell r="F19680">
            <v>0</v>
          </cell>
          <cell r="DN19680">
            <v>0</v>
          </cell>
        </row>
        <row r="19681">
          <cell r="E19681">
            <v>0</v>
          </cell>
          <cell r="F19681">
            <v>0</v>
          </cell>
          <cell r="DN19681">
            <v>0</v>
          </cell>
        </row>
        <row r="19682">
          <cell r="E19682">
            <v>0</v>
          </cell>
          <cell r="F19682">
            <v>0</v>
          </cell>
          <cell r="DN19682">
            <v>0</v>
          </cell>
        </row>
        <row r="19683">
          <cell r="E19683">
            <v>0</v>
          </cell>
          <cell r="F19683">
            <v>0</v>
          </cell>
          <cell r="DN19683">
            <v>0</v>
          </cell>
        </row>
        <row r="19684">
          <cell r="E19684">
            <v>0</v>
          </cell>
          <cell r="F19684">
            <v>0</v>
          </cell>
          <cell r="DN19684">
            <v>0</v>
          </cell>
        </row>
        <row r="19685">
          <cell r="E19685">
            <v>0</v>
          </cell>
          <cell r="F19685">
            <v>0</v>
          </cell>
          <cell r="DN19685">
            <v>0</v>
          </cell>
        </row>
        <row r="19686">
          <cell r="E19686">
            <v>0</v>
          </cell>
          <cell r="F19686">
            <v>0</v>
          </cell>
          <cell r="DN19686">
            <v>0</v>
          </cell>
        </row>
        <row r="19687">
          <cell r="E19687">
            <v>0</v>
          </cell>
          <cell r="F19687">
            <v>0</v>
          </cell>
          <cell r="DN19687">
            <v>0</v>
          </cell>
        </row>
        <row r="19688">
          <cell r="E19688">
            <v>0</v>
          </cell>
          <cell r="F19688">
            <v>0</v>
          </cell>
          <cell r="DN19688">
            <v>0</v>
          </cell>
        </row>
        <row r="19689">
          <cell r="E19689">
            <v>0</v>
          </cell>
          <cell r="F19689">
            <v>0</v>
          </cell>
          <cell r="DN19689">
            <v>0</v>
          </cell>
        </row>
        <row r="19690">
          <cell r="E19690">
            <v>0</v>
          </cell>
          <cell r="F19690">
            <v>0</v>
          </cell>
          <cell r="DN19690">
            <v>0</v>
          </cell>
        </row>
        <row r="19691">
          <cell r="E19691">
            <v>0</v>
          </cell>
          <cell r="F19691">
            <v>0</v>
          </cell>
          <cell r="DN19691">
            <v>0</v>
          </cell>
        </row>
        <row r="19692">
          <cell r="E19692">
            <v>0</v>
          </cell>
          <cell r="F19692">
            <v>0</v>
          </cell>
          <cell r="DN19692">
            <v>0</v>
          </cell>
        </row>
        <row r="19693">
          <cell r="E19693">
            <v>0</v>
          </cell>
          <cell r="F19693">
            <v>0</v>
          </cell>
          <cell r="DN19693">
            <v>0</v>
          </cell>
        </row>
        <row r="19694">
          <cell r="E19694">
            <v>0</v>
          </cell>
          <cell r="F19694">
            <v>0</v>
          </cell>
          <cell r="DN19694">
            <v>0</v>
          </cell>
        </row>
        <row r="19695">
          <cell r="E19695">
            <v>0</v>
          </cell>
          <cell r="F19695">
            <v>0</v>
          </cell>
          <cell r="DN19695">
            <v>0</v>
          </cell>
        </row>
        <row r="19696">
          <cell r="E19696">
            <v>0</v>
          </cell>
          <cell r="F19696">
            <v>0</v>
          </cell>
          <cell r="DN19696">
            <v>0</v>
          </cell>
        </row>
        <row r="19697">
          <cell r="E19697">
            <v>0</v>
          </cell>
          <cell r="F19697">
            <v>0</v>
          </cell>
          <cell r="DN19697">
            <v>0</v>
          </cell>
        </row>
        <row r="19698">
          <cell r="E19698">
            <v>0</v>
          </cell>
          <cell r="F19698">
            <v>0</v>
          </cell>
          <cell r="DN19698">
            <v>0</v>
          </cell>
        </row>
        <row r="19699">
          <cell r="E19699">
            <v>0</v>
          </cell>
          <cell r="F19699">
            <v>0</v>
          </cell>
          <cell r="DN19699">
            <v>0</v>
          </cell>
        </row>
        <row r="19700">
          <cell r="E19700">
            <v>0</v>
          </cell>
          <cell r="F19700">
            <v>0</v>
          </cell>
          <cell r="DN19700">
            <v>0</v>
          </cell>
        </row>
        <row r="19701">
          <cell r="E19701">
            <v>0</v>
          </cell>
          <cell r="F19701">
            <v>0</v>
          </cell>
          <cell r="DN19701">
            <v>0</v>
          </cell>
        </row>
        <row r="19702">
          <cell r="E19702">
            <v>0</v>
          </cell>
          <cell r="F19702">
            <v>0</v>
          </cell>
          <cell r="DN19702">
            <v>0</v>
          </cell>
        </row>
        <row r="19703">
          <cell r="E19703">
            <v>0</v>
          </cell>
          <cell r="F19703">
            <v>0</v>
          </cell>
          <cell r="DN19703">
            <v>0</v>
          </cell>
        </row>
        <row r="19704">
          <cell r="E19704">
            <v>0</v>
          </cell>
          <cell r="F19704">
            <v>0</v>
          </cell>
          <cell r="DN19704">
            <v>0</v>
          </cell>
        </row>
        <row r="19705">
          <cell r="E19705">
            <v>0</v>
          </cell>
          <cell r="F19705">
            <v>0</v>
          </cell>
          <cell r="DN19705">
            <v>0</v>
          </cell>
        </row>
        <row r="19706">
          <cell r="E19706">
            <v>0</v>
          </cell>
          <cell r="F19706">
            <v>0</v>
          </cell>
          <cell r="DN19706">
            <v>0</v>
          </cell>
        </row>
        <row r="19707">
          <cell r="E19707">
            <v>0</v>
          </cell>
          <cell r="F19707">
            <v>0</v>
          </cell>
          <cell r="DN19707">
            <v>0</v>
          </cell>
        </row>
        <row r="19708">
          <cell r="E19708">
            <v>0</v>
          </cell>
          <cell r="F19708">
            <v>0</v>
          </cell>
          <cell r="DN19708">
            <v>0</v>
          </cell>
        </row>
        <row r="19709">
          <cell r="E19709">
            <v>0</v>
          </cell>
          <cell r="F19709">
            <v>0</v>
          </cell>
          <cell r="DN19709">
            <v>0</v>
          </cell>
        </row>
        <row r="19710">
          <cell r="E19710">
            <v>0</v>
          </cell>
          <cell r="F19710">
            <v>0</v>
          </cell>
          <cell r="DN19710">
            <v>0</v>
          </cell>
        </row>
        <row r="19711">
          <cell r="E19711">
            <v>0</v>
          </cell>
          <cell r="F19711">
            <v>0</v>
          </cell>
          <cell r="DN19711">
            <v>0</v>
          </cell>
        </row>
        <row r="19712">
          <cell r="E19712">
            <v>0</v>
          </cell>
          <cell r="F19712">
            <v>0</v>
          </cell>
          <cell r="DN19712">
            <v>0</v>
          </cell>
        </row>
        <row r="19713">
          <cell r="E19713">
            <v>0</v>
          </cell>
          <cell r="F19713">
            <v>0</v>
          </cell>
          <cell r="DN19713">
            <v>0</v>
          </cell>
        </row>
        <row r="19714">
          <cell r="E19714">
            <v>0</v>
          </cell>
          <cell r="F19714">
            <v>0</v>
          </cell>
          <cell r="DN19714">
            <v>0</v>
          </cell>
        </row>
        <row r="19715">
          <cell r="E19715">
            <v>0</v>
          </cell>
          <cell r="F19715">
            <v>0</v>
          </cell>
          <cell r="DN19715">
            <v>0</v>
          </cell>
        </row>
        <row r="19716">
          <cell r="E19716">
            <v>0</v>
          </cell>
          <cell r="F19716">
            <v>0</v>
          </cell>
          <cell r="DN19716">
            <v>0</v>
          </cell>
        </row>
        <row r="19717">
          <cell r="E19717">
            <v>0</v>
          </cell>
          <cell r="F19717">
            <v>0</v>
          </cell>
          <cell r="DN19717">
            <v>0</v>
          </cell>
        </row>
        <row r="19718">
          <cell r="E19718">
            <v>0</v>
          </cell>
          <cell r="F19718">
            <v>0</v>
          </cell>
          <cell r="DN19718">
            <v>0</v>
          </cell>
        </row>
        <row r="19719">
          <cell r="E19719">
            <v>0</v>
          </cell>
          <cell r="F19719">
            <v>0</v>
          </cell>
          <cell r="DN19719">
            <v>0</v>
          </cell>
        </row>
        <row r="19720">
          <cell r="E19720">
            <v>0</v>
          </cell>
          <cell r="F19720">
            <v>0</v>
          </cell>
          <cell r="DN19720">
            <v>0</v>
          </cell>
        </row>
        <row r="19721">
          <cell r="E19721">
            <v>0</v>
          </cell>
          <cell r="F19721">
            <v>0</v>
          </cell>
          <cell r="DN19721">
            <v>0</v>
          </cell>
        </row>
        <row r="19722">
          <cell r="E19722">
            <v>0</v>
          </cell>
          <cell r="F19722">
            <v>0</v>
          </cell>
          <cell r="DN19722">
            <v>0</v>
          </cell>
        </row>
        <row r="19723">
          <cell r="E19723">
            <v>0</v>
          </cell>
          <cell r="F19723">
            <v>0</v>
          </cell>
          <cell r="DN19723">
            <v>0</v>
          </cell>
        </row>
        <row r="19724">
          <cell r="E19724">
            <v>0</v>
          </cell>
          <cell r="F19724">
            <v>0</v>
          </cell>
          <cell r="DN19724">
            <v>0</v>
          </cell>
        </row>
        <row r="19725">
          <cell r="E19725">
            <v>0</v>
          </cell>
          <cell r="F19725">
            <v>0</v>
          </cell>
          <cell r="DN19725">
            <v>0</v>
          </cell>
        </row>
        <row r="19726">
          <cell r="E19726">
            <v>0</v>
          </cell>
          <cell r="F19726">
            <v>0</v>
          </cell>
          <cell r="DN19726">
            <v>0</v>
          </cell>
        </row>
        <row r="19727">
          <cell r="E19727">
            <v>0</v>
          </cell>
          <cell r="F19727">
            <v>0</v>
          </cell>
          <cell r="DN19727">
            <v>0</v>
          </cell>
        </row>
        <row r="19728">
          <cell r="E19728">
            <v>0</v>
          </cell>
          <cell r="F19728">
            <v>0</v>
          </cell>
          <cell r="DN19728">
            <v>0</v>
          </cell>
        </row>
        <row r="19729">
          <cell r="E19729">
            <v>0</v>
          </cell>
          <cell r="F19729">
            <v>0</v>
          </cell>
          <cell r="DN19729">
            <v>0</v>
          </cell>
        </row>
        <row r="19730">
          <cell r="E19730">
            <v>0</v>
          </cell>
          <cell r="F19730">
            <v>0</v>
          </cell>
          <cell r="DN19730">
            <v>0</v>
          </cell>
        </row>
        <row r="19731">
          <cell r="E19731">
            <v>0</v>
          </cell>
          <cell r="F19731">
            <v>0</v>
          </cell>
          <cell r="DN19731">
            <v>0</v>
          </cell>
        </row>
        <row r="19732">
          <cell r="E19732">
            <v>0</v>
          </cell>
          <cell r="F19732">
            <v>0</v>
          </cell>
          <cell r="DN19732">
            <v>0</v>
          </cell>
        </row>
        <row r="19733">
          <cell r="E19733">
            <v>0</v>
          </cell>
          <cell r="F19733">
            <v>0</v>
          </cell>
          <cell r="DN19733">
            <v>0</v>
          </cell>
        </row>
        <row r="19734">
          <cell r="E19734">
            <v>0</v>
          </cell>
          <cell r="F19734">
            <v>0</v>
          </cell>
          <cell r="DN19734">
            <v>0</v>
          </cell>
        </row>
        <row r="19735">
          <cell r="E19735">
            <v>0</v>
          </cell>
          <cell r="F19735">
            <v>0</v>
          </cell>
          <cell r="DN19735">
            <v>0</v>
          </cell>
        </row>
        <row r="19736">
          <cell r="E19736">
            <v>0</v>
          </cell>
          <cell r="F19736">
            <v>0</v>
          </cell>
          <cell r="DN19736">
            <v>0</v>
          </cell>
        </row>
        <row r="19737">
          <cell r="E19737">
            <v>0</v>
          </cell>
          <cell r="F19737">
            <v>0</v>
          </cell>
          <cell r="DN19737">
            <v>0</v>
          </cell>
        </row>
        <row r="19738">
          <cell r="E19738">
            <v>0</v>
          </cell>
          <cell r="F19738">
            <v>0</v>
          </cell>
          <cell r="DN19738">
            <v>0</v>
          </cell>
        </row>
        <row r="19739">
          <cell r="E19739">
            <v>0</v>
          </cell>
          <cell r="F19739">
            <v>0</v>
          </cell>
          <cell r="DN19739">
            <v>0</v>
          </cell>
        </row>
        <row r="19740">
          <cell r="E19740">
            <v>0</v>
          </cell>
          <cell r="F19740">
            <v>0</v>
          </cell>
          <cell r="DN19740">
            <v>0</v>
          </cell>
        </row>
        <row r="19741">
          <cell r="E19741">
            <v>0</v>
          </cell>
          <cell r="F19741">
            <v>0</v>
          </cell>
          <cell r="DN19741">
            <v>0</v>
          </cell>
        </row>
        <row r="19742">
          <cell r="E19742">
            <v>0</v>
          </cell>
          <cell r="F19742">
            <v>0</v>
          </cell>
          <cell r="DN19742">
            <v>0</v>
          </cell>
        </row>
        <row r="19743">
          <cell r="E19743">
            <v>0</v>
          </cell>
          <cell r="F19743">
            <v>0</v>
          </cell>
          <cell r="DN19743">
            <v>0</v>
          </cell>
        </row>
        <row r="19744">
          <cell r="E19744">
            <v>0</v>
          </cell>
          <cell r="F19744">
            <v>0</v>
          </cell>
          <cell r="DN19744">
            <v>0</v>
          </cell>
        </row>
        <row r="19745">
          <cell r="E19745">
            <v>0</v>
          </cell>
          <cell r="F19745">
            <v>0</v>
          </cell>
          <cell r="DN19745">
            <v>0</v>
          </cell>
        </row>
        <row r="19746">
          <cell r="E19746">
            <v>0</v>
          </cell>
          <cell r="F19746">
            <v>0</v>
          </cell>
          <cell r="DN19746">
            <v>0</v>
          </cell>
        </row>
        <row r="19747">
          <cell r="E19747">
            <v>0</v>
          </cell>
          <cell r="F19747">
            <v>0</v>
          </cell>
          <cell r="DN19747">
            <v>0</v>
          </cell>
        </row>
        <row r="19748">
          <cell r="E19748">
            <v>0</v>
          </cell>
          <cell r="F19748">
            <v>0</v>
          </cell>
          <cell r="DN19748">
            <v>0</v>
          </cell>
        </row>
        <row r="19749">
          <cell r="E19749">
            <v>0</v>
          </cell>
          <cell r="F19749">
            <v>0</v>
          </cell>
          <cell r="DN19749">
            <v>0</v>
          </cell>
        </row>
        <row r="19750">
          <cell r="E19750">
            <v>0</v>
          </cell>
          <cell r="F19750">
            <v>0</v>
          </cell>
          <cell r="DN19750">
            <v>0</v>
          </cell>
        </row>
        <row r="19751">
          <cell r="E19751">
            <v>0</v>
          </cell>
          <cell r="F19751">
            <v>0</v>
          </cell>
          <cell r="DN19751">
            <v>0</v>
          </cell>
        </row>
        <row r="19752">
          <cell r="E19752">
            <v>0</v>
          </cell>
          <cell r="F19752">
            <v>0</v>
          </cell>
          <cell r="DN19752">
            <v>0</v>
          </cell>
        </row>
        <row r="19753">
          <cell r="E19753">
            <v>0</v>
          </cell>
          <cell r="F19753">
            <v>0</v>
          </cell>
          <cell r="DN19753">
            <v>0</v>
          </cell>
        </row>
        <row r="19754">
          <cell r="E19754">
            <v>0</v>
          </cell>
          <cell r="F19754">
            <v>0</v>
          </cell>
          <cell r="DN19754">
            <v>0</v>
          </cell>
        </row>
        <row r="19755">
          <cell r="E19755">
            <v>0</v>
          </cell>
          <cell r="F19755">
            <v>0</v>
          </cell>
          <cell r="DN19755">
            <v>0</v>
          </cell>
        </row>
        <row r="19756">
          <cell r="E19756">
            <v>0</v>
          </cell>
          <cell r="F19756">
            <v>0</v>
          </cell>
          <cell r="DN19756">
            <v>0</v>
          </cell>
        </row>
        <row r="19757">
          <cell r="E19757">
            <v>0</v>
          </cell>
          <cell r="F19757">
            <v>0</v>
          </cell>
          <cell r="DN19757">
            <v>0</v>
          </cell>
        </row>
        <row r="19758">
          <cell r="E19758">
            <v>0</v>
          </cell>
          <cell r="F19758">
            <v>0</v>
          </cell>
          <cell r="DN19758">
            <v>0</v>
          </cell>
        </row>
        <row r="19759">
          <cell r="E19759">
            <v>0</v>
          </cell>
          <cell r="F19759">
            <v>0</v>
          </cell>
          <cell r="DN19759">
            <v>0</v>
          </cell>
        </row>
        <row r="19760">
          <cell r="E19760">
            <v>0</v>
          </cell>
          <cell r="F19760">
            <v>0</v>
          </cell>
          <cell r="DN19760">
            <v>0</v>
          </cell>
        </row>
        <row r="19761">
          <cell r="E19761">
            <v>0</v>
          </cell>
          <cell r="F19761">
            <v>0</v>
          </cell>
          <cell r="DN19761">
            <v>0</v>
          </cell>
        </row>
        <row r="19762">
          <cell r="E19762">
            <v>0</v>
          </cell>
          <cell r="F19762">
            <v>0</v>
          </cell>
          <cell r="DN19762">
            <v>0</v>
          </cell>
        </row>
        <row r="19763">
          <cell r="E19763">
            <v>0</v>
          </cell>
          <cell r="F19763">
            <v>0</v>
          </cell>
          <cell r="DN19763">
            <v>0</v>
          </cell>
        </row>
        <row r="19764">
          <cell r="E19764">
            <v>0</v>
          </cell>
          <cell r="F19764">
            <v>0</v>
          </cell>
          <cell r="DN19764">
            <v>0</v>
          </cell>
        </row>
        <row r="19765">
          <cell r="E19765">
            <v>0</v>
          </cell>
          <cell r="F19765">
            <v>0</v>
          </cell>
          <cell r="DN19765">
            <v>0</v>
          </cell>
        </row>
        <row r="19766">
          <cell r="E19766">
            <v>0</v>
          </cell>
          <cell r="F19766">
            <v>0</v>
          </cell>
          <cell r="DN19766">
            <v>0</v>
          </cell>
        </row>
        <row r="19767">
          <cell r="E19767">
            <v>0</v>
          </cell>
          <cell r="F19767">
            <v>0</v>
          </cell>
          <cell r="DN19767">
            <v>0</v>
          </cell>
        </row>
        <row r="19768">
          <cell r="E19768">
            <v>0</v>
          </cell>
          <cell r="F19768">
            <v>0</v>
          </cell>
          <cell r="DN19768">
            <v>0</v>
          </cell>
        </row>
        <row r="19769">
          <cell r="E19769">
            <v>0</v>
          </cell>
          <cell r="F19769">
            <v>0</v>
          </cell>
          <cell r="DN19769">
            <v>0</v>
          </cell>
        </row>
        <row r="19770">
          <cell r="E19770">
            <v>0</v>
          </cell>
          <cell r="F19770">
            <v>0</v>
          </cell>
          <cell r="DN19770">
            <v>0</v>
          </cell>
        </row>
        <row r="19771">
          <cell r="E19771">
            <v>0</v>
          </cell>
          <cell r="F19771">
            <v>0</v>
          </cell>
          <cell r="DN19771">
            <v>0</v>
          </cell>
        </row>
        <row r="19772">
          <cell r="E19772">
            <v>0</v>
          </cell>
          <cell r="F19772">
            <v>0</v>
          </cell>
          <cell r="DN19772">
            <v>0</v>
          </cell>
        </row>
        <row r="19773">
          <cell r="E19773">
            <v>0</v>
          </cell>
          <cell r="F19773">
            <v>0</v>
          </cell>
          <cell r="DN19773">
            <v>0</v>
          </cell>
        </row>
        <row r="19774">
          <cell r="E19774">
            <v>0</v>
          </cell>
          <cell r="F19774">
            <v>0</v>
          </cell>
          <cell r="DN19774">
            <v>0</v>
          </cell>
        </row>
        <row r="19775">
          <cell r="E19775">
            <v>0</v>
          </cell>
          <cell r="F19775">
            <v>0</v>
          </cell>
          <cell r="DN19775">
            <v>0</v>
          </cell>
        </row>
        <row r="19776">
          <cell r="E19776">
            <v>0</v>
          </cell>
          <cell r="F19776">
            <v>0</v>
          </cell>
          <cell r="DN19776">
            <v>0</v>
          </cell>
        </row>
        <row r="19777">
          <cell r="E19777">
            <v>0</v>
          </cell>
          <cell r="F19777">
            <v>0</v>
          </cell>
          <cell r="DN19777">
            <v>0</v>
          </cell>
        </row>
        <row r="19778">
          <cell r="E19778">
            <v>0</v>
          </cell>
          <cell r="F19778">
            <v>0</v>
          </cell>
          <cell r="DN19778">
            <v>0</v>
          </cell>
        </row>
        <row r="19779">
          <cell r="E19779">
            <v>0</v>
          </cell>
          <cell r="F19779">
            <v>0</v>
          </cell>
          <cell r="DN19779">
            <v>0</v>
          </cell>
        </row>
        <row r="19780">
          <cell r="E19780">
            <v>0</v>
          </cell>
          <cell r="F19780">
            <v>0</v>
          </cell>
          <cell r="DN19780">
            <v>0</v>
          </cell>
        </row>
        <row r="19781">
          <cell r="E19781">
            <v>0</v>
          </cell>
          <cell r="F19781">
            <v>0</v>
          </cell>
          <cell r="DN19781">
            <v>0</v>
          </cell>
        </row>
        <row r="19782">
          <cell r="E19782">
            <v>0</v>
          </cell>
          <cell r="F19782">
            <v>0</v>
          </cell>
          <cell r="DN19782">
            <v>0</v>
          </cell>
        </row>
        <row r="19783">
          <cell r="E19783">
            <v>0</v>
          </cell>
          <cell r="F19783">
            <v>0</v>
          </cell>
          <cell r="DN19783">
            <v>0</v>
          </cell>
        </row>
        <row r="19784">
          <cell r="E19784">
            <v>0</v>
          </cell>
          <cell r="F19784">
            <v>0</v>
          </cell>
          <cell r="DN19784">
            <v>0</v>
          </cell>
        </row>
        <row r="19785">
          <cell r="E19785">
            <v>0</v>
          </cell>
          <cell r="F19785">
            <v>0</v>
          </cell>
          <cell r="DN19785">
            <v>0</v>
          </cell>
        </row>
        <row r="19786">
          <cell r="E19786">
            <v>0</v>
          </cell>
          <cell r="F19786">
            <v>0</v>
          </cell>
          <cell r="DN19786">
            <v>0</v>
          </cell>
        </row>
        <row r="19787">
          <cell r="E19787">
            <v>0</v>
          </cell>
          <cell r="F19787">
            <v>0</v>
          </cell>
          <cell r="DN19787">
            <v>0</v>
          </cell>
        </row>
        <row r="19788">
          <cell r="E19788">
            <v>0</v>
          </cell>
          <cell r="F19788">
            <v>0</v>
          </cell>
          <cell r="DN19788">
            <v>0</v>
          </cell>
        </row>
        <row r="19789">
          <cell r="E19789">
            <v>0</v>
          </cell>
          <cell r="F19789">
            <v>0</v>
          </cell>
          <cell r="DN19789">
            <v>0</v>
          </cell>
        </row>
        <row r="19790">
          <cell r="E19790">
            <v>0</v>
          </cell>
          <cell r="F19790">
            <v>0</v>
          </cell>
          <cell r="DN19790">
            <v>0</v>
          </cell>
        </row>
        <row r="19791">
          <cell r="E19791">
            <v>0</v>
          </cell>
          <cell r="F19791">
            <v>0</v>
          </cell>
          <cell r="DN19791">
            <v>0</v>
          </cell>
        </row>
        <row r="19792">
          <cell r="E19792">
            <v>0</v>
          </cell>
          <cell r="F19792">
            <v>0</v>
          </cell>
          <cell r="DN19792">
            <v>0</v>
          </cell>
        </row>
        <row r="19793">
          <cell r="E19793">
            <v>0</v>
          </cell>
          <cell r="F19793">
            <v>0</v>
          </cell>
          <cell r="DN19793">
            <v>0</v>
          </cell>
        </row>
        <row r="19794">
          <cell r="E19794">
            <v>0</v>
          </cell>
          <cell r="F19794">
            <v>0</v>
          </cell>
          <cell r="DN19794">
            <v>0</v>
          </cell>
        </row>
        <row r="19795">
          <cell r="E19795">
            <v>0</v>
          </cell>
          <cell r="F19795">
            <v>0</v>
          </cell>
          <cell r="DN19795">
            <v>0</v>
          </cell>
        </row>
        <row r="19796">
          <cell r="E19796">
            <v>0</v>
          </cell>
          <cell r="F19796">
            <v>0</v>
          </cell>
          <cell r="DN19796">
            <v>0</v>
          </cell>
        </row>
        <row r="19797">
          <cell r="E19797">
            <v>0</v>
          </cell>
          <cell r="F19797">
            <v>0</v>
          </cell>
          <cell r="DN19797">
            <v>0</v>
          </cell>
        </row>
        <row r="19798">
          <cell r="E19798">
            <v>0</v>
          </cell>
          <cell r="F19798">
            <v>0</v>
          </cell>
          <cell r="DN19798">
            <v>0</v>
          </cell>
        </row>
        <row r="19799">
          <cell r="E19799">
            <v>0</v>
          </cell>
          <cell r="F19799">
            <v>0</v>
          </cell>
          <cell r="DN19799">
            <v>0</v>
          </cell>
        </row>
        <row r="19800">
          <cell r="E19800">
            <v>0</v>
          </cell>
          <cell r="F19800">
            <v>0</v>
          </cell>
          <cell r="DN19800">
            <v>0</v>
          </cell>
        </row>
        <row r="19801">
          <cell r="E19801">
            <v>0</v>
          </cell>
          <cell r="F19801">
            <v>0</v>
          </cell>
          <cell r="DN19801">
            <v>0</v>
          </cell>
        </row>
        <row r="19802">
          <cell r="E19802">
            <v>0</v>
          </cell>
          <cell r="F19802">
            <v>0</v>
          </cell>
          <cell r="DN19802">
            <v>0</v>
          </cell>
        </row>
        <row r="19803">
          <cell r="E19803">
            <v>0</v>
          </cell>
          <cell r="F19803">
            <v>0</v>
          </cell>
          <cell r="DN19803">
            <v>0</v>
          </cell>
        </row>
        <row r="19804">
          <cell r="E19804">
            <v>0</v>
          </cell>
          <cell r="F19804">
            <v>0</v>
          </cell>
          <cell r="DN19804">
            <v>0</v>
          </cell>
        </row>
        <row r="19805">
          <cell r="E19805">
            <v>0</v>
          </cell>
          <cell r="F19805">
            <v>0</v>
          </cell>
          <cell r="DN19805">
            <v>0</v>
          </cell>
        </row>
        <row r="19806">
          <cell r="E19806">
            <v>0</v>
          </cell>
          <cell r="F19806">
            <v>0</v>
          </cell>
          <cell r="DN19806">
            <v>0</v>
          </cell>
        </row>
        <row r="19807">
          <cell r="E19807">
            <v>0</v>
          </cell>
          <cell r="F19807">
            <v>0</v>
          </cell>
          <cell r="DN19807">
            <v>0</v>
          </cell>
        </row>
        <row r="19808">
          <cell r="E19808">
            <v>0</v>
          </cell>
          <cell r="F19808">
            <v>0</v>
          </cell>
          <cell r="DN19808">
            <v>0</v>
          </cell>
        </row>
        <row r="19809">
          <cell r="E19809">
            <v>0</v>
          </cell>
          <cell r="F19809">
            <v>0</v>
          </cell>
          <cell r="DN19809">
            <v>0</v>
          </cell>
        </row>
        <row r="19810">
          <cell r="E19810">
            <v>0</v>
          </cell>
          <cell r="F19810">
            <v>0</v>
          </cell>
          <cell r="DN19810">
            <v>0</v>
          </cell>
        </row>
        <row r="19811">
          <cell r="E19811">
            <v>0</v>
          </cell>
          <cell r="F19811">
            <v>0</v>
          </cell>
          <cell r="DN19811">
            <v>0</v>
          </cell>
        </row>
        <row r="19812">
          <cell r="E19812">
            <v>0</v>
          </cell>
          <cell r="F19812">
            <v>0</v>
          </cell>
          <cell r="DN19812">
            <v>0</v>
          </cell>
        </row>
        <row r="19813">
          <cell r="E19813">
            <v>0</v>
          </cell>
          <cell r="F19813">
            <v>0</v>
          </cell>
          <cell r="DN19813">
            <v>0</v>
          </cell>
        </row>
        <row r="19814">
          <cell r="E19814">
            <v>0</v>
          </cell>
          <cell r="F19814">
            <v>0</v>
          </cell>
          <cell r="DN19814">
            <v>0</v>
          </cell>
        </row>
        <row r="19815">
          <cell r="E19815">
            <v>0</v>
          </cell>
          <cell r="F19815">
            <v>0</v>
          </cell>
          <cell r="DN19815">
            <v>0</v>
          </cell>
        </row>
        <row r="19816">
          <cell r="E19816">
            <v>0</v>
          </cell>
          <cell r="F19816">
            <v>0</v>
          </cell>
          <cell r="DN19816">
            <v>0</v>
          </cell>
        </row>
        <row r="19817">
          <cell r="E19817">
            <v>0</v>
          </cell>
          <cell r="F19817">
            <v>0</v>
          </cell>
          <cell r="DN19817">
            <v>0</v>
          </cell>
        </row>
        <row r="19818">
          <cell r="E19818">
            <v>0</v>
          </cell>
          <cell r="F19818">
            <v>0</v>
          </cell>
          <cell r="DN19818">
            <v>0</v>
          </cell>
        </row>
        <row r="19819">
          <cell r="E19819">
            <v>0</v>
          </cell>
          <cell r="F19819">
            <v>0</v>
          </cell>
          <cell r="DN19819">
            <v>0</v>
          </cell>
        </row>
        <row r="19820">
          <cell r="E19820">
            <v>0</v>
          </cell>
          <cell r="F19820">
            <v>0</v>
          </cell>
          <cell r="DN19820">
            <v>0</v>
          </cell>
        </row>
        <row r="19821">
          <cell r="E19821">
            <v>0</v>
          </cell>
          <cell r="F19821">
            <v>0</v>
          </cell>
          <cell r="DN19821">
            <v>0</v>
          </cell>
        </row>
        <row r="19822">
          <cell r="E19822">
            <v>0</v>
          </cell>
          <cell r="F19822">
            <v>0</v>
          </cell>
          <cell r="DN19822">
            <v>0</v>
          </cell>
        </row>
        <row r="19823">
          <cell r="E19823">
            <v>0</v>
          </cell>
          <cell r="F19823">
            <v>0</v>
          </cell>
          <cell r="DN19823">
            <v>0</v>
          </cell>
        </row>
        <row r="19824">
          <cell r="E19824">
            <v>0</v>
          </cell>
          <cell r="F19824">
            <v>0</v>
          </cell>
          <cell r="DN19824">
            <v>0</v>
          </cell>
        </row>
        <row r="19825">
          <cell r="E19825">
            <v>0</v>
          </cell>
          <cell r="F19825">
            <v>0</v>
          </cell>
          <cell r="DN19825">
            <v>0</v>
          </cell>
        </row>
        <row r="19826">
          <cell r="E19826">
            <v>0</v>
          </cell>
          <cell r="F19826">
            <v>0</v>
          </cell>
          <cell r="DN19826">
            <v>0</v>
          </cell>
        </row>
        <row r="19827">
          <cell r="E19827">
            <v>0</v>
          </cell>
          <cell r="F19827">
            <v>0</v>
          </cell>
          <cell r="DN19827">
            <v>0</v>
          </cell>
        </row>
        <row r="19828">
          <cell r="E19828">
            <v>0</v>
          </cell>
          <cell r="F19828">
            <v>0</v>
          </cell>
          <cell r="DN19828">
            <v>0</v>
          </cell>
        </row>
        <row r="19829">
          <cell r="E19829">
            <v>0</v>
          </cell>
          <cell r="F19829">
            <v>0</v>
          </cell>
          <cell r="DN19829">
            <v>0</v>
          </cell>
        </row>
        <row r="19830">
          <cell r="E19830">
            <v>0</v>
          </cell>
          <cell r="F19830">
            <v>0</v>
          </cell>
          <cell r="DN19830">
            <v>0</v>
          </cell>
        </row>
        <row r="19831">
          <cell r="E19831">
            <v>0</v>
          </cell>
          <cell r="F19831">
            <v>0</v>
          </cell>
          <cell r="DN19831">
            <v>0</v>
          </cell>
        </row>
        <row r="19832">
          <cell r="E19832">
            <v>0</v>
          </cell>
          <cell r="F19832">
            <v>0</v>
          </cell>
          <cell r="DN19832">
            <v>0</v>
          </cell>
        </row>
        <row r="19833">
          <cell r="E19833">
            <v>0</v>
          </cell>
          <cell r="F19833">
            <v>0</v>
          </cell>
          <cell r="DN19833">
            <v>0</v>
          </cell>
        </row>
        <row r="19834">
          <cell r="E19834">
            <v>0</v>
          </cell>
          <cell r="F19834">
            <v>0</v>
          </cell>
          <cell r="DN19834">
            <v>0</v>
          </cell>
        </row>
        <row r="19835">
          <cell r="E19835">
            <v>0</v>
          </cell>
          <cell r="F19835">
            <v>0</v>
          </cell>
          <cell r="DN19835">
            <v>0</v>
          </cell>
        </row>
        <row r="19836">
          <cell r="E19836">
            <v>0</v>
          </cell>
          <cell r="F19836">
            <v>0</v>
          </cell>
          <cell r="DN19836">
            <v>0</v>
          </cell>
        </row>
        <row r="19837">
          <cell r="E19837">
            <v>0</v>
          </cell>
          <cell r="F19837">
            <v>0</v>
          </cell>
          <cell r="DN19837">
            <v>0</v>
          </cell>
        </row>
        <row r="19838">
          <cell r="E19838">
            <v>0</v>
          </cell>
          <cell r="F19838">
            <v>0</v>
          </cell>
          <cell r="DN19838">
            <v>0</v>
          </cell>
        </row>
        <row r="19839">
          <cell r="E19839">
            <v>0</v>
          </cell>
          <cell r="F19839">
            <v>0</v>
          </cell>
          <cell r="DN19839">
            <v>0</v>
          </cell>
        </row>
        <row r="19840">
          <cell r="E19840">
            <v>0</v>
          </cell>
          <cell r="F19840">
            <v>0</v>
          </cell>
          <cell r="DN19840">
            <v>0</v>
          </cell>
        </row>
        <row r="19841">
          <cell r="E19841">
            <v>0</v>
          </cell>
          <cell r="F19841">
            <v>0</v>
          </cell>
          <cell r="DN19841">
            <v>0</v>
          </cell>
        </row>
        <row r="19842">
          <cell r="E19842">
            <v>0</v>
          </cell>
          <cell r="F19842">
            <v>0</v>
          </cell>
          <cell r="DN19842">
            <v>0</v>
          </cell>
        </row>
        <row r="19843">
          <cell r="E19843">
            <v>0</v>
          </cell>
          <cell r="F19843">
            <v>0</v>
          </cell>
          <cell r="DN19843">
            <v>0</v>
          </cell>
        </row>
        <row r="19844">
          <cell r="E19844">
            <v>0</v>
          </cell>
          <cell r="F19844">
            <v>0</v>
          </cell>
          <cell r="DN19844">
            <v>0</v>
          </cell>
        </row>
        <row r="19845">
          <cell r="E19845">
            <v>0</v>
          </cell>
          <cell r="F19845">
            <v>0</v>
          </cell>
          <cell r="DN19845">
            <v>0</v>
          </cell>
        </row>
        <row r="19846">
          <cell r="E19846">
            <v>0</v>
          </cell>
          <cell r="F19846">
            <v>0</v>
          </cell>
          <cell r="DN19846">
            <v>0</v>
          </cell>
        </row>
        <row r="19847">
          <cell r="E19847">
            <v>0</v>
          </cell>
          <cell r="F19847">
            <v>0</v>
          </cell>
          <cell r="DN19847">
            <v>0</v>
          </cell>
        </row>
        <row r="19848">
          <cell r="E19848">
            <v>0</v>
          </cell>
          <cell r="F19848">
            <v>0</v>
          </cell>
          <cell r="DN19848">
            <v>0</v>
          </cell>
        </row>
        <row r="19849">
          <cell r="E19849">
            <v>0</v>
          </cell>
          <cell r="F19849">
            <v>0</v>
          </cell>
          <cell r="DN19849">
            <v>0</v>
          </cell>
        </row>
        <row r="19850">
          <cell r="E19850">
            <v>0</v>
          </cell>
          <cell r="F19850">
            <v>0</v>
          </cell>
          <cell r="DN19850">
            <v>0</v>
          </cell>
        </row>
        <row r="19851">
          <cell r="E19851">
            <v>0</v>
          </cell>
          <cell r="F19851">
            <v>0</v>
          </cell>
          <cell r="DN19851">
            <v>0</v>
          </cell>
        </row>
        <row r="19852">
          <cell r="E19852">
            <v>0</v>
          </cell>
          <cell r="F19852">
            <v>0</v>
          </cell>
          <cell r="DN19852">
            <v>0</v>
          </cell>
        </row>
        <row r="19853">
          <cell r="E19853">
            <v>0</v>
          </cell>
          <cell r="F19853">
            <v>0</v>
          </cell>
          <cell r="DN19853">
            <v>0</v>
          </cell>
        </row>
        <row r="19854">
          <cell r="E19854">
            <v>0</v>
          </cell>
          <cell r="F19854">
            <v>0</v>
          </cell>
          <cell r="DN19854">
            <v>0</v>
          </cell>
        </row>
        <row r="19855">
          <cell r="E19855">
            <v>0</v>
          </cell>
          <cell r="F19855">
            <v>0</v>
          </cell>
          <cell r="DN19855">
            <v>0</v>
          </cell>
        </row>
        <row r="19856">
          <cell r="E19856">
            <v>0</v>
          </cell>
          <cell r="F19856">
            <v>0</v>
          </cell>
          <cell r="DN19856">
            <v>0</v>
          </cell>
        </row>
        <row r="19857">
          <cell r="E19857">
            <v>0</v>
          </cell>
          <cell r="F19857">
            <v>0</v>
          </cell>
          <cell r="DN19857">
            <v>0</v>
          </cell>
        </row>
        <row r="19858">
          <cell r="E19858">
            <v>0</v>
          </cell>
          <cell r="F19858">
            <v>0</v>
          </cell>
          <cell r="DN19858">
            <v>0</v>
          </cell>
        </row>
        <row r="19859">
          <cell r="E19859">
            <v>0</v>
          </cell>
          <cell r="F19859">
            <v>0</v>
          </cell>
          <cell r="DN19859">
            <v>0</v>
          </cell>
        </row>
        <row r="19860">
          <cell r="E19860">
            <v>0</v>
          </cell>
          <cell r="F19860">
            <v>0</v>
          </cell>
          <cell r="DN19860">
            <v>0</v>
          </cell>
        </row>
        <row r="19861">
          <cell r="E19861">
            <v>0</v>
          </cell>
          <cell r="F19861">
            <v>0</v>
          </cell>
          <cell r="DN19861">
            <v>0</v>
          </cell>
        </row>
        <row r="19862">
          <cell r="E19862">
            <v>0</v>
          </cell>
          <cell r="F19862">
            <v>0</v>
          </cell>
          <cell r="DN19862">
            <v>0</v>
          </cell>
        </row>
        <row r="19863">
          <cell r="E19863">
            <v>0</v>
          </cell>
          <cell r="F19863">
            <v>0</v>
          </cell>
          <cell r="DN19863">
            <v>0</v>
          </cell>
        </row>
        <row r="19864">
          <cell r="E19864">
            <v>0</v>
          </cell>
          <cell r="F19864">
            <v>0</v>
          </cell>
          <cell r="DN19864">
            <v>0</v>
          </cell>
        </row>
        <row r="19865">
          <cell r="E19865">
            <v>0</v>
          </cell>
          <cell r="F19865">
            <v>0</v>
          </cell>
          <cell r="DN19865">
            <v>0</v>
          </cell>
        </row>
        <row r="19866">
          <cell r="E19866">
            <v>0</v>
          </cell>
          <cell r="F19866">
            <v>0</v>
          </cell>
          <cell r="DN19866">
            <v>0</v>
          </cell>
        </row>
        <row r="19867">
          <cell r="E19867">
            <v>0</v>
          </cell>
          <cell r="F19867">
            <v>0</v>
          </cell>
          <cell r="DN19867">
            <v>0</v>
          </cell>
        </row>
        <row r="19868">
          <cell r="E19868">
            <v>0</v>
          </cell>
          <cell r="F19868">
            <v>0</v>
          </cell>
          <cell r="DN19868">
            <v>0</v>
          </cell>
        </row>
        <row r="19869">
          <cell r="E19869">
            <v>0</v>
          </cell>
          <cell r="F19869">
            <v>0</v>
          </cell>
          <cell r="DN19869">
            <v>0</v>
          </cell>
        </row>
        <row r="19870">
          <cell r="E19870">
            <v>0</v>
          </cell>
          <cell r="F19870">
            <v>0</v>
          </cell>
          <cell r="DN19870">
            <v>0</v>
          </cell>
        </row>
        <row r="19871">
          <cell r="E19871">
            <v>0</v>
          </cell>
          <cell r="F19871">
            <v>0</v>
          </cell>
          <cell r="DN19871">
            <v>0</v>
          </cell>
        </row>
        <row r="19872">
          <cell r="E19872">
            <v>0</v>
          </cell>
          <cell r="F19872">
            <v>0</v>
          </cell>
          <cell r="DN19872">
            <v>0</v>
          </cell>
        </row>
        <row r="19873">
          <cell r="E19873">
            <v>0</v>
          </cell>
          <cell r="F19873">
            <v>0</v>
          </cell>
          <cell r="DN19873">
            <v>0</v>
          </cell>
        </row>
        <row r="19874">
          <cell r="E19874">
            <v>0</v>
          </cell>
          <cell r="F19874">
            <v>0</v>
          </cell>
          <cell r="DN19874">
            <v>0</v>
          </cell>
        </row>
        <row r="19875">
          <cell r="E19875">
            <v>0</v>
          </cell>
          <cell r="F19875">
            <v>0</v>
          </cell>
          <cell r="DN19875">
            <v>0</v>
          </cell>
        </row>
        <row r="19876">
          <cell r="E19876">
            <v>0</v>
          </cell>
          <cell r="F19876">
            <v>0</v>
          </cell>
          <cell r="DN19876">
            <v>0</v>
          </cell>
        </row>
        <row r="19877">
          <cell r="E19877">
            <v>0</v>
          </cell>
          <cell r="F19877">
            <v>0</v>
          </cell>
          <cell r="DN19877">
            <v>0</v>
          </cell>
        </row>
        <row r="19878">
          <cell r="E19878">
            <v>0</v>
          </cell>
          <cell r="F19878">
            <v>0</v>
          </cell>
          <cell r="DN19878">
            <v>0</v>
          </cell>
        </row>
        <row r="19879">
          <cell r="E19879">
            <v>0</v>
          </cell>
          <cell r="F19879">
            <v>0</v>
          </cell>
          <cell r="DN19879">
            <v>0</v>
          </cell>
        </row>
        <row r="19880">
          <cell r="E19880">
            <v>0</v>
          </cell>
          <cell r="F19880">
            <v>0</v>
          </cell>
          <cell r="DN19880">
            <v>0</v>
          </cell>
        </row>
        <row r="19881">
          <cell r="E19881">
            <v>0</v>
          </cell>
          <cell r="F19881">
            <v>0</v>
          </cell>
          <cell r="DN19881">
            <v>0</v>
          </cell>
        </row>
        <row r="19882">
          <cell r="E19882">
            <v>0</v>
          </cell>
          <cell r="F19882">
            <v>0</v>
          </cell>
          <cell r="DN19882">
            <v>0</v>
          </cell>
        </row>
        <row r="19883">
          <cell r="E19883">
            <v>0</v>
          </cell>
          <cell r="F19883">
            <v>0</v>
          </cell>
          <cell r="DN19883">
            <v>0</v>
          </cell>
        </row>
        <row r="19884">
          <cell r="E19884">
            <v>0</v>
          </cell>
          <cell r="F19884">
            <v>0</v>
          </cell>
          <cell r="DN19884">
            <v>0</v>
          </cell>
        </row>
        <row r="19885">
          <cell r="E19885">
            <v>0</v>
          </cell>
          <cell r="F19885">
            <v>0</v>
          </cell>
          <cell r="DN19885">
            <v>0</v>
          </cell>
        </row>
        <row r="19886">
          <cell r="E19886">
            <v>0</v>
          </cell>
          <cell r="F19886">
            <v>0</v>
          </cell>
          <cell r="DN19886">
            <v>0</v>
          </cell>
        </row>
        <row r="19887">
          <cell r="E19887">
            <v>0</v>
          </cell>
          <cell r="F19887">
            <v>0</v>
          </cell>
          <cell r="DN19887">
            <v>0</v>
          </cell>
        </row>
        <row r="19888">
          <cell r="E19888">
            <v>0</v>
          </cell>
          <cell r="F19888">
            <v>0</v>
          </cell>
          <cell r="DN19888">
            <v>0</v>
          </cell>
        </row>
        <row r="19889">
          <cell r="E19889">
            <v>0</v>
          </cell>
          <cell r="F19889">
            <v>0</v>
          </cell>
          <cell r="DN19889">
            <v>0</v>
          </cell>
        </row>
        <row r="19890">
          <cell r="E19890">
            <v>0</v>
          </cell>
          <cell r="F19890">
            <v>0</v>
          </cell>
          <cell r="DN19890">
            <v>0</v>
          </cell>
        </row>
        <row r="19891">
          <cell r="E19891">
            <v>0</v>
          </cell>
          <cell r="F19891">
            <v>0</v>
          </cell>
          <cell r="DN19891">
            <v>0</v>
          </cell>
        </row>
        <row r="19892">
          <cell r="E19892">
            <v>0</v>
          </cell>
          <cell r="F19892">
            <v>0</v>
          </cell>
          <cell r="DN19892">
            <v>0</v>
          </cell>
        </row>
        <row r="19893">
          <cell r="E19893">
            <v>0</v>
          </cell>
          <cell r="F19893">
            <v>0</v>
          </cell>
          <cell r="DN19893">
            <v>0</v>
          </cell>
        </row>
        <row r="19894">
          <cell r="E19894">
            <v>0</v>
          </cell>
          <cell r="F19894">
            <v>0</v>
          </cell>
          <cell r="DN19894">
            <v>0</v>
          </cell>
        </row>
        <row r="19895">
          <cell r="E19895">
            <v>0</v>
          </cell>
          <cell r="F19895">
            <v>0</v>
          </cell>
          <cell r="DN19895">
            <v>0</v>
          </cell>
        </row>
        <row r="19896">
          <cell r="E19896">
            <v>0</v>
          </cell>
          <cell r="F19896">
            <v>0</v>
          </cell>
          <cell r="DN19896">
            <v>0</v>
          </cell>
        </row>
        <row r="19897">
          <cell r="E19897">
            <v>0</v>
          </cell>
          <cell r="F19897">
            <v>0</v>
          </cell>
          <cell r="DN19897">
            <v>0</v>
          </cell>
        </row>
        <row r="19898">
          <cell r="E19898">
            <v>0</v>
          </cell>
          <cell r="F19898">
            <v>0</v>
          </cell>
          <cell r="DN19898">
            <v>0</v>
          </cell>
        </row>
        <row r="19899">
          <cell r="E19899">
            <v>0</v>
          </cell>
          <cell r="F19899">
            <v>0</v>
          </cell>
          <cell r="DN19899">
            <v>0</v>
          </cell>
        </row>
        <row r="19900">
          <cell r="E19900">
            <v>0</v>
          </cell>
          <cell r="F19900">
            <v>0</v>
          </cell>
          <cell r="DN19900">
            <v>0</v>
          </cell>
        </row>
        <row r="19901">
          <cell r="E19901">
            <v>0</v>
          </cell>
          <cell r="F19901">
            <v>0</v>
          </cell>
          <cell r="DN19901">
            <v>0</v>
          </cell>
        </row>
        <row r="19902">
          <cell r="E19902">
            <v>0</v>
          </cell>
          <cell r="F19902">
            <v>0</v>
          </cell>
          <cell r="DN19902">
            <v>0</v>
          </cell>
        </row>
        <row r="19903">
          <cell r="E19903">
            <v>0</v>
          </cell>
          <cell r="F19903">
            <v>0</v>
          </cell>
          <cell r="DN19903">
            <v>0</v>
          </cell>
        </row>
        <row r="19904">
          <cell r="E19904">
            <v>0</v>
          </cell>
          <cell r="F19904">
            <v>0</v>
          </cell>
          <cell r="DN19904">
            <v>0</v>
          </cell>
        </row>
        <row r="19905">
          <cell r="E19905">
            <v>0</v>
          </cell>
          <cell r="F19905">
            <v>0</v>
          </cell>
          <cell r="DN19905">
            <v>0</v>
          </cell>
        </row>
        <row r="19906">
          <cell r="E19906">
            <v>0</v>
          </cell>
          <cell r="F19906">
            <v>0</v>
          </cell>
          <cell r="DN19906">
            <v>0</v>
          </cell>
        </row>
        <row r="19907">
          <cell r="E19907">
            <v>0</v>
          </cell>
          <cell r="F19907">
            <v>0</v>
          </cell>
          <cell r="DN19907">
            <v>0</v>
          </cell>
        </row>
        <row r="19908">
          <cell r="E19908">
            <v>0</v>
          </cell>
          <cell r="F19908">
            <v>0</v>
          </cell>
          <cell r="DN19908">
            <v>0</v>
          </cell>
        </row>
        <row r="19909">
          <cell r="E19909">
            <v>0</v>
          </cell>
          <cell r="F19909">
            <v>0</v>
          </cell>
          <cell r="DN19909">
            <v>0</v>
          </cell>
        </row>
        <row r="19910">
          <cell r="E19910">
            <v>0</v>
          </cell>
          <cell r="F19910">
            <v>0</v>
          </cell>
          <cell r="DN19910">
            <v>0</v>
          </cell>
        </row>
        <row r="19911">
          <cell r="E19911">
            <v>0</v>
          </cell>
          <cell r="F19911">
            <v>0</v>
          </cell>
          <cell r="DN19911">
            <v>0</v>
          </cell>
        </row>
        <row r="19912">
          <cell r="E19912">
            <v>0</v>
          </cell>
          <cell r="F19912">
            <v>0</v>
          </cell>
          <cell r="DN19912">
            <v>0</v>
          </cell>
        </row>
        <row r="19913">
          <cell r="E19913">
            <v>0</v>
          </cell>
          <cell r="F19913">
            <v>0</v>
          </cell>
          <cell r="DN19913">
            <v>0</v>
          </cell>
        </row>
        <row r="19914">
          <cell r="E19914">
            <v>0</v>
          </cell>
          <cell r="F19914">
            <v>0</v>
          </cell>
          <cell r="DN19914">
            <v>0</v>
          </cell>
        </row>
        <row r="19915">
          <cell r="E19915">
            <v>0</v>
          </cell>
          <cell r="F19915">
            <v>0</v>
          </cell>
          <cell r="DN19915">
            <v>0</v>
          </cell>
        </row>
        <row r="19916">
          <cell r="E19916">
            <v>0</v>
          </cell>
          <cell r="F19916">
            <v>0</v>
          </cell>
          <cell r="DN19916">
            <v>0</v>
          </cell>
        </row>
        <row r="19917">
          <cell r="E19917">
            <v>0</v>
          </cell>
          <cell r="F19917">
            <v>0</v>
          </cell>
          <cell r="DN19917">
            <v>0</v>
          </cell>
        </row>
        <row r="19918">
          <cell r="E19918">
            <v>0</v>
          </cell>
          <cell r="F19918">
            <v>0</v>
          </cell>
          <cell r="DN19918">
            <v>0</v>
          </cell>
        </row>
        <row r="19919">
          <cell r="E19919">
            <v>0</v>
          </cell>
          <cell r="F19919">
            <v>0</v>
          </cell>
          <cell r="DN19919">
            <v>0</v>
          </cell>
        </row>
        <row r="19920">
          <cell r="E19920">
            <v>0</v>
          </cell>
          <cell r="F19920">
            <v>0</v>
          </cell>
          <cell r="DN19920">
            <v>0</v>
          </cell>
        </row>
        <row r="19921">
          <cell r="E19921">
            <v>0</v>
          </cell>
          <cell r="F19921">
            <v>0</v>
          </cell>
          <cell r="DN19921">
            <v>0</v>
          </cell>
        </row>
        <row r="19922">
          <cell r="E19922">
            <v>0</v>
          </cell>
          <cell r="F19922">
            <v>0</v>
          </cell>
          <cell r="DN19922">
            <v>0</v>
          </cell>
        </row>
        <row r="19923">
          <cell r="E19923">
            <v>0</v>
          </cell>
          <cell r="F19923">
            <v>0</v>
          </cell>
          <cell r="DN19923">
            <v>0</v>
          </cell>
        </row>
        <row r="19924">
          <cell r="E19924">
            <v>0</v>
          </cell>
          <cell r="F19924">
            <v>0</v>
          </cell>
          <cell r="DN19924">
            <v>0</v>
          </cell>
        </row>
        <row r="19925">
          <cell r="E19925">
            <v>0</v>
          </cell>
          <cell r="F19925">
            <v>0</v>
          </cell>
          <cell r="DN19925">
            <v>0</v>
          </cell>
        </row>
        <row r="19926">
          <cell r="E19926">
            <v>0</v>
          </cell>
          <cell r="F19926">
            <v>0</v>
          </cell>
          <cell r="DN19926">
            <v>0</v>
          </cell>
        </row>
        <row r="19927">
          <cell r="E19927">
            <v>0</v>
          </cell>
          <cell r="F19927">
            <v>0</v>
          </cell>
          <cell r="DN19927">
            <v>0</v>
          </cell>
        </row>
        <row r="19928">
          <cell r="E19928">
            <v>0</v>
          </cell>
          <cell r="F19928">
            <v>0</v>
          </cell>
          <cell r="DN19928">
            <v>0</v>
          </cell>
        </row>
        <row r="19929">
          <cell r="E19929">
            <v>0</v>
          </cell>
          <cell r="F19929">
            <v>0</v>
          </cell>
          <cell r="DN19929">
            <v>0</v>
          </cell>
        </row>
        <row r="19930">
          <cell r="E19930">
            <v>0</v>
          </cell>
          <cell r="F19930">
            <v>0</v>
          </cell>
          <cell r="DN19930">
            <v>0</v>
          </cell>
        </row>
        <row r="19931">
          <cell r="E19931">
            <v>0</v>
          </cell>
          <cell r="F19931">
            <v>0</v>
          </cell>
          <cell r="DN19931">
            <v>0</v>
          </cell>
        </row>
        <row r="19932">
          <cell r="E19932">
            <v>0</v>
          </cell>
          <cell r="F19932">
            <v>0</v>
          </cell>
          <cell r="DN19932">
            <v>0</v>
          </cell>
        </row>
        <row r="19933">
          <cell r="E19933">
            <v>0</v>
          </cell>
          <cell r="F19933">
            <v>0</v>
          </cell>
          <cell r="DN19933">
            <v>0</v>
          </cell>
        </row>
        <row r="19934">
          <cell r="E19934">
            <v>0</v>
          </cell>
          <cell r="F19934">
            <v>0</v>
          </cell>
          <cell r="DN19934">
            <v>0</v>
          </cell>
        </row>
        <row r="19935">
          <cell r="E19935">
            <v>0</v>
          </cell>
          <cell r="F19935">
            <v>0</v>
          </cell>
          <cell r="DN19935">
            <v>0</v>
          </cell>
        </row>
        <row r="19936">
          <cell r="E19936">
            <v>0</v>
          </cell>
          <cell r="F19936">
            <v>0</v>
          </cell>
          <cell r="DN19936">
            <v>0</v>
          </cell>
        </row>
        <row r="19937">
          <cell r="E19937">
            <v>0</v>
          </cell>
          <cell r="F19937">
            <v>0</v>
          </cell>
          <cell r="DN19937">
            <v>0</v>
          </cell>
        </row>
        <row r="19938">
          <cell r="E19938">
            <v>0</v>
          </cell>
          <cell r="F19938">
            <v>0</v>
          </cell>
          <cell r="DN19938">
            <v>0</v>
          </cell>
        </row>
        <row r="19939">
          <cell r="E19939">
            <v>0</v>
          </cell>
          <cell r="F19939">
            <v>0</v>
          </cell>
          <cell r="DN19939">
            <v>0</v>
          </cell>
        </row>
        <row r="19940">
          <cell r="E19940">
            <v>0</v>
          </cell>
          <cell r="F19940">
            <v>0</v>
          </cell>
          <cell r="DN19940">
            <v>0</v>
          </cell>
        </row>
        <row r="19941">
          <cell r="E19941">
            <v>0</v>
          </cell>
          <cell r="F19941">
            <v>0</v>
          </cell>
          <cell r="DN19941">
            <v>0</v>
          </cell>
        </row>
        <row r="19942">
          <cell r="E19942">
            <v>0</v>
          </cell>
          <cell r="F19942">
            <v>0</v>
          </cell>
          <cell r="DN19942">
            <v>0</v>
          </cell>
        </row>
        <row r="19943">
          <cell r="E19943">
            <v>0</v>
          </cell>
          <cell r="F19943">
            <v>0</v>
          </cell>
          <cell r="DN19943">
            <v>0</v>
          </cell>
        </row>
        <row r="19944">
          <cell r="E19944">
            <v>0</v>
          </cell>
          <cell r="F19944">
            <v>0</v>
          </cell>
          <cell r="DN19944">
            <v>0</v>
          </cell>
        </row>
        <row r="19945">
          <cell r="E19945">
            <v>0</v>
          </cell>
          <cell r="F19945">
            <v>0</v>
          </cell>
          <cell r="DN19945">
            <v>0</v>
          </cell>
        </row>
        <row r="19946">
          <cell r="E19946">
            <v>0</v>
          </cell>
          <cell r="F19946">
            <v>0</v>
          </cell>
          <cell r="DN19946">
            <v>0</v>
          </cell>
        </row>
        <row r="19947">
          <cell r="E19947">
            <v>0</v>
          </cell>
          <cell r="F19947">
            <v>0</v>
          </cell>
          <cell r="DN19947">
            <v>0</v>
          </cell>
        </row>
        <row r="19948">
          <cell r="E19948">
            <v>0</v>
          </cell>
          <cell r="F19948">
            <v>0</v>
          </cell>
          <cell r="DN19948">
            <v>0</v>
          </cell>
        </row>
        <row r="19949">
          <cell r="E19949">
            <v>0</v>
          </cell>
          <cell r="F19949">
            <v>0</v>
          </cell>
          <cell r="DN19949">
            <v>0</v>
          </cell>
        </row>
        <row r="19950">
          <cell r="E19950">
            <v>0</v>
          </cell>
          <cell r="F19950">
            <v>0</v>
          </cell>
          <cell r="DN19950">
            <v>0</v>
          </cell>
        </row>
        <row r="19951">
          <cell r="E19951">
            <v>0</v>
          </cell>
          <cell r="F19951">
            <v>0</v>
          </cell>
          <cell r="DN19951">
            <v>0</v>
          </cell>
        </row>
        <row r="19952">
          <cell r="E19952">
            <v>0</v>
          </cell>
          <cell r="F19952">
            <v>0</v>
          </cell>
          <cell r="DN19952">
            <v>0</v>
          </cell>
        </row>
        <row r="19953">
          <cell r="E19953">
            <v>0</v>
          </cell>
          <cell r="F19953">
            <v>0</v>
          </cell>
          <cell r="DN19953">
            <v>0</v>
          </cell>
        </row>
        <row r="19954">
          <cell r="E19954">
            <v>0</v>
          </cell>
          <cell r="F19954">
            <v>0</v>
          </cell>
          <cell r="DN19954">
            <v>0</v>
          </cell>
        </row>
        <row r="19955">
          <cell r="E19955">
            <v>0</v>
          </cell>
          <cell r="F19955">
            <v>0</v>
          </cell>
          <cell r="DN19955">
            <v>0</v>
          </cell>
        </row>
        <row r="19956">
          <cell r="E19956">
            <v>0</v>
          </cell>
          <cell r="F19956">
            <v>0</v>
          </cell>
          <cell r="DN19956">
            <v>0</v>
          </cell>
        </row>
        <row r="19957">
          <cell r="E19957">
            <v>0</v>
          </cell>
          <cell r="F19957">
            <v>0</v>
          </cell>
          <cell r="DN19957">
            <v>0</v>
          </cell>
        </row>
        <row r="19958">
          <cell r="E19958">
            <v>0</v>
          </cell>
          <cell r="F19958">
            <v>0</v>
          </cell>
          <cell r="DN19958">
            <v>0</v>
          </cell>
        </row>
        <row r="19959">
          <cell r="E19959">
            <v>0</v>
          </cell>
          <cell r="F19959">
            <v>0</v>
          </cell>
          <cell r="DN19959">
            <v>0</v>
          </cell>
        </row>
        <row r="19960">
          <cell r="E19960">
            <v>0</v>
          </cell>
          <cell r="F19960">
            <v>0</v>
          </cell>
          <cell r="DN19960">
            <v>0</v>
          </cell>
        </row>
        <row r="19961">
          <cell r="E19961">
            <v>0</v>
          </cell>
          <cell r="F19961">
            <v>0</v>
          </cell>
          <cell r="DN19961">
            <v>0</v>
          </cell>
        </row>
        <row r="19962">
          <cell r="E19962">
            <v>0</v>
          </cell>
          <cell r="F19962">
            <v>0</v>
          </cell>
          <cell r="DN19962">
            <v>0</v>
          </cell>
        </row>
        <row r="19963">
          <cell r="E19963">
            <v>0</v>
          </cell>
          <cell r="F19963">
            <v>0</v>
          </cell>
          <cell r="DN19963">
            <v>0</v>
          </cell>
        </row>
        <row r="19964">
          <cell r="E19964">
            <v>0</v>
          </cell>
          <cell r="F19964">
            <v>0</v>
          </cell>
          <cell r="DN19964">
            <v>0</v>
          </cell>
        </row>
        <row r="19965">
          <cell r="E19965">
            <v>0</v>
          </cell>
          <cell r="F19965">
            <v>0</v>
          </cell>
          <cell r="DN19965">
            <v>0</v>
          </cell>
        </row>
        <row r="19966">
          <cell r="E19966">
            <v>0</v>
          </cell>
          <cell r="F19966">
            <v>0</v>
          </cell>
          <cell r="DN19966">
            <v>0</v>
          </cell>
        </row>
        <row r="19967">
          <cell r="E19967">
            <v>0</v>
          </cell>
          <cell r="F19967">
            <v>0</v>
          </cell>
          <cell r="DN19967">
            <v>0</v>
          </cell>
        </row>
        <row r="19968">
          <cell r="E19968">
            <v>0</v>
          </cell>
          <cell r="F19968">
            <v>0</v>
          </cell>
          <cell r="DN19968">
            <v>0</v>
          </cell>
        </row>
        <row r="19969">
          <cell r="E19969">
            <v>0</v>
          </cell>
          <cell r="F19969">
            <v>0</v>
          </cell>
          <cell r="DN19969">
            <v>0</v>
          </cell>
        </row>
        <row r="19970">
          <cell r="E19970">
            <v>0</v>
          </cell>
          <cell r="F19970">
            <v>0</v>
          </cell>
          <cell r="DN19970">
            <v>0</v>
          </cell>
        </row>
        <row r="19971">
          <cell r="E19971">
            <v>0</v>
          </cell>
          <cell r="F19971">
            <v>0</v>
          </cell>
          <cell r="DN19971">
            <v>0</v>
          </cell>
        </row>
        <row r="19972">
          <cell r="E19972">
            <v>0</v>
          </cell>
          <cell r="F19972">
            <v>0</v>
          </cell>
          <cell r="DN19972">
            <v>0</v>
          </cell>
        </row>
        <row r="19973">
          <cell r="E19973">
            <v>0</v>
          </cell>
          <cell r="F19973">
            <v>0</v>
          </cell>
          <cell r="DN19973">
            <v>0</v>
          </cell>
        </row>
        <row r="19974">
          <cell r="E19974">
            <v>0</v>
          </cell>
          <cell r="F19974">
            <v>0</v>
          </cell>
          <cell r="DN19974">
            <v>0</v>
          </cell>
        </row>
        <row r="19975">
          <cell r="E19975">
            <v>0</v>
          </cell>
          <cell r="F19975">
            <v>0</v>
          </cell>
          <cell r="DN19975">
            <v>0</v>
          </cell>
        </row>
        <row r="19976">
          <cell r="E19976">
            <v>0</v>
          </cell>
          <cell r="F19976">
            <v>0</v>
          </cell>
          <cell r="DN19976">
            <v>0</v>
          </cell>
        </row>
        <row r="19977">
          <cell r="E19977">
            <v>0</v>
          </cell>
          <cell r="F19977">
            <v>0</v>
          </cell>
          <cell r="DN19977">
            <v>0</v>
          </cell>
        </row>
        <row r="19978">
          <cell r="E19978">
            <v>0</v>
          </cell>
          <cell r="F19978">
            <v>0</v>
          </cell>
          <cell r="DN19978">
            <v>0</v>
          </cell>
        </row>
        <row r="19979">
          <cell r="E19979">
            <v>0</v>
          </cell>
          <cell r="F19979">
            <v>0</v>
          </cell>
          <cell r="DN19979">
            <v>0</v>
          </cell>
        </row>
        <row r="19980">
          <cell r="E19980">
            <v>0</v>
          </cell>
          <cell r="F19980">
            <v>0</v>
          </cell>
          <cell r="DN19980">
            <v>0</v>
          </cell>
        </row>
        <row r="19981">
          <cell r="E19981">
            <v>0</v>
          </cell>
          <cell r="F19981">
            <v>0</v>
          </cell>
          <cell r="DN19981">
            <v>0</v>
          </cell>
        </row>
        <row r="19982">
          <cell r="E19982">
            <v>0</v>
          </cell>
          <cell r="F19982">
            <v>0</v>
          </cell>
          <cell r="DN19982">
            <v>0</v>
          </cell>
        </row>
        <row r="19983">
          <cell r="E19983">
            <v>0</v>
          </cell>
          <cell r="F19983">
            <v>0</v>
          </cell>
          <cell r="DN19983">
            <v>0</v>
          </cell>
        </row>
        <row r="19984">
          <cell r="E19984">
            <v>0</v>
          </cell>
          <cell r="F19984">
            <v>0</v>
          </cell>
          <cell r="DN19984">
            <v>0</v>
          </cell>
        </row>
        <row r="19985">
          <cell r="E19985">
            <v>0</v>
          </cell>
          <cell r="F19985">
            <v>0</v>
          </cell>
          <cell r="DN19985">
            <v>0</v>
          </cell>
        </row>
        <row r="19986">
          <cell r="E19986">
            <v>0</v>
          </cell>
          <cell r="F19986">
            <v>0</v>
          </cell>
          <cell r="DN19986">
            <v>0</v>
          </cell>
        </row>
        <row r="19987">
          <cell r="E19987">
            <v>0</v>
          </cell>
          <cell r="F19987">
            <v>0</v>
          </cell>
          <cell r="DN19987">
            <v>0</v>
          </cell>
        </row>
        <row r="19988">
          <cell r="E19988">
            <v>0</v>
          </cell>
          <cell r="F19988">
            <v>0</v>
          </cell>
          <cell r="DN19988">
            <v>0</v>
          </cell>
        </row>
        <row r="19989">
          <cell r="E19989">
            <v>0</v>
          </cell>
          <cell r="F19989">
            <v>0</v>
          </cell>
          <cell r="DN19989">
            <v>0</v>
          </cell>
        </row>
        <row r="19990">
          <cell r="E19990">
            <v>0</v>
          </cell>
          <cell r="F19990">
            <v>0</v>
          </cell>
          <cell r="DN19990">
            <v>0</v>
          </cell>
        </row>
        <row r="19991">
          <cell r="E19991">
            <v>0</v>
          </cell>
          <cell r="F19991">
            <v>0</v>
          </cell>
          <cell r="DN19991">
            <v>0</v>
          </cell>
        </row>
        <row r="19992">
          <cell r="E19992">
            <v>0</v>
          </cell>
          <cell r="F19992">
            <v>0</v>
          </cell>
          <cell r="DN19992">
            <v>0</v>
          </cell>
        </row>
        <row r="19993">
          <cell r="E19993">
            <v>0</v>
          </cell>
          <cell r="F19993">
            <v>0</v>
          </cell>
          <cell r="DN19993">
            <v>0</v>
          </cell>
        </row>
        <row r="19994">
          <cell r="E19994">
            <v>0</v>
          </cell>
          <cell r="F19994">
            <v>0</v>
          </cell>
          <cell r="DN19994">
            <v>0</v>
          </cell>
        </row>
        <row r="19995">
          <cell r="E19995">
            <v>0</v>
          </cell>
          <cell r="F19995">
            <v>0</v>
          </cell>
          <cell r="DN19995">
            <v>0</v>
          </cell>
        </row>
        <row r="19996">
          <cell r="E19996">
            <v>0</v>
          </cell>
          <cell r="F19996">
            <v>0</v>
          </cell>
          <cell r="DN19996">
            <v>0</v>
          </cell>
        </row>
        <row r="19997">
          <cell r="E19997">
            <v>0</v>
          </cell>
          <cell r="F19997">
            <v>0</v>
          </cell>
          <cell r="DN19997">
            <v>0</v>
          </cell>
        </row>
        <row r="19998">
          <cell r="E19998">
            <v>0</v>
          </cell>
          <cell r="F19998">
            <v>0</v>
          </cell>
          <cell r="DN19998">
            <v>0</v>
          </cell>
        </row>
        <row r="19999">
          <cell r="E19999">
            <v>0</v>
          </cell>
          <cell r="F19999">
            <v>0</v>
          </cell>
          <cell r="DN19999">
            <v>0</v>
          </cell>
        </row>
        <row r="20000">
          <cell r="E20000">
            <v>0</v>
          </cell>
          <cell r="F20000">
            <v>0</v>
          </cell>
          <cell r="DN20000">
            <v>0</v>
          </cell>
        </row>
        <row r="20001">
          <cell r="E20001">
            <v>0</v>
          </cell>
          <cell r="F20001">
            <v>0</v>
          </cell>
          <cell r="DN20001">
            <v>0</v>
          </cell>
        </row>
        <row r="20002">
          <cell r="E20002">
            <v>0</v>
          </cell>
          <cell r="F20002">
            <v>0</v>
          </cell>
          <cell r="DN20002">
            <v>0</v>
          </cell>
        </row>
        <row r="20003">
          <cell r="E20003">
            <v>0</v>
          </cell>
          <cell r="F20003">
            <v>0</v>
          </cell>
          <cell r="DN20003">
            <v>0</v>
          </cell>
        </row>
        <row r="20004">
          <cell r="E20004">
            <v>0</v>
          </cell>
          <cell r="F20004">
            <v>0</v>
          </cell>
          <cell r="DN20004">
            <v>0</v>
          </cell>
        </row>
        <row r="20005">
          <cell r="E20005">
            <v>0</v>
          </cell>
          <cell r="F20005">
            <v>0</v>
          </cell>
          <cell r="DN20005">
            <v>0</v>
          </cell>
        </row>
        <row r="20006">
          <cell r="E20006">
            <v>0</v>
          </cell>
          <cell r="F20006">
            <v>0</v>
          </cell>
          <cell r="DN20006">
            <v>0</v>
          </cell>
        </row>
        <row r="20007">
          <cell r="E20007">
            <v>0</v>
          </cell>
          <cell r="F20007">
            <v>0</v>
          </cell>
          <cell r="DN20007">
            <v>0</v>
          </cell>
        </row>
        <row r="20008">
          <cell r="E20008">
            <v>0</v>
          </cell>
          <cell r="F20008">
            <v>0</v>
          </cell>
          <cell r="DN20008">
            <v>0</v>
          </cell>
        </row>
        <row r="20009">
          <cell r="E20009">
            <v>0</v>
          </cell>
          <cell r="F20009">
            <v>0</v>
          </cell>
          <cell r="DN20009">
            <v>0</v>
          </cell>
        </row>
        <row r="20010">
          <cell r="E20010">
            <v>0</v>
          </cell>
          <cell r="F20010">
            <v>0</v>
          </cell>
          <cell r="DN20010">
            <v>0</v>
          </cell>
        </row>
        <row r="20011">
          <cell r="E20011">
            <v>0</v>
          </cell>
          <cell r="F20011">
            <v>0</v>
          </cell>
          <cell r="DN20011">
            <v>0</v>
          </cell>
        </row>
        <row r="20012">
          <cell r="E20012">
            <v>0</v>
          </cell>
          <cell r="F20012">
            <v>0</v>
          </cell>
          <cell r="DN20012">
            <v>0</v>
          </cell>
        </row>
        <row r="20013">
          <cell r="E20013">
            <v>0</v>
          </cell>
          <cell r="F20013">
            <v>0</v>
          </cell>
          <cell r="DN20013">
            <v>0</v>
          </cell>
        </row>
        <row r="20014">
          <cell r="E20014">
            <v>0</v>
          </cell>
          <cell r="F20014">
            <v>0</v>
          </cell>
          <cell r="DN20014">
            <v>0</v>
          </cell>
        </row>
        <row r="20015">
          <cell r="E20015">
            <v>0</v>
          </cell>
          <cell r="F20015">
            <v>0</v>
          </cell>
          <cell r="DN20015">
            <v>0</v>
          </cell>
        </row>
        <row r="20016">
          <cell r="E20016">
            <v>0</v>
          </cell>
          <cell r="F20016">
            <v>0</v>
          </cell>
          <cell r="DN20016">
            <v>0</v>
          </cell>
        </row>
        <row r="20017">
          <cell r="E20017">
            <v>0</v>
          </cell>
          <cell r="F20017">
            <v>0</v>
          </cell>
          <cell r="DN20017">
            <v>0</v>
          </cell>
        </row>
        <row r="20018">
          <cell r="E20018">
            <v>0</v>
          </cell>
          <cell r="F20018">
            <v>0</v>
          </cell>
          <cell r="DN20018">
            <v>0</v>
          </cell>
        </row>
        <row r="20019">
          <cell r="E20019">
            <v>0</v>
          </cell>
          <cell r="F20019">
            <v>0</v>
          </cell>
          <cell r="DN20019">
            <v>0</v>
          </cell>
        </row>
        <row r="20020">
          <cell r="E20020">
            <v>0</v>
          </cell>
          <cell r="F20020">
            <v>0</v>
          </cell>
          <cell r="DN20020">
            <v>0</v>
          </cell>
        </row>
        <row r="20021">
          <cell r="E20021">
            <v>0</v>
          </cell>
          <cell r="F20021">
            <v>0</v>
          </cell>
          <cell r="DN20021">
            <v>0</v>
          </cell>
        </row>
        <row r="20022">
          <cell r="E20022">
            <v>0</v>
          </cell>
          <cell r="F20022">
            <v>0</v>
          </cell>
          <cell r="DN20022">
            <v>0</v>
          </cell>
        </row>
        <row r="20023">
          <cell r="E20023">
            <v>0</v>
          </cell>
          <cell r="F20023">
            <v>0</v>
          </cell>
          <cell r="DN20023">
            <v>0</v>
          </cell>
        </row>
        <row r="20024">
          <cell r="E20024">
            <v>0</v>
          </cell>
          <cell r="F20024">
            <v>0</v>
          </cell>
          <cell r="DN20024">
            <v>0</v>
          </cell>
        </row>
        <row r="20025">
          <cell r="E20025">
            <v>0</v>
          </cell>
          <cell r="F20025">
            <v>0</v>
          </cell>
          <cell r="DN20025">
            <v>0</v>
          </cell>
        </row>
        <row r="20026">
          <cell r="E20026">
            <v>0</v>
          </cell>
          <cell r="F20026">
            <v>0</v>
          </cell>
          <cell r="DN20026">
            <v>0</v>
          </cell>
        </row>
        <row r="20027">
          <cell r="E20027">
            <v>0</v>
          </cell>
          <cell r="F20027">
            <v>0</v>
          </cell>
          <cell r="DN20027">
            <v>0</v>
          </cell>
        </row>
        <row r="20028">
          <cell r="E20028">
            <v>0</v>
          </cell>
          <cell r="F20028">
            <v>0</v>
          </cell>
          <cell r="DN20028">
            <v>0</v>
          </cell>
        </row>
        <row r="20029">
          <cell r="E20029">
            <v>0</v>
          </cell>
          <cell r="F20029">
            <v>0</v>
          </cell>
          <cell r="DN20029">
            <v>0</v>
          </cell>
        </row>
        <row r="20030">
          <cell r="E20030">
            <v>0</v>
          </cell>
          <cell r="F20030">
            <v>0</v>
          </cell>
          <cell r="DN20030">
            <v>0</v>
          </cell>
        </row>
        <row r="20031">
          <cell r="E20031">
            <v>0</v>
          </cell>
          <cell r="F20031">
            <v>0</v>
          </cell>
          <cell r="DN20031">
            <v>0</v>
          </cell>
        </row>
        <row r="20032">
          <cell r="E20032">
            <v>0</v>
          </cell>
          <cell r="F20032">
            <v>0</v>
          </cell>
          <cell r="DN20032">
            <v>0</v>
          </cell>
        </row>
        <row r="20033">
          <cell r="E20033">
            <v>0</v>
          </cell>
          <cell r="F20033">
            <v>0</v>
          </cell>
          <cell r="DN20033">
            <v>0</v>
          </cell>
        </row>
        <row r="20034">
          <cell r="E20034">
            <v>0</v>
          </cell>
          <cell r="F20034">
            <v>0</v>
          </cell>
          <cell r="DN20034">
            <v>0</v>
          </cell>
        </row>
        <row r="20035">
          <cell r="E20035">
            <v>0</v>
          </cell>
          <cell r="F20035">
            <v>0</v>
          </cell>
          <cell r="DN20035">
            <v>0</v>
          </cell>
        </row>
        <row r="20036">
          <cell r="E20036">
            <v>0</v>
          </cell>
          <cell r="F20036">
            <v>0</v>
          </cell>
          <cell r="DN20036">
            <v>0</v>
          </cell>
        </row>
        <row r="20037">
          <cell r="E20037">
            <v>0</v>
          </cell>
          <cell r="F20037">
            <v>0</v>
          </cell>
          <cell r="DN20037">
            <v>0</v>
          </cell>
        </row>
        <row r="20038">
          <cell r="E20038">
            <v>0</v>
          </cell>
          <cell r="F20038">
            <v>0</v>
          </cell>
          <cell r="DN20038">
            <v>0</v>
          </cell>
        </row>
        <row r="20039">
          <cell r="E20039">
            <v>0</v>
          </cell>
          <cell r="F20039">
            <v>0</v>
          </cell>
          <cell r="DN20039">
            <v>0</v>
          </cell>
        </row>
        <row r="20040">
          <cell r="E20040">
            <v>0</v>
          </cell>
          <cell r="F20040">
            <v>0</v>
          </cell>
          <cell r="DN20040">
            <v>0</v>
          </cell>
        </row>
        <row r="20041">
          <cell r="E20041">
            <v>0</v>
          </cell>
          <cell r="F20041">
            <v>0</v>
          </cell>
          <cell r="DN20041">
            <v>0</v>
          </cell>
        </row>
        <row r="20042">
          <cell r="E20042">
            <v>0</v>
          </cell>
          <cell r="F20042">
            <v>0</v>
          </cell>
          <cell r="DN20042">
            <v>0</v>
          </cell>
        </row>
        <row r="20043">
          <cell r="E20043">
            <v>0</v>
          </cell>
          <cell r="F20043">
            <v>0</v>
          </cell>
          <cell r="DN20043">
            <v>0</v>
          </cell>
        </row>
        <row r="20044">
          <cell r="E20044">
            <v>0</v>
          </cell>
          <cell r="F20044">
            <v>0</v>
          </cell>
          <cell r="DN20044">
            <v>0</v>
          </cell>
        </row>
        <row r="20045">
          <cell r="E20045">
            <v>0</v>
          </cell>
          <cell r="F20045">
            <v>0</v>
          </cell>
          <cell r="DN20045">
            <v>0</v>
          </cell>
        </row>
        <row r="20046">
          <cell r="E20046">
            <v>0</v>
          </cell>
          <cell r="F20046">
            <v>0</v>
          </cell>
          <cell r="DN20046">
            <v>0</v>
          </cell>
        </row>
        <row r="20047">
          <cell r="E20047">
            <v>0</v>
          </cell>
          <cell r="F20047">
            <v>0</v>
          </cell>
          <cell r="DN20047">
            <v>0</v>
          </cell>
        </row>
        <row r="20048">
          <cell r="E20048">
            <v>0</v>
          </cell>
          <cell r="F20048">
            <v>0</v>
          </cell>
          <cell r="DN20048">
            <v>0</v>
          </cell>
        </row>
        <row r="20049">
          <cell r="E20049">
            <v>0</v>
          </cell>
          <cell r="F20049">
            <v>0</v>
          </cell>
          <cell r="DN20049">
            <v>0</v>
          </cell>
        </row>
        <row r="20050">
          <cell r="E20050">
            <v>0</v>
          </cell>
          <cell r="F20050">
            <v>0</v>
          </cell>
          <cell r="DN20050">
            <v>0</v>
          </cell>
        </row>
        <row r="20051">
          <cell r="E20051">
            <v>0</v>
          </cell>
          <cell r="F20051">
            <v>0</v>
          </cell>
          <cell r="DN20051">
            <v>0</v>
          </cell>
        </row>
        <row r="20052">
          <cell r="E20052">
            <v>0</v>
          </cell>
          <cell r="F20052">
            <v>0</v>
          </cell>
          <cell r="DN20052">
            <v>0</v>
          </cell>
        </row>
        <row r="20053">
          <cell r="E20053">
            <v>0</v>
          </cell>
          <cell r="F20053">
            <v>0</v>
          </cell>
          <cell r="DN20053">
            <v>0</v>
          </cell>
        </row>
        <row r="20054">
          <cell r="E20054">
            <v>0</v>
          </cell>
          <cell r="F20054">
            <v>0</v>
          </cell>
          <cell r="DN20054">
            <v>0</v>
          </cell>
        </row>
        <row r="20055">
          <cell r="E20055">
            <v>0</v>
          </cell>
          <cell r="F20055">
            <v>0</v>
          </cell>
          <cell r="DN20055">
            <v>0</v>
          </cell>
        </row>
        <row r="20056">
          <cell r="E20056">
            <v>0</v>
          </cell>
          <cell r="F20056">
            <v>0</v>
          </cell>
          <cell r="DN20056">
            <v>0</v>
          </cell>
        </row>
        <row r="20057">
          <cell r="E20057">
            <v>0</v>
          </cell>
          <cell r="F20057">
            <v>0</v>
          </cell>
          <cell r="DN20057">
            <v>0</v>
          </cell>
        </row>
        <row r="20058">
          <cell r="E20058">
            <v>0</v>
          </cell>
          <cell r="F20058">
            <v>0</v>
          </cell>
          <cell r="DN20058">
            <v>0</v>
          </cell>
        </row>
        <row r="20059">
          <cell r="E20059">
            <v>0</v>
          </cell>
          <cell r="F20059">
            <v>0</v>
          </cell>
          <cell r="DN20059">
            <v>0</v>
          </cell>
        </row>
        <row r="20060">
          <cell r="E20060">
            <v>0</v>
          </cell>
          <cell r="F20060">
            <v>0</v>
          </cell>
          <cell r="DN20060">
            <v>0</v>
          </cell>
        </row>
        <row r="20061">
          <cell r="E20061">
            <v>0</v>
          </cell>
          <cell r="F20061">
            <v>0</v>
          </cell>
          <cell r="DN20061">
            <v>0</v>
          </cell>
        </row>
        <row r="20062">
          <cell r="E20062">
            <v>0</v>
          </cell>
          <cell r="F20062">
            <v>0</v>
          </cell>
          <cell r="DN20062">
            <v>0</v>
          </cell>
        </row>
        <row r="20063">
          <cell r="E20063">
            <v>0</v>
          </cell>
          <cell r="F20063">
            <v>0</v>
          </cell>
          <cell r="DN20063">
            <v>0</v>
          </cell>
        </row>
        <row r="20064">
          <cell r="E20064">
            <v>0</v>
          </cell>
          <cell r="F20064">
            <v>0</v>
          </cell>
          <cell r="DN20064">
            <v>0</v>
          </cell>
        </row>
        <row r="20065">
          <cell r="E20065">
            <v>0</v>
          </cell>
          <cell r="F20065">
            <v>0</v>
          </cell>
          <cell r="DN20065">
            <v>0</v>
          </cell>
        </row>
        <row r="20066">
          <cell r="E20066">
            <v>0</v>
          </cell>
          <cell r="F20066">
            <v>0</v>
          </cell>
          <cell r="DN20066">
            <v>0</v>
          </cell>
        </row>
        <row r="20067">
          <cell r="E20067">
            <v>0</v>
          </cell>
          <cell r="F20067">
            <v>0</v>
          </cell>
          <cell r="DN20067">
            <v>0</v>
          </cell>
        </row>
        <row r="20068">
          <cell r="E20068">
            <v>0</v>
          </cell>
          <cell r="F20068">
            <v>0</v>
          </cell>
          <cell r="DN20068">
            <v>0</v>
          </cell>
        </row>
        <row r="20069">
          <cell r="E20069">
            <v>0</v>
          </cell>
          <cell r="F20069">
            <v>0</v>
          </cell>
          <cell r="DN20069">
            <v>0</v>
          </cell>
        </row>
        <row r="20070">
          <cell r="E20070">
            <v>0</v>
          </cell>
          <cell r="F20070">
            <v>0</v>
          </cell>
          <cell r="DN20070">
            <v>0</v>
          </cell>
        </row>
        <row r="20071">
          <cell r="E20071">
            <v>0</v>
          </cell>
          <cell r="F20071">
            <v>0</v>
          </cell>
          <cell r="DN20071">
            <v>0</v>
          </cell>
        </row>
        <row r="20072">
          <cell r="E20072">
            <v>0</v>
          </cell>
          <cell r="F20072">
            <v>0</v>
          </cell>
          <cell r="DN20072">
            <v>0</v>
          </cell>
        </row>
        <row r="20073">
          <cell r="E20073">
            <v>0</v>
          </cell>
          <cell r="F20073">
            <v>0</v>
          </cell>
          <cell r="DN20073">
            <v>0</v>
          </cell>
        </row>
        <row r="20074">
          <cell r="E20074">
            <v>0</v>
          </cell>
          <cell r="F20074">
            <v>0</v>
          </cell>
          <cell r="DN20074">
            <v>0</v>
          </cell>
        </row>
        <row r="20075">
          <cell r="E20075">
            <v>0</v>
          </cell>
          <cell r="F20075">
            <v>0</v>
          </cell>
          <cell r="DN20075">
            <v>0</v>
          </cell>
        </row>
        <row r="20076">
          <cell r="E20076">
            <v>0</v>
          </cell>
          <cell r="F20076">
            <v>0</v>
          </cell>
          <cell r="DN20076">
            <v>0</v>
          </cell>
        </row>
        <row r="20077">
          <cell r="E20077">
            <v>0</v>
          </cell>
          <cell r="F20077">
            <v>0</v>
          </cell>
          <cell r="DN20077">
            <v>0</v>
          </cell>
        </row>
        <row r="20078">
          <cell r="E20078">
            <v>0</v>
          </cell>
          <cell r="F20078">
            <v>0</v>
          </cell>
          <cell r="DN20078">
            <v>0</v>
          </cell>
        </row>
        <row r="20079">
          <cell r="E20079">
            <v>0</v>
          </cell>
          <cell r="F20079">
            <v>0</v>
          </cell>
          <cell r="DN20079">
            <v>0</v>
          </cell>
        </row>
        <row r="20080">
          <cell r="E20080">
            <v>0</v>
          </cell>
          <cell r="F20080">
            <v>0</v>
          </cell>
          <cell r="DN20080">
            <v>0</v>
          </cell>
        </row>
        <row r="20081">
          <cell r="E20081">
            <v>0</v>
          </cell>
          <cell r="F20081">
            <v>0</v>
          </cell>
          <cell r="DN20081">
            <v>0</v>
          </cell>
        </row>
        <row r="20082">
          <cell r="E20082">
            <v>0</v>
          </cell>
          <cell r="F20082">
            <v>0</v>
          </cell>
          <cell r="DN20082">
            <v>0</v>
          </cell>
        </row>
        <row r="20083">
          <cell r="E20083">
            <v>0</v>
          </cell>
          <cell r="F20083">
            <v>0</v>
          </cell>
          <cell r="DN20083">
            <v>0</v>
          </cell>
        </row>
        <row r="20084">
          <cell r="E20084">
            <v>0</v>
          </cell>
          <cell r="F20084">
            <v>0</v>
          </cell>
          <cell r="DN20084">
            <v>0</v>
          </cell>
        </row>
        <row r="20085">
          <cell r="E20085">
            <v>0</v>
          </cell>
          <cell r="F20085">
            <v>0</v>
          </cell>
          <cell r="DN20085">
            <v>0</v>
          </cell>
        </row>
        <row r="20086">
          <cell r="E20086">
            <v>0</v>
          </cell>
          <cell r="F20086">
            <v>0</v>
          </cell>
          <cell r="DN20086">
            <v>0</v>
          </cell>
        </row>
        <row r="20087">
          <cell r="E20087">
            <v>0</v>
          </cell>
          <cell r="F20087">
            <v>0</v>
          </cell>
          <cell r="DN20087">
            <v>0</v>
          </cell>
        </row>
        <row r="20088">
          <cell r="E20088">
            <v>0</v>
          </cell>
          <cell r="F20088">
            <v>0</v>
          </cell>
          <cell r="DN20088">
            <v>0</v>
          </cell>
        </row>
        <row r="20089">
          <cell r="E20089">
            <v>0</v>
          </cell>
          <cell r="F20089">
            <v>0</v>
          </cell>
          <cell r="DN20089">
            <v>0</v>
          </cell>
        </row>
        <row r="20090">
          <cell r="E20090">
            <v>0</v>
          </cell>
          <cell r="F20090">
            <v>0</v>
          </cell>
          <cell r="DN20090">
            <v>0</v>
          </cell>
        </row>
        <row r="20091">
          <cell r="E20091">
            <v>0</v>
          </cell>
          <cell r="F20091">
            <v>0</v>
          </cell>
          <cell r="DN20091">
            <v>0</v>
          </cell>
        </row>
        <row r="20092">
          <cell r="E20092">
            <v>0</v>
          </cell>
          <cell r="F20092">
            <v>0</v>
          </cell>
          <cell r="DN20092">
            <v>0</v>
          </cell>
        </row>
        <row r="20093">
          <cell r="E20093">
            <v>0</v>
          </cell>
          <cell r="F20093">
            <v>0</v>
          </cell>
          <cell r="DN20093">
            <v>0</v>
          </cell>
        </row>
        <row r="20094">
          <cell r="E20094">
            <v>0</v>
          </cell>
          <cell r="F20094">
            <v>0</v>
          </cell>
          <cell r="DN20094">
            <v>0</v>
          </cell>
        </row>
        <row r="20095">
          <cell r="E20095">
            <v>0</v>
          </cell>
          <cell r="F20095">
            <v>0</v>
          </cell>
          <cell r="DN20095">
            <v>0</v>
          </cell>
        </row>
        <row r="20096">
          <cell r="E20096">
            <v>0</v>
          </cell>
          <cell r="F20096">
            <v>0</v>
          </cell>
          <cell r="DN20096">
            <v>0</v>
          </cell>
        </row>
        <row r="20097">
          <cell r="E20097">
            <v>0</v>
          </cell>
          <cell r="F20097">
            <v>0</v>
          </cell>
          <cell r="DN20097">
            <v>0</v>
          </cell>
        </row>
        <row r="20098">
          <cell r="E20098">
            <v>0</v>
          </cell>
          <cell r="F20098">
            <v>0</v>
          </cell>
          <cell r="DN20098">
            <v>0</v>
          </cell>
        </row>
        <row r="20099">
          <cell r="E20099">
            <v>0</v>
          </cell>
          <cell r="F20099">
            <v>0</v>
          </cell>
          <cell r="DN20099">
            <v>0</v>
          </cell>
        </row>
        <row r="20100">
          <cell r="E20100">
            <v>0</v>
          </cell>
          <cell r="F20100">
            <v>0</v>
          </cell>
          <cell r="DN20100">
            <v>0</v>
          </cell>
        </row>
        <row r="20101">
          <cell r="E20101">
            <v>0</v>
          </cell>
          <cell r="F20101">
            <v>0</v>
          </cell>
          <cell r="DN20101">
            <v>0</v>
          </cell>
        </row>
        <row r="20102">
          <cell r="E20102">
            <v>0</v>
          </cell>
          <cell r="F20102">
            <v>0</v>
          </cell>
          <cell r="DN20102">
            <v>0</v>
          </cell>
        </row>
        <row r="20103">
          <cell r="E20103">
            <v>0</v>
          </cell>
          <cell r="F20103">
            <v>0</v>
          </cell>
          <cell r="DN20103">
            <v>0</v>
          </cell>
        </row>
        <row r="20104">
          <cell r="E20104">
            <v>0</v>
          </cell>
          <cell r="F20104">
            <v>0</v>
          </cell>
          <cell r="DN20104">
            <v>0</v>
          </cell>
        </row>
        <row r="20105">
          <cell r="E20105">
            <v>0</v>
          </cell>
          <cell r="F20105">
            <v>0</v>
          </cell>
          <cell r="DN20105">
            <v>0</v>
          </cell>
        </row>
        <row r="20106">
          <cell r="E20106">
            <v>0</v>
          </cell>
          <cell r="F20106">
            <v>0</v>
          </cell>
          <cell r="DN20106">
            <v>0</v>
          </cell>
        </row>
        <row r="20107">
          <cell r="E20107">
            <v>0</v>
          </cell>
          <cell r="F20107">
            <v>0</v>
          </cell>
          <cell r="DN20107">
            <v>0</v>
          </cell>
        </row>
        <row r="20108">
          <cell r="E20108">
            <v>0</v>
          </cell>
          <cell r="F20108">
            <v>0</v>
          </cell>
          <cell r="DN20108">
            <v>0</v>
          </cell>
        </row>
        <row r="20109">
          <cell r="E20109">
            <v>0</v>
          </cell>
          <cell r="F20109">
            <v>0</v>
          </cell>
          <cell r="DN20109">
            <v>0</v>
          </cell>
        </row>
        <row r="20110">
          <cell r="E20110">
            <v>0</v>
          </cell>
          <cell r="F20110">
            <v>0</v>
          </cell>
          <cell r="DN20110">
            <v>0</v>
          </cell>
        </row>
        <row r="20111">
          <cell r="E20111">
            <v>0</v>
          </cell>
          <cell r="F20111">
            <v>0</v>
          </cell>
          <cell r="DN20111">
            <v>0</v>
          </cell>
        </row>
        <row r="20112">
          <cell r="E20112">
            <v>0</v>
          </cell>
          <cell r="F20112">
            <v>0</v>
          </cell>
          <cell r="DN20112">
            <v>0</v>
          </cell>
        </row>
        <row r="20113">
          <cell r="E20113">
            <v>0</v>
          </cell>
          <cell r="F20113">
            <v>0</v>
          </cell>
          <cell r="DN20113">
            <v>0</v>
          </cell>
        </row>
        <row r="20114">
          <cell r="E20114">
            <v>0</v>
          </cell>
          <cell r="F20114">
            <v>0</v>
          </cell>
          <cell r="DN20114">
            <v>0</v>
          </cell>
        </row>
        <row r="20115">
          <cell r="E20115">
            <v>0</v>
          </cell>
          <cell r="F20115">
            <v>0</v>
          </cell>
          <cell r="DN20115">
            <v>0</v>
          </cell>
        </row>
        <row r="20116">
          <cell r="E20116">
            <v>0</v>
          </cell>
          <cell r="F20116">
            <v>0</v>
          </cell>
          <cell r="DN20116">
            <v>0</v>
          </cell>
        </row>
        <row r="20117">
          <cell r="E20117">
            <v>0</v>
          </cell>
          <cell r="F20117">
            <v>0</v>
          </cell>
          <cell r="DN20117">
            <v>0</v>
          </cell>
        </row>
        <row r="20118">
          <cell r="E20118">
            <v>0</v>
          </cell>
          <cell r="F20118">
            <v>0</v>
          </cell>
          <cell r="DN20118">
            <v>0</v>
          </cell>
        </row>
        <row r="20119">
          <cell r="E20119">
            <v>0</v>
          </cell>
          <cell r="F20119">
            <v>0</v>
          </cell>
          <cell r="DN20119">
            <v>0</v>
          </cell>
        </row>
        <row r="20120">
          <cell r="E20120">
            <v>0</v>
          </cell>
          <cell r="F20120">
            <v>0</v>
          </cell>
          <cell r="DN20120">
            <v>0</v>
          </cell>
        </row>
        <row r="20121">
          <cell r="E20121">
            <v>0</v>
          </cell>
          <cell r="F20121">
            <v>0</v>
          </cell>
          <cell r="DN20121">
            <v>0</v>
          </cell>
        </row>
        <row r="20122">
          <cell r="E20122">
            <v>0</v>
          </cell>
          <cell r="F20122">
            <v>0</v>
          </cell>
          <cell r="DN20122">
            <v>0</v>
          </cell>
        </row>
        <row r="20123">
          <cell r="E20123">
            <v>0</v>
          </cell>
          <cell r="F20123">
            <v>0</v>
          </cell>
          <cell r="DN20123">
            <v>0</v>
          </cell>
        </row>
        <row r="20124">
          <cell r="E20124">
            <v>0</v>
          </cell>
          <cell r="F20124">
            <v>0</v>
          </cell>
          <cell r="DN20124">
            <v>0</v>
          </cell>
        </row>
        <row r="20125">
          <cell r="E20125">
            <v>0</v>
          </cell>
          <cell r="F20125">
            <v>0</v>
          </cell>
          <cell r="DN20125">
            <v>0</v>
          </cell>
        </row>
        <row r="20126">
          <cell r="E20126">
            <v>0</v>
          </cell>
          <cell r="F20126">
            <v>0</v>
          </cell>
          <cell r="DN20126">
            <v>0</v>
          </cell>
        </row>
        <row r="20127">
          <cell r="E20127">
            <v>0</v>
          </cell>
          <cell r="F20127">
            <v>0</v>
          </cell>
          <cell r="DN20127">
            <v>0</v>
          </cell>
        </row>
        <row r="20128">
          <cell r="E20128">
            <v>0</v>
          </cell>
          <cell r="F20128">
            <v>0</v>
          </cell>
          <cell r="DN20128">
            <v>0</v>
          </cell>
        </row>
        <row r="20129">
          <cell r="E20129">
            <v>0</v>
          </cell>
          <cell r="F20129">
            <v>0</v>
          </cell>
          <cell r="DN20129">
            <v>0</v>
          </cell>
        </row>
        <row r="20130">
          <cell r="E20130">
            <v>0</v>
          </cell>
          <cell r="F20130">
            <v>0</v>
          </cell>
          <cell r="DN20130">
            <v>0</v>
          </cell>
        </row>
        <row r="20131">
          <cell r="E20131">
            <v>0</v>
          </cell>
          <cell r="F20131">
            <v>0</v>
          </cell>
          <cell r="DN20131">
            <v>0</v>
          </cell>
        </row>
        <row r="20132">
          <cell r="E20132">
            <v>0</v>
          </cell>
          <cell r="F20132">
            <v>0</v>
          </cell>
          <cell r="DN20132">
            <v>0</v>
          </cell>
        </row>
        <row r="20133">
          <cell r="E20133">
            <v>0</v>
          </cell>
          <cell r="F20133">
            <v>0</v>
          </cell>
          <cell r="DN20133">
            <v>0</v>
          </cell>
        </row>
        <row r="20134">
          <cell r="E20134">
            <v>0</v>
          </cell>
          <cell r="F20134">
            <v>0</v>
          </cell>
          <cell r="DN20134">
            <v>0</v>
          </cell>
        </row>
        <row r="20135">
          <cell r="E20135">
            <v>0</v>
          </cell>
          <cell r="F20135">
            <v>0</v>
          </cell>
          <cell r="DN20135">
            <v>0</v>
          </cell>
        </row>
        <row r="20136">
          <cell r="E20136">
            <v>0</v>
          </cell>
          <cell r="F20136">
            <v>0</v>
          </cell>
          <cell r="DN20136">
            <v>0</v>
          </cell>
        </row>
        <row r="20137">
          <cell r="E20137">
            <v>0</v>
          </cell>
          <cell r="F20137">
            <v>0</v>
          </cell>
          <cell r="DN20137">
            <v>0</v>
          </cell>
        </row>
        <row r="20138">
          <cell r="E20138">
            <v>0</v>
          </cell>
          <cell r="F20138">
            <v>0</v>
          </cell>
          <cell r="DN20138">
            <v>0</v>
          </cell>
        </row>
        <row r="20139">
          <cell r="E20139">
            <v>0</v>
          </cell>
          <cell r="F20139">
            <v>0</v>
          </cell>
          <cell r="DN20139">
            <v>0</v>
          </cell>
        </row>
        <row r="20140">
          <cell r="E20140">
            <v>0</v>
          </cell>
          <cell r="F20140">
            <v>0</v>
          </cell>
          <cell r="DN20140">
            <v>0</v>
          </cell>
        </row>
        <row r="20141">
          <cell r="E20141">
            <v>0</v>
          </cell>
          <cell r="F20141">
            <v>0</v>
          </cell>
          <cell r="DN20141">
            <v>0</v>
          </cell>
        </row>
        <row r="20142">
          <cell r="E20142">
            <v>0</v>
          </cell>
          <cell r="F20142">
            <v>0</v>
          </cell>
          <cell r="DN20142">
            <v>0</v>
          </cell>
        </row>
        <row r="20143">
          <cell r="E20143">
            <v>0</v>
          </cell>
          <cell r="F20143">
            <v>0</v>
          </cell>
          <cell r="DN20143">
            <v>0</v>
          </cell>
        </row>
        <row r="20144">
          <cell r="E20144">
            <v>0</v>
          </cell>
          <cell r="F20144">
            <v>0</v>
          </cell>
          <cell r="DN20144">
            <v>0</v>
          </cell>
        </row>
        <row r="20145">
          <cell r="E20145">
            <v>0</v>
          </cell>
          <cell r="F20145">
            <v>0</v>
          </cell>
          <cell r="DN20145">
            <v>0</v>
          </cell>
        </row>
        <row r="20146">
          <cell r="E20146">
            <v>0</v>
          </cell>
          <cell r="F20146">
            <v>0</v>
          </cell>
          <cell r="DN20146">
            <v>0</v>
          </cell>
        </row>
        <row r="20147">
          <cell r="E20147">
            <v>0</v>
          </cell>
          <cell r="F20147">
            <v>0</v>
          </cell>
          <cell r="DN20147">
            <v>0</v>
          </cell>
        </row>
        <row r="20148">
          <cell r="E20148">
            <v>0</v>
          </cell>
          <cell r="F20148">
            <v>0</v>
          </cell>
          <cell r="DN20148">
            <v>0</v>
          </cell>
        </row>
        <row r="20149">
          <cell r="E20149">
            <v>0</v>
          </cell>
          <cell r="F20149">
            <v>0</v>
          </cell>
          <cell r="DN20149">
            <v>0</v>
          </cell>
        </row>
        <row r="20150">
          <cell r="E20150">
            <v>0</v>
          </cell>
          <cell r="F20150">
            <v>0</v>
          </cell>
          <cell r="DN20150">
            <v>0</v>
          </cell>
        </row>
        <row r="20151">
          <cell r="E20151">
            <v>0</v>
          </cell>
          <cell r="F20151">
            <v>0</v>
          </cell>
          <cell r="DN20151">
            <v>0</v>
          </cell>
        </row>
        <row r="20152">
          <cell r="E20152">
            <v>0</v>
          </cell>
          <cell r="F20152">
            <v>0</v>
          </cell>
          <cell r="DN20152">
            <v>0</v>
          </cell>
        </row>
        <row r="20153">
          <cell r="E20153">
            <v>0</v>
          </cell>
          <cell r="F20153">
            <v>0</v>
          </cell>
          <cell r="DN20153">
            <v>0</v>
          </cell>
        </row>
        <row r="20154">
          <cell r="E20154">
            <v>0</v>
          </cell>
          <cell r="F20154">
            <v>0</v>
          </cell>
          <cell r="DN20154">
            <v>0</v>
          </cell>
        </row>
        <row r="20155">
          <cell r="E20155">
            <v>0</v>
          </cell>
          <cell r="F20155">
            <v>0</v>
          </cell>
          <cell r="DN20155">
            <v>0</v>
          </cell>
        </row>
        <row r="20156">
          <cell r="E20156">
            <v>0</v>
          </cell>
          <cell r="F20156">
            <v>0</v>
          </cell>
          <cell r="DN20156">
            <v>0</v>
          </cell>
        </row>
        <row r="20157">
          <cell r="E20157">
            <v>0</v>
          </cell>
          <cell r="F20157">
            <v>0</v>
          </cell>
          <cell r="DN20157">
            <v>0</v>
          </cell>
        </row>
        <row r="20158">
          <cell r="E20158">
            <v>0</v>
          </cell>
          <cell r="F20158">
            <v>0</v>
          </cell>
          <cell r="DN20158">
            <v>0</v>
          </cell>
        </row>
        <row r="20159">
          <cell r="E20159">
            <v>0</v>
          </cell>
          <cell r="F20159">
            <v>0</v>
          </cell>
          <cell r="DN20159">
            <v>0</v>
          </cell>
        </row>
        <row r="20160">
          <cell r="E20160">
            <v>0</v>
          </cell>
          <cell r="F20160">
            <v>0</v>
          </cell>
          <cell r="DN20160">
            <v>0</v>
          </cell>
        </row>
        <row r="20161">
          <cell r="E20161">
            <v>0</v>
          </cell>
          <cell r="F20161">
            <v>0</v>
          </cell>
          <cell r="DN20161">
            <v>0</v>
          </cell>
        </row>
        <row r="20162">
          <cell r="E20162">
            <v>0</v>
          </cell>
          <cell r="F20162">
            <v>0</v>
          </cell>
          <cell r="DN20162">
            <v>0</v>
          </cell>
        </row>
        <row r="20163">
          <cell r="E20163">
            <v>0</v>
          </cell>
          <cell r="F20163">
            <v>0</v>
          </cell>
          <cell r="DN20163">
            <v>0</v>
          </cell>
        </row>
        <row r="20164">
          <cell r="E20164">
            <v>0</v>
          </cell>
          <cell r="F20164">
            <v>0</v>
          </cell>
          <cell r="DN20164">
            <v>0</v>
          </cell>
        </row>
        <row r="20165">
          <cell r="E20165">
            <v>0</v>
          </cell>
          <cell r="F20165">
            <v>0</v>
          </cell>
          <cell r="DN20165">
            <v>0</v>
          </cell>
        </row>
        <row r="20166">
          <cell r="E20166">
            <v>0</v>
          </cell>
          <cell r="F20166">
            <v>0</v>
          </cell>
          <cell r="DN20166">
            <v>0</v>
          </cell>
        </row>
        <row r="20167">
          <cell r="E20167">
            <v>0</v>
          </cell>
          <cell r="F20167">
            <v>0</v>
          </cell>
          <cell r="DN20167">
            <v>0</v>
          </cell>
        </row>
        <row r="20168">
          <cell r="E20168">
            <v>0</v>
          </cell>
          <cell r="F20168">
            <v>0</v>
          </cell>
          <cell r="DN20168">
            <v>0</v>
          </cell>
        </row>
        <row r="20169">
          <cell r="E20169">
            <v>0</v>
          </cell>
          <cell r="F20169">
            <v>0</v>
          </cell>
          <cell r="DN20169">
            <v>0</v>
          </cell>
        </row>
        <row r="20170">
          <cell r="E20170">
            <v>0</v>
          </cell>
          <cell r="F20170">
            <v>0</v>
          </cell>
          <cell r="DN20170">
            <v>0</v>
          </cell>
        </row>
        <row r="20171">
          <cell r="E20171">
            <v>0</v>
          </cell>
          <cell r="F20171">
            <v>0</v>
          </cell>
          <cell r="DN20171">
            <v>0</v>
          </cell>
        </row>
        <row r="20172">
          <cell r="E20172">
            <v>0</v>
          </cell>
          <cell r="F20172">
            <v>0</v>
          </cell>
          <cell r="DN20172">
            <v>0</v>
          </cell>
        </row>
        <row r="20173">
          <cell r="E20173">
            <v>0</v>
          </cell>
          <cell r="F20173">
            <v>0</v>
          </cell>
          <cell r="DN20173">
            <v>0</v>
          </cell>
        </row>
        <row r="20174">
          <cell r="E20174">
            <v>0</v>
          </cell>
          <cell r="F20174">
            <v>0</v>
          </cell>
          <cell r="DN20174">
            <v>0</v>
          </cell>
        </row>
        <row r="20175">
          <cell r="E20175">
            <v>0</v>
          </cell>
          <cell r="F20175">
            <v>0</v>
          </cell>
          <cell r="DN20175">
            <v>0</v>
          </cell>
        </row>
        <row r="20176">
          <cell r="E20176">
            <v>0</v>
          </cell>
          <cell r="F20176">
            <v>0</v>
          </cell>
          <cell r="DN20176">
            <v>0</v>
          </cell>
        </row>
        <row r="20177">
          <cell r="E20177">
            <v>0</v>
          </cell>
          <cell r="F20177">
            <v>0</v>
          </cell>
          <cell r="DN20177">
            <v>0</v>
          </cell>
        </row>
        <row r="20178">
          <cell r="E20178">
            <v>0</v>
          </cell>
          <cell r="F20178">
            <v>0</v>
          </cell>
          <cell r="DN20178">
            <v>0</v>
          </cell>
        </row>
        <row r="20179">
          <cell r="E20179">
            <v>0</v>
          </cell>
          <cell r="F20179">
            <v>0</v>
          </cell>
          <cell r="DN20179">
            <v>0</v>
          </cell>
        </row>
        <row r="20180">
          <cell r="E20180">
            <v>0</v>
          </cell>
          <cell r="F20180">
            <v>0</v>
          </cell>
          <cell r="DN20180">
            <v>0</v>
          </cell>
        </row>
        <row r="20181">
          <cell r="E20181">
            <v>0</v>
          </cell>
          <cell r="F20181">
            <v>0</v>
          </cell>
          <cell r="DN20181">
            <v>0</v>
          </cell>
        </row>
        <row r="20182">
          <cell r="E20182">
            <v>0</v>
          </cell>
          <cell r="F20182">
            <v>0</v>
          </cell>
          <cell r="DN20182">
            <v>0</v>
          </cell>
        </row>
        <row r="20183">
          <cell r="E20183">
            <v>0</v>
          </cell>
          <cell r="F20183">
            <v>0</v>
          </cell>
          <cell r="DN20183">
            <v>0</v>
          </cell>
        </row>
        <row r="20184">
          <cell r="E20184">
            <v>0</v>
          </cell>
          <cell r="F20184">
            <v>0</v>
          </cell>
          <cell r="DN20184">
            <v>0</v>
          </cell>
        </row>
        <row r="20185">
          <cell r="E20185">
            <v>0</v>
          </cell>
          <cell r="F20185">
            <v>0</v>
          </cell>
          <cell r="DN20185">
            <v>0</v>
          </cell>
        </row>
        <row r="20186">
          <cell r="E20186">
            <v>0</v>
          </cell>
          <cell r="F20186">
            <v>0</v>
          </cell>
          <cell r="DN20186">
            <v>0</v>
          </cell>
        </row>
        <row r="20187">
          <cell r="E20187">
            <v>0</v>
          </cell>
          <cell r="F20187">
            <v>0</v>
          </cell>
          <cell r="DN20187">
            <v>0</v>
          </cell>
        </row>
        <row r="20188">
          <cell r="E20188">
            <v>0</v>
          </cell>
          <cell r="F20188">
            <v>0</v>
          </cell>
          <cell r="DN20188">
            <v>0</v>
          </cell>
        </row>
        <row r="20189">
          <cell r="E20189">
            <v>0</v>
          </cell>
          <cell r="F20189">
            <v>0</v>
          </cell>
          <cell r="DN20189">
            <v>0</v>
          </cell>
        </row>
        <row r="20190">
          <cell r="E20190">
            <v>0</v>
          </cell>
          <cell r="F20190">
            <v>0</v>
          </cell>
          <cell r="DN20190">
            <v>0</v>
          </cell>
        </row>
        <row r="20191">
          <cell r="E20191">
            <v>0</v>
          </cell>
          <cell r="F20191">
            <v>0</v>
          </cell>
          <cell r="DN20191">
            <v>0</v>
          </cell>
        </row>
        <row r="20192">
          <cell r="E20192">
            <v>0</v>
          </cell>
          <cell r="F20192">
            <v>0</v>
          </cell>
          <cell r="DN20192">
            <v>0</v>
          </cell>
        </row>
        <row r="20193">
          <cell r="E20193">
            <v>0</v>
          </cell>
          <cell r="F20193">
            <v>0</v>
          </cell>
          <cell r="DN20193">
            <v>0</v>
          </cell>
        </row>
        <row r="20194">
          <cell r="E20194">
            <v>0</v>
          </cell>
          <cell r="F20194">
            <v>0</v>
          </cell>
          <cell r="DN20194">
            <v>0</v>
          </cell>
        </row>
        <row r="20195">
          <cell r="E20195">
            <v>0</v>
          </cell>
          <cell r="F20195">
            <v>0</v>
          </cell>
          <cell r="DN20195">
            <v>0</v>
          </cell>
        </row>
        <row r="20196">
          <cell r="E20196">
            <v>0</v>
          </cell>
          <cell r="F20196">
            <v>0</v>
          </cell>
          <cell r="DN20196">
            <v>0</v>
          </cell>
        </row>
        <row r="20197">
          <cell r="E20197">
            <v>0</v>
          </cell>
          <cell r="F20197">
            <v>0</v>
          </cell>
          <cell r="DN20197">
            <v>0</v>
          </cell>
        </row>
        <row r="20198">
          <cell r="E20198">
            <v>0</v>
          </cell>
          <cell r="F20198">
            <v>0</v>
          </cell>
          <cell r="DN20198">
            <v>0</v>
          </cell>
        </row>
        <row r="20199">
          <cell r="E20199">
            <v>0</v>
          </cell>
          <cell r="F20199">
            <v>0</v>
          </cell>
          <cell r="DN20199">
            <v>0</v>
          </cell>
        </row>
        <row r="20200">
          <cell r="E20200">
            <v>0</v>
          </cell>
          <cell r="F20200">
            <v>0</v>
          </cell>
          <cell r="DN20200">
            <v>0</v>
          </cell>
        </row>
        <row r="20201">
          <cell r="E20201">
            <v>0</v>
          </cell>
          <cell r="F20201">
            <v>0</v>
          </cell>
          <cell r="DN20201">
            <v>0</v>
          </cell>
        </row>
        <row r="20202">
          <cell r="E20202">
            <v>0</v>
          </cell>
          <cell r="F20202">
            <v>0</v>
          </cell>
          <cell r="DN20202">
            <v>0</v>
          </cell>
        </row>
        <row r="20203">
          <cell r="E20203">
            <v>0</v>
          </cell>
          <cell r="F20203">
            <v>0</v>
          </cell>
          <cell r="DN20203">
            <v>0</v>
          </cell>
        </row>
        <row r="20204">
          <cell r="E20204">
            <v>0</v>
          </cell>
          <cell r="F20204">
            <v>0</v>
          </cell>
          <cell r="DN20204">
            <v>0</v>
          </cell>
        </row>
        <row r="20205">
          <cell r="E20205">
            <v>0</v>
          </cell>
          <cell r="F20205">
            <v>0</v>
          </cell>
          <cell r="DN20205">
            <v>0</v>
          </cell>
        </row>
        <row r="20206">
          <cell r="E20206">
            <v>0</v>
          </cell>
          <cell r="F20206">
            <v>0</v>
          </cell>
          <cell r="DN20206">
            <v>0</v>
          </cell>
        </row>
        <row r="20207">
          <cell r="E20207">
            <v>0</v>
          </cell>
          <cell r="F20207">
            <v>0</v>
          </cell>
          <cell r="DN20207">
            <v>0</v>
          </cell>
        </row>
        <row r="20208">
          <cell r="E20208">
            <v>0</v>
          </cell>
          <cell r="F20208">
            <v>0</v>
          </cell>
          <cell r="DN20208">
            <v>0</v>
          </cell>
        </row>
        <row r="20209">
          <cell r="E20209">
            <v>0</v>
          </cell>
          <cell r="F20209">
            <v>0</v>
          </cell>
          <cell r="DN20209">
            <v>0</v>
          </cell>
        </row>
        <row r="20210">
          <cell r="E20210">
            <v>0</v>
          </cell>
          <cell r="F20210">
            <v>0</v>
          </cell>
          <cell r="DN20210">
            <v>0</v>
          </cell>
        </row>
        <row r="20211">
          <cell r="E20211">
            <v>0</v>
          </cell>
          <cell r="F20211">
            <v>0</v>
          </cell>
          <cell r="DN20211">
            <v>0</v>
          </cell>
        </row>
        <row r="20212">
          <cell r="E20212">
            <v>0</v>
          </cell>
          <cell r="F20212">
            <v>0</v>
          </cell>
          <cell r="DN20212">
            <v>0</v>
          </cell>
        </row>
        <row r="20213">
          <cell r="E20213">
            <v>0</v>
          </cell>
          <cell r="F20213">
            <v>0</v>
          </cell>
          <cell r="DN20213">
            <v>0</v>
          </cell>
        </row>
        <row r="20214">
          <cell r="E20214">
            <v>0</v>
          </cell>
          <cell r="F20214">
            <v>0</v>
          </cell>
          <cell r="DN20214">
            <v>0</v>
          </cell>
        </row>
        <row r="20215">
          <cell r="E20215">
            <v>0</v>
          </cell>
          <cell r="F20215">
            <v>0</v>
          </cell>
          <cell r="DN20215">
            <v>0</v>
          </cell>
        </row>
        <row r="20216">
          <cell r="E20216">
            <v>0</v>
          </cell>
          <cell r="F20216">
            <v>0</v>
          </cell>
          <cell r="DN20216">
            <v>0</v>
          </cell>
        </row>
        <row r="20217">
          <cell r="E20217">
            <v>0</v>
          </cell>
          <cell r="F20217">
            <v>0</v>
          </cell>
          <cell r="DN20217">
            <v>0</v>
          </cell>
        </row>
        <row r="20218">
          <cell r="E20218">
            <v>0</v>
          </cell>
          <cell r="F20218">
            <v>0</v>
          </cell>
          <cell r="DN20218">
            <v>0</v>
          </cell>
        </row>
        <row r="20219">
          <cell r="E20219">
            <v>0</v>
          </cell>
          <cell r="F20219">
            <v>0</v>
          </cell>
          <cell r="DN20219">
            <v>0</v>
          </cell>
        </row>
        <row r="20220">
          <cell r="E20220">
            <v>0</v>
          </cell>
          <cell r="F20220">
            <v>0</v>
          </cell>
          <cell r="DN20220">
            <v>0</v>
          </cell>
        </row>
        <row r="20221">
          <cell r="E20221">
            <v>0</v>
          </cell>
          <cell r="F20221">
            <v>0</v>
          </cell>
          <cell r="DN20221">
            <v>0</v>
          </cell>
        </row>
        <row r="20222">
          <cell r="E20222">
            <v>0</v>
          </cell>
          <cell r="F20222">
            <v>0</v>
          </cell>
          <cell r="DN20222">
            <v>0</v>
          </cell>
        </row>
        <row r="20223">
          <cell r="E20223">
            <v>0</v>
          </cell>
          <cell r="F20223">
            <v>0</v>
          </cell>
          <cell r="DN20223">
            <v>0</v>
          </cell>
        </row>
        <row r="20224">
          <cell r="E20224">
            <v>0</v>
          </cell>
          <cell r="F20224">
            <v>0</v>
          </cell>
          <cell r="DN20224">
            <v>0</v>
          </cell>
        </row>
        <row r="20225">
          <cell r="E20225">
            <v>0</v>
          </cell>
          <cell r="F20225">
            <v>0</v>
          </cell>
          <cell r="DN20225">
            <v>0</v>
          </cell>
        </row>
        <row r="20226">
          <cell r="E20226">
            <v>0</v>
          </cell>
          <cell r="F20226">
            <v>0</v>
          </cell>
          <cell r="DN20226">
            <v>0</v>
          </cell>
        </row>
        <row r="20227">
          <cell r="E20227">
            <v>0</v>
          </cell>
          <cell r="F20227">
            <v>0</v>
          </cell>
          <cell r="DN20227">
            <v>0</v>
          </cell>
        </row>
        <row r="20228">
          <cell r="E20228">
            <v>0</v>
          </cell>
          <cell r="F20228">
            <v>0</v>
          </cell>
          <cell r="DN20228">
            <v>0</v>
          </cell>
        </row>
        <row r="20229">
          <cell r="E20229">
            <v>0</v>
          </cell>
          <cell r="F20229">
            <v>0</v>
          </cell>
          <cell r="DN20229">
            <v>0</v>
          </cell>
        </row>
        <row r="20230">
          <cell r="E20230">
            <v>0</v>
          </cell>
          <cell r="F20230">
            <v>0</v>
          </cell>
          <cell r="DN20230">
            <v>0</v>
          </cell>
        </row>
        <row r="20231">
          <cell r="E20231">
            <v>0</v>
          </cell>
          <cell r="F20231">
            <v>0</v>
          </cell>
          <cell r="DN20231">
            <v>0</v>
          </cell>
        </row>
        <row r="20232">
          <cell r="E20232">
            <v>0</v>
          </cell>
          <cell r="F20232">
            <v>0</v>
          </cell>
          <cell r="DN20232">
            <v>0</v>
          </cell>
        </row>
        <row r="20233">
          <cell r="E20233">
            <v>0</v>
          </cell>
          <cell r="F20233">
            <v>0</v>
          </cell>
          <cell r="DN20233">
            <v>0</v>
          </cell>
        </row>
        <row r="20234">
          <cell r="E20234">
            <v>0</v>
          </cell>
          <cell r="F20234">
            <v>0</v>
          </cell>
          <cell r="DN20234">
            <v>0</v>
          </cell>
        </row>
        <row r="20235">
          <cell r="E20235">
            <v>0</v>
          </cell>
          <cell r="F20235">
            <v>0</v>
          </cell>
          <cell r="DN20235">
            <v>0</v>
          </cell>
        </row>
        <row r="20236">
          <cell r="E20236">
            <v>0</v>
          </cell>
          <cell r="F20236">
            <v>0</v>
          </cell>
          <cell r="DN20236">
            <v>0</v>
          </cell>
        </row>
        <row r="20237">
          <cell r="E20237">
            <v>0</v>
          </cell>
          <cell r="F20237">
            <v>0</v>
          </cell>
          <cell r="DN20237">
            <v>0</v>
          </cell>
        </row>
        <row r="20238">
          <cell r="E20238">
            <v>0</v>
          </cell>
          <cell r="F20238">
            <v>0</v>
          </cell>
          <cell r="DN20238">
            <v>0</v>
          </cell>
        </row>
        <row r="20239">
          <cell r="E20239">
            <v>0</v>
          </cell>
          <cell r="F20239">
            <v>0</v>
          </cell>
          <cell r="DN20239">
            <v>0</v>
          </cell>
        </row>
        <row r="20240">
          <cell r="E20240">
            <v>0</v>
          </cell>
          <cell r="F20240">
            <v>0</v>
          </cell>
          <cell r="DN20240">
            <v>0</v>
          </cell>
        </row>
        <row r="20241">
          <cell r="E20241">
            <v>0</v>
          </cell>
          <cell r="F20241">
            <v>0</v>
          </cell>
          <cell r="DN20241">
            <v>0</v>
          </cell>
        </row>
        <row r="20242">
          <cell r="E20242">
            <v>0</v>
          </cell>
          <cell r="F20242">
            <v>0</v>
          </cell>
          <cell r="DN20242">
            <v>0</v>
          </cell>
        </row>
        <row r="20243">
          <cell r="E20243">
            <v>0</v>
          </cell>
          <cell r="F20243">
            <v>0</v>
          </cell>
          <cell r="DN20243">
            <v>0</v>
          </cell>
        </row>
        <row r="20244">
          <cell r="E20244">
            <v>0</v>
          </cell>
          <cell r="F20244">
            <v>0</v>
          </cell>
          <cell r="DN20244">
            <v>0</v>
          </cell>
        </row>
        <row r="20245">
          <cell r="E20245">
            <v>0</v>
          </cell>
          <cell r="F20245">
            <v>0</v>
          </cell>
          <cell r="DN20245">
            <v>0</v>
          </cell>
        </row>
        <row r="20246">
          <cell r="E20246">
            <v>0</v>
          </cell>
          <cell r="F20246">
            <v>0</v>
          </cell>
          <cell r="DN20246">
            <v>0</v>
          </cell>
        </row>
        <row r="20247">
          <cell r="E20247">
            <v>0</v>
          </cell>
          <cell r="F20247">
            <v>0</v>
          </cell>
          <cell r="DN20247">
            <v>0</v>
          </cell>
        </row>
        <row r="20248">
          <cell r="E20248">
            <v>0</v>
          </cell>
          <cell r="F20248">
            <v>0</v>
          </cell>
          <cell r="DN20248">
            <v>0</v>
          </cell>
        </row>
        <row r="20249">
          <cell r="E20249">
            <v>0</v>
          </cell>
          <cell r="F20249">
            <v>0</v>
          </cell>
          <cell r="DN20249">
            <v>0</v>
          </cell>
        </row>
        <row r="20250">
          <cell r="E20250">
            <v>0</v>
          </cell>
          <cell r="F20250">
            <v>0</v>
          </cell>
          <cell r="DN20250">
            <v>0</v>
          </cell>
        </row>
        <row r="20251">
          <cell r="E20251">
            <v>0</v>
          </cell>
          <cell r="F20251">
            <v>0</v>
          </cell>
          <cell r="DN20251">
            <v>0</v>
          </cell>
        </row>
        <row r="20252">
          <cell r="E20252">
            <v>0</v>
          </cell>
          <cell r="F20252">
            <v>0</v>
          </cell>
          <cell r="DN20252">
            <v>0</v>
          </cell>
        </row>
        <row r="20253">
          <cell r="E20253">
            <v>0</v>
          </cell>
          <cell r="F20253">
            <v>0</v>
          </cell>
          <cell r="DN20253">
            <v>0</v>
          </cell>
        </row>
        <row r="20254">
          <cell r="E20254">
            <v>0</v>
          </cell>
          <cell r="F20254">
            <v>0</v>
          </cell>
          <cell r="DN20254">
            <v>0</v>
          </cell>
        </row>
        <row r="20255">
          <cell r="E20255">
            <v>0</v>
          </cell>
          <cell r="F20255">
            <v>0</v>
          </cell>
          <cell r="DN20255">
            <v>0</v>
          </cell>
        </row>
        <row r="20256">
          <cell r="E20256">
            <v>0</v>
          </cell>
          <cell r="F20256">
            <v>0</v>
          </cell>
          <cell r="DN20256">
            <v>0</v>
          </cell>
        </row>
        <row r="20257">
          <cell r="E20257">
            <v>0</v>
          </cell>
          <cell r="F20257">
            <v>0</v>
          </cell>
          <cell r="DN20257">
            <v>0</v>
          </cell>
        </row>
        <row r="20258">
          <cell r="E20258">
            <v>0</v>
          </cell>
          <cell r="F20258">
            <v>0</v>
          </cell>
          <cell r="DN20258">
            <v>0</v>
          </cell>
        </row>
        <row r="20259">
          <cell r="E20259">
            <v>0</v>
          </cell>
          <cell r="F20259">
            <v>0</v>
          </cell>
          <cell r="DN20259">
            <v>0</v>
          </cell>
        </row>
        <row r="20260">
          <cell r="E20260">
            <v>0</v>
          </cell>
          <cell r="F20260">
            <v>0</v>
          </cell>
          <cell r="DN20260">
            <v>0</v>
          </cell>
        </row>
        <row r="20261">
          <cell r="E20261">
            <v>0</v>
          </cell>
          <cell r="F20261">
            <v>0</v>
          </cell>
          <cell r="DN20261">
            <v>0</v>
          </cell>
        </row>
        <row r="20262">
          <cell r="E20262">
            <v>0</v>
          </cell>
          <cell r="F20262">
            <v>0</v>
          </cell>
          <cell r="DN20262">
            <v>0</v>
          </cell>
        </row>
        <row r="20263">
          <cell r="E20263">
            <v>0</v>
          </cell>
          <cell r="F20263">
            <v>0</v>
          </cell>
          <cell r="DN20263">
            <v>0</v>
          </cell>
        </row>
        <row r="20264">
          <cell r="E20264">
            <v>0</v>
          </cell>
          <cell r="F20264">
            <v>0</v>
          </cell>
          <cell r="DN20264">
            <v>0</v>
          </cell>
        </row>
        <row r="20265">
          <cell r="E20265">
            <v>0</v>
          </cell>
          <cell r="F20265">
            <v>0</v>
          </cell>
          <cell r="DN20265">
            <v>0</v>
          </cell>
        </row>
        <row r="20266">
          <cell r="E20266">
            <v>0</v>
          </cell>
          <cell r="F20266">
            <v>0</v>
          </cell>
          <cell r="DN20266">
            <v>0</v>
          </cell>
        </row>
        <row r="20267">
          <cell r="E20267">
            <v>0</v>
          </cell>
          <cell r="F20267">
            <v>0</v>
          </cell>
          <cell r="DN20267">
            <v>0</v>
          </cell>
        </row>
        <row r="20268">
          <cell r="E20268">
            <v>0</v>
          </cell>
          <cell r="F20268">
            <v>0</v>
          </cell>
          <cell r="DN20268">
            <v>0</v>
          </cell>
        </row>
        <row r="20269">
          <cell r="E20269">
            <v>0</v>
          </cell>
          <cell r="F20269">
            <v>0</v>
          </cell>
          <cell r="DN20269">
            <v>0</v>
          </cell>
        </row>
        <row r="20270">
          <cell r="E20270">
            <v>0</v>
          </cell>
          <cell r="F20270">
            <v>0</v>
          </cell>
          <cell r="DN20270">
            <v>0</v>
          </cell>
        </row>
        <row r="20271">
          <cell r="E20271">
            <v>0</v>
          </cell>
          <cell r="F20271">
            <v>0</v>
          </cell>
          <cell r="DN20271">
            <v>0</v>
          </cell>
        </row>
        <row r="20272">
          <cell r="E20272">
            <v>0</v>
          </cell>
          <cell r="F20272">
            <v>0</v>
          </cell>
          <cell r="DN20272">
            <v>0</v>
          </cell>
        </row>
        <row r="20273">
          <cell r="E20273">
            <v>0</v>
          </cell>
          <cell r="F20273">
            <v>0</v>
          </cell>
          <cell r="DN20273">
            <v>0</v>
          </cell>
        </row>
        <row r="20274">
          <cell r="E20274">
            <v>0</v>
          </cell>
          <cell r="F20274">
            <v>0</v>
          </cell>
          <cell r="DN20274">
            <v>0</v>
          </cell>
        </row>
        <row r="20275">
          <cell r="E20275">
            <v>0</v>
          </cell>
          <cell r="F20275">
            <v>0</v>
          </cell>
          <cell r="DN20275">
            <v>0</v>
          </cell>
        </row>
        <row r="20276">
          <cell r="E20276">
            <v>0</v>
          </cell>
          <cell r="F20276">
            <v>0</v>
          </cell>
          <cell r="DN20276">
            <v>0</v>
          </cell>
        </row>
        <row r="20277">
          <cell r="E20277">
            <v>0</v>
          </cell>
          <cell r="F20277">
            <v>0</v>
          </cell>
          <cell r="DN20277">
            <v>0</v>
          </cell>
        </row>
        <row r="20278">
          <cell r="E20278">
            <v>0</v>
          </cell>
          <cell r="F20278">
            <v>0</v>
          </cell>
          <cell r="DN20278">
            <v>0</v>
          </cell>
        </row>
        <row r="20279">
          <cell r="E20279">
            <v>0</v>
          </cell>
          <cell r="F20279">
            <v>0</v>
          </cell>
          <cell r="DN20279">
            <v>0</v>
          </cell>
        </row>
        <row r="20280">
          <cell r="E20280">
            <v>0</v>
          </cell>
          <cell r="F20280">
            <v>0</v>
          </cell>
          <cell r="DN20280">
            <v>0</v>
          </cell>
        </row>
        <row r="20281">
          <cell r="E20281">
            <v>0</v>
          </cell>
          <cell r="F20281">
            <v>0</v>
          </cell>
          <cell r="DN20281">
            <v>0</v>
          </cell>
        </row>
        <row r="20282">
          <cell r="E20282">
            <v>0</v>
          </cell>
          <cell r="F20282">
            <v>0</v>
          </cell>
          <cell r="DN20282">
            <v>0</v>
          </cell>
        </row>
        <row r="20283">
          <cell r="E20283">
            <v>0</v>
          </cell>
          <cell r="F20283">
            <v>0</v>
          </cell>
          <cell r="DN20283">
            <v>0</v>
          </cell>
        </row>
        <row r="20284">
          <cell r="E20284">
            <v>0</v>
          </cell>
          <cell r="F20284">
            <v>0</v>
          </cell>
          <cell r="DN20284">
            <v>0</v>
          </cell>
        </row>
        <row r="20285">
          <cell r="E20285">
            <v>0</v>
          </cell>
          <cell r="F20285">
            <v>0</v>
          </cell>
          <cell r="DN20285">
            <v>0</v>
          </cell>
        </row>
        <row r="20286">
          <cell r="E20286">
            <v>0</v>
          </cell>
          <cell r="F20286">
            <v>0</v>
          </cell>
          <cell r="DN20286">
            <v>0</v>
          </cell>
        </row>
        <row r="20287">
          <cell r="E20287">
            <v>0</v>
          </cell>
          <cell r="F20287">
            <v>0</v>
          </cell>
          <cell r="DN20287">
            <v>0</v>
          </cell>
        </row>
        <row r="20288">
          <cell r="E20288">
            <v>0</v>
          </cell>
          <cell r="F20288">
            <v>0</v>
          </cell>
          <cell r="DN20288">
            <v>0</v>
          </cell>
        </row>
        <row r="20289">
          <cell r="E20289">
            <v>0</v>
          </cell>
          <cell r="F20289">
            <v>0</v>
          </cell>
          <cell r="DN20289">
            <v>0</v>
          </cell>
        </row>
        <row r="20290">
          <cell r="E20290">
            <v>0</v>
          </cell>
          <cell r="F20290">
            <v>0</v>
          </cell>
          <cell r="DN20290">
            <v>0</v>
          </cell>
        </row>
        <row r="20291">
          <cell r="E20291">
            <v>0</v>
          </cell>
          <cell r="F20291">
            <v>0</v>
          </cell>
          <cell r="DN20291">
            <v>0</v>
          </cell>
        </row>
        <row r="20292">
          <cell r="E20292">
            <v>0</v>
          </cell>
          <cell r="F20292">
            <v>0</v>
          </cell>
          <cell r="DN20292">
            <v>0</v>
          </cell>
        </row>
        <row r="20293">
          <cell r="E20293">
            <v>0</v>
          </cell>
          <cell r="F20293">
            <v>0</v>
          </cell>
          <cell r="DN20293">
            <v>0</v>
          </cell>
        </row>
        <row r="20294">
          <cell r="E20294">
            <v>0</v>
          </cell>
          <cell r="F20294">
            <v>0</v>
          </cell>
          <cell r="DN20294">
            <v>0</v>
          </cell>
        </row>
        <row r="20295">
          <cell r="E20295">
            <v>0</v>
          </cell>
          <cell r="F20295">
            <v>0</v>
          </cell>
          <cell r="DN20295">
            <v>0</v>
          </cell>
        </row>
        <row r="20296">
          <cell r="E20296">
            <v>0</v>
          </cell>
          <cell r="F20296">
            <v>0</v>
          </cell>
          <cell r="DN20296">
            <v>0</v>
          </cell>
        </row>
        <row r="20297">
          <cell r="E20297">
            <v>0</v>
          </cell>
          <cell r="F20297">
            <v>0</v>
          </cell>
          <cell r="DN20297">
            <v>0</v>
          </cell>
        </row>
        <row r="20298">
          <cell r="E20298">
            <v>0</v>
          </cell>
          <cell r="F20298">
            <v>0</v>
          </cell>
          <cell r="DN20298">
            <v>0</v>
          </cell>
        </row>
        <row r="20299">
          <cell r="E20299">
            <v>0</v>
          </cell>
          <cell r="F20299">
            <v>0</v>
          </cell>
          <cell r="DN20299">
            <v>0</v>
          </cell>
        </row>
        <row r="20300">
          <cell r="E20300">
            <v>0</v>
          </cell>
          <cell r="F20300">
            <v>0</v>
          </cell>
          <cell r="DN20300">
            <v>0</v>
          </cell>
        </row>
        <row r="20301">
          <cell r="E20301">
            <v>0</v>
          </cell>
          <cell r="F20301">
            <v>0</v>
          </cell>
          <cell r="DN20301">
            <v>0</v>
          </cell>
        </row>
        <row r="20302">
          <cell r="E20302">
            <v>0</v>
          </cell>
          <cell r="F20302">
            <v>0</v>
          </cell>
          <cell r="DN20302">
            <v>0</v>
          </cell>
        </row>
        <row r="20303">
          <cell r="E20303">
            <v>0</v>
          </cell>
          <cell r="F20303">
            <v>0</v>
          </cell>
          <cell r="DN20303">
            <v>0</v>
          </cell>
        </row>
        <row r="20304">
          <cell r="E20304">
            <v>0</v>
          </cell>
          <cell r="F20304">
            <v>0</v>
          </cell>
          <cell r="DN20304">
            <v>0</v>
          </cell>
        </row>
        <row r="20305">
          <cell r="E20305">
            <v>0</v>
          </cell>
          <cell r="F20305">
            <v>0</v>
          </cell>
          <cell r="DN20305">
            <v>0</v>
          </cell>
        </row>
        <row r="20306">
          <cell r="E20306">
            <v>0</v>
          </cell>
          <cell r="F20306">
            <v>0</v>
          </cell>
          <cell r="DN20306">
            <v>0</v>
          </cell>
        </row>
        <row r="20307">
          <cell r="E20307">
            <v>0</v>
          </cell>
          <cell r="F20307">
            <v>0</v>
          </cell>
          <cell r="DN20307">
            <v>0</v>
          </cell>
        </row>
        <row r="20308">
          <cell r="E20308">
            <v>0</v>
          </cell>
          <cell r="F20308">
            <v>0</v>
          </cell>
          <cell r="DN20308">
            <v>0</v>
          </cell>
        </row>
        <row r="20309">
          <cell r="E20309">
            <v>0</v>
          </cell>
          <cell r="F20309">
            <v>0</v>
          </cell>
          <cell r="DN20309">
            <v>0</v>
          </cell>
        </row>
        <row r="20310">
          <cell r="E20310">
            <v>0</v>
          </cell>
          <cell r="F20310">
            <v>0</v>
          </cell>
          <cell r="DN20310">
            <v>0</v>
          </cell>
        </row>
        <row r="20311">
          <cell r="E20311">
            <v>0</v>
          </cell>
          <cell r="F20311">
            <v>0</v>
          </cell>
          <cell r="DN20311">
            <v>0</v>
          </cell>
        </row>
        <row r="20312">
          <cell r="E20312">
            <v>0</v>
          </cell>
          <cell r="F20312">
            <v>0</v>
          </cell>
          <cell r="DN20312">
            <v>0</v>
          </cell>
        </row>
        <row r="20313">
          <cell r="E20313">
            <v>0</v>
          </cell>
          <cell r="F20313">
            <v>0</v>
          </cell>
          <cell r="DN20313">
            <v>0</v>
          </cell>
        </row>
        <row r="20314">
          <cell r="E20314">
            <v>0</v>
          </cell>
          <cell r="F20314">
            <v>0</v>
          </cell>
          <cell r="DN20314">
            <v>0</v>
          </cell>
        </row>
        <row r="20315">
          <cell r="E20315">
            <v>0</v>
          </cell>
          <cell r="F20315">
            <v>0</v>
          </cell>
          <cell r="DN20315">
            <v>0</v>
          </cell>
        </row>
        <row r="20316">
          <cell r="E20316">
            <v>0</v>
          </cell>
          <cell r="F20316">
            <v>0</v>
          </cell>
          <cell r="DN20316">
            <v>0</v>
          </cell>
        </row>
        <row r="20317">
          <cell r="E20317">
            <v>0</v>
          </cell>
          <cell r="F20317">
            <v>0</v>
          </cell>
          <cell r="DN20317">
            <v>0</v>
          </cell>
        </row>
        <row r="20318">
          <cell r="E20318">
            <v>0</v>
          </cell>
          <cell r="F20318">
            <v>0</v>
          </cell>
          <cell r="DN20318">
            <v>0</v>
          </cell>
        </row>
        <row r="20319">
          <cell r="E20319">
            <v>0</v>
          </cell>
          <cell r="F20319">
            <v>0</v>
          </cell>
          <cell r="DN20319">
            <v>0</v>
          </cell>
        </row>
        <row r="20320">
          <cell r="E20320">
            <v>0</v>
          </cell>
          <cell r="F20320">
            <v>0</v>
          </cell>
          <cell r="DN20320">
            <v>0</v>
          </cell>
        </row>
        <row r="20321">
          <cell r="E20321">
            <v>0</v>
          </cell>
          <cell r="F20321">
            <v>0</v>
          </cell>
          <cell r="DN20321">
            <v>0</v>
          </cell>
        </row>
        <row r="20322">
          <cell r="E20322">
            <v>0</v>
          </cell>
          <cell r="F20322">
            <v>0</v>
          </cell>
          <cell r="DN20322">
            <v>0</v>
          </cell>
        </row>
        <row r="20323">
          <cell r="E20323">
            <v>0</v>
          </cell>
          <cell r="F20323">
            <v>0</v>
          </cell>
          <cell r="DN20323">
            <v>0</v>
          </cell>
        </row>
        <row r="20324">
          <cell r="E20324">
            <v>0</v>
          </cell>
          <cell r="F20324">
            <v>0</v>
          </cell>
          <cell r="DN20324">
            <v>0</v>
          </cell>
        </row>
        <row r="20325">
          <cell r="E20325">
            <v>0</v>
          </cell>
          <cell r="F20325">
            <v>0</v>
          </cell>
          <cell r="DN20325">
            <v>0</v>
          </cell>
        </row>
        <row r="20326">
          <cell r="E20326">
            <v>0</v>
          </cell>
          <cell r="F20326">
            <v>0</v>
          </cell>
          <cell r="DN20326">
            <v>0</v>
          </cell>
        </row>
        <row r="20327">
          <cell r="E20327">
            <v>0</v>
          </cell>
          <cell r="F20327">
            <v>0</v>
          </cell>
          <cell r="DN20327">
            <v>0</v>
          </cell>
        </row>
        <row r="20328">
          <cell r="E20328">
            <v>0</v>
          </cell>
          <cell r="F20328">
            <v>0</v>
          </cell>
          <cell r="DN20328">
            <v>0</v>
          </cell>
        </row>
        <row r="20329">
          <cell r="E20329">
            <v>0</v>
          </cell>
          <cell r="F20329">
            <v>0</v>
          </cell>
          <cell r="DN20329">
            <v>0</v>
          </cell>
        </row>
        <row r="20330">
          <cell r="E20330">
            <v>0</v>
          </cell>
          <cell r="F20330">
            <v>0</v>
          </cell>
          <cell r="DN20330">
            <v>0</v>
          </cell>
        </row>
        <row r="20331">
          <cell r="E20331">
            <v>0</v>
          </cell>
          <cell r="F20331">
            <v>0</v>
          </cell>
          <cell r="DN20331">
            <v>0</v>
          </cell>
        </row>
        <row r="20332">
          <cell r="E20332">
            <v>0</v>
          </cell>
          <cell r="F20332">
            <v>0</v>
          </cell>
          <cell r="DN20332">
            <v>0</v>
          </cell>
        </row>
        <row r="20333">
          <cell r="E20333">
            <v>0</v>
          </cell>
          <cell r="F20333">
            <v>0</v>
          </cell>
          <cell r="DN20333">
            <v>0</v>
          </cell>
        </row>
        <row r="20334">
          <cell r="E20334">
            <v>0</v>
          </cell>
          <cell r="F20334">
            <v>0</v>
          </cell>
          <cell r="DN20334">
            <v>0</v>
          </cell>
        </row>
        <row r="20335">
          <cell r="E20335">
            <v>0</v>
          </cell>
          <cell r="F20335">
            <v>0</v>
          </cell>
          <cell r="DN20335">
            <v>0</v>
          </cell>
        </row>
        <row r="20336">
          <cell r="E20336">
            <v>0</v>
          </cell>
          <cell r="F20336">
            <v>0</v>
          </cell>
          <cell r="DN20336">
            <v>0</v>
          </cell>
        </row>
        <row r="20337">
          <cell r="E20337">
            <v>0</v>
          </cell>
          <cell r="F20337">
            <v>0</v>
          </cell>
          <cell r="DN20337">
            <v>0</v>
          </cell>
        </row>
        <row r="20338">
          <cell r="E20338">
            <v>0</v>
          </cell>
          <cell r="F20338">
            <v>0</v>
          </cell>
          <cell r="DN20338">
            <v>0</v>
          </cell>
        </row>
        <row r="20339">
          <cell r="E20339">
            <v>0</v>
          </cell>
          <cell r="F20339">
            <v>0</v>
          </cell>
          <cell r="DN20339">
            <v>0</v>
          </cell>
        </row>
        <row r="20340">
          <cell r="E20340">
            <v>0</v>
          </cell>
          <cell r="F20340">
            <v>0</v>
          </cell>
          <cell r="DN20340">
            <v>0</v>
          </cell>
        </row>
        <row r="20341">
          <cell r="E20341">
            <v>0</v>
          </cell>
          <cell r="F20341">
            <v>0</v>
          </cell>
          <cell r="DN20341">
            <v>0</v>
          </cell>
        </row>
        <row r="20342">
          <cell r="E20342">
            <v>0</v>
          </cell>
          <cell r="F20342">
            <v>0</v>
          </cell>
          <cell r="DN20342">
            <v>0</v>
          </cell>
        </row>
        <row r="20343">
          <cell r="E20343">
            <v>0</v>
          </cell>
          <cell r="F20343">
            <v>0</v>
          </cell>
          <cell r="DN20343">
            <v>0</v>
          </cell>
        </row>
        <row r="20344">
          <cell r="E20344">
            <v>0</v>
          </cell>
          <cell r="F20344">
            <v>0</v>
          </cell>
          <cell r="DN20344">
            <v>0</v>
          </cell>
        </row>
        <row r="20345">
          <cell r="E20345">
            <v>0</v>
          </cell>
          <cell r="F20345">
            <v>0</v>
          </cell>
          <cell r="DN20345">
            <v>0</v>
          </cell>
        </row>
        <row r="20346">
          <cell r="E20346">
            <v>0</v>
          </cell>
          <cell r="F20346">
            <v>0</v>
          </cell>
          <cell r="DN20346">
            <v>0</v>
          </cell>
        </row>
        <row r="20347">
          <cell r="E20347">
            <v>0</v>
          </cell>
          <cell r="F20347">
            <v>0</v>
          </cell>
          <cell r="DN20347">
            <v>0</v>
          </cell>
        </row>
        <row r="20348">
          <cell r="E20348">
            <v>0</v>
          </cell>
          <cell r="F20348">
            <v>0</v>
          </cell>
          <cell r="DN20348">
            <v>0</v>
          </cell>
        </row>
        <row r="20349">
          <cell r="E20349">
            <v>0</v>
          </cell>
          <cell r="F20349">
            <v>0</v>
          </cell>
          <cell r="DN20349">
            <v>0</v>
          </cell>
        </row>
        <row r="20350">
          <cell r="E20350">
            <v>0</v>
          </cell>
          <cell r="F20350">
            <v>0</v>
          </cell>
          <cell r="DN20350">
            <v>0</v>
          </cell>
        </row>
        <row r="20351">
          <cell r="E20351">
            <v>0</v>
          </cell>
          <cell r="F20351">
            <v>0</v>
          </cell>
          <cell r="DN20351">
            <v>0</v>
          </cell>
        </row>
        <row r="20352">
          <cell r="E20352">
            <v>0</v>
          </cell>
          <cell r="F20352">
            <v>0</v>
          </cell>
          <cell r="DN20352">
            <v>0</v>
          </cell>
        </row>
        <row r="20353">
          <cell r="E20353">
            <v>0</v>
          </cell>
          <cell r="F20353">
            <v>0</v>
          </cell>
          <cell r="DN20353">
            <v>0</v>
          </cell>
        </row>
        <row r="20354">
          <cell r="E20354">
            <v>0</v>
          </cell>
          <cell r="F20354">
            <v>0</v>
          </cell>
          <cell r="DN20354">
            <v>0</v>
          </cell>
        </row>
        <row r="20355">
          <cell r="E20355">
            <v>0</v>
          </cell>
          <cell r="F20355">
            <v>0</v>
          </cell>
          <cell r="DN20355">
            <v>0</v>
          </cell>
        </row>
        <row r="20356">
          <cell r="E20356">
            <v>0</v>
          </cell>
          <cell r="F20356">
            <v>0</v>
          </cell>
          <cell r="DN20356">
            <v>0</v>
          </cell>
        </row>
        <row r="20357">
          <cell r="E20357">
            <v>0</v>
          </cell>
          <cell r="F20357">
            <v>0</v>
          </cell>
          <cell r="DN20357">
            <v>0</v>
          </cell>
        </row>
        <row r="20358">
          <cell r="E20358">
            <v>0</v>
          </cell>
          <cell r="F20358">
            <v>0</v>
          </cell>
          <cell r="DN20358">
            <v>0</v>
          </cell>
        </row>
        <row r="20359">
          <cell r="E20359">
            <v>0</v>
          </cell>
          <cell r="F20359">
            <v>0</v>
          </cell>
          <cell r="DN20359">
            <v>0</v>
          </cell>
        </row>
        <row r="20360">
          <cell r="E20360">
            <v>0</v>
          </cell>
          <cell r="F20360">
            <v>0</v>
          </cell>
          <cell r="DN20360">
            <v>0</v>
          </cell>
        </row>
        <row r="20361">
          <cell r="E20361">
            <v>0</v>
          </cell>
          <cell r="F20361">
            <v>0</v>
          </cell>
          <cell r="DN20361">
            <v>0</v>
          </cell>
        </row>
        <row r="20362">
          <cell r="E20362">
            <v>0</v>
          </cell>
          <cell r="F20362">
            <v>0</v>
          </cell>
          <cell r="DN20362">
            <v>0</v>
          </cell>
        </row>
        <row r="20363">
          <cell r="E20363">
            <v>0</v>
          </cell>
          <cell r="F20363">
            <v>0</v>
          </cell>
          <cell r="DN20363">
            <v>0</v>
          </cell>
        </row>
        <row r="20364">
          <cell r="E20364">
            <v>0</v>
          </cell>
          <cell r="F20364">
            <v>0</v>
          </cell>
          <cell r="DN20364">
            <v>0</v>
          </cell>
        </row>
        <row r="20365">
          <cell r="E20365">
            <v>0</v>
          </cell>
          <cell r="F20365">
            <v>0</v>
          </cell>
          <cell r="DN20365">
            <v>0</v>
          </cell>
        </row>
        <row r="20366">
          <cell r="E20366">
            <v>0</v>
          </cell>
          <cell r="F20366">
            <v>0</v>
          </cell>
          <cell r="DN20366">
            <v>0</v>
          </cell>
        </row>
        <row r="20367">
          <cell r="E20367">
            <v>0</v>
          </cell>
          <cell r="F20367">
            <v>0</v>
          </cell>
          <cell r="DN20367">
            <v>0</v>
          </cell>
        </row>
        <row r="20368">
          <cell r="E20368">
            <v>0</v>
          </cell>
          <cell r="F20368">
            <v>0</v>
          </cell>
          <cell r="DN20368">
            <v>0</v>
          </cell>
        </row>
        <row r="20369">
          <cell r="E20369">
            <v>0</v>
          </cell>
          <cell r="F20369">
            <v>0</v>
          </cell>
          <cell r="DN20369">
            <v>0</v>
          </cell>
        </row>
        <row r="20370">
          <cell r="E20370">
            <v>0</v>
          </cell>
          <cell r="F20370">
            <v>0</v>
          </cell>
          <cell r="DN20370">
            <v>0</v>
          </cell>
        </row>
        <row r="20371">
          <cell r="E20371">
            <v>0</v>
          </cell>
          <cell r="F20371">
            <v>0</v>
          </cell>
          <cell r="DN20371">
            <v>0</v>
          </cell>
        </row>
        <row r="20372">
          <cell r="E20372">
            <v>0</v>
          </cell>
          <cell r="F20372">
            <v>0</v>
          </cell>
          <cell r="DN20372">
            <v>0</v>
          </cell>
        </row>
        <row r="20373">
          <cell r="E20373">
            <v>0</v>
          </cell>
          <cell r="F20373">
            <v>0</v>
          </cell>
          <cell r="DN20373">
            <v>0</v>
          </cell>
        </row>
        <row r="20374">
          <cell r="E20374">
            <v>0</v>
          </cell>
          <cell r="F20374">
            <v>0</v>
          </cell>
          <cell r="DN20374">
            <v>0</v>
          </cell>
        </row>
        <row r="20375">
          <cell r="E20375">
            <v>0</v>
          </cell>
          <cell r="F20375">
            <v>0</v>
          </cell>
          <cell r="DN20375">
            <v>0</v>
          </cell>
        </row>
        <row r="20376">
          <cell r="E20376">
            <v>0</v>
          </cell>
          <cell r="F20376">
            <v>0</v>
          </cell>
          <cell r="DN20376">
            <v>0</v>
          </cell>
        </row>
        <row r="20377">
          <cell r="E20377">
            <v>0</v>
          </cell>
          <cell r="F20377">
            <v>0</v>
          </cell>
          <cell r="DN20377">
            <v>0</v>
          </cell>
        </row>
        <row r="20378">
          <cell r="E20378">
            <v>0</v>
          </cell>
          <cell r="F20378">
            <v>0</v>
          </cell>
          <cell r="DN20378">
            <v>0</v>
          </cell>
        </row>
        <row r="20379">
          <cell r="E20379">
            <v>0</v>
          </cell>
          <cell r="F20379">
            <v>0</v>
          </cell>
          <cell r="DN20379">
            <v>0</v>
          </cell>
        </row>
        <row r="20380">
          <cell r="E20380">
            <v>0</v>
          </cell>
          <cell r="F20380">
            <v>0</v>
          </cell>
          <cell r="DN20380">
            <v>0</v>
          </cell>
        </row>
        <row r="20381">
          <cell r="E20381">
            <v>0</v>
          </cell>
          <cell r="F20381">
            <v>0</v>
          </cell>
          <cell r="DN20381">
            <v>0</v>
          </cell>
        </row>
        <row r="20382">
          <cell r="E20382">
            <v>0</v>
          </cell>
          <cell r="F20382">
            <v>0</v>
          </cell>
          <cell r="DN20382">
            <v>0</v>
          </cell>
        </row>
        <row r="20383">
          <cell r="E20383">
            <v>0</v>
          </cell>
          <cell r="F20383">
            <v>0</v>
          </cell>
          <cell r="DN20383">
            <v>0</v>
          </cell>
        </row>
        <row r="20384">
          <cell r="E20384">
            <v>0</v>
          </cell>
          <cell r="F20384">
            <v>0</v>
          </cell>
          <cell r="DN20384">
            <v>0</v>
          </cell>
        </row>
        <row r="20385">
          <cell r="E20385">
            <v>0</v>
          </cell>
          <cell r="F20385">
            <v>0</v>
          </cell>
          <cell r="DN20385">
            <v>0</v>
          </cell>
        </row>
        <row r="20386">
          <cell r="E20386">
            <v>0</v>
          </cell>
          <cell r="F20386">
            <v>0</v>
          </cell>
          <cell r="DN20386">
            <v>0</v>
          </cell>
        </row>
        <row r="20387">
          <cell r="E20387">
            <v>0</v>
          </cell>
          <cell r="F20387">
            <v>0</v>
          </cell>
          <cell r="DN20387">
            <v>0</v>
          </cell>
        </row>
        <row r="20388">
          <cell r="E20388">
            <v>0</v>
          </cell>
          <cell r="F20388">
            <v>0</v>
          </cell>
          <cell r="DN20388">
            <v>0</v>
          </cell>
        </row>
        <row r="20389">
          <cell r="E20389">
            <v>0</v>
          </cell>
          <cell r="F20389">
            <v>0</v>
          </cell>
          <cell r="DN20389">
            <v>0</v>
          </cell>
        </row>
        <row r="20390">
          <cell r="E20390">
            <v>0</v>
          </cell>
          <cell r="F20390">
            <v>0</v>
          </cell>
          <cell r="DN20390">
            <v>0</v>
          </cell>
        </row>
        <row r="20391">
          <cell r="E20391">
            <v>0</v>
          </cell>
          <cell r="F20391">
            <v>0</v>
          </cell>
          <cell r="DN20391">
            <v>0</v>
          </cell>
        </row>
        <row r="20392">
          <cell r="E20392">
            <v>0</v>
          </cell>
          <cell r="F20392">
            <v>0</v>
          </cell>
          <cell r="DN20392">
            <v>0</v>
          </cell>
        </row>
        <row r="20393">
          <cell r="E20393">
            <v>0</v>
          </cell>
          <cell r="F20393">
            <v>0</v>
          </cell>
          <cell r="DN20393">
            <v>0</v>
          </cell>
        </row>
        <row r="20394">
          <cell r="E20394">
            <v>0</v>
          </cell>
          <cell r="F20394">
            <v>0</v>
          </cell>
          <cell r="DN20394">
            <v>0</v>
          </cell>
        </row>
        <row r="20395">
          <cell r="E20395">
            <v>0</v>
          </cell>
          <cell r="F20395">
            <v>0</v>
          </cell>
          <cell r="DN20395">
            <v>0</v>
          </cell>
        </row>
        <row r="20396">
          <cell r="E20396">
            <v>0</v>
          </cell>
          <cell r="F20396">
            <v>0</v>
          </cell>
          <cell r="DN20396">
            <v>0</v>
          </cell>
        </row>
        <row r="20397">
          <cell r="E20397">
            <v>0</v>
          </cell>
          <cell r="F20397">
            <v>0</v>
          </cell>
          <cell r="DN20397">
            <v>0</v>
          </cell>
        </row>
        <row r="20398">
          <cell r="E20398">
            <v>0</v>
          </cell>
          <cell r="F20398">
            <v>0</v>
          </cell>
          <cell r="DN20398">
            <v>0</v>
          </cell>
        </row>
        <row r="20399">
          <cell r="E20399">
            <v>0</v>
          </cell>
          <cell r="F20399">
            <v>0</v>
          </cell>
          <cell r="DN20399">
            <v>0</v>
          </cell>
        </row>
        <row r="20400">
          <cell r="E20400">
            <v>0</v>
          </cell>
          <cell r="F20400">
            <v>0</v>
          </cell>
          <cell r="DN20400">
            <v>0</v>
          </cell>
        </row>
        <row r="20401">
          <cell r="E20401">
            <v>0</v>
          </cell>
          <cell r="F20401">
            <v>0</v>
          </cell>
          <cell r="DN20401">
            <v>0</v>
          </cell>
        </row>
        <row r="20402">
          <cell r="E20402">
            <v>0</v>
          </cell>
          <cell r="F20402">
            <v>0</v>
          </cell>
          <cell r="DN20402">
            <v>0</v>
          </cell>
        </row>
        <row r="20403">
          <cell r="E20403">
            <v>0</v>
          </cell>
          <cell r="F20403">
            <v>0</v>
          </cell>
          <cell r="DN20403">
            <v>0</v>
          </cell>
        </row>
        <row r="20404">
          <cell r="E20404">
            <v>0</v>
          </cell>
          <cell r="F20404">
            <v>0</v>
          </cell>
          <cell r="DN20404">
            <v>0</v>
          </cell>
        </row>
        <row r="20405">
          <cell r="E20405">
            <v>0</v>
          </cell>
          <cell r="F20405">
            <v>0</v>
          </cell>
          <cell r="DN20405">
            <v>0</v>
          </cell>
        </row>
        <row r="20406">
          <cell r="E20406">
            <v>0</v>
          </cell>
          <cell r="F20406">
            <v>0</v>
          </cell>
          <cell r="DN20406">
            <v>0</v>
          </cell>
        </row>
        <row r="20407">
          <cell r="E20407">
            <v>0</v>
          </cell>
          <cell r="F20407">
            <v>0</v>
          </cell>
          <cell r="DN20407">
            <v>0</v>
          </cell>
        </row>
        <row r="20408">
          <cell r="E20408">
            <v>0</v>
          </cell>
          <cell r="F20408">
            <v>0</v>
          </cell>
          <cell r="DN20408">
            <v>0</v>
          </cell>
        </row>
        <row r="20409">
          <cell r="E20409">
            <v>0</v>
          </cell>
          <cell r="F20409">
            <v>0</v>
          </cell>
          <cell r="DN20409">
            <v>0</v>
          </cell>
        </row>
        <row r="20410">
          <cell r="E20410">
            <v>0</v>
          </cell>
          <cell r="F20410">
            <v>0</v>
          </cell>
          <cell r="DN20410">
            <v>0</v>
          </cell>
        </row>
        <row r="20411">
          <cell r="E20411">
            <v>0</v>
          </cell>
          <cell r="F20411">
            <v>0</v>
          </cell>
          <cell r="DN20411">
            <v>0</v>
          </cell>
        </row>
        <row r="20412">
          <cell r="E20412">
            <v>0</v>
          </cell>
          <cell r="F20412">
            <v>0</v>
          </cell>
          <cell r="DN20412">
            <v>0</v>
          </cell>
        </row>
        <row r="20413">
          <cell r="E20413">
            <v>0</v>
          </cell>
          <cell r="F20413">
            <v>0</v>
          </cell>
          <cell r="DN20413">
            <v>0</v>
          </cell>
        </row>
        <row r="20414">
          <cell r="E20414">
            <v>0</v>
          </cell>
          <cell r="F20414">
            <v>0</v>
          </cell>
          <cell r="DN20414">
            <v>0</v>
          </cell>
        </row>
        <row r="20415">
          <cell r="E20415">
            <v>0</v>
          </cell>
          <cell r="F20415">
            <v>0</v>
          </cell>
          <cell r="DN20415">
            <v>0</v>
          </cell>
        </row>
        <row r="20416">
          <cell r="E20416">
            <v>0</v>
          </cell>
          <cell r="F20416">
            <v>0</v>
          </cell>
          <cell r="DN20416">
            <v>0</v>
          </cell>
        </row>
        <row r="20417">
          <cell r="E20417">
            <v>0</v>
          </cell>
          <cell r="F20417">
            <v>0</v>
          </cell>
          <cell r="DN20417">
            <v>0</v>
          </cell>
        </row>
        <row r="20418">
          <cell r="E20418">
            <v>0</v>
          </cell>
          <cell r="F20418">
            <v>0</v>
          </cell>
          <cell r="DN20418">
            <v>0</v>
          </cell>
        </row>
        <row r="20419">
          <cell r="E20419">
            <v>0</v>
          </cell>
          <cell r="F20419">
            <v>0</v>
          </cell>
          <cell r="DN20419">
            <v>0</v>
          </cell>
        </row>
        <row r="20420">
          <cell r="E20420">
            <v>0</v>
          </cell>
          <cell r="F20420">
            <v>0</v>
          </cell>
          <cell r="DN20420">
            <v>0</v>
          </cell>
        </row>
        <row r="20421">
          <cell r="E20421">
            <v>0</v>
          </cell>
          <cell r="F20421">
            <v>0</v>
          </cell>
          <cell r="DN20421">
            <v>0</v>
          </cell>
        </row>
        <row r="20422">
          <cell r="E20422">
            <v>0</v>
          </cell>
          <cell r="F20422">
            <v>0</v>
          </cell>
          <cell r="DN20422">
            <v>0</v>
          </cell>
        </row>
        <row r="20423">
          <cell r="E20423">
            <v>0</v>
          </cell>
          <cell r="F20423">
            <v>0</v>
          </cell>
          <cell r="DN20423">
            <v>0</v>
          </cell>
        </row>
        <row r="20424">
          <cell r="E20424">
            <v>0</v>
          </cell>
          <cell r="F20424">
            <v>0</v>
          </cell>
          <cell r="DN20424">
            <v>0</v>
          </cell>
        </row>
        <row r="20425">
          <cell r="E20425">
            <v>0</v>
          </cell>
          <cell r="F20425">
            <v>0</v>
          </cell>
          <cell r="DN20425">
            <v>0</v>
          </cell>
        </row>
        <row r="20426">
          <cell r="E20426">
            <v>0</v>
          </cell>
          <cell r="F20426">
            <v>0</v>
          </cell>
          <cell r="DN20426">
            <v>0</v>
          </cell>
        </row>
        <row r="20427">
          <cell r="E20427">
            <v>0</v>
          </cell>
          <cell r="F20427">
            <v>0</v>
          </cell>
          <cell r="DN20427">
            <v>0</v>
          </cell>
        </row>
        <row r="20428">
          <cell r="E20428">
            <v>0</v>
          </cell>
          <cell r="F20428">
            <v>0</v>
          </cell>
          <cell r="DN20428">
            <v>0</v>
          </cell>
        </row>
        <row r="20429">
          <cell r="E20429">
            <v>0</v>
          </cell>
          <cell r="F20429">
            <v>0</v>
          </cell>
          <cell r="DN20429">
            <v>0</v>
          </cell>
        </row>
        <row r="20430">
          <cell r="E20430">
            <v>0</v>
          </cell>
          <cell r="F20430">
            <v>0</v>
          </cell>
          <cell r="DN20430">
            <v>0</v>
          </cell>
        </row>
        <row r="20431">
          <cell r="E20431">
            <v>0</v>
          </cell>
          <cell r="F20431">
            <v>0</v>
          </cell>
          <cell r="DN20431">
            <v>0</v>
          </cell>
        </row>
        <row r="20432">
          <cell r="E20432">
            <v>0</v>
          </cell>
          <cell r="F20432">
            <v>0</v>
          </cell>
          <cell r="DN20432">
            <v>0</v>
          </cell>
        </row>
        <row r="20433">
          <cell r="E20433">
            <v>0</v>
          </cell>
          <cell r="F20433">
            <v>0</v>
          </cell>
          <cell r="DN20433">
            <v>0</v>
          </cell>
        </row>
        <row r="20434">
          <cell r="E20434">
            <v>0</v>
          </cell>
          <cell r="F20434">
            <v>0</v>
          </cell>
          <cell r="DN20434">
            <v>0</v>
          </cell>
        </row>
        <row r="20435">
          <cell r="E20435">
            <v>0</v>
          </cell>
          <cell r="F20435">
            <v>0</v>
          </cell>
          <cell r="DN20435">
            <v>0</v>
          </cell>
        </row>
        <row r="20436">
          <cell r="E20436">
            <v>0</v>
          </cell>
          <cell r="F20436">
            <v>0</v>
          </cell>
          <cell r="DN20436">
            <v>0</v>
          </cell>
        </row>
        <row r="20437">
          <cell r="E20437">
            <v>0</v>
          </cell>
          <cell r="F20437">
            <v>0</v>
          </cell>
          <cell r="DN20437">
            <v>0</v>
          </cell>
        </row>
        <row r="20438">
          <cell r="E20438">
            <v>0</v>
          </cell>
          <cell r="F20438">
            <v>0</v>
          </cell>
          <cell r="DN20438">
            <v>0</v>
          </cell>
        </row>
        <row r="20439">
          <cell r="E20439">
            <v>0</v>
          </cell>
          <cell r="F20439">
            <v>0</v>
          </cell>
          <cell r="DN20439">
            <v>0</v>
          </cell>
        </row>
        <row r="20440">
          <cell r="E20440">
            <v>0</v>
          </cell>
          <cell r="F20440">
            <v>0</v>
          </cell>
          <cell r="DN20440">
            <v>0</v>
          </cell>
        </row>
        <row r="20441">
          <cell r="E20441">
            <v>0</v>
          </cell>
          <cell r="F20441">
            <v>0</v>
          </cell>
          <cell r="DN20441">
            <v>0</v>
          </cell>
        </row>
        <row r="20442">
          <cell r="E20442">
            <v>0</v>
          </cell>
          <cell r="F20442">
            <v>0</v>
          </cell>
          <cell r="DN20442">
            <v>0</v>
          </cell>
        </row>
        <row r="20443">
          <cell r="E20443">
            <v>0</v>
          </cell>
          <cell r="F20443">
            <v>0</v>
          </cell>
          <cell r="DN20443">
            <v>0</v>
          </cell>
        </row>
        <row r="20444">
          <cell r="E20444">
            <v>0</v>
          </cell>
          <cell r="F20444">
            <v>0</v>
          </cell>
          <cell r="DN20444">
            <v>0</v>
          </cell>
        </row>
        <row r="20445">
          <cell r="E20445">
            <v>0</v>
          </cell>
          <cell r="F20445">
            <v>0</v>
          </cell>
          <cell r="DN20445">
            <v>0</v>
          </cell>
        </row>
        <row r="20446">
          <cell r="E20446">
            <v>0</v>
          </cell>
          <cell r="F20446">
            <v>0</v>
          </cell>
          <cell r="DN20446">
            <v>0</v>
          </cell>
        </row>
        <row r="20447">
          <cell r="E20447">
            <v>0</v>
          </cell>
          <cell r="F20447">
            <v>0</v>
          </cell>
          <cell r="DN20447">
            <v>0</v>
          </cell>
        </row>
        <row r="20448">
          <cell r="E20448">
            <v>0</v>
          </cell>
          <cell r="F20448">
            <v>0</v>
          </cell>
          <cell r="DN20448">
            <v>0</v>
          </cell>
        </row>
        <row r="20449">
          <cell r="E20449">
            <v>0</v>
          </cell>
          <cell r="F20449">
            <v>0</v>
          </cell>
          <cell r="DN20449">
            <v>0</v>
          </cell>
        </row>
        <row r="20450">
          <cell r="E20450">
            <v>0</v>
          </cell>
          <cell r="F20450">
            <v>0</v>
          </cell>
          <cell r="DN20450">
            <v>0</v>
          </cell>
        </row>
        <row r="20451">
          <cell r="E20451">
            <v>0</v>
          </cell>
          <cell r="F20451">
            <v>0</v>
          </cell>
          <cell r="DN20451">
            <v>0</v>
          </cell>
        </row>
        <row r="20452">
          <cell r="E20452">
            <v>0</v>
          </cell>
          <cell r="F20452">
            <v>0</v>
          </cell>
          <cell r="DN20452">
            <v>0</v>
          </cell>
        </row>
        <row r="20453">
          <cell r="E20453">
            <v>0</v>
          </cell>
          <cell r="F20453">
            <v>0</v>
          </cell>
          <cell r="DN20453">
            <v>0</v>
          </cell>
        </row>
        <row r="20454">
          <cell r="E20454">
            <v>0</v>
          </cell>
          <cell r="F20454">
            <v>0</v>
          </cell>
          <cell r="DN20454">
            <v>0</v>
          </cell>
        </row>
        <row r="20455">
          <cell r="E20455">
            <v>0</v>
          </cell>
          <cell r="F20455">
            <v>0</v>
          </cell>
          <cell r="DN20455">
            <v>0</v>
          </cell>
        </row>
        <row r="20456">
          <cell r="E20456">
            <v>0</v>
          </cell>
          <cell r="F20456">
            <v>0</v>
          </cell>
          <cell r="DN20456">
            <v>0</v>
          </cell>
        </row>
        <row r="20457">
          <cell r="E20457">
            <v>0</v>
          </cell>
          <cell r="F20457">
            <v>0</v>
          </cell>
          <cell r="DN20457">
            <v>0</v>
          </cell>
        </row>
        <row r="20458">
          <cell r="E20458">
            <v>0</v>
          </cell>
          <cell r="F20458">
            <v>0</v>
          </cell>
          <cell r="DN20458">
            <v>0</v>
          </cell>
        </row>
        <row r="20459">
          <cell r="E20459">
            <v>0</v>
          </cell>
          <cell r="F20459">
            <v>0</v>
          </cell>
          <cell r="DN20459">
            <v>0</v>
          </cell>
        </row>
        <row r="20460">
          <cell r="E20460">
            <v>0</v>
          </cell>
          <cell r="F20460">
            <v>0</v>
          </cell>
          <cell r="DN20460">
            <v>0</v>
          </cell>
        </row>
        <row r="20461">
          <cell r="E20461">
            <v>0</v>
          </cell>
          <cell r="F20461">
            <v>0</v>
          </cell>
          <cell r="DN20461">
            <v>0</v>
          </cell>
        </row>
        <row r="20462">
          <cell r="E20462">
            <v>0</v>
          </cell>
          <cell r="F20462">
            <v>0</v>
          </cell>
          <cell r="DN20462">
            <v>0</v>
          </cell>
        </row>
        <row r="20463">
          <cell r="E20463">
            <v>0</v>
          </cell>
          <cell r="F20463">
            <v>0</v>
          </cell>
          <cell r="DN20463">
            <v>0</v>
          </cell>
        </row>
        <row r="20464">
          <cell r="E20464">
            <v>0</v>
          </cell>
          <cell r="F20464">
            <v>0</v>
          </cell>
          <cell r="DN20464">
            <v>0</v>
          </cell>
        </row>
        <row r="20465">
          <cell r="E20465">
            <v>0</v>
          </cell>
          <cell r="F20465">
            <v>0</v>
          </cell>
          <cell r="DN20465">
            <v>0</v>
          </cell>
        </row>
        <row r="20466">
          <cell r="E20466">
            <v>0</v>
          </cell>
          <cell r="F20466">
            <v>0</v>
          </cell>
          <cell r="DN20466">
            <v>0</v>
          </cell>
        </row>
        <row r="20467">
          <cell r="E20467">
            <v>0</v>
          </cell>
          <cell r="F20467">
            <v>0</v>
          </cell>
          <cell r="DN20467">
            <v>0</v>
          </cell>
        </row>
        <row r="20468">
          <cell r="E20468">
            <v>0</v>
          </cell>
          <cell r="F20468">
            <v>0</v>
          </cell>
          <cell r="DN20468">
            <v>0</v>
          </cell>
        </row>
        <row r="20469">
          <cell r="E20469">
            <v>0</v>
          </cell>
          <cell r="F20469">
            <v>0</v>
          </cell>
          <cell r="DN20469">
            <v>0</v>
          </cell>
        </row>
        <row r="20470">
          <cell r="E20470">
            <v>0</v>
          </cell>
          <cell r="F20470">
            <v>0</v>
          </cell>
          <cell r="DN20470">
            <v>0</v>
          </cell>
        </row>
        <row r="20471">
          <cell r="E20471">
            <v>0</v>
          </cell>
          <cell r="F20471">
            <v>0</v>
          </cell>
          <cell r="DN20471">
            <v>0</v>
          </cell>
        </row>
        <row r="20472">
          <cell r="E20472">
            <v>0</v>
          </cell>
          <cell r="F20472">
            <v>0</v>
          </cell>
          <cell r="DN20472">
            <v>0</v>
          </cell>
        </row>
        <row r="20473">
          <cell r="E20473">
            <v>0</v>
          </cell>
          <cell r="F20473">
            <v>0</v>
          </cell>
          <cell r="DN20473">
            <v>0</v>
          </cell>
        </row>
        <row r="20474">
          <cell r="E20474">
            <v>0</v>
          </cell>
          <cell r="F20474">
            <v>0</v>
          </cell>
          <cell r="DN20474">
            <v>0</v>
          </cell>
        </row>
        <row r="20475">
          <cell r="E20475">
            <v>0</v>
          </cell>
          <cell r="F20475">
            <v>0</v>
          </cell>
          <cell r="DN20475">
            <v>0</v>
          </cell>
        </row>
        <row r="20476">
          <cell r="E20476">
            <v>0</v>
          </cell>
          <cell r="F20476">
            <v>0</v>
          </cell>
          <cell r="DN20476">
            <v>0</v>
          </cell>
        </row>
        <row r="20477">
          <cell r="E20477">
            <v>0</v>
          </cell>
          <cell r="F20477">
            <v>0</v>
          </cell>
          <cell r="DN20477">
            <v>0</v>
          </cell>
        </row>
        <row r="20478">
          <cell r="E20478">
            <v>0</v>
          </cell>
          <cell r="F20478">
            <v>0</v>
          </cell>
          <cell r="DN20478">
            <v>0</v>
          </cell>
        </row>
        <row r="20479">
          <cell r="E20479">
            <v>0</v>
          </cell>
          <cell r="F20479">
            <v>0</v>
          </cell>
          <cell r="DN20479">
            <v>0</v>
          </cell>
        </row>
        <row r="20480">
          <cell r="E20480">
            <v>0</v>
          </cell>
          <cell r="F20480">
            <v>0</v>
          </cell>
          <cell r="DN20480">
            <v>0</v>
          </cell>
        </row>
        <row r="20481">
          <cell r="E20481">
            <v>0</v>
          </cell>
          <cell r="F20481">
            <v>0</v>
          </cell>
          <cell r="DN20481">
            <v>0</v>
          </cell>
        </row>
        <row r="20482">
          <cell r="E20482">
            <v>0</v>
          </cell>
          <cell r="F20482">
            <v>0</v>
          </cell>
          <cell r="DN20482">
            <v>0</v>
          </cell>
        </row>
        <row r="20483">
          <cell r="E20483">
            <v>0</v>
          </cell>
          <cell r="F20483">
            <v>0</v>
          </cell>
          <cell r="DN20483">
            <v>0</v>
          </cell>
        </row>
        <row r="20484">
          <cell r="E20484">
            <v>0</v>
          </cell>
          <cell r="F20484">
            <v>0</v>
          </cell>
          <cell r="DN20484">
            <v>0</v>
          </cell>
        </row>
        <row r="20485">
          <cell r="E20485">
            <v>0</v>
          </cell>
          <cell r="F20485">
            <v>0</v>
          </cell>
          <cell r="DN20485">
            <v>0</v>
          </cell>
        </row>
        <row r="20486">
          <cell r="E20486">
            <v>0</v>
          </cell>
          <cell r="F20486">
            <v>0</v>
          </cell>
          <cell r="DN20486">
            <v>0</v>
          </cell>
        </row>
        <row r="20487">
          <cell r="E20487">
            <v>0</v>
          </cell>
          <cell r="F20487">
            <v>0</v>
          </cell>
          <cell r="DN20487">
            <v>0</v>
          </cell>
        </row>
        <row r="20488">
          <cell r="E20488">
            <v>0</v>
          </cell>
          <cell r="F20488">
            <v>0</v>
          </cell>
          <cell r="DN20488">
            <v>0</v>
          </cell>
        </row>
        <row r="20489">
          <cell r="E20489">
            <v>0</v>
          </cell>
          <cell r="F20489">
            <v>0</v>
          </cell>
          <cell r="DN20489">
            <v>0</v>
          </cell>
        </row>
        <row r="20490">
          <cell r="E20490">
            <v>0</v>
          </cell>
          <cell r="F20490">
            <v>0</v>
          </cell>
          <cell r="DN20490">
            <v>0</v>
          </cell>
        </row>
        <row r="20491">
          <cell r="E20491">
            <v>0</v>
          </cell>
          <cell r="F20491">
            <v>0</v>
          </cell>
          <cell r="DN20491">
            <v>0</v>
          </cell>
        </row>
        <row r="20492">
          <cell r="E20492">
            <v>0</v>
          </cell>
          <cell r="F20492">
            <v>0</v>
          </cell>
          <cell r="DN20492">
            <v>0</v>
          </cell>
        </row>
        <row r="20493">
          <cell r="E20493">
            <v>0</v>
          </cell>
          <cell r="F20493">
            <v>0</v>
          </cell>
          <cell r="DN20493">
            <v>0</v>
          </cell>
        </row>
        <row r="20494">
          <cell r="E20494">
            <v>0</v>
          </cell>
          <cell r="F20494">
            <v>0</v>
          </cell>
          <cell r="DN20494">
            <v>0</v>
          </cell>
        </row>
        <row r="20495">
          <cell r="E20495">
            <v>0</v>
          </cell>
          <cell r="F20495">
            <v>0</v>
          </cell>
          <cell r="DN20495">
            <v>0</v>
          </cell>
        </row>
        <row r="20496">
          <cell r="E20496">
            <v>0</v>
          </cell>
          <cell r="F20496">
            <v>0</v>
          </cell>
          <cell r="DN20496">
            <v>0</v>
          </cell>
        </row>
        <row r="20497">
          <cell r="E20497">
            <v>0</v>
          </cell>
          <cell r="F20497">
            <v>0</v>
          </cell>
          <cell r="DN20497">
            <v>0</v>
          </cell>
        </row>
        <row r="20498">
          <cell r="E20498">
            <v>0</v>
          </cell>
          <cell r="F20498">
            <v>0</v>
          </cell>
          <cell r="DN20498">
            <v>0</v>
          </cell>
        </row>
        <row r="20499">
          <cell r="E20499">
            <v>0</v>
          </cell>
          <cell r="F20499">
            <v>0</v>
          </cell>
          <cell r="DN20499">
            <v>0</v>
          </cell>
        </row>
        <row r="20500">
          <cell r="E20500">
            <v>0</v>
          </cell>
          <cell r="F20500">
            <v>0</v>
          </cell>
          <cell r="DN20500">
            <v>0</v>
          </cell>
        </row>
        <row r="20501">
          <cell r="E20501">
            <v>0</v>
          </cell>
          <cell r="F20501">
            <v>0</v>
          </cell>
          <cell r="DN20501">
            <v>0</v>
          </cell>
        </row>
        <row r="20502">
          <cell r="E20502">
            <v>0</v>
          </cell>
          <cell r="F20502">
            <v>0</v>
          </cell>
          <cell r="DN20502">
            <v>0</v>
          </cell>
        </row>
        <row r="20503">
          <cell r="E20503">
            <v>0</v>
          </cell>
          <cell r="F20503">
            <v>0</v>
          </cell>
          <cell r="DN20503">
            <v>0</v>
          </cell>
        </row>
        <row r="20504">
          <cell r="E20504">
            <v>0</v>
          </cell>
          <cell r="F20504">
            <v>0</v>
          </cell>
          <cell r="DN20504">
            <v>0</v>
          </cell>
        </row>
        <row r="20505">
          <cell r="E20505">
            <v>0</v>
          </cell>
          <cell r="F20505">
            <v>0</v>
          </cell>
          <cell r="DN20505">
            <v>0</v>
          </cell>
        </row>
        <row r="20506">
          <cell r="E20506">
            <v>0</v>
          </cell>
          <cell r="F20506">
            <v>0</v>
          </cell>
          <cell r="DN20506">
            <v>0</v>
          </cell>
        </row>
        <row r="20507">
          <cell r="E20507">
            <v>0</v>
          </cell>
          <cell r="F20507">
            <v>0</v>
          </cell>
          <cell r="DN20507">
            <v>0</v>
          </cell>
        </row>
        <row r="20508">
          <cell r="E20508">
            <v>0</v>
          </cell>
          <cell r="F20508">
            <v>0</v>
          </cell>
          <cell r="DN20508">
            <v>0</v>
          </cell>
        </row>
        <row r="20509">
          <cell r="E20509">
            <v>0</v>
          </cell>
          <cell r="F20509">
            <v>0</v>
          </cell>
          <cell r="DN20509">
            <v>0</v>
          </cell>
        </row>
        <row r="20510">
          <cell r="E20510">
            <v>0</v>
          </cell>
          <cell r="F20510">
            <v>0</v>
          </cell>
          <cell r="DN20510">
            <v>0</v>
          </cell>
        </row>
        <row r="20511">
          <cell r="E20511">
            <v>0</v>
          </cell>
          <cell r="F20511">
            <v>0</v>
          </cell>
          <cell r="DN20511">
            <v>0</v>
          </cell>
        </row>
        <row r="20512">
          <cell r="E20512">
            <v>0</v>
          </cell>
          <cell r="F20512">
            <v>0</v>
          </cell>
          <cell r="DN20512">
            <v>0</v>
          </cell>
        </row>
        <row r="20513">
          <cell r="E20513">
            <v>0</v>
          </cell>
          <cell r="F20513">
            <v>0</v>
          </cell>
          <cell r="DN20513">
            <v>0</v>
          </cell>
        </row>
        <row r="20514">
          <cell r="E20514">
            <v>0</v>
          </cell>
          <cell r="F20514">
            <v>0</v>
          </cell>
          <cell r="DN20514">
            <v>0</v>
          </cell>
        </row>
        <row r="20515">
          <cell r="E20515">
            <v>0</v>
          </cell>
          <cell r="F20515">
            <v>0</v>
          </cell>
          <cell r="DN20515">
            <v>0</v>
          </cell>
        </row>
        <row r="20516">
          <cell r="E20516">
            <v>0</v>
          </cell>
          <cell r="F20516">
            <v>0</v>
          </cell>
          <cell r="DN20516">
            <v>0</v>
          </cell>
        </row>
        <row r="20517">
          <cell r="E20517">
            <v>0</v>
          </cell>
          <cell r="F20517">
            <v>0</v>
          </cell>
          <cell r="DN20517">
            <v>0</v>
          </cell>
        </row>
        <row r="20518">
          <cell r="E20518">
            <v>0</v>
          </cell>
          <cell r="F20518">
            <v>0</v>
          </cell>
          <cell r="DN20518">
            <v>0</v>
          </cell>
        </row>
        <row r="20519">
          <cell r="E20519">
            <v>0</v>
          </cell>
          <cell r="F20519">
            <v>0</v>
          </cell>
          <cell r="DN20519">
            <v>0</v>
          </cell>
        </row>
        <row r="20520">
          <cell r="E20520">
            <v>0</v>
          </cell>
          <cell r="F20520">
            <v>0</v>
          </cell>
          <cell r="DN20520">
            <v>0</v>
          </cell>
        </row>
        <row r="20521">
          <cell r="E20521">
            <v>0</v>
          </cell>
          <cell r="F20521">
            <v>0</v>
          </cell>
          <cell r="DN20521">
            <v>0</v>
          </cell>
        </row>
        <row r="20522">
          <cell r="E20522">
            <v>0</v>
          </cell>
          <cell r="F20522">
            <v>0</v>
          </cell>
          <cell r="DN20522">
            <v>0</v>
          </cell>
        </row>
        <row r="20523">
          <cell r="E20523">
            <v>0</v>
          </cell>
          <cell r="F20523">
            <v>0</v>
          </cell>
          <cell r="DN20523">
            <v>0</v>
          </cell>
        </row>
        <row r="20524">
          <cell r="E20524">
            <v>0</v>
          </cell>
          <cell r="F20524">
            <v>0</v>
          </cell>
          <cell r="DN20524">
            <v>0</v>
          </cell>
        </row>
        <row r="20525">
          <cell r="E20525">
            <v>0</v>
          </cell>
          <cell r="F20525">
            <v>0</v>
          </cell>
          <cell r="DN20525">
            <v>0</v>
          </cell>
        </row>
        <row r="20526">
          <cell r="E20526">
            <v>0</v>
          </cell>
          <cell r="F20526">
            <v>0</v>
          </cell>
          <cell r="DN20526">
            <v>0</v>
          </cell>
        </row>
        <row r="20527">
          <cell r="E20527">
            <v>0</v>
          </cell>
          <cell r="F20527">
            <v>0</v>
          </cell>
          <cell r="DN20527">
            <v>0</v>
          </cell>
        </row>
        <row r="20528">
          <cell r="E20528">
            <v>0</v>
          </cell>
          <cell r="F20528">
            <v>0</v>
          </cell>
          <cell r="DN20528">
            <v>0</v>
          </cell>
        </row>
        <row r="20529">
          <cell r="E20529">
            <v>0</v>
          </cell>
          <cell r="F20529">
            <v>0</v>
          </cell>
          <cell r="DN20529">
            <v>0</v>
          </cell>
        </row>
        <row r="20530">
          <cell r="E20530">
            <v>0</v>
          </cell>
          <cell r="F20530">
            <v>0</v>
          </cell>
          <cell r="DN20530">
            <v>0</v>
          </cell>
        </row>
        <row r="20531">
          <cell r="E20531">
            <v>0</v>
          </cell>
          <cell r="F20531">
            <v>0</v>
          </cell>
          <cell r="DN20531">
            <v>0</v>
          </cell>
        </row>
        <row r="20532">
          <cell r="E20532">
            <v>0</v>
          </cell>
          <cell r="F20532">
            <v>0</v>
          </cell>
          <cell r="DN20532">
            <v>0</v>
          </cell>
        </row>
        <row r="20533">
          <cell r="E20533">
            <v>0</v>
          </cell>
          <cell r="F20533">
            <v>0</v>
          </cell>
          <cell r="DN20533">
            <v>0</v>
          </cell>
        </row>
        <row r="20534">
          <cell r="E20534">
            <v>0</v>
          </cell>
          <cell r="F20534">
            <v>0</v>
          </cell>
          <cell r="DN20534">
            <v>0</v>
          </cell>
        </row>
        <row r="20535">
          <cell r="E20535">
            <v>0</v>
          </cell>
          <cell r="F20535">
            <v>0</v>
          </cell>
          <cell r="DN20535">
            <v>0</v>
          </cell>
        </row>
        <row r="20536">
          <cell r="E20536">
            <v>0</v>
          </cell>
          <cell r="F20536">
            <v>0</v>
          </cell>
          <cell r="DN20536">
            <v>0</v>
          </cell>
        </row>
        <row r="20537">
          <cell r="E20537">
            <v>0</v>
          </cell>
          <cell r="F20537">
            <v>0</v>
          </cell>
          <cell r="DN20537">
            <v>0</v>
          </cell>
        </row>
        <row r="20538">
          <cell r="E20538">
            <v>0</v>
          </cell>
          <cell r="F20538">
            <v>0</v>
          </cell>
          <cell r="DN20538">
            <v>0</v>
          </cell>
        </row>
        <row r="20539">
          <cell r="E20539">
            <v>0</v>
          </cell>
          <cell r="F20539">
            <v>0</v>
          </cell>
          <cell r="DN20539">
            <v>0</v>
          </cell>
        </row>
        <row r="20540">
          <cell r="E20540">
            <v>0</v>
          </cell>
          <cell r="F20540">
            <v>0</v>
          </cell>
          <cell r="DN20540">
            <v>0</v>
          </cell>
        </row>
        <row r="20541">
          <cell r="E20541">
            <v>0</v>
          </cell>
          <cell r="F20541">
            <v>0</v>
          </cell>
          <cell r="DN20541">
            <v>0</v>
          </cell>
        </row>
        <row r="20542">
          <cell r="E20542">
            <v>0</v>
          </cell>
          <cell r="F20542">
            <v>0</v>
          </cell>
          <cell r="DN20542">
            <v>0</v>
          </cell>
        </row>
        <row r="20543">
          <cell r="E20543">
            <v>0</v>
          </cell>
          <cell r="F20543">
            <v>0</v>
          </cell>
          <cell r="DN20543">
            <v>0</v>
          </cell>
        </row>
        <row r="20544">
          <cell r="E20544">
            <v>0</v>
          </cell>
          <cell r="F20544">
            <v>0</v>
          </cell>
          <cell r="DN20544">
            <v>0</v>
          </cell>
        </row>
        <row r="20545">
          <cell r="E20545">
            <v>0</v>
          </cell>
          <cell r="F20545">
            <v>0</v>
          </cell>
          <cell r="DN20545">
            <v>0</v>
          </cell>
        </row>
        <row r="20546">
          <cell r="E20546">
            <v>0</v>
          </cell>
          <cell r="F20546">
            <v>0</v>
          </cell>
          <cell r="DN20546">
            <v>0</v>
          </cell>
        </row>
        <row r="20547">
          <cell r="E20547">
            <v>0</v>
          </cell>
          <cell r="F20547">
            <v>0</v>
          </cell>
          <cell r="DN20547">
            <v>0</v>
          </cell>
        </row>
        <row r="20548">
          <cell r="E20548">
            <v>0</v>
          </cell>
          <cell r="F20548">
            <v>0</v>
          </cell>
          <cell r="DN20548">
            <v>0</v>
          </cell>
        </row>
        <row r="20549">
          <cell r="E20549">
            <v>0</v>
          </cell>
          <cell r="F20549">
            <v>0</v>
          </cell>
          <cell r="DN20549">
            <v>0</v>
          </cell>
        </row>
        <row r="20550">
          <cell r="E20550">
            <v>0</v>
          </cell>
          <cell r="F20550">
            <v>0</v>
          </cell>
          <cell r="DN20550">
            <v>0</v>
          </cell>
        </row>
        <row r="20551">
          <cell r="E20551">
            <v>0</v>
          </cell>
          <cell r="F20551">
            <v>0</v>
          </cell>
          <cell r="DN20551">
            <v>0</v>
          </cell>
        </row>
        <row r="20552">
          <cell r="E20552">
            <v>0</v>
          </cell>
          <cell r="F20552">
            <v>0</v>
          </cell>
          <cell r="DN20552">
            <v>0</v>
          </cell>
        </row>
        <row r="20553">
          <cell r="E20553">
            <v>0</v>
          </cell>
          <cell r="F20553">
            <v>0</v>
          </cell>
          <cell r="DN20553">
            <v>0</v>
          </cell>
        </row>
        <row r="20554">
          <cell r="E20554">
            <v>0</v>
          </cell>
          <cell r="F20554">
            <v>0</v>
          </cell>
          <cell r="DN20554">
            <v>0</v>
          </cell>
        </row>
        <row r="20555">
          <cell r="E20555">
            <v>0</v>
          </cell>
          <cell r="F20555">
            <v>0</v>
          </cell>
          <cell r="DN20555">
            <v>0</v>
          </cell>
        </row>
        <row r="20556">
          <cell r="E20556">
            <v>0</v>
          </cell>
          <cell r="F20556">
            <v>0</v>
          </cell>
          <cell r="DN20556">
            <v>0</v>
          </cell>
        </row>
        <row r="20557">
          <cell r="E20557">
            <v>0</v>
          </cell>
          <cell r="F20557">
            <v>0</v>
          </cell>
          <cell r="DN20557">
            <v>0</v>
          </cell>
        </row>
        <row r="20558">
          <cell r="E20558">
            <v>0</v>
          </cell>
          <cell r="F20558">
            <v>0</v>
          </cell>
          <cell r="DN20558">
            <v>0</v>
          </cell>
        </row>
        <row r="20559">
          <cell r="E20559">
            <v>0</v>
          </cell>
          <cell r="F20559">
            <v>0</v>
          </cell>
          <cell r="DN20559">
            <v>0</v>
          </cell>
        </row>
        <row r="20560">
          <cell r="E20560">
            <v>0</v>
          </cell>
          <cell r="F20560">
            <v>0</v>
          </cell>
          <cell r="DN20560">
            <v>0</v>
          </cell>
        </row>
        <row r="20561">
          <cell r="E20561">
            <v>0</v>
          </cell>
          <cell r="F20561">
            <v>0</v>
          </cell>
          <cell r="DN20561">
            <v>0</v>
          </cell>
        </row>
        <row r="20562">
          <cell r="E20562">
            <v>0</v>
          </cell>
          <cell r="F20562">
            <v>0</v>
          </cell>
          <cell r="DN20562">
            <v>0</v>
          </cell>
        </row>
        <row r="20563">
          <cell r="E20563">
            <v>0</v>
          </cell>
          <cell r="F20563">
            <v>0</v>
          </cell>
          <cell r="DN20563">
            <v>0</v>
          </cell>
        </row>
        <row r="20564">
          <cell r="E20564">
            <v>0</v>
          </cell>
          <cell r="F20564">
            <v>0</v>
          </cell>
          <cell r="DN20564">
            <v>0</v>
          </cell>
        </row>
        <row r="20565">
          <cell r="E20565">
            <v>0</v>
          </cell>
          <cell r="F20565">
            <v>0</v>
          </cell>
          <cell r="DN20565">
            <v>0</v>
          </cell>
        </row>
        <row r="20566">
          <cell r="E20566">
            <v>0</v>
          </cell>
          <cell r="F20566">
            <v>0</v>
          </cell>
          <cell r="DN20566">
            <v>0</v>
          </cell>
        </row>
        <row r="20567">
          <cell r="E20567">
            <v>0</v>
          </cell>
          <cell r="F20567">
            <v>0</v>
          </cell>
          <cell r="DN20567">
            <v>0</v>
          </cell>
        </row>
        <row r="20568">
          <cell r="E20568">
            <v>0</v>
          </cell>
          <cell r="F20568">
            <v>0</v>
          </cell>
          <cell r="DN20568">
            <v>0</v>
          </cell>
        </row>
        <row r="20569">
          <cell r="E20569">
            <v>0</v>
          </cell>
          <cell r="F20569">
            <v>0</v>
          </cell>
          <cell r="DN20569">
            <v>0</v>
          </cell>
        </row>
        <row r="20570">
          <cell r="E20570">
            <v>0</v>
          </cell>
          <cell r="F20570">
            <v>0</v>
          </cell>
          <cell r="DN20570">
            <v>0</v>
          </cell>
        </row>
        <row r="20571">
          <cell r="E20571">
            <v>0</v>
          </cell>
          <cell r="F20571">
            <v>0</v>
          </cell>
          <cell r="DN20571">
            <v>0</v>
          </cell>
        </row>
        <row r="20572">
          <cell r="E20572">
            <v>0</v>
          </cell>
          <cell r="F20572">
            <v>0</v>
          </cell>
          <cell r="DN20572">
            <v>0</v>
          </cell>
        </row>
        <row r="20573">
          <cell r="E20573">
            <v>0</v>
          </cell>
          <cell r="F20573">
            <v>0</v>
          </cell>
          <cell r="DN20573">
            <v>0</v>
          </cell>
        </row>
        <row r="20574">
          <cell r="E20574">
            <v>0</v>
          </cell>
          <cell r="F20574">
            <v>0</v>
          </cell>
          <cell r="DN20574">
            <v>0</v>
          </cell>
        </row>
        <row r="20575">
          <cell r="E20575">
            <v>0</v>
          </cell>
          <cell r="F20575">
            <v>0</v>
          </cell>
          <cell r="DN20575">
            <v>0</v>
          </cell>
        </row>
        <row r="20576">
          <cell r="E20576">
            <v>0</v>
          </cell>
          <cell r="F20576">
            <v>0</v>
          </cell>
          <cell r="DN20576">
            <v>0</v>
          </cell>
        </row>
        <row r="20577">
          <cell r="E20577">
            <v>0</v>
          </cell>
          <cell r="F20577">
            <v>0</v>
          </cell>
          <cell r="DN20577">
            <v>0</v>
          </cell>
        </row>
        <row r="20578">
          <cell r="E20578">
            <v>0</v>
          </cell>
          <cell r="F20578">
            <v>0</v>
          </cell>
          <cell r="DN20578">
            <v>0</v>
          </cell>
        </row>
        <row r="20579">
          <cell r="E20579">
            <v>0</v>
          </cell>
          <cell r="F20579">
            <v>0</v>
          </cell>
          <cell r="DN20579">
            <v>0</v>
          </cell>
        </row>
        <row r="20580">
          <cell r="E20580">
            <v>0</v>
          </cell>
          <cell r="F20580">
            <v>0</v>
          </cell>
          <cell r="DN20580">
            <v>0</v>
          </cell>
        </row>
        <row r="20581">
          <cell r="E20581">
            <v>0</v>
          </cell>
          <cell r="F20581">
            <v>0</v>
          </cell>
          <cell r="DN20581">
            <v>0</v>
          </cell>
        </row>
        <row r="20582">
          <cell r="E20582">
            <v>0</v>
          </cell>
          <cell r="F20582">
            <v>0</v>
          </cell>
          <cell r="DN20582">
            <v>0</v>
          </cell>
        </row>
        <row r="20583">
          <cell r="E20583">
            <v>0</v>
          </cell>
          <cell r="F20583">
            <v>0</v>
          </cell>
          <cell r="DN20583">
            <v>0</v>
          </cell>
        </row>
        <row r="20584">
          <cell r="E20584">
            <v>0</v>
          </cell>
          <cell r="F20584">
            <v>0</v>
          </cell>
          <cell r="DN20584">
            <v>0</v>
          </cell>
        </row>
        <row r="20585">
          <cell r="E20585">
            <v>0</v>
          </cell>
          <cell r="F20585">
            <v>0</v>
          </cell>
          <cell r="DN20585">
            <v>0</v>
          </cell>
        </row>
        <row r="20586">
          <cell r="E20586">
            <v>0</v>
          </cell>
          <cell r="F20586">
            <v>0</v>
          </cell>
          <cell r="DN20586">
            <v>0</v>
          </cell>
        </row>
        <row r="20587">
          <cell r="E20587">
            <v>0</v>
          </cell>
          <cell r="F20587">
            <v>0</v>
          </cell>
          <cell r="DN20587">
            <v>0</v>
          </cell>
        </row>
        <row r="20588">
          <cell r="E20588">
            <v>0</v>
          </cell>
          <cell r="F20588">
            <v>0</v>
          </cell>
          <cell r="DN20588">
            <v>0</v>
          </cell>
        </row>
        <row r="20589">
          <cell r="E20589">
            <v>0</v>
          </cell>
          <cell r="F20589">
            <v>0</v>
          </cell>
          <cell r="DN20589">
            <v>0</v>
          </cell>
        </row>
        <row r="20590">
          <cell r="E20590">
            <v>0</v>
          </cell>
          <cell r="F20590">
            <v>0</v>
          </cell>
          <cell r="DN20590">
            <v>0</v>
          </cell>
        </row>
        <row r="20591">
          <cell r="E20591">
            <v>0</v>
          </cell>
          <cell r="F20591">
            <v>0</v>
          </cell>
          <cell r="DN20591">
            <v>0</v>
          </cell>
        </row>
        <row r="20592">
          <cell r="E20592">
            <v>0</v>
          </cell>
          <cell r="F20592">
            <v>0</v>
          </cell>
          <cell r="DN20592">
            <v>0</v>
          </cell>
        </row>
        <row r="20593">
          <cell r="E20593">
            <v>0</v>
          </cell>
          <cell r="F20593">
            <v>0</v>
          </cell>
          <cell r="DN20593">
            <v>0</v>
          </cell>
        </row>
        <row r="20594">
          <cell r="E20594">
            <v>0</v>
          </cell>
          <cell r="F20594">
            <v>0</v>
          </cell>
          <cell r="DN20594">
            <v>0</v>
          </cell>
        </row>
        <row r="20595">
          <cell r="E20595">
            <v>0</v>
          </cell>
          <cell r="F20595">
            <v>0</v>
          </cell>
          <cell r="DN20595">
            <v>0</v>
          </cell>
        </row>
        <row r="20596">
          <cell r="E20596">
            <v>0</v>
          </cell>
          <cell r="F20596">
            <v>0</v>
          </cell>
          <cell r="DN20596">
            <v>0</v>
          </cell>
        </row>
        <row r="20597">
          <cell r="E20597">
            <v>0</v>
          </cell>
          <cell r="F20597">
            <v>0</v>
          </cell>
          <cell r="DN20597">
            <v>0</v>
          </cell>
        </row>
        <row r="20598">
          <cell r="E20598">
            <v>0</v>
          </cell>
          <cell r="F20598">
            <v>0</v>
          </cell>
          <cell r="DN20598">
            <v>0</v>
          </cell>
        </row>
        <row r="20599">
          <cell r="E20599">
            <v>0</v>
          </cell>
          <cell r="F20599">
            <v>0</v>
          </cell>
          <cell r="DN20599">
            <v>0</v>
          </cell>
        </row>
        <row r="20600">
          <cell r="E20600">
            <v>0</v>
          </cell>
          <cell r="F20600">
            <v>0</v>
          </cell>
          <cell r="DN20600">
            <v>0</v>
          </cell>
        </row>
        <row r="20601">
          <cell r="E20601">
            <v>0</v>
          </cell>
          <cell r="F20601">
            <v>0</v>
          </cell>
          <cell r="DN20601">
            <v>0</v>
          </cell>
        </row>
        <row r="20602">
          <cell r="E20602">
            <v>0</v>
          </cell>
          <cell r="F20602">
            <v>0</v>
          </cell>
          <cell r="DN20602">
            <v>0</v>
          </cell>
        </row>
        <row r="20603">
          <cell r="E20603">
            <v>0</v>
          </cell>
          <cell r="F20603">
            <v>0</v>
          </cell>
          <cell r="DN20603">
            <v>0</v>
          </cell>
        </row>
        <row r="20604">
          <cell r="E20604">
            <v>0</v>
          </cell>
          <cell r="F20604">
            <v>0</v>
          </cell>
          <cell r="DN20604">
            <v>0</v>
          </cell>
        </row>
        <row r="20605">
          <cell r="E20605">
            <v>0</v>
          </cell>
          <cell r="F20605">
            <v>0</v>
          </cell>
          <cell r="DN20605">
            <v>0</v>
          </cell>
        </row>
        <row r="20606">
          <cell r="E20606">
            <v>0</v>
          </cell>
          <cell r="F20606">
            <v>0</v>
          </cell>
          <cell r="DN20606">
            <v>0</v>
          </cell>
        </row>
        <row r="20607">
          <cell r="E20607">
            <v>0</v>
          </cell>
          <cell r="F20607">
            <v>0</v>
          </cell>
          <cell r="DN20607">
            <v>0</v>
          </cell>
        </row>
        <row r="20608">
          <cell r="E20608">
            <v>0</v>
          </cell>
          <cell r="F20608">
            <v>0</v>
          </cell>
          <cell r="DN20608">
            <v>0</v>
          </cell>
        </row>
        <row r="20609">
          <cell r="E20609">
            <v>0</v>
          </cell>
          <cell r="F20609">
            <v>0</v>
          </cell>
          <cell r="DN20609">
            <v>0</v>
          </cell>
        </row>
        <row r="20610">
          <cell r="E20610">
            <v>0</v>
          </cell>
          <cell r="F20610">
            <v>0</v>
          </cell>
          <cell r="DN20610">
            <v>0</v>
          </cell>
        </row>
        <row r="20611">
          <cell r="E20611">
            <v>0</v>
          </cell>
          <cell r="F20611">
            <v>0</v>
          </cell>
          <cell r="DN20611">
            <v>0</v>
          </cell>
        </row>
        <row r="20612">
          <cell r="E20612">
            <v>0</v>
          </cell>
          <cell r="F20612">
            <v>0</v>
          </cell>
          <cell r="DN20612">
            <v>0</v>
          </cell>
        </row>
        <row r="20613">
          <cell r="E20613">
            <v>0</v>
          </cell>
          <cell r="F20613">
            <v>0</v>
          </cell>
          <cell r="DN20613">
            <v>0</v>
          </cell>
        </row>
        <row r="20614">
          <cell r="E20614">
            <v>0</v>
          </cell>
          <cell r="F20614">
            <v>0</v>
          </cell>
          <cell r="DN20614">
            <v>0</v>
          </cell>
        </row>
        <row r="20615">
          <cell r="E20615">
            <v>0</v>
          </cell>
          <cell r="F20615">
            <v>0</v>
          </cell>
          <cell r="DN20615">
            <v>0</v>
          </cell>
        </row>
        <row r="20616">
          <cell r="E20616">
            <v>0</v>
          </cell>
          <cell r="F20616">
            <v>0</v>
          </cell>
          <cell r="DN20616">
            <v>0</v>
          </cell>
        </row>
        <row r="20617">
          <cell r="E20617">
            <v>0</v>
          </cell>
          <cell r="F20617">
            <v>0</v>
          </cell>
          <cell r="DN20617">
            <v>0</v>
          </cell>
        </row>
        <row r="20618">
          <cell r="E20618">
            <v>0</v>
          </cell>
          <cell r="F20618">
            <v>0</v>
          </cell>
          <cell r="DN20618">
            <v>0</v>
          </cell>
        </row>
        <row r="20619">
          <cell r="E20619">
            <v>0</v>
          </cell>
          <cell r="F20619">
            <v>0</v>
          </cell>
          <cell r="DN20619">
            <v>0</v>
          </cell>
        </row>
        <row r="20620">
          <cell r="E20620">
            <v>0</v>
          </cell>
          <cell r="F20620">
            <v>0</v>
          </cell>
          <cell r="DN20620">
            <v>0</v>
          </cell>
        </row>
        <row r="20621">
          <cell r="E20621">
            <v>0</v>
          </cell>
          <cell r="F20621">
            <v>0</v>
          </cell>
          <cell r="DN20621">
            <v>0</v>
          </cell>
        </row>
        <row r="20622">
          <cell r="E20622">
            <v>0</v>
          </cell>
          <cell r="F20622">
            <v>0</v>
          </cell>
          <cell r="DN20622">
            <v>0</v>
          </cell>
        </row>
        <row r="20623">
          <cell r="E20623">
            <v>0</v>
          </cell>
          <cell r="F20623">
            <v>0</v>
          </cell>
          <cell r="DN20623">
            <v>0</v>
          </cell>
        </row>
        <row r="20624">
          <cell r="E20624">
            <v>0</v>
          </cell>
          <cell r="F20624">
            <v>0</v>
          </cell>
          <cell r="DN20624">
            <v>0</v>
          </cell>
        </row>
        <row r="20625">
          <cell r="E20625">
            <v>0</v>
          </cell>
          <cell r="F20625">
            <v>0</v>
          </cell>
          <cell r="DN20625">
            <v>0</v>
          </cell>
        </row>
        <row r="20626">
          <cell r="E20626">
            <v>0</v>
          </cell>
          <cell r="F20626">
            <v>0</v>
          </cell>
          <cell r="DN20626">
            <v>0</v>
          </cell>
        </row>
        <row r="20627">
          <cell r="E20627">
            <v>0</v>
          </cell>
          <cell r="F20627">
            <v>0</v>
          </cell>
          <cell r="DN20627">
            <v>0</v>
          </cell>
        </row>
        <row r="20628">
          <cell r="E20628">
            <v>0</v>
          </cell>
          <cell r="F20628">
            <v>0</v>
          </cell>
          <cell r="DN20628">
            <v>0</v>
          </cell>
        </row>
        <row r="20629">
          <cell r="E20629">
            <v>0</v>
          </cell>
          <cell r="F20629">
            <v>0</v>
          </cell>
          <cell r="DN20629">
            <v>0</v>
          </cell>
        </row>
        <row r="20630">
          <cell r="E20630">
            <v>0</v>
          </cell>
          <cell r="F20630">
            <v>0</v>
          </cell>
          <cell r="DN20630">
            <v>0</v>
          </cell>
        </row>
        <row r="20631">
          <cell r="E20631">
            <v>0</v>
          </cell>
          <cell r="F20631">
            <v>0</v>
          </cell>
          <cell r="DN20631">
            <v>0</v>
          </cell>
        </row>
        <row r="20632">
          <cell r="E20632">
            <v>0</v>
          </cell>
          <cell r="F20632">
            <v>0</v>
          </cell>
          <cell r="DN20632">
            <v>0</v>
          </cell>
        </row>
        <row r="20633">
          <cell r="E20633">
            <v>0</v>
          </cell>
          <cell r="F20633">
            <v>0</v>
          </cell>
          <cell r="DN20633">
            <v>0</v>
          </cell>
        </row>
        <row r="20634">
          <cell r="E20634">
            <v>0</v>
          </cell>
          <cell r="F20634">
            <v>0</v>
          </cell>
          <cell r="DN20634">
            <v>0</v>
          </cell>
        </row>
        <row r="20635">
          <cell r="E20635">
            <v>0</v>
          </cell>
          <cell r="F20635">
            <v>0</v>
          </cell>
          <cell r="DN20635">
            <v>0</v>
          </cell>
        </row>
        <row r="20636">
          <cell r="E20636">
            <v>0</v>
          </cell>
          <cell r="F20636">
            <v>0</v>
          </cell>
          <cell r="DN20636">
            <v>0</v>
          </cell>
        </row>
        <row r="20637">
          <cell r="E20637">
            <v>0</v>
          </cell>
          <cell r="F20637">
            <v>0</v>
          </cell>
          <cell r="DN20637">
            <v>0</v>
          </cell>
        </row>
        <row r="20638">
          <cell r="E20638">
            <v>0</v>
          </cell>
          <cell r="F20638">
            <v>0</v>
          </cell>
          <cell r="DN20638">
            <v>0</v>
          </cell>
        </row>
        <row r="20639">
          <cell r="E20639">
            <v>0</v>
          </cell>
          <cell r="F20639">
            <v>0</v>
          </cell>
          <cell r="DN20639">
            <v>0</v>
          </cell>
        </row>
        <row r="20640">
          <cell r="E20640">
            <v>0</v>
          </cell>
          <cell r="F20640">
            <v>0</v>
          </cell>
          <cell r="DN20640">
            <v>0</v>
          </cell>
        </row>
        <row r="20641">
          <cell r="E20641">
            <v>0</v>
          </cell>
          <cell r="F20641">
            <v>0</v>
          </cell>
          <cell r="DN20641">
            <v>0</v>
          </cell>
        </row>
        <row r="20642">
          <cell r="E20642">
            <v>0</v>
          </cell>
          <cell r="F20642">
            <v>0</v>
          </cell>
          <cell r="DN20642">
            <v>0</v>
          </cell>
        </row>
        <row r="20643">
          <cell r="E20643">
            <v>0</v>
          </cell>
          <cell r="F20643">
            <v>0</v>
          </cell>
          <cell r="DN20643">
            <v>0</v>
          </cell>
        </row>
        <row r="20644">
          <cell r="E20644">
            <v>0</v>
          </cell>
          <cell r="F20644">
            <v>0</v>
          </cell>
          <cell r="DN20644">
            <v>0</v>
          </cell>
        </row>
        <row r="20645">
          <cell r="E20645">
            <v>0</v>
          </cell>
          <cell r="F20645">
            <v>0</v>
          </cell>
          <cell r="DN20645">
            <v>0</v>
          </cell>
        </row>
        <row r="20646">
          <cell r="E20646">
            <v>0</v>
          </cell>
          <cell r="F20646">
            <v>0</v>
          </cell>
          <cell r="DN20646">
            <v>0</v>
          </cell>
        </row>
        <row r="20647">
          <cell r="E20647">
            <v>0</v>
          </cell>
          <cell r="F20647">
            <v>0</v>
          </cell>
          <cell r="DN20647">
            <v>0</v>
          </cell>
        </row>
        <row r="20648">
          <cell r="E20648">
            <v>0</v>
          </cell>
          <cell r="F20648">
            <v>0</v>
          </cell>
          <cell r="DN20648">
            <v>0</v>
          </cell>
        </row>
        <row r="20649">
          <cell r="E20649">
            <v>0</v>
          </cell>
          <cell r="F20649">
            <v>0</v>
          </cell>
          <cell r="DN20649">
            <v>0</v>
          </cell>
        </row>
        <row r="20650">
          <cell r="E20650">
            <v>0</v>
          </cell>
          <cell r="F20650">
            <v>0</v>
          </cell>
          <cell r="DN20650">
            <v>0</v>
          </cell>
        </row>
        <row r="20651">
          <cell r="E20651">
            <v>0</v>
          </cell>
          <cell r="F20651">
            <v>0</v>
          </cell>
          <cell r="DN20651">
            <v>0</v>
          </cell>
        </row>
        <row r="20652">
          <cell r="E20652">
            <v>0</v>
          </cell>
          <cell r="F20652">
            <v>0</v>
          </cell>
          <cell r="DN20652">
            <v>0</v>
          </cell>
        </row>
        <row r="20653">
          <cell r="E20653">
            <v>0</v>
          </cell>
          <cell r="F20653">
            <v>0</v>
          </cell>
          <cell r="DN20653">
            <v>0</v>
          </cell>
        </row>
        <row r="20654">
          <cell r="E20654">
            <v>0</v>
          </cell>
          <cell r="F20654">
            <v>0</v>
          </cell>
          <cell r="DN20654">
            <v>0</v>
          </cell>
        </row>
        <row r="20655">
          <cell r="E20655">
            <v>0</v>
          </cell>
          <cell r="F20655">
            <v>0</v>
          </cell>
          <cell r="DN20655">
            <v>0</v>
          </cell>
        </row>
        <row r="20656">
          <cell r="E20656">
            <v>0</v>
          </cell>
          <cell r="F20656">
            <v>0</v>
          </cell>
          <cell r="DN20656">
            <v>0</v>
          </cell>
        </row>
        <row r="20657">
          <cell r="E20657">
            <v>0</v>
          </cell>
          <cell r="F20657">
            <v>0</v>
          </cell>
          <cell r="DN20657">
            <v>0</v>
          </cell>
        </row>
        <row r="20658">
          <cell r="E20658">
            <v>0</v>
          </cell>
          <cell r="F20658">
            <v>0</v>
          </cell>
          <cell r="DN20658">
            <v>0</v>
          </cell>
        </row>
        <row r="20659">
          <cell r="E20659">
            <v>0</v>
          </cell>
          <cell r="F20659">
            <v>0</v>
          </cell>
          <cell r="DN20659">
            <v>0</v>
          </cell>
        </row>
        <row r="20660">
          <cell r="E20660">
            <v>0</v>
          </cell>
          <cell r="F20660">
            <v>0</v>
          </cell>
          <cell r="DN20660">
            <v>0</v>
          </cell>
        </row>
        <row r="20661">
          <cell r="E20661">
            <v>0</v>
          </cell>
          <cell r="F20661">
            <v>0</v>
          </cell>
          <cell r="DN20661">
            <v>0</v>
          </cell>
        </row>
        <row r="20662">
          <cell r="E20662">
            <v>0</v>
          </cell>
          <cell r="F20662">
            <v>0</v>
          </cell>
          <cell r="DN20662">
            <v>0</v>
          </cell>
        </row>
        <row r="20663">
          <cell r="E20663">
            <v>0</v>
          </cell>
          <cell r="F20663">
            <v>0</v>
          </cell>
          <cell r="DN20663">
            <v>0</v>
          </cell>
        </row>
        <row r="20664">
          <cell r="E20664">
            <v>0</v>
          </cell>
          <cell r="F20664">
            <v>0</v>
          </cell>
          <cell r="DN20664">
            <v>0</v>
          </cell>
        </row>
        <row r="20665">
          <cell r="E20665">
            <v>0</v>
          </cell>
          <cell r="F20665">
            <v>0</v>
          </cell>
          <cell r="DN20665">
            <v>0</v>
          </cell>
        </row>
        <row r="20666">
          <cell r="E20666">
            <v>0</v>
          </cell>
          <cell r="F20666">
            <v>0</v>
          </cell>
          <cell r="DN20666">
            <v>0</v>
          </cell>
        </row>
        <row r="20667">
          <cell r="E20667">
            <v>0</v>
          </cell>
          <cell r="F20667">
            <v>0</v>
          </cell>
          <cell r="DN20667">
            <v>0</v>
          </cell>
        </row>
        <row r="20668">
          <cell r="E20668">
            <v>0</v>
          </cell>
          <cell r="F20668">
            <v>0</v>
          </cell>
          <cell r="DN20668">
            <v>0</v>
          </cell>
        </row>
        <row r="20669">
          <cell r="E20669">
            <v>0</v>
          </cell>
          <cell r="F20669">
            <v>0</v>
          </cell>
          <cell r="DN20669">
            <v>0</v>
          </cell>
        </row>
        <row r="20670">
          <cell r="E20670">
            <v>0</v>
          </cell>
          <cell r="F20670">
            <v>0</v>
          </cell>
          <cell r="DN20670">
            <v>0</v>
          </cell>
        </row>
        <row r="20671">
          <cell r="E20671">
            <v>0</v>
          </cell>
          <cell r="F20671">
            <v>0</v>
          </cell>
          <cell r="DN20671">
            <v>0</v>
          </cell>
        </row>
        <row r="20672">
          <cell r="E20672">
            <v>0</v>
          </cell>
          <cell r="F20672">
            <v>0</v>
          </cell>
          <cell r="DN20672">
            <v>0</v>
          </cell>
        </row>
        <row r="20673">
          <cell r="E20673">
            <v>0</v>
          </cell>
          <cell r="F20673">
            <v>0</v>
          </cell>
          <cell r="DN20673">
            <v>0</v>
          </cell>
        </row>
        <row r="20674">
          <cell r="E20674">
            <v>0</v>
          </cell>
          <cell r="F20674">
            <v>0</v>
          </cell>
          <cell r="DN20674">
            <v>0</v>
          </cell>
        </row>
        <row r="20675">
          <cell r="E20675">
            <v>0</v>
          </cell>
          <cell r="F20675">
            <v>0</v>
          </cell>
          <cell r="DN20675">
            <v>0</v>
          </cell>
        </row>
        <row r="20676">
          <cell r="E20676">
            <v>0</v>
          </cell>
          <cell r="F20676">
            <v>0</v>
          </cell>
          <cell r="DN20676">
            <v>0</v>
          </cell>
        </row>
        <row r="20677">
          <cell r="E20677">
            <v>0</v>
          </cell>
          <cell r="F20677">
            <v>0</v>
          </cell>
          <cell r="DN20677">
            <v>0</v>
          </cell>
        </row>
        <row r="20678">
          <cell r="E20678">
            <v>0</v>
          </cell>
          <cell r="F20678">
            <v>0</v>
          </cell>
          <cell r="DN20678">
            <v>0</v>
          </cell>
        </row>
        <row r="20679">
          <cell r="E20679">
            <v>0</v>
          </cell>
          <cell r="F20679">
            <v>0</v>
          </cell>
          <cell r="DN20679">
            <v>0</v>
          </cell>
        </row>
        <row r="20680">
          <cell r="E20680">
            <v>0</v>
          </cell>
          <cell r="F20680">
            <v>0</v>
          </cell>
          <cell r="DN20680">
            <v>0</v>
          </cell>
        </row>
        <row r="20681">
          <cell r="E20681">
            <v>0</v>
          </cell>
          <cell r="F20681">
            <v>0</v>
          </cell>
          <cell r="DN20681">
            <v>0</v>
          </cell>
        </row>
        <row r="20682">
          <cell r="E20682">
            <v>0</v>
          </cell>
          <cell r="F20682">
            <v>0</v>
          </cell>
          <cell r="DN20682">
            <v>0</v>
          </cell>
        </row>
        <row r="20683">
          <cell r="E20683">
            <v>0</v>
          </cell>
          <cell r="F20683">
            <v>0</v>
          </cell>
          <cell r="DN20683">
            <v>0</v>
          </cell>
        </row>
        <row r="20684">
          <cell r="E20684">
            <v>0</v>
          </cell>
          <cell r="F20684">
            <v>0</v>
          </cell>
          <cell r="DN20684">
            <v>0</v>
          </cell>
        </row>
        <row r="20685">
          <cell r="E20685">
            <v>0</v>
          </cell>
          <cell r="F20685">
            <v>0</v>
          </cell>
          <cell r="DN20685">
            <v>0</v>
          </cell>
        </row>
        <row r="20686">
          <cell r="E20686">
            <v>0</v>
          </cell>
          <cell r="F20686">
            <v>0</v>
          </cell>
          <cell r="DN20686">
            <v>0</v>
          </cell>
        </row>
        <row r="20687">
          <cell r="E20687">
            <v>0</v>
          </cell>
          <cell r="F20687">
            <v>0</v>
          </cell>
          <cell r="DN20687">
            <v>0</v>
          </cell>
        </row>
        <row r="20688">
          <cell r="E20688">
            <v>0</v>
          </cell>
          <cell r="F20688">
            <v>0</v>
          </cell>
          <cell r="DN20688">
            <v>0</v>
          </cell>
        </row>
        <row r="20689">
          <cell r="E20689">
            <v>0</v>
          </cell>
          <cell r="F20689">
            <v>0</v>
          </cell>
          <cell r="DN20689">
            <v>0</v>
          </cell>
        </row>
        <row r="20690">
          <cell r="E20690">
            <v>0</v>
          </cell>
          <cell r="F20690">
            <v>0</v>
          </cell>
          <cell r="DN20690">
            <v>0</v>
          </cell>
        </row>
        <row r="20691">
          <cell r="E20691">
            <v>0</v>
          </cell>
          <cell r="F20691">
            <v>0</v>
          </cell>
          <cell r="DN20691">
            <v>0</v>
          </cell>
        </row>
        <row r="20692">
          <cell r="E20692">
            <v>0</v>
          </cell>
          <cell r="F20692">
            <v>0</v>
          </cell>
          <cell r="DN20692">
            <v>0</v>
          </cell>
        </row>
        <row r="20693">
          <cell r="E20693">
            <v>0</v>
          </cell>
          <cell r="F20693">
            <v>0</v>
          </cell>
          <cell r="DN20693">
            <v>0</v>
          </cell>
        </row>
        <row r="20694">
          <cell r="E20694">
            <v>0</v>
          </cell>
          <cell r="F20694">
            <v>0</v>
          </cell>
          <cell r="DN20694">
            <v>0</v>
          </cell>
        </row>
        <row r="20695">
          <cell r="E20695">
            <v>0</v>
          </cell>
          <cell r="F20695">
            <v>0</v>
          </cell>
          <cell r="DN20695">
            <v>0</v>
          </cell>
        </row>
        <row r="20696">
          <cell r="E20696">
            <v>0</v>
          </cell>
          <cell r="F20696">
            <v>0</v>
          </cell>
          <cell r="DN20696">
            <v>0</v>
          </cell>
        </row>
        <row r="20697">
          <cell r="E20697">
            <v>0</v>
          </cell>
          <cell r="F20697">
            <v>0</v>
          </cell>
          <cell r="DN20697">
            <v>0</v>
          </cell>
        </row>
        <row r="20698">
          <cell r="E20698">
            <v>0</v>
          </cell>
          <cell r="F20698">
            <v>0</v>
          </cell>
          <cell r="DN20698">
            <v>0</v>
          </cell>
        </row>
        <row r="20699">
          <cell r="E20699">
            <v>0</v>
          </cell>
          <cell r="F20699">
            <v>0</v>
          </cell>
          <cell r="DN20699">
            <v>0</v>
          </cell>
        </row>
        <row r="20700">
          <cell r="E20700">
            <v>0</v>
          </cell>
          <cell r="F20700">
            <v>0</v>
          </cell>
          <cell r="DN20700">
            <v>0</v>
          </cell>
        </row>
        <row r="20701">
          <cell r="E20701">
            <v>0</v>
          </cell>
          <cell r="F20701">
            <v>0</v>
          </cell>
          <cell r="DN20701">
            <v>0</v>
          </cell>
        </row>
        <row r="20702">
          <cell r="E20702">
            <v>0</v>
          </cell>
          <cell r="F20702">
            <v>0</v>
          </cell>
          <cell r="DN20702">
            <v>0</v>
          </cell>
        </row>
        <row r="20703">
          <cell r="E20703">
            <v>0</v>
          </cell>
          <cell r="F20703">
            <v>0</v>
          </cell>
          <cell r="DN20703">
            <v>0</v>
          </cell>
        </row>
        <row r="20704">
          <cell r="E20704">
            <v>0</v>
          </cell>
          <cell r="F20704">
            <v>0</v>
          </cell>
          <cell r="DN20704">
            <v>0</v>
          </cell>
        </row>
        <row r="20705">
          <cell r="E20705">
            <v>0</v>
          </cell>
          <cell r="F20705">
            <v>0</v>
          </cell>
          <cell r="DN20705">
            <v>0</v>
          </cell>
        </row>
        <row r="20706">
          <cell r="E20706">
            <v>0</v>
          </cell>
          <cell r="F20706">
            <v>0</v>
          </cell>
          <cell r="DN20706">
            <v>0</v>
          </cell>
        </row>
        <row r="20707">
          <cell r="E20707">
            <v>0</v>
          </cell>
          <cell r="F20707">
            <v>0</v>
          </cell>
          <cell r="DN20707">
            <v>0</v>
          </cell>
        </row>
        <row r="20708">
          <cell r="E20708">
            <v>0</v>
          </cell>
          <cell r="F20708">
            <v>0</v>
          </cell>
          <cell r="DN20708">
            <v>0</v>
          </cell>
        </row>
        <row r="20709">
          <cell r="E20709">
            <v>0</v>
          </cell>
          <cell r="F20709">
            <v>0</v>
          </cell>
          <cell r="DN20709">
            <v>0</v>
          </cell>
        </row>
        <row r="20710">
          <cell r="E20710">
            <v>0</v>
          </cell>
          <cell r="F20710">
            <v>0</v>
          </cell>
          <cell r="DN20710">
            <v>0</v>
          </cell>
        </row>
        <row r="20711">
          <cell r="E20711">
            <v>0</v>
          </cell>
          <cell r="F20711">
            <v>0</v>
          </cell>
          <cell r="DN20711">
            <v>0</v>
          </cell>
        </row>
        <row r="20712">
          <cell r="E20712">
            <v>0</v>
          </cell>
          <cell r="F20712">
            <v>0</v>
          </cell>
          <cell r="DN20712">
            <v>0</v>
          </cell>
        </row>
        <row r="20713">
          <cell r="E20713">
            <v>0</v>
          </cell>
          <cell r="F20713">
            <v>0</v>
          </cell>
          <cell r="DN20713">
            <v>0</v>
          </cell>
        </row>
        <row r="20714">
          <cell r="E20714">
            <v>0</v>
          </cell>
          <cell r="F20714">
            <v>0</v>
          </cell>
          <cell r="DN20714">
            <v>0</v>
          </cell>
        </row>
        <row r="20715">
          <cell r="E20715">
            <v>0</v>
          </cell>
          <cell r="F20715">
            <v>0</v>
          </cell>
          <cell r="DN20715">
            <v>0</v>
          </cell>
        </row>
        <row r="20716">
          <cell r="E20716">
            <v>0</v>
          </cell>
          <cell r="F20716">
            <v>0</v>
          </cell>
          <cell r="DN20716">
            <v>0</v>
          </cell>
        </row>
        <row r="20717">
          <cell r="E20717">
            <v>0</v>
          </cell>
          <cell r="F20717">
            <v>0</v>
          </cell>
          <cell r="DN20717">
            <v>0</v>
          </cell>
        </row>
        <row r="20718">
          <cell r="E20718">
            <v>0</v>
          </cell>
          <cell r="F20718">
            <v>0</v>
          </cell>
          <cell r="DN20718">
            <v>0</v>
          </cell>
        </row>
        <row r="20719">
          <cell r="E20719">
            <v>0</v>
          </cell>
          <cell r="F20719">
            <v>0</v>
          </cell>
          <cell r="DN20719">
            <v>0</v>
          </cell>
        </row>
        <row r="20720">
          <cell r="E20720">
            <v>0</v>
          </cell>
          <cell r="F20720">
            <v>0</v>
          </cell>
          <cell r="DN20720">
            <v>0</v>
          </cell>
        </row>
        <row r="20721">
          <cell r="E20721">
            <v>0</v>
          </cell>
          <cell r="F20721">
            <v>0</v>
          </cell>
          <cell r="DN20721">
            <v>0</v>
          </cell>
        </row>
        <row r="20722">
          <cell r="E20722">
            <v>0</v>
          </cell>
          <cell r="F20722">
            <v>0</v>
          </cell>
          <cell r="DN20722">
            <v>0</v>
          </cell>
        </row>
        <row r="20723">
          <cell r="E20723">
            <v>0</v>
          </cell>
          <cell r="F20723">
            <v>0</v>
          </cell>
          <cell r="DN20723">
            <v>0</v>
          </cell>
        </row>
        <row r="20724">
          <cell r="E20724">
            <v>0</v>
          </cell>
          <cell r="F20724">
            <v>0</v>
          </cell>
          <cell r="DN20724">
            <v>0</v>
          </cell>
        </row>
        <row r="20725">
          <cell r="E20725">
            <v>0</v>
          </cell>
          <cell r="F20725">
            <v>0</v>
          </cell>
          <cell r="DN20725">
            <v>0</v>
          </cell>
        </row>
        <row r="20726">
          <cell r="E20726">
            <v>0</v>
          </cell>
          <cell r="F20726">
            <v>0</v>
          </cell>
          <cell r="DN20726">
            <v>0</v>
          </cell>
        </row>
        <row r="20727">
          <cell r="E20727">
            <v>0</v>
          </cell>
          <cell r="F20727">
            <v>0</v>
          </cell>
          <cell r="DN20727">
            <v>0</v>
          </cell>
        </row>
        <row r="20728">
          <cell r="E20728">
            <v>0</v>
          </cell>
          <cell r="F20728">
            <v>0</v>
          </cell>
          <cell r="DN20728">
            <v>0</v>
          </cell>
        </row>
        <row r="20729">
          <cell r="E20729">
            <v>0</v>
          </cell>
          <cell r="F20729">
            <v>0</v>
          </cell>
          <cell r="DN20729">
            <v>0</v>
          </cell>
        </row>
        <row r="20730">
          <cell r="E20730">
            <v>0</v>
          </cell>
          <cell r="F20730">
            <v>0</v>
          </cell>
          <cell r="DN20730">
            <v>0</v>
          </cell>
        </row>
        <row r="20731">
          <cell r="E20731">
            <v>0</v>
          </cell>
          <cell r="F20731">
            <v>0</v>
          </cell>
          <cell r="DN20731">
            <v>0</v>
          </cell>
        </row>
        <row r="20732">
          <cell r="E20732">
            <v>0</v>
          </cell>
          <cell r="F20732">
            <v>0</v>
          </cell>
          <cell r="DN20732">
            <v>0</v>
          </cell>
        </row>
        <row r="20733">
          <cell r="E20733">
            <v>0</v>
          </cell>
          <cell r="F20733">
            <v>0</v>
          </cell>
          <cell r="DN20733">
            <v>0</v>
          </cell>
        </row>
        <row r="20734">
          <cell r="E20734">
            <v>0</v>
          </cell>
          <cell r="F20734">
            <v>0</v>
          </cell>
          <cell r="DN20734">
            <v>0</v>
          </cell>
        </row>
        <row r="20735">
          <cell r="E20735">
            <v>0</v>
          </cell>
          <cell r="F20735">
            <v>0</v>
          </cell>
          <cell r="DN20735">
            <v>0</v>
          </cell>
        </row>
        <row r="20736">
          <cell r="E20736">
            <v>0</v>
          </cell>
          <cell r="F20736">
            <v>0</v>
          </cell>
          <cell r="DN20736">
            <v>0</v>
          </cell>
        </row>
        <row r="20737">
          <cell r="E20737">
            <v>0</v>
          </cell>
          <cell r="F20737">
            <v>0</v>
          </cell>
          <cell r="DN20737">
            <v>0</v>
          </cell>
        </row>
        <row r="20738">
          <cell r="E20738">
            <v>0</v>
          </cell>
          <cell r="F20738">
            <v>0</v>
          </cell>
          <cell r="DN20738">
            <v>0</v>
          </cell>
        </row>
        <row r="20739">
          <cell r="E20739">
            <v>0</v>
          </cell>
          <cell r="F20739">
            <v>0</v>
          </cell>
          <cell r="DN20739">
            <v>0</v>
          </cell>
        </row>
        <row r="20740">
          <cell r="E20740">
            <v>0</v>
          </cell>
          <cell r="F20740">
            <v>0</v>
          </cell>
          <cell r="DN20740">
            <v>0</v>
          </cell>
        </row>
        <row r="20741">
          <cell r="E20741">
            <v>0</v>
          </cell>
          <cell r="F20741">
            <v>0</v>
          </cell>
          <cell r="DN20741">
            <v>0</v>
          </cell>
        </row>
        <row r="20742">
          <cell r="E20742">
            <v>0</v>
          </cell>
          <cell r="F20742">
            <v>0</v>
          </cell>
          <cell r="DN20742">
            <v>0</v>
          </cell>
        </row>
        <row r="20743">
          <cell r="E20743">
            <v>0</v>
          </cell>
          <cell r="F20743">
            <v>0</v>
          </cell>
          <cell r="DN20743">
            <v>0</v>
          </cell>
        </row>
        <row r="20744">
          <cell r="E20744">
            <v>0</v>
          </cell>
          <cell r="F20744">
            <v>0</v>
          </cell>
          <cell r="DN20744">
            <v>0</v>
          </cell>
        </row>
        <row r="20745">
          <cell r="E20745">
            <v>0</v>
          </cell>
          <cell r="F20745">
            <v>0</v>
          </cell>
          <cell r="DN20745">
            <v>0</v>
          </cell>
        </row>
        <row r="20746">
          <cell r="E20746">
            <v>0</v>
          </cell>
          <cell r="F20746">
            <v>0</v>
          </cell>
          <cell r="DN20746">
            <v>0</v>
          </cell>
        </row>
        <row r="20747">
          <cell r="E20747">
            <v>0</v>
          </cell>
          <cell r="F20747">
            <v>0</v>
          </cell>
          <cell r="DN20747">
            <v>0</v>
          </cell>
        </row>
        <row r="20748">
          <cell r="E20748">
            <v>0</v>
          </cell>
          <cell r="F20748">
            <v>0</v>
          </cell>
          <cell r="DN20748">
            <v>0</v>
          </cell>
        </row>
        <row r="20749">
          <cell r="E20749">
            <v>0</v>
          </cell>
          <cell r="F20749">
            <v>0</v>
          </cell>
          <cell r="DN20749">
            <v>0</v>
          </cell>
        </row>
        <row r="20750">
          <cell r="E20750">
            <v>0</v>
          </cell>
          <cell r="F20750">
            <v>0</v>
          </cell>
          <cell r="DN20750">
            <v>0</v>
          </cell>
        </row>
        <row r="20751">
          <cell r="E20751">
            <v>0</v>
          </cell>
          <cell r="F20751">
            <v>0</v>
          </cell>
          <cell r="DN20751">
            <v>0</v>
          </cell>
        </row>
        <row r="20752">
          <cell r="E20752">
            <v>0</v>
          </cell>
          <cell r="F20752">
            <v>0</v>
          </cell>
          <cell r="DN20752">
            <v>0</v>
          </cell>
        </row>
        <row r="20753">
          <cell r="E20753">
            <v>0</v>
          </cell>
          <cell r="F20753">
            <v>0</v>
          </cell>
          <cell r="DN20753">
            <v>0</v>
          </cell>
        </row>
        <row r="20754">
          <cell r="E20754">
            <v>0</v>
          </cell>
          <cell r="F20754">
            <v>0</v>
          </cell>
          <cell r="DN20754">
            <v>0</v>
          </cell>
        </row>
        <row r="20755">
          <cell r="E20755">
            <v>0</v>
          </cell>
          <cell r="F20755">
            <v>0</v>
          </cell>
          <cell r="DN20755">
            <v>0</v>
          </cell>
        </row>
        <row r="20756">
          <cell r="E20756">
            <v>0</v>
          </cell>
          <cell r="F20756">
            <v>0</v>
          </cell>
          <cell r="DN20756">
            <v>0</v>
          </cell>
        </row>
        <row r="20757">
          <cell r="E20757">
            <v>0</v>
          </cell>
          <cell r="F20757">
            <v>0</v>
          </cell>
          <cell r="DN20757">
            <v>0</v>
          </cell>
        </row>
        <row r="20758">
          <cell r="E20758">
            <v>0</v>
          </cell>
          <cell r="F20758">
            <v>0</v>
          </cell>
          <cell r="DN20758">
            <v>0</v>
          </cell>
        </row>
        <row r="20759">
          <cell r="E20759">
            <v>0</v>
          </cell>
          <cell r="F20759">
            <v>0</v>
          </cell>
          <cell r="DN20759">
            <v>0</v>
          </cell>
        </row>
        <row r="20760">
          <cell r="E20760">
            <v>0</v>
          </cell>
          <cell r="F20760">
            <v>0</v>
          </cell>
          <cell r="DN20760">
            <v>0</v>
          </cell>
        </row>
        <row r="20761">
          <cell r="E20761">
            <v>0</v>
          </cell>
          <cell r="F20761">
            <v>0</v>
          </cell>
          <cell r="DN20761">
            <v>0</v>
          </cell>
        </row>
        <row r="20762">
          <cell r="E20762">
            <v>0</v>
          </cell>
          <cell r="F20762">
            <v>0</v>
          </cell>
          <cell r="DN20762">
            <v>0</v>
          </cell>
        </row>
        <row r="20763">
          <cell r="E20763">
            <v>0</v>
          </cell>
          <cell r="F20763">
            <v>0</v>
          </cell>
          <cell r="DN20763">
            <v>0</v>
          </cell>
        </row>
        <row r="20764">
          <cell r="E20764">
            <v>0</v>
          </cell>
          <cell r="F20764">
            <v>0</v>
          </cell>
          <cell r="DN20764">
            <v>0</v>
          </cell>
        </row>
        <row r="20765">
          <cell r="E20765">
            <v>0</v>
          </cell>
          <cell r="F20765">
            <v>0</v>
          </cell>
          <cell r="DN20765">
            <v>0</v>
          </cell>
        </row>
        <row r="20766">
          <cell r="E20766">
            <v>0</v>
          </cell>
          <cell r="F20766">
            <v>0</v>
          </cell>
          <cell r="DN20766">
            <v>0</v>
          </cell>
        </row>
        <row r="20767">
          <cell r="E20767">
            <v>0</v>
          </cell>
          <cell r="F20767">
            <v>0</v>
          </cell>
          <cell r="DN20767">
            <v>0</v>
          </cell>
        </row>
        <row r="20768">
          <cell r="E20768">
            <v>0</v>
          </cell>
          <cell r="F20768">
            <v>0</v>
          </cell>
          <cell r="DN20768">
            <v>0</v>
          </cell>
        </row>
        <row r="20769">
          <cell r="E20769">
            <v>0</v>
          </cell>
          <cell r="F20769">
            <v>0</v>
          </cell>
          <cell r="DN20769">
            <v>0</v>
          </cell>
        </row>
        <row r="20770">
          <cell r="E20770">
            <v>0</v>
          </cell>
          <cell r="F20770">
            <v>0</v>
          </cell>
          <cell r="DN20770">
            <v>0</v>
          </cell>
        </row>
        <row r="20771">
          <cell r="E20771">
            <v>0</v>
          </cell>
          <cell r="F20771">
            <v>0</v>
          </cell>
          <cell r="DN20771">
            <v>0</v>
          </cell>
        </row>
        <row r="20772">
          <cell r="E20772">
            <v>0</v>
          </cell>
          <cell r="F20772">
            <v>0</v>
          </cell>
          <cell r="DN20772">
            <v>0</v>
          </cell>
        </row>
        <row r="20773">
          <cell r="E20773">
            <v>0</v>
          </cell>
          <cell r="F20773">
            <v>0</v>
          </cell>
          <cell r="DN20773">
            <v>0</v>
          </cell>
        </row>
        <row r="20774">
          <cell r="E20774">
            <v>0</v>
          </cell>
          <cell r="F20774">
            <v>0</v>
          </cell>
          <cell r="DN20774">
            <v>0</v>
          </cell>
        </row>
        <row r="20775">
          <cell r="E20775">
            <v>0</v>
          </cell>
          <cell r="F20775">
            <v>0</v>
          </cell>
          <cell r="DN20775">
            <v>0</v>
          </cell>
        </row>
        <row r="20776">
          <cell r="E20776">
            <v>0</v>
          </cell>
          <cell r="F20776">
            <v>0</v>
          </cell>
          <cell r="DN20776">
            <v>0</v>
          </cell>
        </row>
        <row r="20777">
          <cell r="E20777">
            <v>0</v>
          </cell>
          <cell r="F20777">
            <v>0</v>
          </cell>
          <cell r="DN20777">
            <v>0</v>
          </cell>
        </row>
        <row r="20778">
          <cell r="E20778">
            <v>0</v>
          </cell>
          <cell r="F20778">
            <v>0</v>
          </cell>
          <cell r="DN20778">
            <v>0</v>
          </cell>
        </row>
        <row r="20779">
          <cell r="E20779">
            <v>0</v>
          </cell>
          <cell r="F20779">
            <v>0</v>
          </cell>
          <cell r="DN20779">
            <v>0</v>
          </cell>
        </row>
        <row r="20780">
          <cell r="E20780">
            <v>0</v>
          </cell>
          <cell r="F20780">
            <v>0</v>
          </cell>
          <cell r="DN20780">
            <v>0</v>
          </cell>
        </row>
        <row r="20781">
          <cell r="E20781">
            <v>0</v>
          </cell>
          <cell r="F20781">
            <v>0</v>
          </cell>
          <cell r="DN20781">
            <v>0</v>
          </cell>
        </row>
        <row r="20782">
          <cell r="E20782">
            <v>0</v>
          </cell>
          <cell r="F20782">
            <v>0</v>
          </cell>
          <cell r="DN20782">
            <v>0</v>
          </cell>
        </row>
        <row r="20783">
          <cell r="E20783">
            <v>0</v>
          </cell>
          <cell r="F20783">
            <v>0</v>
          </cell>
          <cell r="DN20783">
            <v>0</v>
          </cell>
        </row>
        <row r="20784">
          <cell r="E20784">
            <v>0</v>
          </cell>
          <cell r="F20784">
            <v>0</v>
          </cell>
          <cell r="DN20784">
            <v>0</v>
          </cell>
        </row>
        <row r="20785">
          <cell r="E20785">
            <v>0</v>
          </cell>
          <cell r="F20785">
            <v>0</v>
          </cell>
          <cell r="DN20785">
            <v>0</v>
          </cell>
        </row>
        <row r="20786">
          <cell r="E20786">
            <v>0</v>
          </cell>
          <cell r="F20786">
            <v>0</v>
          </cell>
          <cell r="DN20786">
            <v>0</v>
          </cell>
        </row>
        <row r="20787">
          <cell r="E20787">
            <v>0</v>
          </cell>
          <cell r="F20787">
            <v>0</v>
          </cell>
          <cell r="DN20787">
            <v>0</v>
          </cell>
        </row>
        <row r="20788">
          <cell r="E20788">
            <v>0</v>
          </cell>
          <cell r="F20788">
            <v>0</v>
          </cell>
          <cell r="DN20788">
            <v>0</v>
          </cell>
        </row>
        <row r="20789">
          <cell r="E20789">
            <v>0</v>
          </cell>
          <cell r="F20789">
            <v>0</v>
          </cell>
          <cell r="DN20789">
            <v>0</v>
          </cell>
        </row>
        <row r="20790">
          <cell r="E20790">
            <v>0</v>
          </cell>
          <cell r="F20790">
            <v>0</v>
          </cell>
          <cell r="DN20790">
            <v>0</v>
          </cell>
        </row>
        <row r="20791">
          <cell r="E20791">
            <v>0</v>
          </cell>
          <cell r="F20791">
            <v>0</v>
          </cell>
          <cell r="DN20791">
            <v>0</v>
          </cell>
        </row>
        <row r="20792">
          <cell r="E20792">
            <v>0</v>
          </cell>
          <cell r="F20792">
            <v>0</v>
          </cell>
          <cell r="DN20792">
            <v>0</v>
          </cell>
        </row>
        <row r="20793">
          <cell r="E20793">
            <v>0</v>
          </cell>
          <cell r="F20793">
            <v>0</v>
          </cell>
          <cell r="DN20793">
            <v>0</v>
          </cell>
        </row>
        <row r="20794">
          <cell r="E20794">
            <v>0</v>
          </cell>
          <cell r="F20794">
            <v>0</v>
          </cell>
          <cell r="DN20794">
            <v>0</v>
          </cell>
        </row>
        <row r="20795">
          <cell r="E20795">
            <v>0</v>
          </cell>
          <cell r="F20795">
            <v>0</v>
          </cell>
          <cell r="DN20795">
            <v>0</v>
          </cell>
        </row>
        <row r="20796">
          <cell r="E20796">
            <v>0</v>
          </cell>
          <cell r="F20796">
            <v>0</v>
          </cell>
          <cell r="DN20796">
            <v>0</v>
          </cell>
        </row>
        <row r="20797">
          <cell r="E20797">
            <v>0</v>
          </cell>
          <cell r="F20797">
            <v>0</v>
          </cell>
          <cell r="DN20797">
            <v>0</v>
          </cell>
        </row>
        <row r="20798">
          <cell r="E20798">
            <v>0</v>
          </cell>
          <cell r="F20798">
            <v>0</v>
          </cell>
          <cell r="DN20798">
            <v>0</v>
          </cell>
        </row>
        <row r="20799">
          <cell r="E20799">
            <v>0</v>
          </cell>
          <cell r="F20799">
            <v>0</v>
          </cell>
          <cell r="DN20799">
            <v>0</v>
          </cell>
        </row>
        <row r="20800">
          <cell r="E20800">
            <v>0</v>
          </cell>
          <cell r="F20800">
            <v>0</v>
          </cell>
          <cell r="DN20800">
            <v>0</v>
          </cell>
        </row>
        <row r="20801">
          <cell r="E20801">
            <v>0</v>
          </cell>
          <cell r="F20801">
            <v>0</v>
          </cell>
          <cell r="DN20801">
            <v>0</v>
          </cell>
        </row>
        <row r="20802">
          <cell r="E20802">
            <v>0</v>
          </cell>
          <cell r="F20802">
            <v>0</v>
          </cell>
          <cell r="DN20802">
            <v>0</v>
          </cell>
        </row>
        <row r="20803">
          <cell r="E20803">
            <v>0</v>
          </cell>
          <cell r="F20803">
            <v>0</v>
          </cell>
          <cell r="DN20803">
            <v>0</v>
          </cell>
        </row>
        <row r="20804">
          <cell r="E20804">
            <v>0</v>
          </cell>
          <cell r="F20804">
            <v>0</v>
          </cell>
          <cell r="DN20804">
            <v>0</v>
          </cell>
        </row>
        <row r="20805">
          <cell r="E20805">
            <v>0</v>
          </cell>
          <cell r="F20805">
            <v>0</v>
          </cell>
          <cell r="DN20805">
            <v>0</v>
          </cell>
        </row>
        <row r="20806">
          <cell r="E20806">
            <v>0</v>
          </cell>
          <cell r="F20806">
            <v>0</v>
          </cell>
          <cell r="DN20806">
            <v>0</v>
          </cell>
        </row>
        <row r="20807">
          <cell r="E20807">
            <v>0</v>
          </cell>
          <cell r="F20807">
            <v>0</v>
          </cell>
          <cell r="DN20807">
            <v>0</v>
          </cell>
        </row>
        <row r="20808">
          <cell r="E20808">
            <v>0</v>
          </cell>
          <cell r="F20808">
            <v>0</v>
          </cell>
          <cell r="DN20808">
            <v>0</v>
          </cell>
        </row>
        <row r="20809">
          <cell r="E20809">
            <v>0</v>
          </cell>
          <cell r="F20809">
            <v>0</v>
          </cell>
          <cell r="DN20809">
            <v>0</v>
          </cell>
        </row>
        <row r="20810">
          <cell r="E20810">
            <v>0</v>
          </cell>
          <cell r="F20810">
            <v>0</v>
          </cell>
          <cell r="DN20810">
            <v>0</v>
          </cell>
        </row>
        <row r="20811">
          <cell r="E20811">
            <v>0</v>
          </cell>
          <cell r="F20811">
            <v>0</v>
          </cell>
          <cell r="DN20811">
            <v>0</v>
          </cell>
        </row>
        <row r="20812">
          <cell r="E20812">
            <v>0</v>
          </cell>
          <cell r="F20812">
            <v>0</v>
          </cell>
          <cell r="DN20812">
            <v>0</v>
          </cell>
        </row>
        <row r="20813">
          <cell r="E20813">
            <v>0</v>
          </cell>
          <cell r="F20813">
            <v>0</v>
          </cell>
          <cell r="DN20813">
            <v>0</v>
          </cell>
        </row>
        <row r="20814">
          <cell r="E20814">
            <v>0</v>
          </cell>
          <cell r="F20814">
            <v>0</v>
          </cell>
          <cell r="DN20814">
            <v>0</v>
          </cell>
        </row>
        <row r="20815">
          <cell r="E20815">
            <v>0</v>
          </cell>
          <cell r="F20815">
            <v>0</v>
          </cell>
          <cell r="DN20815">
            <v>0</v>
          </cell>
        </row>
        <row r="20816">
          <cell r="E20816">
            <v>0</v>
          </cell>
          <cell r="F20816">
            <v>0</v>
          </cell>
          <cell r="DN20816">
            <v>0</v>
          </cell>
        </row>
        <row r="20817">
          <cell r="E20817">
            <v>0</v>
          </cell>
          <cell r="F20817">
            <v>0</v>
          </cell>
          <cell r="DN20817">
            <v>0</v>
          </cell>
        </row>
        <row r="20818">
          <cell r="E20818">
            <v>0</v>
          </cell>
          <cell r="F20818">
            <v>0</v>
          </cell>
          <cell r="DN20818">
            <v>0</v>
          </cell>
        </row>
        <row r="20819">
          <cell r="E20819">
            <v>0</v>
          </cell>
          <cell r="F20819">
            <v>0</v>
          </cell>
          <cell r="DN20819">
            <v>0</v>
          </cell>
        </row>
        <row r="20820">
          <cell r="E20820">
            <v>0</v>
          </cell>
          <cell r="F20820">
            <v>0</v>
          </cell>
          <cell r="DN20820">
            <v>0</v>
          </cell>
        </row>
        <row r="20821">
          <cell r="E20821">
            <v>0</v>
          </cell>
          <cell r="F20821">
            <v>0</v>
          </cell>
          <cell r="DN20821">
            <v>0</v>
          </cell>
        </row>
        <row r="20822">
          <cell r="E20822">
            <v>0</v>
          </cell>
          <cell r="F20822">
            <v>0</v>
          </cell>
          <cell r="DN20822">
            <v>0</v>
          </cell>
        </row>
        <row r="20823">
          <cell r="E20823">
            <v>0</v>
          </cell>
          <cell r="F20823">
            <v>0</v>
          </cell>
          <cell r="DN20823">
            <v>0</v>
          </cell>
        </row>
        <row r="20824">
          <cell r="E20824">
            <v>0</v>
          </cell>
          <cell r="F20824">
            <v>0</v>
          </cell>
          <cell r="DN20824">
            <v>0</v>
          </cell>
        </row>
        <row r="20825">
          <cell r="E20825">
            <v>0</v>
          </cell>
          <cell r="F20825">
            <v>0</v>
          </cell>
          <cell r="DN20825">
            <v>0</v>
          </cell>
        </row>
        <row r="20826">
          <cell r="E20826">
            <v>0</v>
          </cell>
          <cell r="F20826">
            <v>0</v>
          </cell>
          <cell r="DN20826">
            <v>0</v>
          </cell>
        </row>
        <row r="20827">
          <cell r="E20827">
            <v>0</v>
          </cell>
          <cell r="F20827">
            <v>0</v>
          </cell>
          <cell r="DN20827">
            <v>0</v>
          </cell>
        </row>
        <row r="20828">
          <cell r="E20828">
            <v>0</v>
          </cell>
          <cell r="F20828">
            <v>0</v>
          </cell>
          <cell r="DN20828">
            <v>0</v>
          </cell>
        </row>
        <row r="20829">
          <cell r="E20829">
            <v>0</v>
          </cell>
          <cell r="F20829">
            <v>0</v>
          </cell>
          <cell r="DN20829">
            <v>0</v>
          </cell>
        </row>
        <row r="20830">
          <cell r="E20830">
            <v>0</v>
          </cell>
          <cell r="F20830">
            <v>0</v>
          </cell>
          <cell r="DN20830">
            <v>0</v>
          </cell>
        </row>
        <row r="20831">
          <cell r="E20831">
            <v>0</v>
          </cell>
          <cell r="F20831">
            <v>0</v>
          </cell>
          <cell r="DN20831">
            <v>0</v>
          </cell>
        </row>
        <row r="20832">
          <cell r="E20832">
            <v>0</v>
          </cell>
          <cell r="F20832">
            <v>0</v>
          </cell>
          <cell r="DN20832">
            <v>0</v>
          </cell>
        </row>
        <row r="20833">
          <cell r="E20833">
            <v>0</v>
          </cell>
          <cell r="F20833">
            <v>0</v>
          </cell>
          <cell r="DN20833">
            <v>0</v>
          </cell>
        </row>
        <row r="20834">
          <cell r="E20834">
            <v>0</v>
          </cell>
          <cell r="F20834">
            <v>0</v>
          </cell>
          <cell r="DN20834">
            <v>0</v>
          </cell>
        </row>
        <row r="20835">
          <cell r="E20835">
            <v>0</v>
          </cell>
          <cell r="F20835">
            <v>0</v>
          </cell>
          <cell r="DN20835">
            <v>0</v>
          </cell>
        </row>
        <row r="20836">
          <cell r="E20836">
            <v>0</v>
          </cell>
          <cell r="F20836">
            <v>0</v>
          </cell>
          <cell r="DN20836">
            <v>0</v>
          </cell>
        </row>
        <row r="20837">
          <cell r="E20837">
            <v>0</v>
          </cell>
          <cell r="F20837">
            <v>0</v>
          </cell>
          <cell r="DN20837">
            <v>0</v>
          </cell>
        </row>
        <row r="20838">
          <cell r="E20838">
            <v>0</v>
          </cell>
          <cell r="F20838">
            <v>0</v>
          </cell>
          <cell r="DN20838">
            <v>0</v>
          </cell>
        </row>
        <row r="20839">
          <cell r="E20839">
            <v>0</v>
          </cell>
          <cell r="F20839">
            <v>0</v>
          </cell>
          <cell r="DN20839">
            <v>0</v>
          </cell>
        </row>
        <row r="20840">
          <cell r="E20840">
            <v>0</v>
          </cell>
          <cell r="F20840">
            <v>0</v>
          </cell>
          <cell r="DN20840">
            <v>0</v>
          </cell>
        </row>
        <row r="20841">
          <cell r="E20841">
            <v>0</v>
          </cell>
          <cell r="F20841">
            <v>0</v>
          </cell>
          <cell r="DN20841">
            <v>0</v>
          </cell>
        </row>
        <row r="20842">
          <cell r="E20842">
            <v>0</v>
          </cell>
          <cell r="F20842">
            <v>0</v>
          </cell>
          <cell r="DN20842">
            <v>0</v>
          </cell>
        </row>
        <row r="20843">
          <cell r="E20843">
            <v>0</v>
          </cell>
          <cell r="F20843">
            <v>0</v>
          </cell>
          <cell r="DN20843">
            <v>0</v>
          </cell>
        </row>
        <row r="20844">
          <cell r="E20844">
            <v>0</v>
          </cell>
          <cell r="F20844">
            <v>0</v>
          </cell>
          <cell r="DN20844">
            <v>0</v>
          </cell>
        </row>
        <row r="20845">
          <cell r="E20845">
            <v>0</v>
          </cell>
          <cell r="F20845">
            <v>0</v>
          </cell>
          <cell r="DN20845">
            <v>0</v>
          </cell>
        </row>
        <row r="20846">
          <cell r="E20846">
            <v>0</v>
          </cell>
          <cell r="F20846">
            <v>0</v>
          </cell>
          <cell r="DN20846">
            <v>0</v>
          </cell>
        </row>
        <row r="20847">
          <cell r="E20847">
            <v>0</v>
          </cell>
          <cell r="F20847">
            <v>0</v>
          </cell>
          <cell r="DN20847">
            <v>0</v>
          </cell>
        </row>
        <row r="20848">
          <cell r="E20848">
            <v>0</v>
          </cell>
          <cell r="F20848">
            <v>0</v>
          </cell>
          <cell r="DN20848">
            <v>0</v>
          </cell>
        </row>
        <row r="20849">
          <cell r="E20849">
            <v>0</v>
          </cell>
          <cell r="F20849">
            <v>0</v>
          </cell>
          <cell r="DN20849">
            <v>0</v>
          </cell>
        </row>
        <row r="20850">
          <cell r="E20850">
            <v>0</v>
          </cell>
          <cell r="F20850">
            <v>0</v>
          </cell>
          <cell r="DN20850">
            <v>0</v>
          </cell>
        </row>
        <row r="20851">
          <cell r="E20851">
            <v>0</v>
          </cell>
          <cell r="F20851">
            <v>0</v>
          </cell>
          <cell r="DN20851">
            <v>0</v>
          </cell>
        </row>
        <row r="20852">
          <cell r="E20852">
            <v>0</v>
          </cell>
          <cell r="F20852">
            <v>0</v>
          </cell>
          <cell r="DN20852">
            <v>0</v>
          </cell>
        </row>
        <row r="20853">
          <cell r="E20853">
            <v>0</v>
          </cell>
          <cell r="F20853">
            <v>0</v>
          </cell>
          <cell r="DN20853">
            <v>0</v>
          </cell>
        </row>
        <row r="20854">
          <cell r="E20854">
            <v>0</v>
          </cell>
          <cell r="F20854">
            <v>0</v>
          </cell>
          <cell r="DN20854">
            <v>0</v>
          </cell>
        </row>
        <row r="20855">
          <cell r="E20855">
            <v>0</v>
          </cell>
          <cell r="F20855">
            <v>0</v>
          </cell>
          <cell r="DN20855">
            <v>0</v>
          </cell>
        </row>
        <row r="20856">
          <cell r="E20856">
            <v>0</v>
          </cell>
          <cell r="F20856">
            <v>0</v>
          </cell>
          <cell r="DN20856">
            <v>0</v>
          </cell>
        </row>
        <row r="20857">
          <cell r="E20857">
            <v>0</v>
          </cell>
          <cell r="F20857">
            <v>0</v>
          </cell>
          <cell r="DN20857">
            <v>0</v>
          </cell>
        </row>
        <row r="20858">
          <cell r="E20858">
            <v>0</v>
          </cell>
          <cell r="F20858">
            <v>0</v>
          </cell>
          <cell r="DN20858">
            <v>0</v>
          </cell>
        </row>
        <row r="20859">
          <cell r="E20859">
            <v>0</v>
          </cell>
          <cell r="F20859">
            <v>0</v>
          </cell>
          <cell r="DN20859">
            <v>0</v>
          </cell>
        </row>
        <row r="20860">
          <cell r="E20860">
            <v>0</v>
          </cell>
          <cell r="F20860">
            <v>0</v>
          </cell>
          <cell r="DN20860">
            <v>0</v>
          </cell>
        </row>
        <row r="20861">
          <cell r="E20861">
            <v>0</v>
          </cell>
          <cell r="F20861">
            <v>0</v>
          </cell>
          <cell r="DN20861">
            <v>0</v>
          </cell>
        </row>
        <row r="20862">
          <cell r="E20862">
            <v>0</v>
          </cell>
          <cell r="F20862">
            <v>0</v>
          </cell>
          <cell r="DN20862">
            <v>0</v>
          </cell>
        </row>
        <row r="20863">
          <cell r="E20863">
            <v>0</v>
          </cell>
          <cell r="F20863">
            <v>0</v>
          </cell>
          <cell r="DN20863">
            <v>0</v>
          </cell>
        </row>
        <row r="20864">
          <cell r="E20864">
            <v>0</v>
          </cell>
          <cell r="F20864">
            <v>0</v>
          </cell>
          <cell r="DN20864">
            <v>0</v>
          </cell>
        </row>
        <row r="20865">
          <cell r="E20865">
            <v>0</v>
          </cell>
          <cell r="F20865">
            <v>0</v>
          </cell>
          <cell r="DN20865">
            <v>0</v>
          </cell>
        </row>
        <row r="20866">
          <cell r="E20866">
            <v>0</v>
          </cell>
          <cell r="F20866">
            <v>0</v>
          </cell>
          <cell r="DN20866">
            <v>0</v>
          </cell>
        </row>
        <row r="20867">
          <cell r="E20867">
            <v>0</v>
          </cell>
          <cell r="F20867">
            <v>0</v>
          </cell>
          <cell r="DN20867">
            <v>0</v>
          </cell>
        </row>
        <row r="20868">
          <cell r="E20868">
            <v>0</v>
          </cell>
          <cell r="F20868">
            <v>0</v>
          </cell>
          <cell r="DN20868">
            <v>0</v>
          </cell>
        </row>
        <row r="20869">
          <cell r="E20869">
            <v>0</v>
          </cell>
          <cell r="F20869">
            <v>0</v>
          </cell>
          <cell r="DN20869">
            <v>0</v>
          </cell>
        </row>
        <row r="20870">
          <cell r="E20870">
            <v>0</v>
          </cell>
          <cell r="F20870">
            <v>0</v>
          </cell>
          <cell r="DN20870">
            <v>0</v>
          </cell>
        </row>
        <row r="20871">
          <cell r="E20871">
            <v>0</v>
          </cell>
          <cell r="F20871">
            <v>0</v>
          </cell>
          <cell r="DN20871">
            <v>0</v>
          </cell>
        </row>
        <row r="20872">
          <cell r="E20872">
            <v>0</v>
          </cell>
          <cell r="F20872">
            <v>0</v>
          </cell>
          <cell r="DN20872">
            <v>0</v>
          </cell>
        </row>
        <row r="20873">
          <cell r="E20873">
            <v>0</v>
          </cell>
          <cell r="F20873">
            <v>0</v>
          </cell>
          <cell r="DN20873">
            <v>0</v>
          </cell>
        </row>
        <row r="20874">
          <cell r="E20874">
            <v>0</v>
          </cell>
          <cell r="F20874">
            <v>0</v>
          </cell>
          <cell r="DN20874">
            <v>0</v>
          </cell>
        </row>
        <row r="20875">
          <cell r="E20875">
            <v>0</v>
          </cell>
          <cell r="F20875">
            <v>0</v>
          </cell>
          <cell r="DN20875">
            <v>0</v>
          </cell>
        </row>
        <row r="20876">
          <cell r="E20876">
            <v>0</v>
          </cell>
          <cell r="F20876">
            <v>0</v>
          </cell>
          <cell r="DN20876">
            <v>0</v>
          </cell>
        </row>
        <row r="20877">
          <cell r="E20877">
            <v>0</v>
          </cell>
          <cell r="F20877">
            <v>0</v>
          </cell>
          <cell r="DN20877">
            <v>0</v>
          </cell>
        </row>
        <row r="20878">
          <cell r="E20878">
            <v>0</v>
          </cell>
          <cell r="F20878">
            <v>0</v>
          </cell>
          <cell r="DN20878">
            <v>0</v>
          </cell>
        </row>
        <row r="20879">
          <cell r="E20879">
            <v>0</v>
          </cell>
          <cell r="F20879">
            <v>0</v>
          </cell>
          <cell r="DN20879">
            <v>0</v>
          </cell>
        </row>
        <row r="20880">
          <cell r="E20880">
            <v>0</v>
          </cell>
          <cell r="F20880">
            <v>0</v>
          </cell>
          <cell r="DN20880">
            <v>0</v>
          </cell>
        </row>
        <row r="20881">
          <cell r="E20881">
            <v>0</v>
          </cell>
          <cell r="F20881">
            <v>0</v>
          </cell>
          <cell r="DN20881">
            <v>0</v>
          </cell>
        </row>
        <row r="20882">
          <cell r="E20882">
            <v>0</v>
          </cell>
          <cell r="F20882">
            <v>0</v>
          </cell>
          <cell r="DN20882">
            <v>0</v>
          </cell>
        </row>
        <row r="20883">
          <cell r="E20883">
            <v>0</v>
          </cell>
          <cell r="F20883">
            <v>0</v>
          </cell>
          <cell r="DN20883">
            <v>0</v>
          </cell>
        </row>
        <row r="20884">
          <cell r="E20884">
            <v>0</v>
          </cell>
          <cell r="F20884">
            <v>0</v>
          </cell>
          <cell r="DN20884">
            <v>0</v>
          </cell>
        </row>
        <row r="20885">
          <cell r="E20885">
            <v>0</v>
          </cell>
          <cell r="F20885">
            <v>0</v>
          </cell>
          <cell r="DN20885">
            <v>0</v>
          </cell>
        </row>
        <row r="20886">
          <cell r="E20886">
            <v>0</v>
          </cell>
          <cell r="F20886">
            <v>0</v>
          </cell>
          <cell r="DN20886">
            <v>0</v>
          </cell>
        </row>
        <row r="20887">
          <cell r="E20887">
            <v>0</v>
          </cell>
          <cell r="F20887">
            <v>0</v>
          </cell>
          <cell r="DN20887">
            <v>0</v>
          </cell>
        </row>
        <row r="20888">
          <cell r="E20888">
            <v>0</v>
          </cell>
          <cell r="F20888">
            <v>0</v>
          </cell>
          <cell r="DN20888">
            <v>0</v>
          </cell>
        </row>
        <row r="20889">
          <cell r="E20889">
            <v>0</v>
          </cell>
          <cell r="F20889">
            <v>0</v>
          </cell>
          <cell r="DN20889">
            <v>0</v>
          </cell>
        </row>
        <row r="20890">
          <cell r="E20890">
            <v>0</v>
          </cell>
          <cell r="F20890">
            <v>0</v>
          </cell>
          <cell r="DN20890">
            <v>0</v>
          </cell>
        </row>
        <row r="20891">
          <cell r="E20891">
            <v>0</v>
          </cell>
          <cell r="F20891">
            <v>0</v>
          </cell>
          <cell r="DN20891">
            <v>0</v>
          </cell>
        </row>
        <row r="20892">
          <cell r="E20892">
            <v>0</v>
          </cell>
          <cell r="F20892">
            <v>0</v>
          </cell>
          <cell r="DN20892">
            <v>0</v>
          </cell>
        </row>
        <row r="20893">
          <cell r="E20893">
            <v>0</v>
          </cell>
          <cell r="F20893">
            <v>0</v>
          </cell>
          <cell r="DN20893">
            <v>0</v>
          </cell>
        </row>
        <row r="20894">
          <cell r="E20894">
            <v>0</v>
          </cell>
          <cell r="F20894">
            <v>0</v>
          </cell>
          <cell r="DN20894">
            <v>0</v>
          </cell>
        </row>
        <row r="20895">
          <cell r="E20895">
            <v>0</v>
          </cell>
          <cell r="F20895">
            <v>0</v>
          </cell>
          <cell r="DN20895">
            <v>0</v>
          </cell>
        </row>
        <row r="20896">
          <cell r="E20896">
            <v>0</v>
          </cell>
          <cell r="F20896">
            <v>0</v>
          </cell>
          <cell r="DN20896">
            <v>0</v>
          </cell>
        </row>
        <row r="20897">
          <cell r="E20897">
            <v>0</v>
          </cell>
          <cell r="F20897">
            <v>0</v>
          </cell>
          <cell r="DN20897">
            <v>0</v>
          </cell>
        </row>
        <row r="20898">
          <cell r="E20898">
            <v>0</v>
          </cell>
          <cell r="F20898">
            <v>0</v>
          </cell>
          <cell r="DN20898">
            <v>0</v>
          </cell>
        </row>
        <row r="20899">
          <cell r="E20899">
            <v>0</v>
          </cell>
          <cell r="F20899">
            <v>0</v>
          </cell>
          <cell r="DN20899">
            <v>0</v>
          </cell>
        </row>
        <row r="20900">
          <cell r="E20900">
            <v>0</v>
          </cell>
          <cell r="F20900">
            <v>0</v>
          </cell>
          <cell r="DN20900">
            <v>0</v>
          </cell>
        </row>
        <row r="20901">
          <cell r="E20901">
            <v>0</v>
          </cell>
          <cell r="F20901">
            <v>0</v>
          </cell>
          <cell r="DN20901">
            <v>0</v>
          </cell>
        </row>
        <row r="20902">
          <cell r="E20902">
            <v>0</v>
          </cell>
          <cell r="F20902">
            <v>0</v>
          </cell>
          <cell r="DN20902">
            <v>0</v>
          </cell>
        </row>
        <row r="20903">
          <cell r="E20903">
            <v>0</v>
          </cell>
          <cell r="F20903">
            <v>0</v>
          </cell>
          <cell r="DN20903">
            <v>0</v>
          </cell>
        </row>
        <row r="20904">
          <cell r="E20904">
            <v>0</v>
          </cell>
          <cell r="F20904">
            <v>0</v>
          </cell>
          <cell r="DN20904">
            <v>0</v>
          </cell>
        </row>
        <row r="20905">
          <cell r="E20905">
            <v>0</v>
          </cell>
          <cell r="F20905">
            <v>0</v>
          </cell>
          <cell r="DN20905">
            <v>0</v>
          </cell>
        </row>
        <row r="20906">
          <cell r="E20906">
            <v>0</v>
          </cell>
          <cell r="F20906">
            <v>0</v>
          </cell>
          <cell r="DN20906">
            <v>0</v>
          </cell>
        </row>
        <row r="20907">
          <cell r="E20907">
            <v>0</v>
          </cell>
          <cell r="F20907">
            <v>0</v>
          </cell>
          <cell r="DN20907">
            <v>0</v>
          </cell>
        </row>
        <row r="20908">
          <cell r="E20908">
            <v>0</v>
          </cell>
          <cell r="F20908">
            <v>0</v>
          </cell>
          <cell r="DN20908">
            <v>0</v>
          </cell>
        </row>
        <row r="20909">
          <cell r="E20909">
            <v>0</v>
          </cell>
          <cell r="F20909">
            <v>0</v>
          </cell>
          <cell r="DN20909">
            <v>0</v>
          </cell>
        </row>
        <row r="20910">
          <cell r="E20910">
            <v>0</v>
          </cell>
          <cell r="F20910">
            <v>0</v>
          </cell>
          <cell r="DN20910">
            <v>0</v>
          </cell>
        </row>
        <row r="20911">
          <cell r="E20911">
            <v>0</v>
          </cell>
          <cell r="F20911">
            <v>0</v>
          </cell>
          <cell r="DN20911">
            <v>0</v>
          </cell>
        </row>
        <row r="20912">
          <cell r="E20912">
            <v>0</v>
          </cell>
          <cell r="F20912">
            <v>0</v>
          </cell>
          <cell r="DN20912">
            <v>0</v>
          </cell>
        </row>
        <row r="20913">
          <cell r="E20913">
            <v>0</v>
          </cell>
          <cell r="F20913">
            <v>0</v>
          </cell>
          <cell r="DN20913">
            <v>0</v>
          </cell>
        </row>
        <row r="20914">
          <cell r="E20914">
            <v>0</v>
          </cell>
          <cell r="F20914">
            <v>0</v>
          </cell>
          <cell r="DN20914">
            <v>0</v>
          </cell>
        </row>
        <row r="20915">
          <cell r="E20915">
            <v>0</v>
          </cell>
          <cell r="F20915">
            <v>0</v>
          </cell>
          <cell r="DN20915">
            <v>0</v>
          </cell>
        </row>
        <row r="20916">
          <cell r="E20916">
            <v>0</v>
          </cell>
          <cell r="F20916">
            <v>0</v>
          </cell>
          <cell r="DN20916">
            <v>0</v>
          </cell>
        </row>
        <row r="20917">
          <cell r="E20917">
            <v>0</v>
          </cell>
          <cell r="F20917">
            <v>0</v>
          </cell>
          <cell r="DN20917">
            <v>0</v>
          </cell>
        </row>
        <row r="20918">
          <cell r="E20918">
            <v>0</v>
          </cell>
          <cell r="F20918">
            <v>0</v>
          </cell>
          <cell r="DN20918">
            <v>0</v>
          </cell>
        </row>
        <row r="20919">
          <cell r="E20919">
            <v>0</v>
          </cell>
          <cell r="F20919">
            <v>0</v>
          </cell>
          <cell r="DN20919">
            <v>0</v>
          </cell>
        </row>
        <row r="20920">
          <cell r="E20920">
            <v>0</v>
          </cell>
          <cell r="F20920">
            <v>0</v>
          </cell>
          <cell r="DN20920">
            <v>0</v>
          </cell>
        </row>
        <row r="20921">
          <cell r="E20921">
            <v>0</v>
          </cell>
          <cell r="F20921">
            <v>0</v>
          </cell>
          <cell r="DN20921">
            <v>0</v>
          </cell>
        </row>
        <row r="20922">
          <cell r="E20922">
            <v>0</v>
          </cell>
          <cell r="F20922">
            <v>0</v>
          </cell>
          <cell r="DN20922">
            <v>0</v>
          </cell>
        </row>
        <row r="20923">
          <cell r="E20923">
            <v>0</v>
          </cell>
          <cell r="F20923">
            <v>0</v>
          </cell>
          <cell r="DN20923">
            <v>0</v>
          </cell>
        </row>
        <row r="20924">
          <cell r="E20924">
            <v>0</v>
          </cell>
          <cell r="F20924">
            <v>0</v>
          </cell>
          <cell r="DN20924">
            <v>0</v>
          </cell>
        </row>
        <row r="20925">
          <cell r="E20925">
            <v>0</v>
          </cell>
          <cell r="F20925">
            <v>0</v>
          </cell>
          <cell r="DN20925">
            <v>0</v>
          </cell>
        </row>
        <row r="20926">
          <cell r="E20926">
            <v>0</v>
          </cell>
          <cell r="F20926">
            <v>0</v>
          </cell>
          <cell r="DN20926">
            <v>0</v>
          </cell>
        </row>
        <row r="20927">
          <cell r="E20927">
            <v>0</v>
          </cell>
          <cell r="F20927">
            <v>0</v>
          </cell>
          <cell r="DN20927">
            <v>0</v>
          </cell>
        </row>
        <row r="20928">
          <cell r="E20928">
            <v>0</v>
          </cell>
          <cell r="F20928">
            <v>0</v>
          </cell>
          <cell r="DN20928">
            <v>0</v>
          </cell>
        </row>
        <row r="20929">
          <cell r="E20929">
            <v>0</v>
          </cell>
          <cell r="F20929">
            <v>0</v>
          </cell>
          <cell r="DN20929">
            <v>0</v>
          </cell>
        </row>
        <row r="20930">
          <cell r="E20930">
            <v>0</v>
          </cell>
          <cell r="F20930">
            <v>0</v>
          </cell>
          <cell r="DN20930">
            <v>0</v>
          </cell>
        </row>
        <row r="20931">
          <cell r="E20931">
            <v>0</v>
          </cell>
          <cell r="F20931">
            <v>0</v>
          </cell>
          <cell r="DN20931">
            <v>0</v>
          </cell>
        </row>
        <row r="20932">
          <cell r="E20932">
            <v>0</v>
          </cell>
          <cell r="F20932">
            <v>0</v>
          </cell>
          <cell r="DN20932">
            <v>0</v>
          </cell>
        </row>
        <row r="20933">
          <cell r="E20933">
            <v>0</v>
          </cell>
          <cell r="F20933">
            <v>0</v>
          </cell>
          <cell r="DN20933">
            <v>0</v>
          </cell>
        </row>
        <row r="20934">
          <cell r="E20934">
            <v>0</v>
          </cell>
          <cell r="F20934">
            <v>0</v>
          </cell>
          <cell r="DN20934">
            <v>0</v>
          </cell>
        </row>
        <row r="20935">
          <cell r="E20935">
            <v>0</v>
          </cell>
          <cell r="F20935">
            <v>0</v>
          </cell>
          <cell r="DN20935">
            <v>0</v>
          </cell>
        </row>
        <row r="20936">
          <cell r="E20936">
            <v>0</v>
          </cell>
          <cell r="F20936">
            <v>0</v>
          </cell>
          <cell r="DN20936">
            <v>0</v>
          </cell>
        </row>
        <row r="20937">
          <cell r="E20937">
            <v>0</v>
          </cell>
          <cell r="F20937">
            <v>0</v>
          </cell>
          <cell r="DN20937">
            <v>0</v>
          </cell>
        </row>
        <row r="20938">
          <cell r="E20938">
            <v>0</v>
          </cell>
          <cell r="F20938">
            <v>0</v>
          </cell>
          <cell r="DN20938">
            <v>0</v>
          </cell>
        </row>
        <row r="20939">
          <cell r="E20939">
            <v>0</v>
          </cell>
          <cell r="F20939">
            <v>0</v>
          </cell>
          <cell r="DN20939">
            <v>0</v>
          </cell>
        </row>
        <row r="20940">
          <cell r="E20940">
            <v>0</v>
          </cell>
          <cell r="F20940">
            <v>0</v>
          </cell>
          <cell r="DN20940">
            <v>0</v>
          </cell>
        </row>
        <row r="20941">
          <cell r="E20941">
            <v>0</v>
          </cell>
          <cell r="F20941">
            <v>0</v>
          </cell>
          <cell r="DN20941">
            <v>0</v>
          </cell>
        </row>
        <row r="20942">
          <cell r="E20942">
            <v>0</v>
          </cell>
          <cell r="F20942">
            <v>0</v>
          </cell>
          <cell r="DN20942">
            <v>0</v>
          </cell>
        </row>
        <row r="20943">
          <cell r="E20943">
            <v>0</v>
          </cell>
          <cell r="F20943">
            <v>0</v>
          </cell>
          <cell r="DN20943">
            <v>0</v>
          </cell>
        </row>
        <row r="20944">
          <cell r="E20944">
            <v>0</v>
          </cell>
          <cell r="F20944">
            <v>0</v>
          </cell>
          <cell r="DN20944">
            <v>0</v>
          </cell>
        </row>
        <row r="20945">
          <cell r="E20945">
            <v>0</v>
          </cell>
          <cell r="F20945">
            <v>0</v>
          </cell>
          <cell r="DN20945">
            <v>0</v>
          </cell>
        </row>
        <row r="20946">
          <cell r="E20946">
            <v>0</v>
          </cell>
          <cell r="F20946">
            <v>0</v>
          </cell>
          <cell r="DN20946">
            <v>0</v>
          </cell>
        </row>
        <row r="20947">
          <cell r="E20947">
            <v>0</v>
          </cell>
          <cell r="F20947">
            <v>0</v>
          </cell>
          <cell r="DN20947">
            <v>0</v>
          </cell>
        </row>
        <row r="20948">
          <cell r="E20948">
            <v>0</v>
          </cell>
          <cell r="F20948">
            <v>0</v>
          </cell>
          <cell r="DN20948">
            <v>0</v>
          </cell>
        </row>
        <row r="20949">
          <cell r="E20949">
            <v>0</v>
          </cell>
          <cell r="F20949">
            <v>0</v>
          </cell>
          <cell r="DN20949">
            <v>0</v>
          </cell>
        </row>
        <row r="20950">
          <cell r="E20950">
            <v>0</v>
          </cell>
          <cell r="F20950">
            <v>0</v>
          </cell>
          <cell r="DN20950">
            <v>0</v>
          </cell>
        </row>
        <row r="20951">
          <cell r="E20951">
            <v>0</v>
          </cell>
          <cell r="F20951">
            <v>0</v>
          </cell>
          <cell r="DN20951">
            <v>0</v>
          </cell>
        </row>
        <row r="20952">
          <cell r="E20952">
            <v>0</v>
          </cell>
          <cell r="F20952">
            <v>0</v>
          </cell>
          <cell r="DN20952">
            <v>0</v>
          </cell>
        </row>
        <row r="20953">
          <cell r="E20953">
            <v>0</v>
          </cell>
          <cell r="F20953">
            <v>0</v>
          </cell>
          <cell r="DN20953">
            <v>0</v>
          </cell>
        </row>
        <row r="20954">
          <cell r="E20954">
            <v>0</v>
          </cell>
          <cell r="F20954">
            <v>0</v>
          </cell>
          <cell r="DN20954">
            <v>0</v>
          </cell>
        </row>
        <row r="20955">
          <cell r="E20955">
            <v>0</v>
          </cell>
          <cell r="F20955">
            <v>0</v>
          </cell>
          <cell r="DN20955">
            <v>0</v>
          </cell>
        </row>
        <row r="20956">
          <cell r="E20956">
            <v>0</v>
          </cell>
          <cell r="F20956">
            <v>0</v>
          </cell>
          <cell r="DN20956">
            <v>0</v>
          </cell>
        </row>
        <row r="20957">
          <cell r="E20957">
            <v>0</v>
          </cell>
          <cell r="F20957">
            <v>0</v>
          </cell>
          <cell r="DN20957">
            <v>0</v>
          </cell>
        </row>
        <row r="20958">
          <cell r="E20958">
            <v>0</v>
          </cell>
          <cell r="F20958">
            <v>0</v>
          </cell>
          <cell r="DN20958">
            <v>0</v>
          </cell>
        </row>
        <row r="20959">
          <cell r="E20959">
            <v>0</v>
          </cell>
          <cell r="F20959">
            <v>0</v>
          </cell>
          <cell r="DN20959">
            <v>0</v>
          </cell>
        </row>
        <row r="20960">
          <cell r="E20960">
            <v>0</v>
          </cell>
          <cell r="F20960">
            <v>0</v>
          </cell>
          <cell r="DN20960">
            <v>0</v>
          </cell>
        </row>
        <row r="20961">
          <cell r="E20961">
            <v>0</v>
          </cell>
          <cell r="F20961">
            <v>0</v>
          </cell>
          <cell r="DN20961">
            <v>0</v>
          </cell>
        </row>
        <row r="20962">
          <cell r="E20962">
            <v>0</v>
          </cell>
          <cell r="F20962">
            <v>0</v>
          </cell>
          <cell r="DN20962">
            <v>0</v>
          </cell>
        </row>
        <row r="20963">
          <cell r="E20963">
            <v>0</v>
          </cell>
          <cell r="F20963">
            <v>0</v>
          </cell>
          <cell r="DN20963">
            <v>0</v>
          </cell>
        </row>
        <row r="20964">
          <cell r="E20964">
            <v>0</v>
          </cell>
          <cell r="F20964">
            <v>0</v>
          </cell>
          <cell r="DN20964">
            <v>0</v>
          </cell>
        </row>
        <row r="20965">
          <cell r="E20965">
            <v>0</v>
          </cell>
          <cell r="F20965">
            <v>0</v>
          </cell>
          <cell r="DN20965">
            <v>0</v>
          </cell>
        </row>
        <row r="20966">
          <cell r="E20966">
            <v>0</v>
          </cell>
          <cell r="F20966">
            <v>0</v>
          </cell>
          <cell r="DN20966">
            <v>0</v>
          </cell>
        </row>
        <row r="20967">
          <cell r="E20967">
            <v>0</v>
          </cell>
          <cell r="F20967">
            <v>0</v>
          </cell>
          <cell r="DN20967">
            <v>0</v>
          </cell>
        </row>
        <row r="20968">
          <cell r="E20968">
            <v>0</v>
          </cell>
          <cell r="F20968">
            <v>0</v>
          </cell>
          <cell r="DN20968">
            <v>0</v>
          </cell>
        </row>
        <row r="20969">
          <cell r="E20969">
            <v>0</v>
          </cell>
          <cell r="F20969">
            <v>0</v>
          </cell>
          <cell r="DN20969">
            <v>0</v>
          </cell>
        </row>
        <row r="20970">
          <cell r="E20970">
            <v>0</v>
          </cell>
          <cell r="F20970">
            <v>0</v>
          </cell>
          <cell r="DN20970">
            <v>0</v>
          </cell>
        </row>
        <row r="20971">
          <cell r="E20971">
            <v>0</v>
          </cell>
          <cell r="F20971">
            <v>0</v>
          </cell>
          <cell r="DN20971">
            <v>0</v>
          </cell>
        </row>
        <row r="20972">
          <cell r="E20972">
            <v>0</v>
          </cell>
          <cell r="F20972">
            <v>0</v>
          </cell>
          <cell r="DN20972">
            <v>0</v>
          </cell>
        </row>
        <row r="20973">
          <cell r="E20973">
            <v>0</v>
          </cell>
          <cell r="F20973">
            <v>0</v>
          </cell>
          <cell r="DN20973">
            <v>0</v>
          </cell>
        </row>
        <row r="20974">
          <cell r="E20974">
            <v>0</v>
          </cell>
          <cell r="F20974">
            <v>0</v>
          </cell>
          <cell r="DN20974">
            <v>0</v>
          </cell>
        </row>
        <row r="20975">
          <cell r="E20975">
            <v>0</v>
          </cell>
          <cell r="F20975">
            <v>0</v>
          </cell>
          <cell r="DN20975">
            <v>0</v>
          </cell>
        </row>
        <row r="20976">
          <cell r="E20976">
            <v>0</v>
          </cell>
          <cell r="F20976">
            <v>0</v>
          </cell>
          <cell r="DN20976">
            <v>0</v>
          </cell>
        </row>
        <row r="20977">
          <cell r="E20977">
            <v>0</v>
          </cell>
          <cell r="F20977">
            <v>0</v>
          </cell>
          <cell r="DN20977">
            <v>0</v>
          </cell>
        </row>
        <row r="20978">
          <cell r="E20978">
            <v>0</v>
          </cell>
          <cell r="F20978">
            <v>0</v>
          </cell>
          <cell r="DN20978">
            <v>0</v>
          </cell>
        </row>
        <row r="20979">
          <cell r="E20979">
            <v>0</v>
          </cell>
          <cell r="F20979">
            <v>0</v>
          </cell>
          <cell r="DN20979">
            <v>0</v>
          </cell>
        </row>
        <row r="20980">
          <cell r="E20980">
            <v>0</v>
          </cell>
          <cell r="F20980">
            <v>0</v>
          </cell>
          <cell r="DN20980">
            <v>0</v>
          </cell>
        </row>
        <row r="20981">
          <cell r="E20981">
            <v>0</v>
          </cell>
          <cell r="F20981">
            <v>0</v>
          </cell>
          <cell r="DN20981">
            <v>0</v>
          </cell>
        </row>
        <row r="20982">
          <cell r="E20982">
            <v>0</v>
          </cell>
          <cell r="F20982">
            <v>0</v>
          </cell>
          <cell r="DN20982">
            <v>0</v>
          </cell>
        </row>
        <row r="20983">
          <cell r="E20983">
            <v>0</v>
          </cell>
          <cell r="F20983">
            <v>0</v>
          </cell>
          <cell r="DN20983">
            <v>0</v>
          </cell>
        </row>
        <row r="20984">
          <cell r="E20984">
            <v>0</v>
          </cell>
          <cell r="F20984">
            <v>0</v>
          </cell>
          <cell r="DN20984">
            <v>0</v>
          </cell>
        </row>
        <row r="20985">
          <cell r="E20985">
            <v>0</v>
          </cell>
          <cell r="F20985">
            <v>0</v>
          </cell>
          <cell r="DN20985">
            <v>0</v>
          </cell>
        </row>
        <row r="20986">
          <cell r="E20986">
            <v>0</v>
          </cell>
          <cell r="F20986">
            <v>0</v>
          </cell>
          <cell r="DN20986">
            <v>0</v>
          </cell>
        </row>
        <row r="20987">
          <cell r="E20987">
            <v>0</v>
          </cell>
          <cell r="F20987">
            <v>0</v>
          </cell>
          <cell r="DN20987">
            <v>0</v>
          </cell>
        </row>
        <row r="20988">
          <cell r="E20988">
            <v>0</v>
          </cell>
          <cell r="F20988">
            <v>0</v>
          </cell>
          <cell r="DN20988">
            <v>0</v>
          </cell>
        </row>
        <row r="20989">
          <cell r="E20989">
            <v>0</v>
          </cell>
          <cell r="F20989">
            <v>0</v>
          </cell>
          <cell r="DN20989">
            <v>0</v>
          </cell>
        </row>
        <row r="20990">
          <cell r="E20990">
            <v>0</v>
          </cell>
          <cell r="F20990">
            <v>0</v>
          </cell>
          <cell r="DN20990">
            <v>0</v>
          </cell>
        </row>
        <row r="20991">
          <cell r="E20991">
            <v>0</v>
          </cell>
          <cell r="F20991">
            <v>0</v>
          </cell>
          <cell r="DN20991">
            <v>0</v>
          </cell>
        </row>
        <row r="20992">
          <cell r="E20992">
            <v>0</v>
          </cell>
          <cell r="F20992">
            <v>0</v>
          </cell>
          <cell r="DN20992">
            <v>0</v>
          </cell>
        </row>
        <row r="20993">
          <cell r="E20993">
            <v>0</v>
          </cell>
          <cell r="F20993">
            <v>0</v>
          </cell>
          <cell r="DN20993">
            <v>0</v>
          </cell>
        </row>
        <row r="20994">
          <cell r="E20994">
            <v>0</v>
          </cell>
          <cell r="F20994">
            <v>0</v>
          </cell>
          <cell r="DN20994">
            <v>0</v>
          </cell>
        </row>
        <row r="20995">
          <cell r="E20995">
            <v>0</v>
          </cell>
          <cell r="F20995">
            <v>0</v>
          </cell>
          <cell r="DN20995">
            <v>0</v>
          </cell>
        </row>
        <row r="20996">
          <cell r="E20996">
            <v>0</v>
          </cell>
          <cell r="F20996">
            <v>0</v>
          </cell>
          <cell r="DN20996">
            <v>0</v>
          </cell>
        </row>
        <row r="20997">
          <cell r="E20997">
            <v>0</v>
          </cell>
          <cell r="F20997">
            <v>0</v>
          </cell>
          <cell r="DN20997">
            <v>0</v>
          </cell>
        </row>
        <row r="20998">
          <cell r="E20998">
            <v>0</v>
          </cell>
          <cell r="F20998">
            <v>0</v>
          </cell>
          <cell r="DN20998">
            <v>0</v>
          </cell>
        </row>
        <row r="20999">
          <cell r="E20999">
            <v>0</v>
          </cell>
          <cell r="F20999">
            <v>0</v>
          </cell>
          <cell r="DN20999">
            <v>0</v>
          </cell>
        </row>
        <row r="21000">
          <cell r="E21000">
            <v>0</v>
          </cell>
          <cell r="F21000">
            <v>0</v>
          </cell>
          <cell r="DN21000">
            <v>0</v>
          </cell>
        </row>
        <row r="21001">
          <cell r="E21001">
            <v>0</v>
          </cell>
          <cell r="F21001">
            <v>0</v>
          </cell>
          <cell r="DN21001">
            <v>0</v>
          </cell>
        </row>
        <row r="21002">
          <cell r="E21002">
            <v>0</v>
          </cell>
          <cell r="F21002">
            <v>0</v>
          </cell>
          <cell r="DN21002">
            <v>0</v>
          </cell>
        </row>
        <row r="21003">
          <cell r="E21003">
            <v>0</v>
          </cell>
          <cell r="F21003">
            <v>0</v>
          </cell>
          <cell r="DN21003">
            <v>0</v>
          </cell>
        </row>
        <row r="21004">
          <cell r="E21004">
            <v>0</v>
          </cell>
          <cell r="F21004">
            <v>0</v>
          </cell>
          <cell r="DN21004">
            <v>0</v>
          </cell>
        </row>
        <row r="21005">
          <cell r="E21005">
            <v>0</v>
          </cell>
          <cell r="F21005">
            <v>0</v>
          </cell>
          <cell r="DN21005">
            <v>0</v>
          </cell>
        </row>
        <row r="21006">
          <cell r="E21006">
            <v>0</v>
          </cell>
          <cell r="F21006">
            <v>0</v>
          </cell>
          <cell r="DN21006">
            <v>0</v>
          </cell>
        </row>
        <row r="21007">
          <cell r="E21007">
            <v>0</v>
          </cell>
          <cell r="F21007">
            <v>0</v>
          </cell>
          <cell r="DN21007">
            <v>0</v>
          </cell>
        </row>
        <row r="21008">
          <cell r="E21008">
            <v>0</v>
          </cell>
          <cell r="F21008">
            <v>0</v>
          </cell>
          <cell r="DN21008">
            <v>0</v>
          </cell>
        </row>
        <row r="21009">
          <cell r="E21009">
            <v>0</v>
          </cell>
          <cell r="F21009">
            <v>0</v>
          </cell>
          <cell r="DN21009">
            <v>0</v>
          </cell>
        </row>
        <row r="21010">
          <cell r="E21010">
            <v>0</v>
          </cell>
          <cell r="F21010">
            <v>0</v>
          </cell>
          <cell r="DN21010">
            <v>0</v>
          </cell>
        </row>
        <row r="21011">
          <cell r="E21011">
            <v>0</v>
          </cell>
          <cell r="F21011">
            <v>0</v>
          </cell>
          <cell r="DN21011">
            <v>0</v>
          </cell>
        </row>
        <row r="21012">
          <cell r="E21012">
            <v>0</v>
          </cell>
          <cell r="F21012">
            <v>0</v>
          </cell>
          <cell r="DN21012">
            <v>0</v>
          </cell>
        </row>
        <row r="21013">
          <cell r="E21013">
            <v>0</v>
          </cell>
          <cell r="F21013">
            <v>0</v>
          </cell>
          <cell r="DN21013">
            <v>0</v>
          </cell>
        </row>
        <row r="21014">
          <cell r="E21014">
            <v>0</v>
          </cell>
          <cell r="F21014">
            <v>0</v>
          </cell>
          <cell r="DN21014">
            <v>0</v>
          </cell>
        </row>
        <row r="21015">
          <cell r="E21015">
            <v>0</v>
          </cell>
          <cell r="F21015">
            <v>0</v>
          </cell>
          <cell r="DN21015">
            <v>0</v>
          </cell>
        </row>
        <row r="21016">
          <cell r="E21016">
            <v>0</v>
          </cell>
          <cell r="F21016">
            <v>0</v>
          </cell>
          <cell r="DN21016">
            <v>0</v>
          </cell>
        </row>
        <row r="21017">
          <cell r="E21017">
            <v>0</v>
          </cell>
          <cell r="F21017">
            <v>0</v>
          </cell>
          <cell r="DN21017">
            <v>0</v>
          </cell>
        </row>
        <row r="21018">
          <cell r="E21018">
            <v>0</v>
          </cell>
          <cell r="F21018">
            <v>0</v>
          </cell>
          <cell r="DN21018">
            <v>0</v>
          </cell>
        </row>
        <row r="21019">
          <cell r="E21019">
            <v>0</v>
          </cell>
          <cell r="F21019">
            <v>0</v>
          </cell>
          <cell r="DN21019">
            <v>0</v>
          </cell>
        </row>
        <row r="21020">
          <cell r="E21020">
            <v>0</v>
          </cell>
          <cell r="F21020">
            <v>0</v>
          </cell>
          <cell r="DN21020">
            <v>0</v>
          </cell>
        </row>
        <row r="21021">
          <cell r="E21021">
            <v>0</v>
          </cell>
          <cell r="F21021">
            <v>0</v>
          </cell>
          <cell r="DN21021">
            <v>0</v>
          </cell>
        </row>
        <row r="21022">
          <cell r="E21022">
            <v>0</v>
          </cell>
          <cell r="F21022">
            <v>0</v>
          </cell>
          <cell r="DN21022">
            <v>0</v>
          </cell>
        </row>
        <row r="21023">
          <cell r="E21023">
            <v>0</v>
          </cell>
          <cell r="F21023">
            <v>0</v>
          </cell>
          <cell r="DN21023">
            <v>0</v>
          </cell>
        </row>
        <row r="21024">
          <cell r="E21024">
            <v>0</v>
          </cell>
          <cell r="F21024">
            <v>0</v>
          </cell>
          <cell r="DN21024">
            <v>0</v>
          </cell>
        </row>
        <row r="21025">
          <cell r="E21025">
            <v>0</v>
          </cell>
          <cell r="F21025">
            <v>0</v>
          </cell>
          <cell r="DN21025">
            <v>0</v>
          </cell>
        </row>
        <row r="21026">
          <cell r="E21026">
            <v>0</v>
          </cell>
          <cell r="F21026">
            <v>0</v>
          </cell>
          <cell r="DN21026">
            <v>0</v>
          </cell>
        </row>
        <row r="21027">
          <cell r="E21027">
            <v>0</v>
          </cell>
          <cell r="F21027">
            <v>0</v>
          </cell>
          <cell r="DN21027">
            <v>0</v>
          </cell>
        </row>
        <row r="21028">
          <cell r="E21028">
            <v>0</v>
          </cell>
          <cell r="F21028">
            <v>0</v>
          </cell>
          <cell r="DN21028">
            <v>0</v>
          </cell>
        </row>
        <row r="21029">
          <cell r="E21029">
            <v>0</v>
          </cell>
          <cell r="F21029">
            <v>0</v>
          </cell>
          <cell r="DN21029">
            <v>0</v>
          </cell>
        </row>
        <row r="21030">
          <cell r="E21030">
            <v>0</v>
          </cell>
          <cell r="F21030">
            <v>0</v>
          </cell>
          <cell r="DN21030">
            <v>0</v>
          </cell>
        </row>
        <row r="21031">
          <cell r="E21031">
            <v>0</v>
          </cell>
          <cell r="F21031">
            <v>0</v>
          </cell>
          <cell r="DN21031">
            <v>0</v>
          </cell>
        </row>
        <row r="21032">
          <cell r="E21032">
            <v>0</v>
          </cell>
          <cell r="F21032">
            <v>0</v>
          </cell>
          <cell r="DN21032">
            <v>0</v>
          </cell>
        </row>
        <row r="21033">
          <cell r="E21033">
            <v>0</v>
          </cell>
          <cell r="F21033">
            <v>0</v>
          </cell>
          <cell r="DN21033">
            <v>0</v>
          </cell>
        </row>
        <row r="21034">
          <cell r="E21034">
            <v>0</v>
          </cell>
          <cell r="F21034">
            <v>0</v>
          </cell>
          <cell r="DN21034">
            <v>0</v>
          </cell>
        </row>
        <row r="21035">
          <cell r="E21035">
            <v>0</v>
          </cell>
          <cell r="F21035">
            <v>0</v>
          </cell>
          <cell r="DN21035">
            <v>0</v>
          </cell>
        </row>
        <row r="21036">
          <cell r="E21036">
            <v>0</v>
          </cell>
          <cell r="F21036">
            <v>0</v>
          </cell>
          <cell r="DN21036">
            <v>0</v>
          </cell>
        </row>
        <row r="21037">
          <cell r="E21037">
            <v>0</v>
          </cell>
          <cell r="F21037">
            <v>0</v>
          </cell>
          <cell r="DN21037">
            <v>0</v>
          </cell>
        </row>
        <row r="21038">
          <cell r="E21038">
            <v>0</v>
          </cell>
          <cell r="F21038">
            <v>0</v>
          </cell>
          <cell r="DN21038">
            <v>0</v>
          </cell>
        </row>
        <row r="21039">
          <cell r="E21039">
            <v>0</v>
          </cell>
          <cell r="F21039">
            <v>0</v>
          </cell>
          <cell r="DN21039">
            <v>0</v>
          </cell>
        </row>
        <row r="21040">
          <cell r="E21040">
            <v>0</v>
          </cell>
          <cell r="F21040">
            <v>0</v>
          </cell>
          <cell r="DN21040">
            <v>0</v>
          </cell>
        </row>
        <row r="21041">
          <cell r="E21041">
            <v>0</v>
          </cell>
          <cell r="F21041">
            <v>0</v>
          </cell>
          <cell r="DN21041">
            <v>0</v>
          </cell>
        </row>
        <row r="21042">
          <cell r="E21042">
            <v>0</v>
          </cell>
          <cell r="F21042">
            <v>0</v>
          </cell>
          <cell r="DN21042">
            <v>0</v>
          </cell>
        </row>
        <row r="21043">
          <cell r="E21043">
            <v>0</v>
          </cell>
          <cell r="F21043">
            <v>0</v>
          </cell>
          <cell r="DN21043">
            <v>0</v>
          </cell>
        </row>
        <row r="21044">
          <cell r="E21044">
            <v>0</v>
          </cell>
          <cell r="F21044">
            <v>0</v>
          </cell>
          <cell r="DN21044">
            <v>0</v>
          </cell>
        </row>
        <row r="21045">
          <cell r="E21045">
            <v>0</v>
          </cell>
          <cell r="F21045">
            <v>0</v>
          </cell>
          <cell r="DN21045">
            <v>0</v>
          </cell>
        </row>
        <row r="21046">
          <cell r="E21046">
            <v>0</v>
          </cell>
          <cell r="F21046">
            <v>0</v>
          </cell>
          <cell r="DN21046">
            <v>0</v>
          </cell>
        </row>
        <row r="21047">
          <cell r="E21047">
            <v>0</v>
          </cell>
          <cell r="F21047">
            <v>0</v>
          </cell>
          <cell r="DN21047">
            <v>0</v>
          </cell>
        </row>
        <row r="21048">
          <cell r="E21048">
            <v>0</v>
          </cell>
          <cell r="F21048">
            <v>0</v>
          </cell>
          <cell r="DN21048">
            <v>0</v>
          </cell>
        </row>
        <row r="21049">
          <cell r="E21049">
            <v>0</v>
          </cell>
          <cell r="F21049">
            <v>0</v>
          </cell>
          <cell r="DN21049">
            <v>0</v>
          </cell>
        </row>
        <row r="21050">
          <cell r="E21050">
            <v>0</v>
          </cell>
          <cell r="F21050">
            <v>0</v>
          </cell>
          <cell r="DN21050">
            <v>0</v>
          </cell>
        </row>
        <row r="21051">
          <cell r="E21051">
            <v>0</v>
          </cell>
          <cell r="F21051">
            <v>0</v>
          </cell>
          <cell r="DN21051">
            <v>0</v>
          </cell>
        </row>
        <row r="21052">
          <cell r="E21052">
            <v>0</v>
          </cell>
          <cell r="F21052">
            <v>0</v>
          </cell>
          <cell r="DN21052">
            <v>0</v>
          </cell>
        </row>
        <row r="21053">
          <cell r="E21053">
            <v>0</v>
          </cell>
          <cell r="F21053">
            <v>0</v>
          </cell>
          <cell r="DN21053">
            <v>0</v>
          </cell>
        </row>
        <row r="21054">
          <cell r="E21054">
            <v>0</v>
          </cell>
          <cell r="F21054">
            <v>0</v>
          </cell>
          <cell r="DN21054">
            <v>0</v>
          </cell>
        </row>
        <row r="21055">
          <cell r="E21055">
            <v>0</v>
          </cell>
          <cell r="F21055">
            <v>0</v>
          </cell>
          <cell r="DN21055">
            <v>0</v>
          </cell>
        </row>
        <row r="21056">
          <cell r="E21056">
            <v>0</v>
          </cell>
          <cell r="F21056">
            <v>0</v>
          </cell>
          <cell r="DN21056">
            <v>0</v>
          </cell>
        </row>
        <row r="21057">
          <cell r="E21057">
            <v>0</v>
          </cell>
          <cell r="F21057">
            <v>0</v>
          </cell>
          <cell r="DN21057">
            <v>0</v>
          </cell>
        </row>
        <row r="21058">
          <cell r="E21058">
            <v>0</v>
          </cell>
          <cell r="F21058">
            <v>0</v>
          </cell>
          <cell r="DN21058">
            <v>0</v>
          </cell>
        </row>
        <row r="21059">
          <cell r="E21059">
            <v>0</v>
          </cell>
          <cell r="F21059">
            <v>0</v>
          </cell>
          <cell r="DN21059">
            <v>0</v>
          </cell>
        </row>
        <row r="21060">
          <cell r="E21060">
            <v>0</v>
          </cell>
          <cell r="F21060">
            <v>0</v>
          </cell>
          <cell r="DN21060">
            <v>0</v>
          </cell>
        </row>
        <row r="21061">
          <cell r="E21061">
            <v>0</v>
          </cell>
          <cell r="F21061">
            <v>0</v>
          </cell>
          <cell r="DN21061">
            <v>0</v>
          </cell>
        </row>
        <row r="21062">
          <cell r="E21062">
            <v>0</v>
          </cell>
          <cell r="F21062">
            <v>0</v>
          </cell>
          <cell r="DN21062">
            <v>0</v>
          </cell>
        </row>
        <row r="21063">
          <cell r="E21063">
            <v>0</v>
          </cell>
          <cell r="F21063">
            <v>0</v>
          </cell>
          <cell r="DN21063">
            <v>0</v>
          </cell>
        </row>
        <row r="21064">
          <cell r="E21064">
            <v>0</v>
          </cell>
          <cell r="F21064">
            <v>0</v>
          </cell>
          <cell r="DN21064">
            <v>0</v>
          </cell>
        </row>
        <row r="21065">
          <cell r="E21065">
            <v>0</v>
          </cell>
          <cell r="F21065">
            <v>0</v>
          </cell>
          <cell r="DN21065">
            <v>0</v>
          </cell>
        </row>
        <row r="21066">
          <cell r="E21066">
            <v>0</v>
          </cell>
          <cell r="F21066">
            <v>0</v>
          </cell>
          <cell r="DN21066">
            <v>0</v>
          </cell>
        </row>
        <row r="21067">
          <cell r="E21067">
            <v>0</v>
          </cell>
          <cell r="F21067">
            <v>0</v>
          </cell>
          <cell r="DN21067">
            <v>0</v>
          </cell>
        </row>
        <row r="21068">
          <cell r="E21068">
            <v>0</v>
          </cell>
          <cell r="F21068">
            <v>0</v>
          </cell>
          <cell r="DN21068">
            <v>0</v>
          </cell>
        </row>
        <row r="21069">
          <cell r="E21069">
            <v>0</v>
          </cell>
          <cell r="F21069">
            <v>0</v>
          </cell>
          <cell r="DN21069">
            <v>0</v>
          </cell>
        </row>
        <row r="21070">
          <cell r="E21070">
            <v>0</v>
          </cell>
          <cell r="F21070">
            <v>0</v>
          </cell>
          <cell r="DN21070">
            <v>0</v>
          </cell>
        </row>
        <row r="21071">
          <cell r="E21071">
            <v>0</v>
          </cell>
          <cell r="F21071">
            <v>0</v>
          </cell>
          <cell r="DN21071">
            <v>0</v>
          </cell>
        </row>
        <row r="21072">
          <cell r="E21072">
            <v>0</v>
          </cell>
          <cell r="F21072">
            <v>0</v>
          </cell>
          <cell r="DN21072">
            <v>0</v>
          </cell>
        </row>
        <row r="21073">
          <cell r="E21073">
            <v>0</v>
          </cell>
          <cell r="F21073">
            <v>0</v>
          </cell>
          <cell r="DN21073">
            <v>0</v>
          </cell>
        </row>
        <row r="21074">
          <cell r="E21074">
            <v>0</v>
          </cell>
          <cell r="F21074">
            <v>0</v>
          </cell>
          <cell r="DN21074">
            <v>0</v>
          </cell>
        </row>
        <row r="21075">
          <cell r="E21075">
            <v>0</v>
          </cell>
          <cell r="F21075">
            <v>0</v>
          </cell>
          <cell r="DN21075">
            <v>0</v>
          </cell>
        </row>
        <row r="21076">
          <cell r="E21076">
            <v>0</v>
          </cell>
          <cell r="F21076">
            <v>0</v>
          </cell>
          <cell r="DN21076">
            <v>0</v>
          </cell>
        </row>
        <row r="21077">
          <cell r="E21077">
            <v>0</v>
          </cell>
          <cell r="F21077">
            <v>0</v>
          </cell>
          <cell r="DN21077">
            <v>0</v>
          </cell>
        </row>
        <row r="21078">
          <cell r="E21078">
            <v>0</v>
          </cell>
          <cell r="F21078">
            <v>0</v>
          </cell>
          <cell r="DN21078">
            <v>0</v>
          </cell>
        </row>
        <row r="21079">
          <cell r="E21079">
            <v>0</v>
          </cell>
          <cell r="F21079">
            <v>0</v>
          </cell>
          <cell r="DN21079">
            <v>0</v>
          </cell>
        </row>
        <row r="21080">
          <cell r="E21080">
            <v>0</v>
          </cell>
          <cell r="F21080">
            <v>0</v>
          </cell>
          <cell r="DN21080">
            <v>0</v>
          </cell>
        </row>
        <row r="21081">
          <cell r="E21081">
            <v>0</v>
          </cell>
          <cell r="F21081">
            <v>0</v>
          </cell>
          <cell r="DN21081">
            <v>0</v>
          </cell>
        </row>
        <row r="21082">
          <cell r="E21082">
            <v>0</v>
          </cell>
          <cell r="F21082">
            <v>0</v>
          </cell>
          <cell r="DN21082">
            <v>0</v>
          </cell>
        </row>
        <row r="21083">
          <cell r="E21083">
            <v>0</v>
          </cell>
          <cell r="F21083">
            <v>0</v>
          </cell>
          <cell r="DN21083">
            <v>0</v>
          </cell>
        </row>
        <row r="21084">
          <cell r="E21084">
            <v>0</v>
          </cell>
          <cell r="F21084">
            <v>0</v>
          </cell>
          <cell r="DN21084">
            <v>0</v>
          </cell>
        </row>
        <row r="21085">
          <cell r="E21085">
            <v>0</v>
          </cell>
          <cell r="F21085">
            <v>0</v>
          </cell>
          <cell r="DN21085">
            <v>0</v>
          </cell>
        </row>
        <row r="21086">
          <cell r="E21086">
            <v>0</v>
          </cell>
          <cell r="F21086">
            <v>0</v>
          </cell>
          <cell r="DN21086">
            <v>0</v>
          </cell>
        </row>
        <row r="21087">
          <cell r="E21087">
            <v>0</v>
          </cell>
          <cell r="F21087">
            <v>0</v>
          </cell>
          <cell r="DN21087">
            <v>0</v>
          </cell>
        </row>
        <row r="21088">
          <cell r="E21088">
            <v>0</v>
          </cell>
          <cell r="F21088">
            <v>0</v>
          </cell>
          <cell r="DN21088">
            <v>0</v>
          </cell>
        </row>
        <row r="21089">
          <cell r="E21089">
            <v>0</v>
          </cell>
          <cell r="F21089">
            <v>0</v>
          </cell>
          <cell r="DN21089">
            <v>0</v>
          </cell>
        </row>
        <row r="21090">
          <cell r="E21090">
            <v>0</v>
          </cell>
          <cell r="F21090">
            <v>0</v>
          </cell>
          <cell r="DN21090">
            <v>0</v>
          </cell>
        </row>
        <row r="21091">
          <cell r="E21091">
            <v>0</v>
          </cell>
          <cell r="F21091">
            <v>0</v>
          </cell>
          <cell r="DN21091">
            <v>0</v>
          </cell>
        </row>
        <row r="21092">
          <cell r="E21092">
            <v>0</v>
          </cell>
          <cell r="F21092">
            <v>0</v>
          </cell>
          <cell r="DN21092">
            <v>0</v>
          </cell>
        </row>
        <row r="21093">
          <cell r="E21093">
            <v>0</v>
          </cell>
          <cell r="F21093">
            <v>0</v>
          </cell>
          <cell r="DN21093">
            <v>0</v>
          </cell>
        </row>
        <row r="21094">
          <cell r="E21094">
            <v>0</v>
          </cell>
          <cell r="F21094">
            <v>0</v>
          </cell>
          <cell r="DN21094">
            <v>0</v>
          </cell>
        </row>
        <row r="21095">
          <cell r="E21095">
            <v>0</v>
          </cell>
          <cell r="F21095">
            <v>0</v>
          </cell>
          <cell r="DN21095">
            <v>0</v>
          </cell>
        </row>
        <row r="21096">
          <cell r="E21096">
            <v>0</v>
          </cell>
          <cell r="F21096">
            <v>0</v>
          </cell>
          <cell r="DN21096">
            <v>0</v>
          </cell>
        </row>
        <row r="21097">
          <cell r="E21097">
            <v>0</v>
          </cell>
          <cell r="F21097">
            <v>0</v>
          </cell>
          <cell r="DN21097">
            <v>0</v>
          </cell>
        </row>
        <row r="21098">
          <cell r="E21098">
            <v>0</v>
          </cell>
          <cell r="F21098">
            <v>0</v>
          </cell>
          <cell r="DN21098">
            <v>0</v>
          </cell>
        </row>
        <row r="21099">
          <cell r="E21099">
            <v>0</v>
          </cell>
          <cell r="F21099">
            <v>0</v>
          </cell>
          <cell r="DN21099">
            <v>0</v>
          </cell>
        </row>
        <row r="21100">
          <cell r="E21100">
            <v>0</v>
          </cell>
          <cell r="F21100">
            <v>0</v>
          </cell>
          <cell r="DN21100">
            <v>0</v>
          </cell>
        </row>
        <row r="21101">
          <cell r="E21101">
            <v>0</v>
          </cell>
          <cell r="F21101">
            <v>0</v>
          </cell>
          <cell r="DN21101">
            <v>0</v>
          </cell>
        </row>
        <row r="21102">
          <cell r="E21102">
            <v>0</v>
          </cell>
          <cell r="F21102">
            <v>0</v>
          </cell>
          <cell r="DN21102">
            <v>0</v>
          </cell>
        </row>
        <row r="21103">
          <cell r="E21103">
            <v>0</v>
          </cell>
          <cell r="F21103">
            <v>0</v>
          </cell>
          <cell r="DN21103">
            <v>0</v>
          </cell>
        </row>
        <row r="21104">
          <cell r="E21104">
            <v>0</v>
          </cell>
          <cell r="F21104">
            <v>0</v>
          </cell>
          <cell r="DN21104">
            <v>0</v>
          </cell>
        </row>
        <row r="21105">
          <cell r="E21105">
            <v>0</v>
          </cell>
          <cell r="F21105">
            <v>0</v>
          </cell>
          <cell r="DN21105">
            <v>0</v>
          </cell>
        </row>
        <row r="21106">
          <cell r="E21106">
            <v>0</v>
          </cell>
          <cell r="F21106">
            <v>0</v>
          </cell>
          <cell r="DN21106">
            <v>0</v>
          </cell>
        </row>
        <row r="21107">
          <cell r="E21107">
            <v>0</v>
          </cell>
          <cell r="F21107">
            <v>0</v>
          </cell>
          <cell r="DN21107">
            <v>0</v>
          </cell>
        </row>
        <row r="21108">
          <cell r="E21108">
            <v>0</v>
          </cell>
          <cell r="F21108">
            <v>0</v>
          </cell>
          <cell r="DN21108">
            <v>0</v>
          </cell>
        </row>
        <row r="21109">
          <cell r="E21109">
            <v>0</v>
          </cell>
          <cell r="F21109">
            <v>0</v>
          </cell>
          <cell r="DN21109">
            <v>0</v>
          </cell>
        </row>
        <row r="21110">
          <cell r="E21110">
            <v>0</v>
          </cell>
          <cell r="F21110">
            <v>0</v>
          </cell>
          <cell r="DN21110">
            <v>0</v>
          </cell>
        </row>
        <row r="21111">
          <cell r="E21111">
            <v>0</v>
          </cell>
          <cell r="F21111">
            <v>0</v>
          </cell>
          <cell r="DN21111">
            <v>0</v>
          </cell>
        </row>
        <row r="21112">
          <cell r="E21112">
            <v>0</v>
          </cell>
          <cell r="F21112">
            <v>0</v>
          </cell>
          <cell r="DN21112">
            <v>0</v>
          </cell>
        </row>
        <row r="21113">
          <cell r="E21113">
            <v>0</v>
          </cell>
          <cell r="F21113">
            <v>0</v>
          </cell>
          <cell r="DN21113">
            <v>0</v>
          </cell>
        </row>
        <row r="21114">
          <cell r="E21114">
            <v>0</v>
          </cell>
          <cell r="F21114">
            <v>0</v>
          </cell>
          <cell r="DN21114">
            <v>0</v>
          </cell>
        </row>
        <row r="21115">
          <cell r="E21115">
            <v>0</v>
          </cell>
          <cell r="F21115">
            <v>0</v>
          </cell>
          <cell r="DN21115">
            <v>0</v>
          </cell>
        </row>
        <row r="21116">
          <cell r="E21116">
            <v>0</v>
          </cell>
          <cell r="F21116">
            <v>0</v>
          </cell>
          <cell r="DN21116">
            <v>0</v>
          </cell>
        </row>
        <row r="21117">
          <cell r="E21117">
            <v>0</v>
          </cell>
          <cell r="F21117">
            <v>0</v>
          </cell>
          <cell r="DN21117">
            <v>0</v>
          </cell>
        </row>
        <row r="21118">
          <cell r="E21118">
            <v>0</v>
          </cell>
          <cell r="F21118">
            <v>0</v>
          </cell>
          <cell r="DN21118">
            <v>0</v>
          </cell>
        </row>
        <row r="21119">
          <cell r="E21119">
            <v>0</v>
          </cell>
          <cell r="F21119">
            <v>0</v>
          </cell>
          <cell r="DN21119">
            <v>0</v>
          </cell>
        </row>
        <row r="21120">
          <cell r="E21120">
            <v>0</v>
          </cell>
          <cell r="F21120">
            <v>0</v>
          </cell>
          <cell r="DN21120">
            <v>0</v>
          </cell>
        </row>
        <row r="21121">
          <cell r="E21121">
            <v>0</v>
          </cell>
          <cell r="F21121">
            <v>0</v>
          </cell>
          <cell r="DN21121">
            <v>0</v>
          </cell>
        </row>
        <row r="21122">
          <cell r="E21122">
            <v>0</v>
          </cell>
          <cell r="F21122">
            <v>0</v>
          </cell>
          <cell r="DN21122">
            <v>0</v>
          </cell>
        </row>
        <row r="21123">
          <cell r="E21123">
            <v>0</v>
          </cell>
          <cell r="F21123">
            <v>0</v>
          </cell>
          <cell r="DN21123">
            <v>0</v>
          </cell>
        </row>
        <row r="21124">
          <cell r="E21124">
            <v>0</v>
          </cell>
          <cell r="F21124">
            <v>0</v>
          </cell>
          <cell r="DN21124">
            <v>0</v>
          </cell>
        </row>
        <row r="21125">
          <cell r="E21125">
            <v>0</v>
          </cell>
          <cell r="F21125">
            <v>0</v>
          </cell>
          <cell r="DN21125">
            <v>0</v>
          </cell>
        </row>
        <row r="21126">
          <cell r="E21126">
            <v>0</v>
          </cell>
          <cell r="F21126">
            <v>0</v>
          </cell>
          <cell r="DN21126">
            <v>0</v>
          </cell>
        </row>
        <row r="21127">
          <cell r="E21127">
            <v>0</v>
          </cell>
          <cell r="F21127">
            <v>0</v>
          </cell>
          <cell r="DN21127">
            <v>0</v>
          </cell>
        </row>
        <row r="21128">
          <cell r="E21128">
            <v>0</v>
          </cell>
          <cell r="F21128">
            <v>0</v>
          </cell>
          <cell r="DN21128">
            <v>0</v>
          </cell>
        </row>
        <row r="21129">
          <cell r="E21129">
            <v>0</v>
          </cell>
          <cell r="F21129">
            <v>0</v>
          </cell>
          <cell r="DN21129">
            <v>0</v>
          </cell>
        </row>
        <row r="21130">
          <cell r="E21130">
            <v>0</v>
          </cell>
          <cell r="F21130">
            <v>0</v>
          </cell>
          <cell r="DN21130">
            <v>0</v>
          </cell>
        </row>
        <row r="21131">
          <cell r="E21131">
            <v>0</v>
          </cell>
          <cell r="F21131">
            <v>0</v>
          </cell>
          <cell r="DN21131">
            <v>0</v>
          </cell>
        </row>
        <row r="21132">
          <cell r="E21132">
            <v>0</v>
          </cell>
          <cell r="F21132">
            <v>0</v>
          </cell>
          <cell r="DN21132">
            <v>0</v>
          </cell>
        </row>
        <row r="21133">
          <cell r="E21133">
            <v>0</v>
          </cell>
          <cell r="F21133">
            <v>0</v>
          </cell>
          <cell r="DN21133">
            <v>0</v>
          </cell>
        </row>
        <row r="21134">
          <cell r="E21134">
            <v>0</v>
          </cell>
          <cell r="F21134">
            <v>0</v>
          </cell>
          <cell r="DN21134">
            <v>0</v>
          </cell>
        </row>
        <row r="21135">
          <cell r="E21135">
            <v>0</v>
          </cell>
          <cell r="F21135">
            <v>0</v>
          </cell>
          <cell r="DN21135">
            <v>0</v>
          </cell>
        </row>
        <row r="21136">
          <cell r="E21136">
            <v>0</v>
          </cell>
          <cell r="F21136">
            <v>0</v>
          </cell>
          <cell r="DN21136">
            <v>0</v>
          </cell>
        </row>
        <row r="21137">
          <cell r="E21137">
            <v>0</v>
          </cell>
          <cell r="F21137">
            <v>0</v>
          </cell>
          <cell r="DN21137">
            <v>0</v>
          </cell>
        </row>
        <row r="21138">
          <cell r="E21138">
            <v>0</v>
          </cell>
          <cell r="F21138">
            <v>0</v>
          </cell>
          <cell r="DN21138">
            <v>0</v>
          </cell>
        </row>
        <row r="21139">
          <cell r="E21139">
            <v>0</v>
          </cell>
          <cell r="F21139">
            <v>0</v>
          </cell>
          <cell r="DN21139">
            <v>0</v>
          </cell>
        </row>
        <row r="21140">
          <cell r="E21140">
            <v>0</v>
          </cell>
          <cell r="F21140">
            <v>0</v>
          </cell>
          <cell r="DN21140">
            <v>0</v>
          </cell>
        </row>
        <row r="21141">
          <cell r="E21141">
            <v>0</v>
          </cell>
          <cell r="F21141">
            <v>0</v>
          </cell>
          <cell r="DN21141">
            <v>0</v>
          </cell>
        </row>
        <row r="21142">
          <cell r="E21142">
            <v>0</v>
          </cell>
          <cell r="F21142">
            <v>0</v>
          </cell>
          <cell r="DN21142">
            <v>0</v>
          </cell>
        </row>
        <row r="21143">
          <cell r="E21143">
            <v>0</v>
          </cell>
          <cell r="F21143">
            <v>0</v>
          </cell>
          <cell r="DN21143">
            <v>0</v>
          </cell>
        </row>
        <row r="21144">
          <cell r="E21144">
            <v>0</v>
          </cell>
          <cell r="F21144">
            <v>0</v>
          </cell>
          <cell r="DN21144">
            <v>0</v>
          </cell>
        </row>
        <row r="21145">
          <cell r="E21145">
            <v>0</v>
          </cell>
          <cell r="F21145">
            <v>0</v>
          </cell>
          <cell r="DN21145">
            <v>0</v>
          </cell>
        </row>
        <row r="21146">
          <cell r="E21146">
            <v>0</v>
          </cell>
          <cell r="F21146">
            <v>0</v>
          </cell>
          <cell r="DN21146">
            <v>0</v>
          </cell>
        </row>
        <row r="21147">
          <cell r="E21147">
            <v>0</v>
          </cell>
          <cell r="F21147">
            <v>0</v>
          </cell>
          <cell r="DN21147">
            <v>0</v>
          </cell>
        </row>
        <row r="21148">
          <cell r="E21148">
            <v>0</v>
          </cell>
          <cell r="F21148">
            <v>0</v>
          </cell>
          <cell r="DN21148">
            <v>0</v>
          </cell>
        </row>
        <row r="21149">
          <cell r="E21149">
            <v>0</v>
          </cell>
          <cell r="F21149">
            <v>0</v>
          </cell>
          <cell r="DN21149">
            <v>0</v>
          </cell>
        </row>
        <row r="21150">
          <cell r="E21150">
            <v>0</v>
          </cell>
          <cell r="F21150">
            <v>0</v>
          </cell>
          <cell r="DN21150">
            <v>0</v>
          </cell>
        </row>
        <row r="21151">
          <cell r="E21151">
            <v>0</v>
          </cell>
          <cell r="F21151">
            <v>0</v>
          </cell>
          <cell r="DN21151">
            <v>0</v>
          </cell>
        </row>
        <row r="21152">
          <cell r="E21152">
            <v>0</v>
          </cell>
          <cell r="F21152">
            <v>0</v>
          </cell>
          <cell r="DN21152">
            <v>0</v>
          </cell>
        </row>
        <row r="21153">
          <cell r="E21153">
            <v>0</v>
          </cell>
          <cell r="F21153">
            <v>0</v>
          </cell>
          <cell r="DN21153">
            <v>0</v>
          </cell>
        </row>
        <row r="21154">
          <cell r="E21154">
            <v>0</v>
          </cell>
          <cell r="F21154">
            <v>0</v>
          </cell>
          <cell r="DN21154">
            <v>0</v>
          </cell>
        </row>
        <row r="21155">
          <cell r="E21155">
            <v>0</v>
          </cell>
          <cell r="F21155">
            <v>0</v>
          </cell>
          <cell r="DN21155">
            <v>0</v>
          </cell>
        </row>
        <row r="21156">
          <cell r="E21156">
            <v>0</v>
          </cell>
          <cell r="F21156">
            <v>0</v>
          </cell>
          <cell r="DN21156">
            <v>0</v>
          </cell>
        </row>
        <row r="21157">
          <cell r="E21157">
            <v>0</v>
          </cell>
          <cell r="F21157">
            <v>0</v>
          </cell>
          <cell r="DN21157">
            <v>0</v>
          </cell>
        </row>
        <row r="21158">
          <cell r="E21158">
            <v>0</v>
          </cell>
          <cell r="F21158">
            <v>0</v>
          </cell>
          <cell r="DN21158">
            <v>0</v>
          </cell>
        </row>
        <row r="21159">
          <cell r="E21159">
            <v>0</v>
          </cell>
          <cell r="F21159">
            <v>0</v>
          </cell>
          <cell r="DN21159">
            <v>0</v>
          </cell>
        </row>
        <row r="21160">
          <cell r="E21160">
            <v>0</v>
          </cell>
          <cell r="F21160">
            <v>0</v>
          </cell>
          <cell r="DN21160">
            <v>0</v>
          </cell>
        </row>
        <row r="21161">
          <cell r="E21161">
            <v>0</v>
          </cell>
          <cell r="F21161">
            <v>0</v>
          </cell>
          <cell r="DN21161">
            <v>0</v>
          </cell>
        </row>
        <row r="21162">
          <cell r="E21162">
            <v>0</v>
          </cell>
          <cell r="F21162">
            <v>0</v>
          </cell>
          <cell r="DN21162">
            <v>0</v>
          </cell>
        </row>
        <row r="21163">
          <cell r="E21163">
            <v>0</v>
          </cell>
          <cell r="F21163">
            <v>0</v>
          </cell>
          <cell r="DN21163">
            <v>0</v>
          </cell>
        </row>
        <row r="21164">
          <cell r="E21164">
            <v>0</v>
          </cell>
          <cell r="F21164">
            <v>0</v>
          </cell>
          <cell r="DN21164">
            <v>0</v>
          </cell>
        </row>
        <row r="21165">
          <cell r="E21165">
            <v>0</v>
          </cell>
          <cell r="F21165">
            <v>0</v>
          </cell>
          <cell r="DN21165">
            <v>0</v>
          </cell>
        </row>
        <row r="21166">
          <cell r="E21166">
            <v>0</v>
          </cell>
          <cell r="F21166">
            <v>0</v>
          </cell>
          <cell r="DN21166">
            <v>0</v>
          </cell>
        </row>
        <row r="21167">
          <cell r="E21167">
            <v>0</v>
          </cell>
          <cell r="F21167">
            <v>0</v>
          </cell>
          <cell r="DN21167">
            <v>0</v>
          </cell>
        </row>
        <row r="21168">
          <cell r="E21168">
            <v>0</v>
          </cell>
          <cell r="F21168">
            <v>0</v>
          </cell>
          <cell r="DN21168">
            <v>0</v>
          </cell>
        </row>
        <row r="21169">
          <cell r="E21169">
            <v>0</v>
          </cell>
          <cell r="F21169">
            <v>0</v>
          </cell>
          <cell r="DN21169">
            <v>0</v>
          </cell>
        </row>
        <row r="21170">
          <cell r="E21170">
            <v>0</v>
          </cell>
          <cell r="F21170">
            <v>0</v>
          </cell>
          <cell r="DN21170">
            <v>0</v>
          </cell>
        </row>
        <row r="21171">
          <cell r="E21171">
            <v>0</v>
          </cell>
          <cell r="F21171">
            <v>0</v>
          </cell>
          <cell r="DN21171">
            <v>0</v>
          </cell>
        </row>
        <row r="21172">
          <cell r="E21172">
            <v>0</v>
          </cell>
          <cell r="F21172">
            <v>0</v>
          </cell>
          <cell r="DN21172">
            <v>0</v>
          </cell>
        </row>
        <row r="21173">
          <cell r="E21173">
            <v>0</v>
          </cell>
          <cell r="F21173">
            <v>0</v>
          </cell>
          <cell r="DN21173">
            <v>0</v>
          </cell>
        </row>
        <row r="21174">
          <cell r="E21174">
            <v>0</v>
          </cell>
          <cell r="F21174">
            <v>0</v>
          </cell>
          <cell r="DN21174">
            <v>0</v>
          </cell>
        </row>
        <row r="21175">
          <cell r="E21175">
            <v>0</v>
          </cell>
          <cell r="F21175">
            <v>0</v>
          </cell>
          <cell r="DN21175">
            <v>0</v>
          </cell>
        </row>
        <row r="21176">
          <cell r="E21176">
            <v>0</v>
          </cell>
          <cell r="F21176">
            <v>0</v>
          </cell>
          <cell r="DN21176">
            <v>0</v>
          </cell>
        </row>
        <row r="21177">
          <cell r="E21177">
            <v>0</v>
          </cell>
          <cell r="F21177">
            <v>0</v>
          </cell>
          <cell r="DN21177">
            <v>0</v>
          </cell>
        </row>
        <row r="21178">
          <cell r="E21178">
            <v>0</v>
          </cell>
          <cell r="F21178">
            <v>0</v>
          </cell>
          <cell r="DN21178">
            <v>0</v>
          </cell>
        </row>
        <row r="21179">
          <cell r="E21179">
            <v>0</v>
          </cell>
          <cell r="F21179">
            <v>0</v>
          </cell>
          <cell r="DN21179">
            <v>0</v>
          </cell>
        </row>
        <row r="21180">
          <cell r="E21180">
            <v>0</v>
          </cell>
          <cell r="F21180">
            <v>0</v>
          </cell>
          <cell r="DN21180">
            <v>0</v>
          </cell>
        </row>
        <row r="21181">
          <cell r="E21181">
            <v>0</v>
          </cell>
          <cell r="F21181">
            <v>0</v>
          </cell>
          <cell r="DN21181">
            <v>0</v>
          </cell>
        </row>
        <row r="21182">
          <cell r="E21182">
            <v>0</v>
          </cell>
          <cell r="F21182">
            <v>0</v>
          </cell>
          <cell r="DN21182">
            <v>0</v>
          </cell>
        </row>
        <row r="21183">
          <cell r="E21183">
            <v>0</v>
          </cell>
          <cell r="F21183">
            <v>0</v>
          </cell>
          <cell r="DN21183">
            <v>0</v>
          </cell>
        </row>
        <row r="21184">
          <cell r="E21184">
            <v>0</v>
          </cell>
          <cell r="F21184">
            <v>0</v>
          </cell>
          <cell r="DN21184">
            <v>0</v>
          </cell>
        </row>
        <row r="21185">
          <cell r="E21185">
            <v>0</v>
          </cell>
          <cell r="F21185">
            <v>0</v>
          </cell>
          <cell r="DN21185">
            <v>0</v>
          </cell>
        </row>
        <row r="21186">
          <cell r="E21186">
            <v>0</v>
          </cell>
          <cell r="F21186">
            <v>0</v>
          </cell>
          <cell r="DN21186">
            <v>0</v>
          </cell>
        </row>
        <row r="21187">
          <cell r="E21187">
            <v>0</v>
          </cell>
          <cell r="F21187">
            <v>0</v>
          </cell>
          <cell r="DN21187">
            <v>0</v>
          </cell>
        </row>
        <row r="21188">
          <cell r="E21188">
            <v>0</v>
          </cell>
          <cell r="F21188">
            <v>0</v>
          </cell>
          <cell r="DN21188">
            <v>0</v>
          </cell>
        </row>
        <row r="21189">
          <cell r="E21189">
            <v>0</v>
          </cell>
          <cell r="F21189">
            <v>0</v>
          </cell>
          <cell r="DN21189">
            <v>0</v>
          </cell>
        </row>
        <row r="21190">
          <cell r="E21190">
            <v>0</v>
          </cell>
          <cell r="F21190">
            <v>0</v>
          </cell>
          <cell r="DN21190">
            <v>0</v>
          </cell>
        </row>
        <row r="21191">
          <cell r="E21191">
            <v>0</v>
          </cell>
          <cell r="F21191">
            <v>0</v>
          </cell>
          <cell r="DN21191">
            <v>0</v>
          </cell>
        </row>
        <row r="21192">
          <cell r="E21192">
            <v>0</v>
          </cell>
          <cell r="F21192">
            <v>0</v>
          </cell>
          <cell r="DN21192">
            <v>0</v>
          </cell>
        </row>
        <row r="21193">
          <cell r="E21193">
            <v>0</v>
          </cell>
          <cell r="F21193">
            <v>0</v>
          </cell>
          <cell r="DN21193">
            <v>0</v>
          </cell>
        </row>
        <row r="21194">
          <cell r="E21194">
            <v>0</v>
          </cell>
          <cell r="F21194">
            <v>0</v>
          </cell>
          <cell r="DN21194">
            <v>0</v>
          </cell>
        </row>
        <row r="21195">
          <cell r="E21195">
            <v>0</v>
          </cell>
          <cell r="F21195">
            <v>0</v>
          </cell>
          <cell r="DN21195">
            <v>0</v>
          </cell>
        </row>
        <row r="21196">
          <cell r="E21196">
            <v>0</v>
          </cell>
          <cell r="F21196">
            <v>0</v>
          </cell>
          <cell r="DN21196">
            <v>0</v>
          </cell>
        </row>
        <row r="21197">
          <cell r="E21197">
            <v>0</v>
          </cell>
          <cell r="F21197">
            <v>0</v>
          </cell>
          <cell r="DN21197">
            <v>0</v>
          </cell>
        </row>
        <row r="21198">
          <cell r="E21198">
            <v>0</v>
          </cell>
          <cell r="F21198">
            <v>0</v>
          </cell>
          <cell r="DN21198">
            <v>0</v>
          </cell>
        </row>
        <row r="21199">
          <cell r="E21199">
            <v>0</v>
          </cell>
          <cell r="F21199">
            <v>0</v>
          </cell>
          <cell r="DN21199">
            <v>0</v>
          </cell>
        </row>
        <row r="21200">
          <cell r="E21200">
            <v>0</v>
          </cell>
          <cell r="F21200">
            <v>0</v>
          </cell>
          <cell r="DN21200">
            <v>0</v>
          </cell>
        </row>
        <row r="21201">
          <cell r="E21201">
            <v>0</v>
          </cell>
          <cell r="F21201">
            <v>0</v>
          </cell>
          <cell r="DN21201">
            <v>0</v>
          </cell>
        </row>
        <row r="21202">
          <cell r="E21202">
            <v>0</v>
          </cell>
          <cell r="F21202">
            <v>0</v>
          </cell>
          <cell r="DN21202">
            <v>0</v>
          </cell>
        </row>
        <row r="21203">
          <cell r="E21203">
            <v>0</v>
          </cell>
          <cell r="F21203">
            <v>0</v>
          </cell>
          <cell r="DN21203">
            <v>0</v>
          </cell>
        </row>
        <row r="21204">
          <cell r="E21204">
            <v>0</v>
          </cell>
          <cell r="F21204">
            <v>0</v>
          </cell>
          <cell r="DN21204">
            <v>0</v>
          </cell>
        </row>
        <row r="21205">
          <cell r="E21205">
            <v>0</v>
          </cell>
          <cell r="F21205">
            <v>0</v>
          </cell>
          <cell r="DN21205">
            <v>0</v>
          </cell>
        </row>
        <row r="21206">
          <cell r="E21206">
            <v>0</v>
          </cell>
          <cell r="F21206">
            <v>0</v>
          </cell>
          <cell r="DN21206">
            <v>0</v>
          </cell>
        </row>
        <row r="21207">
          <cell r="E21207">
            <v>0</v>
          </cell>
          <cell r="F21207">
            <v>0</v>
          </cell>
          <cell r="DN21207">
            <v>0</v>
          </cell>
        </row>
        <row r="21208">
          <cell r="E21208">
            <v>0</v>
          </cell>
          <cell r="F21208">
            <v>0</v>
          </cell>
          <cell r="DN21208">
            <v>0</v>
          </cell>
        </row>
        <row r="21209">
          <cell r="E21209">
            <v>0</v>
          </cell>
          <cell r="F21209">
            <v>0</v>
          </cell>
          <cell r="DN21209">
            <v>0</v>
          </cell>
        </row>
        <row r="21210">
          <cell r="E21210">
            <v>0</v>
          </cell>
          <cell r="F21210">
            <v>0</v>
          </cell>
          <cell r="DN21210">
            <v>0</v>
          </cell>
        </row>
        <row r="21211">
          <cell r="E21211">
            <v>0</v>
          </cell>
          <cell r="F21211">
            <v>0</v>
          </cell>
          <cell r="DN21211">
            <v>0</v>
          </cell>
        </row>
        <row r="21212">
          <cell r="E21212">
            <v>0</v>
          </cell>
          <cell r="F21212">
            <v>0</v>
          </cell>
          <cell r="DN21212">
            <v>0</v>
          </cell>
        </row>
        <row r="21213">
          <cell r="E21213">
            <v>0</v>
          </cell>
          <cell r="F21213">
            <v>0</v>
          </cell>
          <cell r="DN21213">
            <v>0</v>
          </cell>
        </row>
        <row r="21214">
          <cell r="E21214">
            <v>0</v>
          </cell>
          <cell r="F21214">
            <v>0</v>
          </cell>
          <cell r="DN21214">
            <v>0</v>
          </cell>
        </row>
        <row r="21215">
          <cell r="E21215">
            <v>0</v>
          </cell>
          <cell r="F21215">
            <v>0</v>
          </cell>
          <cell r="DN21215">
            <v>0</v>
          </cell>
        </row>
        <row r="21216">
          <cell r="E21216">
            <v>0</v>
          </cell>
          <cell r="F21216">
            <v>0</v>
          </cell>
          <cell r="DN21216">
            <v>0</v>
          </cell>
        </row>
        <row r="21217">
          <cell r="E21217">
            <v>0</v>
          </cell>
          <cell r="F21217">
            <v>0</v>
          </cell>
          <cell r="DN21217">
            <v>0</v>
          </cell>
        </row>
        <row r="21218">
          <cell r="E21218">
            <v>0</v>
          </cell>
          <cell r="F21218">
            <v>0</v>
          </cell>
          <cell r="DN21218">
            <v>0</v>
          </cell>
        </row>
        <row r="21219">
          <cell r="E21219">
            <v>0</v>
          </cell>
          <cell r="F21219">
            <v>0</v>
          </cell>
          <cell r="DN21219">
            <v>0</v>
          </cell>
        </row>
        <row r="21220">
          <cell r="E21220">
            <v>0</v>
          </cell>
          <cell r="F21220">
            <v>0</v>
          </cell>
          <cell r="DN21220">
            <v>0</v>
          </cell>
        </row>
        <row r="21221">
          <cell r="E21221">
            <v>0</v>
          </cell>
          <cell r="F21221">
            <v>0</v>
          </cell>
          <cell r="DN21221">
            <v>0</v>
          </cell>
        </row>
        <row r="21222">
          <cell r="E21222">
            <v>0</v>
          </cell>
          <cell r="F21222">
            <v>0</v>
          </cell>
          <cell r="DN21222">
            <v>0</v>
          </cell>
        </row>
        <row r="21223">
          <cell r="E21223">
            <v>0</v>
          </cell>
          <cell r="F21223">
            <v>0</v>
          </cell>
          <cell r="DN21223">
            <v>0</v>
          </cell>
        </row>
        <row r="21224">
          <cell r="E21224">
            <v>0</v>
          </cell>
          <cell r="F21224">
            <v>0</v>
          </cell>
          <cell r="DN21224">
            <v>0</v>
          </cell>
        </row>
        <row r="21225">
          <cell r="E21225">
            <v>0</v>
          </cell>
          <cell r="F21225">
            <v>0</v>
          </cell>
          <cell r="DN21225">
            <v>0</v>
          </cell>
        </row>
        <row r="21226">
          <cell r="E21226">
            <v>0</v>
          </cell>
          <cell r="F21226">
            <v>0</v>
          </cell>
          <cell r="DN21226">
            <v>0</v>
          </cell>
        </row>
        <row r="21227">
          <cell r="E21227">
            <v>0</v>
          </cell>
          <cell r="F21227">
            <v>0</v>
          </cell>
          <cell r="DN21227">
            <v>0</v>
          </cell>
        </row>
        <row r="21228">
          <cell r="E21228">
            <v>0</v>
          </cell>
          <cell r="F21228">
            <v>0</v>
          </cell>
          <cell r="DN21228">
            <v>0</v>
          </cell>
        </row>
        <row r="21229">
          <cell r="E21229">
            <v>0</v>
          </cell>
          <cell r="F21229">
            <v>0</v>
          </cell>
          <cell r="DN21229">
            <v>0</v>
          </cell>
        </row>
        <row r="21230">
          <cell r="E21230">
            <v>0</v>
          </cell>
          <cell r="F21230">
            <v>0</v>
          </cell>
          <cell r="DN21230">
            <v>0</v>
          </cell>
        </row>
        <row r="21231">
          <cell r="E21231">
            <v>0</v>
          </cell>
          <cell r="F21231">
            <v>0</v>
          </cell>
          <cell r="DN21231">
            <v>0</v>
          </cell>
        </row>
        <row r="21232">
          <cell r="E21232">
            <v>0</v>
          </cell>
          <cell r="F21232">
            <v>0</v>
          </cell>
          <cell r="DN21232">
            <v>0</v>
          </cell>
        </row>
        <row r="21233">
          <cell r="E21233">
            <v>0</v>
          </cell>
          <cell r="F21233">
            <v>0</v>
          </cell>
          <cell r="DN21233">
            <v>0</v>
          </cell>
        </row>
        <row r="21234">
          <cell r="E21234">
            <v>0</v>
          </cell>
          <cell r="F21234">
            <v>0</v>
          </cell>
          <cell r="DN21234">
            <v>0</v>
          </cell>
        </row>
        <row r="21235">
          <cell r="E21235">
            <v>0</v>
          </cell>
          <cell r="F21235">
            <v>0</v>
          </cell>
          <cell r="DN21235">
            <v>0</v>
          </cell>
        </row>
        <row r="21236">
          <cell r="E21236">
            <v>0</v>
          </cell>
          <cell r="F21236">
            <v>0</v>
          </cell>
          <cell r="DN21236">
            <v>0</v>
          </cell>
        </row>
        <row r="21237">
          <cell r="E21237">
            <v>0</v>
          </cell>
          <cell r="F21237">
            <v>0</v>
          </cell>
          <cell r="DN21237">
            <v>0</v>
          </cell>
        </row>
        <row r="21238">
          <cell r="E21238">
            <v>0</v>
          </cell>
          <cell r="F21238">
            <v>0</v>
          </cell>
          <cell r="DN21238">
            <v>0</v>
          </cell>
        </row>
        <row r="21239">
          <cell r="E21239">
            <v>0</v>
          </cell>
          <cell r="F21239">
            <v>0</v>
          </cell>
          <cell r="DN21239">
            <v>0</v>
          </cell>
        </row>
        <row r="21240">
          <cell r="E21240">
            <v>0</v>
          </cell>
          <cell r="F21240">
            <v>0</v>
          </cell>
          <cell r="DN21240">
            <v>0</v>
          </cell>
        </row>
        <row r="21241">
          <cell r="E21241">
            <v>0</v>
          </cell>
          <cell r="F21241">
            <v>0</v>
          </cell>
          <cell r="DN21241">
            <v>0</v>
          </cell>
        </row>
        <row r="21242">
          <cell r="E21242">
            <v>0</v>
          </cell>
          <cell r="F21242">
            <v>0</v>
          </cell>
          <cell r="DN21242">
            <v>0</v>
          </cell>
        </row>
        <row r="21243">
          <cell r="E21243">
            <v>0</v>
          </cell>
          <cell r="F21243">
            <v>0</v>
          </cell>
          <cell r="DN21243">
            <v>0</v>
          </cell>
        </row>
        <row r="21244">
          <cell r="E21244">
            <v>0</v>
          </cell>
          <cell r="F21244">
            <v>0</v>
          </cell>
          <cell r="DN21244">
            <v>0</v>
          </cell>
        </row>
        <row r="21245">
          <cell r="E21245">
            <v>0</v>
          </cell>
          <cell r="F21245">
            <v>0</v>
          </cell>
          <cell r="DN21245">
            <v>0</v>
          </cell>
        </row>
        <row r="21246">
          <cell r="E21246">
            <v>0</v>
          </cell>
          <cell r="F21246">
            <v>0</v>
          </cell>
          <cell r="DN21246">
            <v>0</v>
          </cell>
        </row>
        <row r="21247">
          <cell r="E21247">
            <v>0</v>
          </cell>
          <cell r="F21247">
            <v>0</v>
          </cell>
          <cell r="DN21247">
            <v>0</v>
          </cell>
        </row>
        <row r="21248">
          <cell r="E21248">
            <v>0</v>
          </cell>
          <cell r="F21248">
            <v>0</v>
          </cell>
          <cell r="DN21248">
            <v>0</v>
          </cell>
        </row>
        <row r="21249">
          <cell r="E21249">
            <v>0</v>
          </cell>
          <cell r="F21249">
            <v>0</v>
          </cell>
          <cell r="DN21249">
            <v>0</v>
          </cell>
        </row>
        <row r="21250">
          <cell r="E21250">
            <v>0</v>
          </cell>
          <cell r="F21250">
            <v>0</v>
          </cell>
          <cell r="DN21250">
            <v>0</v>
          </cell>
        </row>
        <row r="21251">
          <cell r="E21251">
            <v>0</v>
          </cell>
          <cell r="F21251">
            <v>0</v>
          </cell>
          <cell r="DN21251">
            <v>0</v>
          </cell>
        </row>
        <row r="21252">
          <cell r="E21252">
            <v>0</v>
          </cell>
          <cell r="F21252">
            <v>0</v>
          </cell>
          <cell r="DN21252">
            <v>0</v>
          </cell>
        </row>
        <row r="21253">
          <cell r="E21253">
            <v>0</v>
          </cell>
          <cell r="F21253">
            <v>0</v>
          </cell>
          <cell r="DN21253">
            <v>0</v>
          </cell>
        </row>
        <row r="21254">
          <cell r="E21254">
            <v>0</v>
          </cell>
          <cell r="F21254">
            <v>0</v>
          </cell>
          <cell r="DN21254">
            <v>0</v>
          </cell>
        </row>
        <row r="21255">
          <cell r="E21255">
            <v>0</v>
          </cell>
          <cell r="F21255">
            <v>0</v>
          </cell>
          <cell r="DN21255">
            <v>0</v>
          </cell>
        </row>
        <row r="21256">
          <cell r="E21256">
            <v>0</v>
          </cell>
          <cell r="F21256">
            <v>0</v>
          </cell>
          <cell r="DN21256">
            <v>0</v>
          </cell>
        </row>
        <row r="21257">
          <cell r="E21257">
            <v>0</v>
          </cell>
          <cell r="F21257">
            <v>0</v>
          </cell>
          <cell r="DN21257">
            <v>0</v>
          </cell>
        </row>
        <row r="21258">
          <cell r="E21258">
            <v>0</v>
          </cell>
          <cell r="F21258">
            <v>0</v>
          </cell>
          <cell r="DN21258">
            <v>0</v>
          </cell>
        </row>
        <row r="21259">
          <cell r="E21259">
            <v>0</v>
          </cell>
          <cell r="F21259">
            <v>0</v>
          </cell>
          <cell r="DN21259">
            <v>0</v>
          </cell>
        </row>
        <row r="21260">
          <cell r="E21260">
            <v>0</v>
          </cell>
          <cell r="F21260">
            <v>0</v>
          </cell>
          <cell r="DN21260">
            <v>0</v>
          </cell>
        </row>
        <row r="21261">
          <cell r="E21261">
            <v>0</v>
          </cell>
          <cell r="F21261">
            <v>0</v>
          </cell>
          <cell r="DN21261">
            <v>0</v>
          </cell>
        </row>
        <row r="21262">
          <cell r="E21262">
            <v>0</v>
          </cell>
          <cell r="F21262">
            <v>0</v>
          </cell>
          <cell r="DN21262">
            <v>0</v>
          </cell>
        </row>
        <row r="21263">
          <cell r="E21263">
            <v>0</v>
          </cell>
          <cell r="F21263">
            <v>0</v>
          </cell>
          <cell r="DN21263">
            <v>0</v>
          </cell>
        </row>
        <row r="21264">
          <cell r="E21264">
            <v>0</v>
          </cell>
          <cell r="F21264">
            <v>0</v>
          </cell>
          <cell r="DN21264">
            <v>0</v>
          </cell>
        </row>
        <row r="21265">
          <cell r="E21265">
            <v>0</v>
          </cell>
          <cell r="F21265">
            <v>0</v>
          </cell>
          <cell r="DN21265">
            <v>0</v>
          </cell>
        </row>
        <row r="21266">
          <cell r="E21266">
            <v>0</v>
          </cell>
          <cell r="F21266">
            <v>0</v>
          </cell>
          <cell r="DN21266">
            <v>0</v>
          </cell>
        </row>
        <row r="21267">
          <cell r="E21267">
            <v>0</v>
          </cell>
          <cell r="F21267">
            <v>0</v>
          </cell>
          <cell r="DN21267">
            <v>0</v>
          </cell>
        </row>
        <row r="21268">
          <cell r="E21268">
            <v>0</v>
          </cell>
          <cell r="F21268">
            <v>0</v>
          </cell>
          <cell r="DN21268">
            <v>0</v>
          </cell>
        </row>
        <row r="21269">
          <cell r="E21269">
            <v>0</v>
          </cell>
          <cell r="F21269">
            <v>0</v>
          </cell>
          <cell r="DN21269">
            <v>0</v>
          </cell>
        </row>
        <row r="21270">
          <cell r="E21270">
            <v>0</v>
          </cell>
          <cell r="F21270">
            <v>0</v>
          </cell>
          <cell r="DN21270">
            <v>0</v>
          </cell>
        </row>
        <row r="21271">
          <cell r="E21271">
            <v>0</v>
          </cell>
          <cell r="F21271">
            <v>0</v>
          </cell>
          <cell r="DN21271">
            <v>0</v>
          </cell>
        </row>
        <row r="21272">
          <cell r="E21272">
            <v>0</v>
          </cell>
          <cell r="F21272">
            <v>0</v>
          </cell>
          <cell r="DN21272">
            <v>0</v>
          </cell>
        </row>
        <row r="21273">
          <cell r="E21273">
            <v>0</v>
          </cell>
          <cell r="F21273">
            <v>0</v>
          </cell>
          <cell r="DN21273">
            <v>0</v>
          </cell>
        </row>
        <row r="21274">
          <cell r="E21274">
            <v>0</v>
          </cell>
          <cell r="F21274">
            <v>0</v>
          </cell>
          <cell r="DN21274">
            <v>0</v>
          </cell>
        </row>
        <row r="21275">
          <cell r="E21275">
            <v>0</v>
          </cell>
          <cell r="F21275">
            <v>0</v>
          </cell>
          <cell r="DN21275">
            <v>0</v>
          </cell>
        </row>
        <row r="21276">
          <cell r="E21276">
            <v>0</v>
          </cell>
          <cell r="F21276">
            <v>0</v>
          </cell>
          <cell r="DN21276">
            <v>0</v>
          </cell>
        </row>
        <row r="21277">
          <cell r="E21277">
            <v>0</v>
          </cell>
          <cell r="F21277">
            <v>0</v>
          </cell>
          <cell r="DN21277">
            <v>0</v>
          </cell>
        </row>
        <row r="21278">
          <cell r="E21278">
            <v>0</v>
          </cell>
          <cell r="F21278">
            <v>0</v>
          </cell>
          <cell r="DN21278">
            <v>0</v>
          </cell>
        </row>
        <row r="21279">
          <cell r="E21279">
            <v>0</v>
          </cell>
          <cell r="F21279">
            <v>0</v>
          </cell>
          <cell r="DN21279">
            <v>0</v>
          </cell>
        </row>
        <row r="21280">
          <cell r="E21280">
            <v>0</v>
          </cell>
          <cell r="F21280">
            <v>0</v>
          </cell>
          <cell r="DN21280">
            <v>0</v>
          </cell>
        </row>
        <row r="21281">
          <cell r="E21281">
            <v>0</v>
          </cell>
          <cell r="F21281">
            <v>0</v>
          </cell>
          <cell r="DN21281">
            <v>0</v>
          </cell>
        </row>
        <row r="21282">
          <cell r="E21282">
            <v>0</v>
          </cell>
          <cell r="F21282">
            <v>0</v>
          </cell>
          <cell r="DN21282">
            <v>0</v>
          </cell>
        </row>
        <row r="21283">
          <cell r="E21283">
            <v>0</v>
          </cell>
          <cell r="F21283">
            <v>0</v>
          </cell>
          <cell r="DN21283">
            <v>0</v>
          </cell>
        </row>
        <row r="21284">
          <cell r="E21284">
            <v>0</v>
          </cell>
          <cell r="F21284">
            <v>0</v>
          </cell>
          <cell r="DN21284">
            <v>0</v>
          </cell>
        </row>
        <row r="21285">
          <cell r="E21285">
            <v>0</v>
          </cell>
          <cell r="F21285">
            <v>0</v>
          </cell>
          <cell r="DN21285">
            <v>0</v>
          </cell>
        </row>
        <row r="21286">
          <cell r="E21286">
            <v>0</v>
          </cell>
          <cell r="F21286">
            <v>0</v>
          </cell>
          <cell r="DN21286">
            <v>0</v>
          </cell>
        </row>
        <row r="21287">
          <cell r="E21287">
            <v>0</v>
          </cell>
          <cell r="F21287">
            <v>0</v>
          </cell>
          <cell r="DN21287">
            <v>0</v>
          </cell>
        </row>
        <row r="21288">
          <cell r="E21288">
            <v>0</v>
          </cell>
          <cell r="F21288">
            <v>0</v>
          </cell>
          <cell r="DN21288">
            <v>0</v>
          </cell>
        </row>
        <row r="21289">
          <cell r="E21289">
            <v>0</v>
          </cell>
          <cell r="F21289">
            <v>0</v>
          </cell>
          <cell r="DN21289">
            <v>0</v>
          </cell>
        </row>
        <row r="21290">
          <cell r="E21290">
            <v>0</v>
          </cell>
          <cell r="F21290">
            <v>0</v>
          </cell>
          <cell r="DN21290">
            <v>0</v>
          </cell>
        </row>
        <row r="21291">
          <cell r="E21291">
            <v>0</v>
          </cell>
          <cell r="F21291">
            <v>0</v>
          </cell>
          <cell r="DN21291">
            <v>0</v>
          </cell>
        </row>
        <row r="21292">
          <cell r="E21292">
            <v>0</v>
          </cell>
          <cell r="F21292">
            <v>0</v>
          </cell>
          <cell r="DN21292">
            <v>0</v>
          </cell>
        </row>
        <row r="21293">
          <cell r="E21293">
            <v>0</v>
          </cell>
          <cell r="F21293">
            <v>0</v>
          </cell>
          <cell r="DN21293">
            <v>0</v>
          </cell>
        </row>
        <row r="21294">
          <cell r="E21294">
            <v>0</v>
          </cell>
          <cell r="F21294">
            <v>0</v>
          </cell>
          <cell r="DN21294">
            <v>0</v>
          </cell>
        </row>
        <row r="21295">
          <cell r="E21295">
            <v>0</v>
          </cell>
          <cell r="F21295">
            <v>0</v>
          </cell>
          <cell r="DN21295">
            <v>0</v>
          </cell>
        </row>
        <row r="21296">
          <cell r="E21296">
            <v>0</v>
          </cell>
          <cell r="F21296">
            <v>0</v>
          </cell>
          <cell r="DN21296">
            <v>0</v>
          </cell>
        </row>
        <row r="21297">
          <cell r="E21297">
            <v>0</v>
          </cell>
          <cell r="F21297">
            <v>0</v>
          </cell>
          <cell r="DN21297">
            <v>0</v>
          </cell>
        </row>
        <row r="21298">
          <cell r="E21298">
            <v>0</v>
          </cell>
          <cell r="F21298">
            <v>0</v>
          </cell>
          <cell r="DN21298">
            <v>0</v>
          </cell>
        </row>
        <row r="21299">
          <cell r="E21299">
            <v>0</v>
          </cell>
          <cell r="F21299">
            <v>0</v>
          </cell>
          <cell r="DN21299">
            <v>0</v>
          </cell>
        </row>
        <row r="21300">
          <cell r="E21300">
            <v>0</v>
          </cell>
          <cell r="F21300">
            <v>0</v>
          </cell>
          <cell r="DN21300">
            <v>0</v>
          </cell>
        </row>
        <row r="21301">
          <cell r="E21301">
            <v>0</v>
          </cell>
          <cell r="F21301">
            <v>0</v>
          </cell>
          <cell r="DN21301">
            <v>0</v>
          </cell>
        </row>
        <row r="21302">
          <cell r="E21302">
            <v>0</v>
          </cell>
          <cell r="F21302">
            <v>0</v>
          </cell>
          <cell r="DN21302">
            <v>0</v>
          </cell>
        </row>
        <row r="21303">
          <cell r="E21303">
            <v>0</v>
          </cell>
          <cell r="F21303">
            <v>0</v>
          </cell>
          <cell r="DN21303">
            <v>0</v>
          </cell>
        </row>
        <row r="21304">
          <cell r="E21304">
            <v>0</v>
          </cell>
          <cell r="F21304">
            <v>0</v>
          </cell>
          <cell r="DN21304">
            <v>0</v>
          </cell>
        </row>
        <row r="21305">
          <cell r="E21305">
            <v>0</v>
          </cell>
          <cell r="F21305">
            <v>0</v>
          </cell>
          <cell r="DN21305">
            <v>0</v>
          </cell>
        </row>
        <row r="21306">
          <cell r="E21306">
            <v>0</v>
          </cell>
          <cell r="F21306">
            <v>0</v>
          </cell>
          <cell r="DN21306">
            <v>0</v>
          </cell>
        </row>
        <row r="21307">
          <cell r="E21307">
            <v>0</v>
          </cell>
          <cell r="F21307">
            <v>0</v>
          </cell>
          <cell r="DN21307">
            <v>0</v>
          </cell>
        </row>
        <row r="21308">
          <cell r="E21308">
            <v>0</v>
          </cell>
          <cell r="F21308">
            <v>0</v>
          </cell>
          <cell r="DN21308">
            <v>0</v>
          </cell>
        </row>
        <row r="21309">
          <cell r="E21309">
            <v>0</v>
          </cell>
          <cell r="F21309">
            <v>0</v>
          </cell>
          <cell r="DN21309">
            <v>0</v>
          </cell>
        </row>
        <row r="21310">
          <cell r="E21310">
            <v>0</v>
          </cell>
          <cell r="F21310">
            <v>0</v>
          </cell>
          <cell r="DN21310">
            <v>0</v>
          </cell>
        </row>
        <row r="21311">
          <cell r="E21311">
            <v>0</v>
          </cell>
          <cell r="F21311">
            <v>0</v>
          </cell>
          <cell r="DN21311">
            <v>0</v>
          </cell>
        </row>
        <row r="21312">
          <cell r="E21312">
            <v>0</v>
          </cell>
          <cell r="F21312">
            <v>0</v>
          </cell>
          <cell r="DN21312">
            <v>0</v>
          </cell>
        </row>
        <row r="21313">
          <cell r="E21313">
            <v>0</v>
          </cell>
          <cell r="F21313">
            <v>0</v>
          </cell>
          <cell r="DN21313">
            <v>0</v>
          </cell>
        </row>
        <row r="21314">
          <cell r="E21314">
            <v>0</v>
          </cell>
          <cell r="F21314">
            <v>0</v>
          </cell>
          <cell r="DN21314">
            <v>0</v>
          </cell>
        </row>
        <row r="21315">
          <cell r="E21315">
            <v>0</v>
          </cell>
          <cell r="F21315">
            <v>0</v>
          </cell>
          <cell r="DN21315">
            <v>0</v>
          </cell>
        </row>
        <row r="21316">
          <cell r="E21316">
            <v>0</v>
          </cell>
          <cell r="F21316">
            <v>0</v>
          </cell>
          <cell r="DN21316">
            <v>0</v>
          </cell>
        </row>
        <row r="21317">
          <cell r="E21317">
            <v>0</v>
          </cell>
          <cell r="F21317">
            <v>0</v>
          </cell>
          <cell r="DN21317">
            <v>0</v>
          </cell>
        </row>
        <row r="21318">
          <cell r="E21318">
            <v>0</v>
          </cell>
          <cell r="F21318">
            <v>0</v>
          </cell>
          <cell r="DN21318">
            <v>0</v>
          </cell>
        </row>
        <row r="21319">
          <cell r="E21319">
            <v>0</v>
          </cell>
          <cell r="F21319">
            <v>0</v>
          </cell>
          <cell r="DN21319">
            <v>0</v>
          </cell>
        </row>
        <row r="21320">
          <cell r="E21320">
            <v>0</v>
          </cell>
          <cell r="F21320">
            <v>0</v>
          </cell>
          <cell r="DN21320">
            <v>0</v>
          </cell>
        </row>
        <row r="21321">
          <cell r="E21321">
            <v>0</v>
          </cell>
          <cell r="F21321">
            <v>0</v>
          </cell>
          <cell r="DN21321">
            <v>0</v>
          </cell>
        </row>
        <row r="21322">
          <cell r="E21322">
            <v>0</v>
          </cell>
          <cell r="F21322">
            <v>0</v>
          </cell>
          <cell r="DN21322">
            <v>0</v>
          </cell>
        </row>
        <row r="21323">
          <cell r="E21323">
            <v>0</v>
          </cell>
          <cell r="F21323">
            <v>0</v>
          </cell>
          <cell r="DN21323">
            <v>0</v>
          </cell>
        </row>
        <row r="21324">
          <cell r="E21324">
            <v>0</v>
          </cell>
          <cell r="F21324">
            <v>0</v>
          </cell>
          <cell r="DN21324">
            <v>0</v>
          </cell>
        </row>
        <row r="21325">
          <cell r="E21325">
            <v>0</v>
          </cell>
          <cell r="F21325">
            <v>0</v>
          </cell>
          <cell r="DN21325">
            <v>0</v>
          </cell>
        </row>
        <row r="21326">
          <cell r="E21326">
            <v>0</v>
          </cell>
          <cell r="F21326">
            <v>0</v>
          </cell>
          <cell r="DN21326">
            <v>0</v>
          </cell>
        </row>
        <row r="21327">
          <cell r="E21327">
            <v>0</v>
          </cell>
          <cell r="F21327">
            <v>0</v>
          </cell>
          <cell r="DN21327">
            <v>0</v>
          </cell>
        </row>
        <row r="21328">
          <cell r="E21328">
            <v>0</v>
          </cell>
          <cell r="F21328">
            <v>0</v>
          </cell>
          <cell r="DN21328">
            <v>0</v>
          </cell>
        </row>
        <row r="21329">
          <cell r="E21329">
            <v>0</v>
          </cell>
          <cell r="F21329">
            <v>0</v>
          </cell>
          <cell r="DN21329">
            <v>0</v>
          </cell>
        </row>
        <row r="21330">
          <cell r="E21330">
            <v>0</v>
          </cell>
          <cell r="F21330">
            <v>0</v>
          </cell>
          <cell r="DN21330">
            <v>0</v>
          </cell>
        </row>
        <row r="21331">
          <cell r="E21331">
            <v>0</v>
          </cell>
          <cell r="F21331">
            <v>0</v>
          </cell>
          <cell r="DN21331">
            <v>0</v>
          </cell>
        </row>
        <row r="21332">
          <cell r="E21332">
            <v>0</v>
          </cell>
          <cell r="F21332">
            <v>0</v>
          </cell>
          <cell r="DN21332">
            <v>0</v>
          </cell>
        </row>
        <row r="21333">
          <cell r="E21333">
            <v>0</v>
          </cell>
          <cell r="F21333">
            <v>0</v>
          </cell>
          <cell r="DN21333">
            <v>0</v>
          </cell>
        </row>
        <row r="21334">
          <cell r="E21334">
            <v>0</v>
          </cell>
          <cell r="F21334">
            <v>0</v>
          </cell>
          <cell r="DN21334">
            <v>0</v>
          </cell>
        </row>
        <row r="21335">
          <cell r="E21335">
            <v>0</v>
          </cell>
          <cell r="F21335">
            <v>0</v>
          </cell>
          <cell r="DN21335">
            <v>0</v>
          </cell>
        </row>
        <row r="21336">
          <cell r="E21336">
            <v>0</v>
          </cell>
          <cell r="F21336">
            <v>0</v>
          </cell>
          <cell r="DN21336">
            <v>0</v>
          </cell>
        </row>
        <row r="21337">
          <cell r="E21337">
            <v>0</v>
          </cell>
          <cell r="F21337">
            <v>0</v>
          </cell>
          <cell r="DN21337">
            <v>0</v>
          </cell>
        </row>
        <row r="21338">
          <cell r="E21338">
            <v>0</v>
          </cell>
          <cell r="F21338">
            <v>0</v>
          </cell>
          <cell r="DN21338">
            <v>0</v>
          </cell>
        </row>
        <row r="21339">
          <cell r="E21339">
            <v>0</v>
          </cell>
          <cell r="F21339">
            <v>0</v>
          </cell>
          <cell r="DN21339">
            <v>0</v>
          </cell>
        </row>
        <row r="21340">
          <cell r="E21340">
            <v>0</v>
          </cell>
          <cell r="F21340">
            <v>0</v>
          </cell>
          <cell r="DN21340">
            <v>0</v>
          </cell>
        </row>
        <row r="21341">
          <cell r="E21341">
            <v>0</v>
          </cell>
          <cell r="F21341">
            <v>0</v>
          </cell>
          <cell r="DN21341">
            <v>0</v>
          </cell>
        </row>
        <row r="21342">
          <cell r="E21342">
            <v>0</v>
          </cell>
          <cell r="F21342">
            <v>0</v>
          </cell>
          <cell r="DN21342">
            <v>0</v>
          </cell>
        </row>
        <row r="21343">
          <cell r="E21343">
            <v>0</v>
          </cell>
          <cell r="F21343">
            <v>0</v>
          </cell>
          <cell r="DN21343">
            <v>0</v>
          </cell>
        </row>
        <row r="21344">
          <cell r="E21344">
            <v>0</v>
          </cell>
          <cell r="F21344">
            <v>0</v>
          </cell>
          <cell r="DN21344">
            <v>0</v>
          </cell>
        </row>
        <row r="21345">
          <cell r="E21345">
            <v>0</v>
          </cell>
          <cell r="F21345">
            <v>0</v>
          </cell>
          <cell r="DN21345">
            <v>0</v>
          </cell>
        </row>
        <row r="21346">
          <cell r="E21346">
            <v>0</v>
          </cell>
          <cell r="F21346">
            <v>0</v>
          </cell>
          <cell r="DN21346">
            <v>0</v>
          </cell>
        </row>
        <row r="21347">
          <cell r="E21347">
            <v>0</v>
          </cell>
          <cell r="F21347">
            <v>0</v>
          </cell>
          <cell r="DN21347">
            <v>0</v>
          </cell>
        </row>
        <row r="21348">
          <cell r="E21348">
            <v>0</v>
          </cell>
          <cell r="F21348">
            <v>0</v>
          </cell>
          <cell r="DN21348">
            <v>0</v>
          </cell>
        </row>
        <row r="21349">
          <cell r="E21349">
            <v>0</v>
          </cell>
          <cell r="F21349">
            <v>0</v>
          </cell>
          <cell r="DN21349">
            <v>0</v>
          </cell>
        </row>
        <row r="21350">
          <cell r="E21350">
            <v>0</v>
          </cell>
          <cell r="F21350">
            <v>0</v>
          </cell>
          <cell r="DN21350">
            <v>0</v>
          </cell>
        </row>
        <row r="21351">
          <cell r="E21351">
            <v>0</v>
          </cell>
          <cell r="F21351">
            <v>0</v>
          </cell>
          <cell r="DN21351">
            <v>0</v>
          </cell>
        </row>
        <row r="21352">
          <cell r="E21352">
            <v>0</v>
          </cell>
          <cell r="F21352">
            <v>0</v>
          </cell>
          <cell r="DN21352">
            <v>0</v>
          </cell>
        </row>
        <row r="21353">
          <cell r="E21353">
            <v>0</v>
          </cell>
          <cell r="F21353">
            <v>0</v>
          </cell>
          <cell r="DN21353">
            <v>0</v>
          </cell>
        </row>
        <row r="21354">
          <cell r="E21354">
            <v>0</v>
          </cell>
          <cell r="F21354">
            <v>0</v>
          </cell>
          <cell r="DN21354">
            <v>0</v>
          </cell>
        </row>
        <row r="21355">
          <cell r="E21355">
            <v>0</v>
          </cell>
          <cell r="F21355">
            <v>0</v>
          </cell>
          <cell r="DN21355">
            <v>0</v>
          </cell>
        </row>
        <row r="21356">
          <cell r="E21356">
            <v>0</v>
          </cell>
          <cell r="F21356">
            <v>0</v>
          </cell>
          <cell r="DN21356">
            <v>0</v>
          </cell>
        </row>
        <row r="21357">
          <cell r="E21357">
            <v>0</v>
          </cell>
          <cell r="F21357">
            <v>0</v>
          </cell>
          <cell r="DN21357">
            <v>0</v>
          </cell>
        </row>
        <row r="21358">
          <cell r="E21358">
            <v>0</v>
          </cell>
          <cell r="F21358">
            <v>0</v>
          </cell>
          <cell r="DN21358">
            <v>0</v>
          </cell>
        </row>
        <row r="21359">
          <cell r="E21359">
            <v>0</v>
          </cell>
          <cell r="F21359">
            <v>0</v>
          </cell>
          <cell r="DN21359">
            <v>0</v>
          </cell>
        </row>
        <row r="21360">
          <cell r="E21360">
            <v>0</v>
          </cell>
          <cell r="F21360">
            <v>0</v>
          </cell>
          <cell r="DN21360">
            <v>0</v>
          </cell>
        </row>
        <row r="21361">
          <cell r="E21361">
            <v>0</v>
          </cell>
          <cell r="F21361">
            <v>0</v>
          </cell>
          <cell r="DN21361">
            <v>0</v>
          </cell>
        </row>
        <row r="21362">
          <cell r="E21362">
            <v>0</v>
          </cell>
          <cell r="F21362">
            <v>0</v>
          </cell>
          <cell r="DN21362">
            <v>0</v>
          </cell>
        </row>
        <row r="21363">
          <cell r="E21363">
            <v>0</v>
          </cell>
          <cell r="F21363">
            <v>0</v>
          </cell>
          <cell r="DN21363">
            <v>0</v>
          </cell>
        </row>
        <row r="21364">
          <cell r="E21364">
            <v>0</v>
          </cell>
          <cell r="F21364">
            <v>0</v>
          </cell>
          <cell r="DN21364">
            <v>0</v>
          </cell>
        </row>
        <row r="21365">
          <cell r="E21365">
            <v>0</v>
          </cell>
          <cell r="F21365">
            <v>0</v>
          </cell>
          <cell r="DN21365">
            <v>0</v>
          </cell>
        </row>
        <row r="21366">
          <cell r="E21366">
            <v>0</v>
          </cell>
          <cell r="F21366">
            <v>0</v>
          </cell>
          <cell r="DN21366">
            <v>0</v>
          </cell>
        </row>
        <row r="21367">
          <cell r="E21367">
            <v>0</v>
          </cell>
          <cell r="F21367">
            <v>0</v>
          </cell>
          <cell r="DN21367">
            <v>0</v>
          </cell>
        </row>
        <row r="21368">
          <cell r="E21368">
            <v>0</v>
          </cell>
          <cell r="F21368">
            <v>0</v>
          </cell>
          <cell r="DN21368">
            <v>0</v>
          </cell>
        </row>
        <row r="21369">
          <cell r="E21369">
            <v>0</v>
          </cell>
          <cell r="F21369">
            <v>0</v>
          </cell>
          <cell r="DN21369">
            <v>0</v>
          </cell>
        </row>
        <row r="21370">
          <cell r="E21370">
            <v>0</v>
          </cell>
          <cell r="F21370">
            <v>0</v>
          </cell>
          <cell r="DN21370">
            <v>0</v>
          </cell>
        </row>
        <row r="21371">
          <cell r="E21371">
            <v>0</v>
          </cell>
          <cell r="F21371">
            <v>0</v>
          </cell>
          <cell r="DN21371">
            <v>0</v>
          </cell>
        </row>
        <row r="21372">
          <cell r="E21372">
            <v>0</v>
          </cell>
          <cell r="F21372">
            <v>0</v>
          </cell>
          <cell r="DN21372">
            <v>0</v>
          </cell>
        </row>
        <row r="21373">
          <cell r="E21373">
            <v>0</v>
          </cell>
          <cell r="F21373">
            <v>0</v>
          </cell>
          <cell r="DN21373">
            <v>0</v>
          </cell>
        </row>
        <row r="21374">
          <cell r="E21374">
            <v>0</v>
          </cell>
          <cell r="F21374">
            <v>0</v>
          </cell>
          <cell r="DN21374">
            <v>0</v>
          </cell>
        </row>
        <row r="21375">
          <cell r="E21375">
            <v>0</v>
          </cell>
          <cell r="F21375">
            <v>0</v>
          </cell>
          <cell r="DN21375">
            <v>0</v>
          </cell>
        </row>
        <row r="21376">
          <cell r="E21376">
            <v>0</v>
          </cell>
          <cell r="F21376">
            <v>0</v>
          </cell>
          <cell r="DN21376">
            <v>0</v>
          </cell>
        </row>
        <row r="21377">
          <cell r="E21377">
            <v>0</v>
          </cell>
          <cell r="F21377">
            <v>0</v>
          </cell>
          <cell r="DN21377">
            <v>0</v>
          </cell>
        </row>
        <row r="21378">
          <cell r="E21378">
            <v>0</v>
          </cell>
          <cell r="F21378">
            <v>0</v>
          </cell>
          <cell r="DN21378">
            <v>0</v>
          </cell>
        </row>
        <row r="21379">
          <cell r="E21379">
            <v>0</v>
          </cell>
          <cell r="F21379">
            <v>0</v>
          </cell>
          <cell r="DN21379">
            <v>0</v>
          </cell>
        </row>
        <row r="21380">
          <cell r="E21380">
            <v>0</v>
          </cell>
          <cell r="F21380">
            <v>0</v>
          </cell>
          <cell r="DN21380">
            <v>0</v>
          </cell>
        </row>
        <row r="21381">
          <cell r="E21381">
            <v>0</v>
          </cell>
          <cell r="F21381">
            <v>0</v>
          </cell>
          <cell r="DN21381">
            <v>0</v>
          </cell>
        </row>
        <row r="21382">
          <cell r="E21382">
            <v>0</v>
          </cell>
          <cell r="F21382">
            <v>0</v>
          </cell>
          <cell r="DN21382">
            <v>0</v>
          </cell>
        </row>
        <row r="21383">
          <cell r="E21383">
            <v>0</v>
          </cell>
          <cell r="F21383">
            <v>0</v>
          </cell>
          <cell r="DN21383">
            <v>0</v>
          </cell>
        </row>
        <row r="21384">
          <cell r="E21384">
            <v>0</v>
          </cell>
          <cell r="F21384">
            <v>0</v>
          </cell>
          <cell r="DN21384">
            <v>0</v>
          </cell>
        </row>
        <row r="21385">
          <cell r="E21385">
            <v>0</v>
          </cell>
          <cell r="F21385">
            <v>0</v>
          </cell>
          <cell r="DN21385">
            <v>0</v>
          </cell>
        </row>
        <row r="21386">
          <cell r="E21386">
            <v>0</v>
          </cell>
          <cell r="F21386">
            <v>0</v>
          </cell>
          <cell r="DN21386">
            <v>0</v>
          </cell>
        </row>
        <row r="21387">
          <cell r="E21387">
            <v>0</v>
          </cell>
          <cell r="F21387">
            <v>0</v>
          </cell>
          <cell r="DN21387">
            <v>0</v>
          </cell>
        </row>
        <row r="21388">
          <cell r="E21388">
            <v>0</v>
          </cell>
          <cell r="F21388">
            <v>0</v>
          </cell>
          <cell r="DN21388">
            <v>0</v>
          </cell>
        </row>
        <row r="21389">
          <cell r="E21389">
            <v>0</v>
          </cell>
          <cell r="F21389">
            <v>0</v>
          </cell>
          <cell r="DN21389">
            <v>0</v>
          </cell>
        </row>
        <row r="21390">
          <cell r="E21390">
            <v>0</v>
          </cell>
          <cell r="F21390">
            <v>0</v>
          </cell>
          <cell r="DN21390">
            <v>0</v>
          </cell>
        </row>
        <row r="21391">
          <cell r="E21391">
            <v>0</v>
          </cell>
          <cell r="F21391">
            <v>0</v>
          </cell>
          <cell r="DN21391">
            <v>0</v>
          </cell>
        </row>
        <row r="21392">
          <cell r="E21392">
            <v>0</v>
          </cell>
          <cell r="F21392">
            <v>0</v>
          </cell>
          <cell r="DN21392">
            <v>0</v>
          </cell>
        </row>
        <row r="21393">
          <cell r="E21393">
            <v>0</v>
          </cell>
          <cell r="F21393">
            <v>0</v>
          </cell>
          <cell r="DN21393">
            <v>0</v>
          </cell>
        </row>
        <row r="21394">
          <cell r="E21394">
            <v>0</v>
          </cell>
          <cell r="F21394">
            <v>0</v>
          </cell>
          <cell r="DN21394">
            <v>0</v>
          </cell>
        </row>
        <row r="21395">
          <cell r="E21395">
            <v>0</v>
          </cell>
          <cell r="F21395">
            <v>0</v>
          </cell>
          <cell r="DN21395">
            <v>0</v>
          </cell>
        </row>
        <row r="21396">
          <cell r="E21396">
            <v>0</v>
          </cell>
          <cell r="F21396">
            <v>0</v>
          </cell>
          <cell r="DN21396">
            <v>0</v>
          </cell>
        </row>
        <row r="21397">
          <cell r="E21397">
            <v>0</v>
          </cell>
          <cell r="F21397">
            <v>0</v>
          </cell>
          <cell r="DN21397">
            <v>0</v>
          </cell>
        </row>
        <row r="21398">
          <cell r="E21398">
            <v>0</v>
          </cell>
          <cell r="F21398">
            <v>0</v>
          </cell>
          <cell r="DN21398">
            <v>0</v>
          </cell>
        </row>
        <row r="21399">
          <cell r="E21399">
            <v>0</v>
          </cell>
          <cell r="F21399">
            <v>0</v>
          </cell>
          <cell r="DN21399">
            <v>0</v>
          </cell>
        </row>
        <row r="21400">
          <cell r="E21400">
            <v>0</v>
          </cell>
          <cell r="F21400">
            <v>0</v>
          </cell>
          <cell r="DN21400">
            <v>0</v>
          </cell>
        </row>
        <row r="21401">
          <cell r="E21401">
            <v>0</v>
          </cell>
          <cell r="F21401">
            <v>0</v>
          </cell>
          <cell r="DN21401">
            <v>0</v>
          </cell>
        </row>
        <row r="21402">
          <cell r="E21402">
            <v>0</v>
          </cell>
          <cell r="F21402">
            <v>0</v>
          </cell>
          <cell r="DN21402">
            <v>0</v>
          </cell>
        </row>
        <row r="21403">
          <cell r="E21403">
            <v>0</v>
          </cell>
          <cell r="F21403">
            <v>0</v>
          </cell>
          <cell r="DN21403">
            <v>0</v>
          </cell>
        </row>
        <row r="21404">
          <cell r="E21404">
            <v>0</v>
          </cell>
          <cell r="F21404">
            <v>0</v>
          </cell>
          <cell r="DN21404">
            <v>0</v>
          </cell>
        </row>
        <row r="21405">
          <cell r="E21405">
            <v>0</v>
          </cell>
          <cell r="F21405">
            <v>0</v>
          </cell>
          <cell r="DN21405">
            <v>0</v>
          </cell>
        </row>
        <row r="21406">
          <cell r="E21406">
            <v>0</v>
          </cell>
          <cell r="F21406">
            <v>0</v>
          </cell>
          <cell r="DN21406">
            <v>0</v>
          </cell>
        </row>
        <row r="21407">
          <cell r="E21407">
            <v>0</v>
          </cell>
          <cell r="F21407">
            <v>0</v>
          </cell>
          <cell r="DN21407">
            <v>0</v>
          </cell>
        </row>
        <row r="21408">
          <cell r="E21408">
            <v>0</v>
          </cell>
          <cell r="F21408">
            <v>0</v>
          </cell>
          <cell r="DN21408">
            <v>0</v>
          </cell>
        </row>
        <row r="21409">
          <cell r="E21409">
            <v>0</v>
          </cell>
          <cell r="F21409">
            <v>0</v>
          </cell>
          <cell r="DN21409">
            <v>0</v>
          </cell>
        </row>
        <row r="21410">
          <cell r="E21410">
            <v>0</v>
          </cell>
          <cell r="F21410">
            <v>0</v>
          </cell>
          <cell r="DN21410">
            <v>0</v>
          </cell>
        </row>
        <row r="21411">
          <cell r="E21411">
            <v>0</v>
          </cell>
          <cell r="F21411">
            <v>0</v>
          </cell>
          <cell r="DN21411">
            <v>0</v>
          </cell>
        </row>
        <row r="21412">
          <cell r="E21412">
            <v>0</v>
          </cell>
          <cell r="F21412">
            <v>0</v>
          </cell>
          <cell r="DN21412">
            <v>0</v>
          </cell>
        </row>
        <row r="21413">
          <cell r="E21413">
            <v>0</v>
          </cell>
          <cell r="F21413">
            <v>0</v>
          </cell>
          <cell r="DN21413">
            <v>0</v>
          </cell>
        </row>
        <row r="21414">
          <cell r="E21414">
            <v>0</v>
          </cell>
          <cell r="F21414">
            <v>0</v>
          </cell>
          <cell r="DN21414">
            <v>0</v>
          </cell>
        </row>
        <row r="21415">
          <cell r="E21415">
            <v>0</v>
          </cell>
          <cell r="F21415">
            <v>0</v>
          </cell>
          <cell r="DN21415">
            <v>0</v>
          </cell>
        </row>
        <row r="21416">
          <cell r="E21416">
            <v>0</v>
          </cell>
          <cell r="F21416">
            <v>0</v>
          </cell>
          <cell r="DN21416">
            <v>0</v>
          </cell>
        </row>
        <row r="21417">
          <cell r="E21417">
            <v>0</v>
          </cell>
          <cell r="F21417">
            <v>0</v>
          </cell>
          <cell r="DN21417">
            <v>0</v>
          </cell>
        </row>
        <row r="21418">
          <cell r="E21418">
            <v>0</v>
          </cell>
          <cell r="F21418">
            <v>0</v>
          </cell>
          <cell r="DN21418">
            <v>0</v>
          </cell>
        </row>
        <row r="21419">
          <cell r="E21419">
            <v>0</v>
          </cell>
          <cell r="F21419">
            <v>0</v>
          </cell>
          <cell r="DN21419">
            <v>0</v>
          </cell>
        </row>
        <row r="21420">
          <cell r="E21420">
            <v>0</v>
          </cell>
          <cell r="F21420">
            <v>0</v>
          </cell>
          <cell r="DN21420">
            <v>0</v>
          </cell>
        </row>
        <row r="21421">
          <cell r="E21421">
            <v>0</v>
          </cell>
          <cell r="F21421">
            <v>0</v>
          </cell>
          <cell r="DN21421">
            <v>0</v>
          </cell>
        </row>
        <row r="21422">
          <cell r="E21422">
            <v>0</v>
          </cell>
          <cell r="F21422">
            <v>0</v>
          </cell>
          <cell r="DN21422">
            <v>0</v>
          </cell>
        </row>
        <row r="21423">
          <cell r="E21423">
            <v>0</v>
          </cell>
          <cell r="F21423">
            <v>0</v>
          </cell>
          <cell r="DN21423">
            <v>0</v>
          </cell>
        </row>
        <row r="21424">
          <cell r="E21424">
            <v>0</v>
          </cell>
          <cell r="F21424">
            <v>0</v>
          </cell>
          <cell r="DN21424">
            <v>0</v>
          </cell>
        </row>
        <row r="21425">
          <cell r="E21425">
            <v>0</v>
          </cell>
          <cell r="F21425">
            <v>0</v>
          </cell>
          <cell r="DN21425">
            <v>0</v>
          </cell>
        </row>
        <row r="21426">
          <cell r="E21426">
            <v>0</v>
          </cell>
          <cell r="F21426">
            <v>0</v>
          </cell>
          <cell r="DN21426">
            <v>0</v>
          </cell>
        </row>
        <row r="21427">
          <cell r="E21427">
            <v>0</v>
          </cell>
          <cell r="F21427">
            <v>0</v>
          </cell>
          <cell r="DN21427">
            <v>0</v>
          </cell>
        </row>
        <row r="21428">
          <cell r="E21428">
            <v>0</v>
          </cell>
          <cell r="F21428">
            <v>0</v>
          </cell>
          <cell r="DN21428">
            <v>0</v>
          </cell>
        </row>
        <row r="21429">
          <cell r="E21429">
            <v>0</v>
          </cell>
          <cell r="F21429">
            <v>0</v>
          </cell>
          <cell r="DN21429">
            <v>0</v>
          </cell>
        </row>
        <row r="21430">
          <cell r="E21430">
            <v>0</v>
          </cell>
          <cell r="F21430">
            <v>0</v>
          </cell>
          <cell r="DN21430">
            <v>0</v>
          </cell>
        </row>
        <row r="21431">
          <cell r="E21431">
            <v>0</v>
          </cell>
          <cell r="F21431">
            <v>0</v>
          </cell>
          <cell r="DN21431">
            <v>0</v>
          </cell>
        </row>
        <row r="21432">
          <cell r="E21432">
            <v>0</v>
          </cell>
          <cell r="F21432">
            <v>0</v>
          </cell>
          <cell r="DN21432">
            <v>0</v>
          </cell>
        </row>
        <row r="21433">
          <cell r="E21433">
            <v>0</v>
          </cell>
          <cell r="F21433">
            <v>0</v>
          </cell>
          <cell r="DN21433">
            <v>0</v>
          </cell>
        </row>
        <row r="21434">
          <cell r="E21434">
            <v>0</v>
          </cell>
          <cell r="F21434">
            <v>0</v>
          </cell>
          <cell r="DN21434">
            <v>0</v>
          </cell>
        </row>
        <row r="21435">
          <cell r="E21435">
            <v>0</v>
          </cell>
          <cell r="F21435">
            <v>0</v>
          </cell>
          <cell r="DN21435">
            <v>0</v>
          </cell>
        </row>
        <row r="21436">
          <cell r="E21436">
            <v>0</v>
          </cell>
          <cell r="F21436">
            <v>0</v>
          </cell>
          <cell r="DN21436">
            <v>0</v>
          </cell>
        </row>
        <row r="21437">
          <cell r="E21437">
            <v>0</v>
          </cell>
          <cell r="F21437">
            <v>0</v>
          </cell>
          <cell r="DN21437">
            <v>0</v>
          </cell>
        </row>
        <row r="21438">
          <cell r="E21438">
            <v>0</v>
          </cell>
          <cell r="F21438">
            <v>0</v>
          </cell>
          <cell r="DN21438">
            <v>0</v>
          </cell>
        </row>
        <row r="21439">
          <cell r="E21439">
            <v>0</v>
          </cell>
          <cell r="F21439">
            <v>0</v>
          </cell>
          <cell r="DN21439">
            <v>0</v>
          </cell>
        </row>
        <row r="21440">
          <cell r="E21440">
            <v>0</v>
          </cell>
          <cell r="F21440">
            <v>0</v>
          </cell>
          <cell r="DN21440">
            <v>0</v>
          </cell>
        </row>
        <row r="21441">
          <cell r="E21441">
            <v>0</v>
          </cell>
          <cell r="F21441">
            <v>0</v>
          </cell>
          <cell r="DN21441">
            <v>0</v>
          </cell>
        </row>
        <row r="21442">
          <cell r="E21442">
            <v>0</v>
          </cell>
          <cell r="F21442">
            <v>0</v>
          </cell>
          <cell r="DN21442">
            <v>0</v>
          </cell>
        </row>
        <row r="21443">
          <cell r="E21443">
            <v>0</v>
          </cell>
          <cell r="F21443">
            <v>0</v>
          </cell>
          <cell r="DN21443">
            <v>0</v>
          </cell>
        </row>
        <row r="21444">
          <cell r="E21444">
            <v>0</v>
          </cell>
          <cell r="F21444">
            <v>0</v>
          </cell>
          <cell r="DN21444">
            <v>0</v>
          </cell>
        </row>
        <row r="21445">
          <cell r="E21445">
            <v>0</v>
          </cell>
          <cell r="F21445">
            <v>0</v>
          </cell>
          <cell r="DN21445">
            <v>0</v>
          </cell>
        </row>
        <row r="21446">
          <cell r="E21446">
            <v>0</v>
          </cell>
          <cell r="F21446">
            <v>0</v>
          </cell>
          <cell r="DN21446">
            <v>0</v>
          </cell>
        </row>
        <row r="21447">
          <cell r="E21447">
            <v>0</v>
          </cell>
          <cell r="F21447">
            <v>0</v>
          </cell>
          <cell r="DN21447">
            <v>0</v>
          </cell>
        </row>
        <row r="21448">
          <cell r="E21448">
            <v>0</v>
          </cell>
          <cell r="F21448">
            <v>0</v>
          </cell>
          <cell r="DN21448">
            <v>0</v>
          </cell>
        </row>
        <row r="21449">
          <cell r="E21449">
            <v>0</v>
          </cell>
          <cell r="F21449">
            <v>0</v>
          </cell>
          <cell r="DN21449">
            <v>0</v>
          </cell>
        </row>
        <row r="21450">
          <cell r="E21450">
            <v>0</v>
          </cell>
          <cell r="F21450">
            <v>0</v>
          </cell>
          <cell r="DN21450">
            <v>0</v>
          </cell>
        </row>
        <row r="21451">
          <cell r="E21451">
            <v>0</v>
          </cell>
          <cell r="F21451">
            <v>0</v>
          </cell>
          <cell r="DN21451">
            <v>0</v>
          </cell>
        </row>
        <row r="21452">
          <cell r="E21452">
            <v>0</v>
          </cell>
          <cell r="F21452">
            <v>0</v>
          </cell>
          <cell r="DN21452">
            <v>0</v>
          </cell>
        </row>
        <row r="21453">
          <cell r="E21453">
            <v>0</v>
          </cell>
          <cell r="F21453">
            <v>0</v>
          </cell>
          <cell r="DN21453">
            <v>0</v>
          </cell>
        </row>
        <row r="21454">
          <cell r="E21454">
            <v>0</v>
          </cell>
          <cell r="F21454">
            <v>0</v>
          </cell>
          <cell r="DN21454">
            <v>0</v>
          </cell>
        </row>
        <row r="21455">
          <cell r="E21455">
            <v>0</v>
          </cell>
          <cell r="F21455">
            <v>0</v>
          </cell>
          <cell r="DN21455">
            <v>0</v>
          </cell>
        </row>
        <row r="21456">
          <cell r="E21456">
            <v>0</v>
          </cell>
          <cell r="F21456">
            <v>0</v>
          </cell>
          <cell r="DN21456">
            <v>0</v>
          </cell>
        </row>
        <row r="21457">
          <cell r="E21457">
            <v>0</v>
          </cell>
          <cell r="F21457">
            <v>0</v>
          </cell>
          <cell r="DN21457">
            <v>0</v>
          </cell>
        </row>
        <row r="21458">
          <cell r="E21458">
            <v>0</v>
          </cell>
          <cell r="F21458">
            <v>0</v>
          </cell>
          <cell r="DN21458">
            <v>0</v>
          </cell>
        </row>
        <row r="21459">
          <cell r="E21459">
            <v>0</v>
          </cell>
          <cell r="F21459">
            <v>0</v>
          </cell>
          <cell r="DN21459">
            <v>0</v>
          </cell>
        </row>
        <row r="21460">
          <cell r="E21460">
            <v>0</v>
          </cell>
          <cell r="F21460">
            <v>0</v>
          </cell>
          <cell r="DN21460">
            <v>0</v>
          </cell>
        </row>
        <row r="21461">
          <cell r="E21461">
            <v>0</v>
          </cell>
          <cell r="F21461">
            <v>0</v>
          </cell>
          <cell r="DN21461">
            <v>0</v>
          </cell>
        </row>
        <row r="21462">
          <cell r="E21462">
            <v>0</v>
          </cell>
          <cell r="F21462">
            <v>0</v>
          </cell>
          <cell r="DN21462">
            <v>0</v>
          </cell>
        </row>
        <row r="21463">
          <cell r="E21463">
            <v>0</v>
          </cell>
          <cell r="F21463">
            <v>0</v>
          </cell>
          <cell r="DN21463">
            <v>0</v>
          </cell>
        </row>
        <row r="21464">
          <cell r="E21464">
            <v>0</v>
          </cell>
          <cell r="F21464">
            <v>0</v>
          </cell>
          <cell r="DN21464">
            <v>0</v>
          </cell>
        </row>
        <row r="21465">
          <cell r="E21465">
            <v>0</v>
          </cell>
          <cell r="F21465">
            <v>0</v>
          </cell>
          <cell r="DN21465">
            <v>0</v>
          </cell>
        </row>
        <row r="21466">
          <cell r="E21466">
            <v>0</v>
          </cell>
          <cell r="F21466">
            <v>0</v>
          </cell>
          <cell r="DN21466">
            <v>0</v>
          </cell>
        </row>
        <row r="21467">
          <cell r="E21467">
            <v>0</v>
          </cell>
          <cell r="F21467">
            <v>0</v>
          </cell>
          <cell r="DN21467">
            <v>0</v>
          </cell>
        </row>
        <row r="21468">
          <cell r="E21468">
            <v>0</v>
          </cell>
          <cell r="F21468">
            <v>0</v>
          </cell>
          <cell r="DN21468">
            <v>0</v>
          </cell>
        </row>
        <row r="21469">
          <cell r="E21469">
            <v>0</v>
          </cell>
          <cell r="F21469">
            <v>0</v>
          </cell>
          <cell r="DN21469">
            <v>0</v>
          </cell>
        </row>
        <row r="21470">
          <cell r="E21470">
            <v>0</v>
          </cell>
          <cell r="F21470">
            <v>0</v>
          </cell>
          <cell r="DN21470">
            <v>0</v>
          </cell>
        </row>
        <row r="21471">
          <cell r="E21471">
            <v>0</v>
          </cell>
          <cell r="F21471">
            <v>0</v>
          </cell>
          <cell r="DN21471">
            <v>0</v>
          </cell>
        </row>
        <row r="21472">
          <cell r="E21472">
            <v>0</v>
          </cell>
          <cell r="F21472">
            <v>0</v>
          </cell>
          <cell r="DN21472">
            <v>0</v>
          </cell>
        </row>
        <row r="21473">
          <cell r="E21473">
            <v>0</v>
          </cell>
          <cell r="F21473">
            <v>0</v>
          </cell>
          <cell r="DN21473">
            <v>0</v>
          </cell>
        </row>
        <row r="21474">
          <cell r="E21474">
            <v>0</v>
          </cell>
          <cell r="F21474">
            <v>0</v>
          </cell>
          <cell r="DN21474">
            <v>0</v>
          </cell>
        </row>
        <row r="21475">
          <cell r="E21475">
            <v>0</v>
          </cell>
          <cell r="F21475">
            <v>0</v>
          </cell>
          <cell r="DN21475">
            <v>0</v>
          </cell>
        </row>
        <row r="21476">
          <cell r="E21476">
            <v>0</v>
          </cell>
          <cell r="F21476">
            <v>0</v>
          </cell>
          <cell r="DN21476">
            <v>0</v>
          </cell>
        </row>
        <row r="21477">
          <cell r="E21477">
            <v>0</v>
          </cell>
          <cell r="F21477">
            <v>0</v>
          </cell>
          <cell r="DN21477">
            <v>0</v>
          </cell>
        </row>
        <row r="21478">
          <cell r="E21478">
            <v>0</v>
          </cell>
          <cell r="F21478">
            <v>0</v>
          </cell>
          <cell r="DN21478">
            <v>0</v>
          </cell>
        </row>
        <row r="21479">
          <cell r="E21479">
            <v>0</v>
          </cell>
          <cell r="F21479">
            <v>0</v>
          </cell>
          <cell r="DN21479">
            <v>0</v>
          </cell>
        </row>
        <row r="21480">
          <cell r="E21480">
            <v>0</v>
          </cell>
          <cell r="F21480">
            <v>0</v>
          </cell>
          <cell r="DN21480">
            <v>0</v>
          </cell>
        </row>
        <row r="21481">
          <cell r="E21481">
            <v>0</v>
          </cell>
          <cell r="F21481">
            <v>0</v>
          </cell>
          <cell r="DN21481">
            <v>0</v>
          </cell>
        </row>
        <row r="21482">
          <cell r="E21482">
            <v>0</v>
          </cell>
          <cell r="F21482">
            <v>0</v>
          </cell>
          <cell r="DN21482">
            <v>0</v>
          </cell>
        </row>
        <row r="21483">
          <cell r="E21483">
            <v>0</v>
          </cell>
          <cell r="F21483">
            <v>0</v>
          </cell>
          <cell r="DN21483">
            <v>0</v>
          </cell>
        </row>
        <row r="21484">
          <cell r="E21484">
            <v>0</v>
          </cell>
          <cell r="F21484">
            <v>0</v>
          </cell>
          <cell r="DN21484">
            <v>0</v>
          </cell>
        </row>
        <row r="21485">
          <cell r="E21485">
            <v>0</v>
          </cell>
          <cell r="F21485">
            <v>0</v>
          </cell>
          <cell r="DN21485">
            <v>0</v>
          </cell>
        </row>
        <row r="21486">
          <cell r="E21486">
            <v>0</v>
          </cell>
          <cell r="F21486">
            <v>0</v>
          </cell>
          <cell r="DN21486">
            <v>0</v>
          </cell>
        </row>
        <row r="21487">
          <cell r="E21487">
            <v>0</v>
          </cell>
          <cell r="F21487">
            <v>0</v>
          </cell>
          <cell r="DN21487">
            <v>0</v>
          </cell>
        </row>
        <row r="21488">
          <cell r="E21488">
            <v>0</v>
          </cell>
          <cell r="F21488">
            <v>0</v>
          </cell>
          <cell r="DN21488">
            <v>0</v>
          </cell>
        </row>
        <row r="21489">
          <cell r="E21489">
            <v>0</v>
          </cell>
          <cell r="F21489">
            <v>0</v>
          </cell>
          <cell r="DN21489">
            <v>0</v>
          </cell>
        </row>
        <row r="21490">
          <cell r="E21490">
            <v>0</v>
          </cell>
          <cell r="F21490">
            <v>0</v>
          </cell>
          <cell r="DN21490">
            <v>0</v>
          </cell>
        </row>
        <row r="21491">
          <cell r="E21491">
            <v>0</v>
          </cell>
          <cell r="F21491">
            <v>0</v>
          </cell>
          <cell r="DN21491">
            <v>0</v>
          </cell>
        </row>
        <row r="21492">
          <cell r="E21492">
            <v>0</v>
          </cell>
          <cell r="F21492">
            <v>0</v>
          </cell>
          <cell r="DN21492">
            <v>0</v>
          </cell>
        </row>
        <row r="21493">
          <cell r="E21493">
            <v>0</v>
          </cell>
          <cell r="F21493">
            <v>0</v>
          </cell>
          <cell r="DN21493">
            <v>0</v>
          </cell>
        </row>
        <row r="21494">
          <cell r="E21494">
            <v>0</v>
          </cell>
          <cell r="F21494">
            <v>0</v>
          </cell>
          <cell r="DN21494">
            <v>0</v>
          </cell>
        </row>
        <row r="21495">
          <cell r="E21495">
            <v>0</v>
          </cell>
          <cell r="F21495">
            <v>0</v>
          </cell>
          <cell r="DN21495">
            <v>0</v>
          </cell>
        </row>
        <row r="21496">
          <cell r="E21496">
            <v>0</v>
          </cell>
          <cell r="F21496">
            <v>0</v>
          </cell>
          <cell r="DN21496">
            <v>0</v>
          </cell>
        </row>
        <row r="21497">
          <cell r="E21497">
            <v>0</v>
          </cell>
          <cell r="F21497">
            <v>0</v>
          </cell>
          <cell r="DN21497">
            <v>0</v>
          </cell>
        </row>
        <row r="21498">
          <cell r="E21498">
            <v>0</v>
          </cell>
          <cell r="F21498">
            <v>0</v>
          </cell>
          <cell r="DN21498">
            <v>0</v>
          </cell>
        </row>
        <row r="21499">
          <cell r="E21499">
            <v>0</v>
          </cell>
          <cell r="F21499">
            <v>0</v>
          </cell>
          <cell r="DN21499">
            <v>0</v>
          </cell>
        </row>
        <row r="21500">
          <cell r="E21500">
            <v>0</v>
          </cell>
          <cell r="F21500">
            <v>0</v>
          </cell>
          <cell r="DN21500">
            <v>0</v>
          </cell>
        </row>
        <row r="21501">
          <cell r="E21501">
            <v>0</v>
          </cell>
          <cell r="F21501">
            <v>0</v>
          </cell>
          <cell r="DN21501">
            <v>0</v>
          </cell>
        </row>
        <row r="21502">
          <cell r="E21502">
            <v>0</v>
          </cell>
          <cell r="F21502">
            <v>0</v>
          </cell>
          <cell r="DN21502">
            <v>0</v>
          </cell>
        </row>
        <row r="21503">
          <cell r="E21503">
            <v>0</v>
          </cell>
          <cell r="F21503">
            <v>0</v>
          </cell>
          <cell r="DN21503">
            <v>0</v>
          </cell>
        </row>
        <row r="21504">
          <cell r="E21504">
            <v>0</v>
          </cell>
          <cell r="F21504">
            <v>0</v>
          </cell>
          <cell r="DN21504">
            <v>0</v>
          </cell>
        </row>
        <row r="21505">
          <cell r="E21505">
            <v>0</v>
          </cell>
          <cell r="F21505">
            <v>0</v>
          </cell>
          <cell r="DN21505">
            <v>0</v>
          </cell>
        </row>
        <row r="21506">
          <cell r="E21506">
            <v>0</v>
          </cell>
          <cell r="F21506">
            <v>0</v>
          </cell>
          <cell r="DN21506">
            <v>0</v>
          </cell>
        </row>
        <row r="21507">
          <cell r="E21507">
            <v>0</v>
          </cell>
          <cell r="F21507">
            <v>0</v>
          </cell>
          <cell r="DN21507">
            <v>0</v>
          </cell>
        </row>
        <row r="21508">
          <cell r="E21508">
            <v>0</v>
          </cell>
          <cell r="F21508">
            <v>0</v>
          </cell>
          <cell r="DN21508">
            <v>0</v>
          </cell>
        </row>
        <row r="21509">
          <cell r="E21509">
            <v>0</v>
          </cell>
          <cell r="F21509">
            <v>0</v>
          </cell>
          <cell r="DN21509">
            <v>0</v>
          </cell>
        </row>
        <row r="21510">
          <cell r="E21510">
            <v>0</v>
          </cell>
          <cell r="F21510">
            <v>0</v>
          </cell>
          <cell r="DN21510">
            <v>0</v>
          </cell>
        </row>
        <row r="21511">
          <cell r="E21511">
            <v>0</v>
          </cell>
          <cell r="F21511">
            <v>0</v>
          </cell>
          <cell r="DN21511">
            <v>0</v>
          </cell>
        </row>
        <row r="21512">
          <cell r="E21512">
            <v>0</v>
          </cell>
          <cell r="F21512">
            <v>0</v>
          </cell>
          <cell r="DN21512">
            <v>0</v>
          </cell>
        </row>
        <row r="21513">
          <cell r="E21513">
            <v>0</v>
          </cell>
          <cell r="F21513">
            <v>0</v>
          </cell>
          <cell r="DN21513">
            <v>0</v>
          </cell>
        </row>
        <row r="21514">
          <cell r="E21514">
            <v>0</v>
          </cell>
          <cell r="F21514">
            <v>0</v>
          </cell>
          <cell r="DN21514">
            <v>0</v>
          </cell>
        </row>
        <row r="21515">
          <cell r="E21515">
            <v>0</v>
          </cell>
          <cell r="F21515">
            <v>0</v>
          </cell>
          <cell r="DN21515">
            <v>0</v>
          </cell>
        </row>
        <row r="21516">
          <cell r="E21516">
            <v>0</v>
          </cell>
          <cell r="F21516">
            <v>0</v>
          </cell>
          <cell r="DN21516">
            <v>0</v>
          </cell>
        </row>
        <row r="21517">
          <cell r="E21517">
            <v>0</v>
          </cell>
          <cell r="F21517">
            <v>0</v>
          </cell>
          <cell r="DN21517">
            <v>0</v>
          </cell>
        </row>
        <row r="21518">
          <cell r="E21518">
            <v>0</v>
          </cell>
          <cell r="F21518">
            <v>0</v>
          </cell>
          <cell r="DN21518">
            <v>0</v>
          </cell>
        </row>
        <row r="21519">
          <cell r="E21519">
            <v>0</v>
          </cell>
          <cell r="F21519">
            <v>0</v>
          </cell>
          <cell r="DN21519">
            <v>0</v>
          </cell>
        </row>
        <row r="21520">
          <cell r="E21520">
            <v>0</v>
          </cell>
          <cell r="F21520">
            <v>0</v>
          </cell>
          <cell r="DN21520">
            <v>0</v>
          </cell>
        </row>
        <row r="21521">
          <cell r="E21521">
            <v>0</v>
          </cell>
          <cell r="F21521">
            <v>0</v>
          </cell>
          <cell r="DN21521">
            <v>0</v>
          </cell>
        </row>
        <row r="21522">
          <cell r="E21522">
            <v>0</v>
          </cell>
          <cell r="F21522">
            <v>0</v>
          </cell>
          <cell r="DN21522">
            <v>0</v>
          </cell>
        </row>
        <row r="21523">
          <cell r="E21523">
            <v>0</v>
          </cell>
          <cell r="F21523">
            <v>0</v>
          </cell>
          <cell r="DN21523">
            <v>0</v>
          </cell>
        </row>
        <row r="21524">
          <cell r="E21524">
            <v>0</v>
          </cell>
          <cell r="F21524">
            <v>0</v>
          </cell>
          <cell r="DN21524">
            <v>0</v>
          </cell>
        </row>
        <row r="21525">
          <cell r="E21525">
            <v>0</v>
          </cell>
          <cell r="F21525">
            <v>0</v>
          </cell>
          <cell r="DN21525">
            <v>0</v>
          </cell>
        </row>
        <row r="21526">
          <cell r="E21526">
            <v>0</v>
          </cell>
          <cell r="F21526">
            <v>0</v>
          </cell>
          <cell r="DN21526">
            <v>0</v>
          </cell>
        </row>
        <row r="21527">
          <cell r="E21527">
            <v>0</v>
          </cell>
          <cell r="F21527">
            <v>0</v>
          </cell>
          <cell r="DN21527">
            <v>0</v>
          </cell>
        </row>
        <row r="21528">
          <cell r="E21528">
            <v>0</v>
          </cell>
          <cell r="F21528">
            <v>0</v>
          </cell>
          <cell r="DN21528">
            <v>0</v>
          </cell>
        </row>
        <row r="21529">
          <cell r="E21529">
            <v>0</v>
          </cell>
          <cell r="F21529">
            <v>0</v>
          </cell>
          <cell r="DN21529">
            <v>0</v>
          </cell>
        </row>
        <row r="21530">
          <cell r="E21530">
            <v>0</v>
          </cell>
          <cell r="F21530">
            <v>0</v>
          </cell>
          <cell r="DN21530">
            <v>0</v>
          </cell>
        </row>
        <row r="21531">
          <cell r="E21531">
            <v>0</v>
          </cell>
          <cell r="F21531">
            <v>0</v>
          </cell>
          <cell r="DN21531">
            <v>0</v>
          </cell>
        </row>
        <row r="21532">
          <cell r="E21532">
            <v>0</v>
          </cell>
          <cell r="F21532">
            <v>0</v>
          </cell>
          <cell r="DN21532">
            <v>0</v>
          </cell>
        </row>
        <row r="21533">
          <cell r="E21533">
            <v>0</v>
          </cell>
          <cell r="F21533">
            <v>0</v>
          </cell>
          <cell r="DN21533">
            <v>0</v>
          </cell>
        </row>
        <row r="21534">
          <cell r="E21534">
            <v>0</v>
          </cell>
          <cell r="F21534">
            <v>0</v>
          </cell>
          <cell r="DN21534">
            <v>0</v>
          </cell>
        </row>
        <row r="21535">
          <cell r="E21535">
            <v>0</v>
          </cell>
          <cell r="F21535">
            <v>0</v>
          </cell>
          <cell r="DN21535">
            <v>0</v>
          </cell>
        </row>
        <row r="21536">
          <cell r="E21536">
            <v>0</v>
          </cell>
          <cell r="F21536">
            <v>0</v>
          </cell>
          <cell r="DN21536">
            <v>0</v>
          </cell>
        </row>
        <row r="21537">
          <cell r="E21537">
            <v>0</v>
          </cell>
          <cell r="F21537">
            <v>0</v>
          </cell>
          <cell r="DN21537">
            <v>0</v>
          </cell>
        </row>
        <row r="21538">
          <cell r="E21538">
            <v>0</v>
          </cell>
          <cell r="F21538">
            <v>0</v>
          </cell>
          <cell r="DN21538">
            <v>0</v>
          </cell>
        </row>
        <row r="21539">
          <cell r="E21539">
            <v>0</v>
          </cell>
          <cell r="F21539">
            <v>0</v>
          </cell>
          <cell r="DN21539">
            <v>0</v>
          </cell>
        </row>
        <row r="21540">
          <cell r="E21540">
            <v>0</v>
          </cell>
          <cell r="F21540">
            <v>0</v>
          </cell>
          <cell r="DN21540">
            <v>0</v>
          </cell>
        </row>
        <row r="21541">
          <cell r="E21541">
            <v>0</v>
          </cell>
          <cell r="F21541">
            <v>0</v>
          </cell>
          <cell r="DN21541">
            <v>0</v>
          </cell>
        </row>
        <row r="21542">
          <cell r="E21542">
            <v>0</v>
          </cell>
          <cell r="F21542">
            <v>0</v>
          </cell>
          <cell r="DN21542">
            <v>0</v>
          </cell>
        </row>
        <row r="21543">
          <cell r="E21543">
            <v>0</v>
          </cell>
          <cell r="F21543">
            <v>0</v>
          </cell>
          <cell r="DN21543">
            <v>0</v>
          </cell>
        </row>
        <row r="21544">
          <cell r="E21544">
            <v>0</v>
          </cell>
          <cell r="F21544">
            <v>0</v>
          </cell>
          <cell r="DN21544">
            <v>0</v>
          </cell>
        </row>
        <row r="21545">
          <cell r="E21545">
            <v>0</v>
          </cell>
          <cell r="F21545">
            <v>0</v>
          </cell>
          <cell r="DN21545">
            <v>0</v>
          </cell>
        </row>
        <row r="21546">
          <cell r="E21546">
            <v>0</v>
          </cell>
          <cell r="F21546">
            <v>0</v>
          </cell>
          <cell r="DN21546">
            <v>0</v>
          </cell>
        </row>
        <row r="21547">
          <cell r="E21547">
            <v>0</v>
          </cell>
          <cell r="F21547">
            <v>0</v>
          </cell>
          <cell r="DN21547">
            <v>0</v>
          </cell>
        </row>
        <row r="21548">
          <cell r="E21548">
            <v>0</v>
          </cell>
          <cell r="F21548">
            <v>0</v>
          </cell>
          <cell r="DN21548">
            <v>0</v>
          </cell>
        </row>
        <row r="21549">
          <cell r="E21549">
            <v>0</v>
          </cell>
          <cell r="F21549">
            <v>0</v>
          </cell>
          <cell r="DN21549">
            <v>0</v>
          </cell>
        </row>
        <row r="21550">
          <cell r="E21550">
            <v>0</v>
          </cell>
          <cell r="F21550">
            <v>0</v>
          </cell>
          <cell r="DN21550">
            <v>0</v>
          </cell>
        </row>
        <row r="21551">
          <cell r="E21551">
            <v>0</v>
          </cell>
          <cell r="F21551">
            <v>0</v>
          </cell>
          <cell r="DN21551">
            <v>0</v>
          </cell>
        </row>
        <row r="21552">
          <cell r="E21552">
            <v>0</v>
          </cell>
          <cell r="F21552">
            <v>0</v>
          </cell>
          <cell r="DN21552">
            <v>0</v>
          </cell>
        </row>
        <row r="21553">
          <cell r="E21553">
            <v>0</v>
          </cell>
          <cell r="F21553">
            <v>0</v>
          </cell>
          <cell r="DN21553">
            <v>0</v>
          </cell>
        </row>
        <row r="21554">
          <cell r="E21554">
            <v>0</v>
          </cell>
          <cell r="F21554">
            <v>0</v>
          </cell>
          <cell r="DN21554">
            <v>0</v>
          </cell>
        </row>
        <row r="21555">
          <cell r="E21555">
            <v>0</v>
          </cell>
          <cell r="F21555">
            <v>0</v>
          </cell>
          <cell r="DN21555">
            <v>0</v>
          </cell>
        </row>
        <row r="21556">
          <cell r="E21556">
            <v>0</v>
          </cell>
          <cell r="F21556">
            <v>0</v>
          </cell>
          <cell r="DN21556">
            <v>0</v>
          </cell>
        </row>
        <row r="21557">
          <cell r="E21557">
            <v>0</v>
          </cell>
          <cell r="F21557">
            <v>0</v>
          </cell>
          <cell r="DN21557">
            <v>0</v>
          </cell>
        </row>
        <row r="21558">
          <cell r="E21558">
            <v>0</v>
          </cell>
          <cell r="F21558">
            <v>0</v>
          </cell>
          <cell r="DN21558">
            <v>0</v>
          </cell>
        </row>
        <row r="21559">
          <cell r="E21559">
            <v>0</v>
          </cell>
          <cell r="F21559">
            <v>0</v>
          </cell>
          <cell r="DN21559">
            <v>0</v>
          </cell>
        </row>
        <row r="21560">
          <cell r="E21560">
            <v>0</v>
          </cell>
          <cell r="F21560">
            <v>0</v>
          </cell>
          <cell r="DN21560">
            <v>0</v>
          </cell>
        </row>
        <row r="21561">
          <cell r="E21561">
            <v>0</v>
          </cell>
          <cell r="F21561">
            <v>0</v>
          </cell>
          <cell r="DN21561">
            <v>0</v>
          </cell>
        </row>
        <row r="21562">
          <cell r="E21562">
            <v>0</v>
          </cell>
          <cell r="F21562">
            <v>0</v>
          </cell>
          <cell r="DN21562">
            <v>0</v>
          </cell>
        </row>
        <row r="21563">
          <cell r="E21563">
            <v>0</v>
          </cell>
          <cell r="F21563">
            <v>0</v>
          </cell>
          <cell r="DN21563">
            <v>0</v>
          </cell>
        </row>
        <row r="21564">
          <cell r="E21564">
            <v>0</v>
          </cell>
          <cell r="F21564">
            <v>0</v>
          </cell>
          <cell r="DN21564">
            <v>0</v>
          </cell>
        </row>
        <row r="21565">
          <cell r="E21565">
            <v>0</v>
          </cell>
          <cell r="F21565">
            <v>0</v>
          </cell>
          <cell r="DN21565">
            <v>0</v>
          </cell>
        </row>
        <row r="21566">
          <cell r="E21566">
            <v>0</v>
          </cell>
          <cell r="F21566">
            <v>0</v>
          </cell>
          <cell r="DN21566">
            <v>0</v>
          </cell>
        </row>
        <row r="21567">
          <cell r="E21567">
            <v>0</v>
          </cell>
          <cell r="F21567">
            <v>0</v>
          </cell>
          <cell r="DN21567">
            <v>0</v>
          </cell>
        </row>
        <row r="21568">
          <cell r="E21568">
            <v>0</v>
          </cell>
          <cell r="F21568">
            <v>0</v>
          </cell>
          <cell r="DN21568">
            <v>0</v>
          </cell>
        </row>
        <row r="21569">
          <cell r="E21569">
            <v>0</v>
          </cell>
          <cell r="F21569">
            <v>0</v>
          </cell>
          <cell r="DN21569">
            <v>0</v>
          </cell>
        </row>
        <row r="21570">
          <cell r="E21570">
            <v>0</v>
          </cell>
          <cell r="F21570">
            <v>0</v>
          </cell>
          <cell r="DN21570">
            <v>0</v>
          </cell>
        </row>
        <row r="21571">
          <cell r="E21571">
            <v>0</v>
          </cell>
          <cell r="F21571">
            <v>0</v>
          </cell>
          <cell r="DN21571">
            <v>0</v>
          </cell>
        </row>
        <row r="21572">
          <cell r="E21572">
            <v>0</v>
          </cell>
          <cell r="F21572">
            <v>0</v>
          </cell>
          <cell r="DN21572">
            <v>0</v>
          </cell>
        </row>
        <row r="21573">
          <cell r="E21573">
            <v>0</v>
          </cell>
          <cell r="F21573">
            <v>0</v>
          </cell>
          <cell r="DN21573">
            <v>0</v>
          </cell>
        </row>
        <row r="21574">
          <cell r="E21574">
            <v>0</v>
          </cell>
          <cell r="F21574">
            <v>0</v>
          </cell>
          <cell r="DN21574">
            <v>0</v>
          </cell>
        </row>
        <row r="21575">
          <cell r="E21575">
            <v>0</v>
          </cell>
          <cell r="F21575">
            <v>0</v>
          </cell>
          <cell r="DN21575">
            <v>0</v>
          </cell>
        </row>
        <row r="21576">
          <cell r="E21576">
            <v>0</v>
          </cell>
          <cell r="F21576">
            <v>0</v>
          </cell>
          <cell r="DN21576">
            <v>0</v>
          </cell>
        </row>
        <row r="21577">
          <cell r="E21577">
            <v>0</v>
          </cell>
          <cell r="F21577">
            <v>0</v>
          </cell>
          <cell r="DN21577">
            <v>0</v>
          </cell>
        </row>
        <row r="21578">
          <cell r="E21578">
            <v>0</v>
          </cell>
          <cell r="F21578">
            <v>0</v>
          </cell>
          <cell r="DN21578">
            <v>0</v>
          </cell>
        </row>
        <row r="21579">
          <cell r="E21579">
            <v>0</v>
          </cell>
          <cell r="F21579">
            <v>0</v>
          </cell>
          <cell r="DN21579">
            <v>0</v>
          </cell>
        </row>
        <row r="21580">
          <cell r="E21580">
            <v>0</v>
          </cell>
          <cell r="F21580">
            <v>0</v>
          </cell>
          <cell r="DN21580">
            <v>0</v>
          </cell>
        </row>
        <row r="21581">
          <cell r="E21581">
            <v>0</v>
          </cell>
          <cell r="F21581">
            <v>0</v>
          </cell>
          <cell r="DN21581">
            <v>0</v>
          </cell>
        </row>
        <row r="21582">
          <cell r="E21582">
            <v>0</v>
          </cell>
          <cell r="F21582">
            <v>0</v>
          </cell>
          <cell r="DN21582">
            <v>0</v>
          </cell>
        </row>
        <row r="21583">
          <cell r="E21583">
            <v>0</v>
          </cell>
          <cell r="F21583">
            <v>0</v>
          </cell>
          <cell r="DN21583">
            <v>0</v>
          </cell>
        </row>
        <row r="21584">
          <cell r="E21584">
            <v>0</v>
          </cell>
          <cell r="F21584">
            <v>0</v>
          </cell>
          <cell r="DN21584">
            <v>0</v>
          </cell>
        </row>
        <row r="21585">
          <cell r="E21585">
            <v>0</v>
          </cell>
          <cell r="F21585">
            <v>0</v>
          </cell>
          <cell r="DN21585">
            <v>0</v>
          </cell>
        </row>
        <row r="21586">
          <cell r="E21586">
            <v>0</v>
          </cell>
          <cell r="F21586">
            <v>0</v>
          </cell>
          <cell r="DN21586">
            <v>0</v>
          </cell>
        </row>
        <row r="21587">
          <cell r="E21587">
            <v>0</v>
          </cell>
          <cell r="F21587">
            <v>0</v>
          </cell>
          <cell r="DN21587">
            <v>0</v>
          </cell>
        </row>
        <row r="21588">
          <cell r="E21588">
            <v>0</v>
          </cell>
          <cell r="F21588">
            <v>0</v>
          </cell>
          <cell r="DN21588">
            <v>0</v>
          </cell>
        </row>
        <row r="21589">
          <cell r="E21589">
            <v>0</v>
          </cell>
          <cell r="F21589">
            <v>0</v>
          </cell>
          <cell r="DN21589">
            <v>0</v>
          </cell>
        </row>
        <row r="21590">
          <cell r="E21590">
            <v>0</v>
          </cell>
          <cell r="F21590">
            <v>0</v>
          </cell>
          <cell r="DN21590">
            <v>0</v>
          </cell>
        </row>
        <row r="21591">
          <cell r="E21591">
            <v>0</v>
          </cell>
          <cell r="F21591">
            <v>0</v>
          </cell>
          <cell r="DN21591">
            <v>0</v>
          </cell>
        </row>
        <row r="21592">
          <cell r="E21592">
            <v>0</v>
          </cell>
          <cell r="F21592">
            <v>0</v>
          </cell>
          <cell r="DN21592">
            <v>0</v>
          </cell>
        </row>
        <row r="21593">
          <cell r="E21593">
            <v>0</v>
          </cell>
          <cell r="F21593">
            <v>0</v>
          </cell>
          <cell r="DN21593">
            <v>0</v>
          </cell>
        </row>
        <row r="21594">
          <cell r="E21594">
            <v>0</v>
          </cell>
          <cell r="F21594">
            <v>0</v>
          </cell>
          <cell r="DN21594">
            <v>0</v>
          </cell>
        </row>
        <row r="21595">
          <cell r="E21595">
            <v>0</v>
          </cell>
          <cell r="F21595">
            <v>0</v>
          </cell>
          <cell r="DN21595">
            <v>0</v>
          </cell>
        </row>
        <row r="21596">
          <cell r="E21596">
            <v>0</v>
          </cell>
          <cell r="F21596">
            <v>0</v>
          </cell>
          <cell r="DN21596">
            <v>0</v>
          </cell>
        </row>
        <row r="21597">
          <cell r="E21597">
            <v>0</v>
          </cell>
          <cell r="F21597">
            <v>0</v>
          </cell>
          <cell r="DN21597">
            <v>0</v>
          </cell>
        </row>
        <row r="21598">
          <cell r="E21598">
            <v>0</v>
          </cell>
          <cell r="F21598">
            <v>0</v>
          </cell>
          <cell r="DN21598">
            <v>0</v>
          </cell>
        </row>
        <row r="21599">
          <cell r="E21599">
            <v>0</v>
          </cell>
          <cell r="F21599">
            <v>0</v>
          </cell>
          <cell r="DN21599">
            <v>0</v>
          </cell>
        </row>
        <row r="21600">
          <cell r="E21600">
            <v>0</v>
          </cell>
          <cell r="F21600">
            <v>0</v>
          </cell>
          <cell r="DN21600">
            <v>0</v>
          </cell>
        </row>
        <row r="21601">
          <cell r="E21601">
            <v>0</v>
          </cell>
          <cell r="F21601">
            <v>0</v>
          </cell>
          <cell r="DN21601">
            <v>0</v>
          </cell>
        </row>
        <row r="21602">
          <cell r="E21602">
            <v>0</v>
          </cell>
          <cell r="F21602">
            <v>0</v>
          </cell>
          <cell r="DN21602">
            <v>0</v>
          </cell>
        </row>
        <row r="21603">
          <cell r="E21603">
            <v>0</v>
          </cell>
          <cell r="F21603">
            <v>0</v>
          </cell>
          <cell r="DN21603">
            <v>0</v>
          </cell>
        </row>
        <row r="21604">
          <cell r="E21604">
            <v>0</v>
          </cell>
          <cell r="F21604">
            <v>0</v>
          </cell>
          <cell r="DN21604">
            <v>0</v>
          </cell>
        </row>
        <row r="21605">
          <cell r="E21605">
            <v>0</v>
          </cell>
          <cell r="F21605">
            <v>0</v>
          </cell>
          <cell r="DN21605">
            <v>0</v>
          </cell>
        </row>
        <row r="21606">
          <cell r="E21606">
            <v>0</v>
          </cell>
          <cell r="F21606">
            <v>0</v>
          </cell>
          <cell r="DN21606">
            <v>0</v>
          </cell>
        </row>
        <row r="21607">
          <cell r="E21607">
            <v>0</v>
          </cell>
          <cell r="F21607">
            <v>0</v>
          </cell>
          <cell r="DN21607">
            <v>0</v>
          </cell>
        </row>
        <row r="21608">
          <cell r="E21608">
            <v>0</v>
          </cell>
          <cell r="F21608">
            <v>0</v>
          </cell>
          <cell r="DN21608">
            <v>0</v>
          </cell>
        </row>
        <row r="21609">
          <cell r="E21609">
            <v>0</v>
          </cell>
          <cell r="F21609">
            <v>0</v>
          </cell>
          <cell r="DN21609">
            <v>0</v>
          </cell>
        </row>
        <row r="21610">
          <cell r="E21610">
            <v>0</v>
          </cell>
          <cell r="F21610">
            <v>0</v>
          </cell>
          <cell r="DN21610">
            <v>0</v>
          </cell>
        </row>
        <row r="21611">
          <cell r="E21611">
            <v>0</v>
          </cell>
          <cell r="F21611">
            <v>0</v>
          </cell>
          <cell r="DN21611">
            <v>0</v>
          </cell>
        </row>
        <row r="21612">
          <cell r="E21612">
            <v>0</v>
          </cell>
          <cell r="F21612">
            <v>0</v>
          </cell>
          <cell r="DN21612">
            <v>0</v>
          </cell>
        </row>
        <row r="21613">
          <cell r="E21613">
            <v>0</v>
          </cell>
          <cell r="F21613">
            <v>0</v>
          </cell>
          <cell r="DN21613">
            <v>0</v>
          </cell>
        </row>
        <row r="21614">
          <cell r="E21614">
            <v>0</v>
          </cell>
          <cell r="F21614">
            <v>0</v>
          </cell>
          <cell r="DN21614">
            <v>0</v>
          </cell>
        </row>
        <row r="21615">
          <cell r="E21615">
            <v>0</v>
          </cell>
          <cell r="F21615">
            <v>0</v>
          </cell>
          <cell r="DN21615">
            <v>0</v>
          </cell>
        </row>
        <row r="21616">
          <cell r="E21616">
            <v>0</v>
          </cell>
          <cell r="F21616">
            <v>0</v>
          </cell>
          <cell r="DN21616">
            <v>0</v>
          </cell>
        </row>
        <row r="21617">
          <cell r="E21617">
            <v>0</v>
          </cell>
          <cell r="F21617">
            <v>0</v>
          </cell>
          <cell r="DN21617">
            <v>0</v>
          </cell>
        </row>
        <row r="21618">
          <cell r="E21618">
            <v>0</v>
          </cell>
          <cell r="F21618">
            <v>0</v>
          </cell>
          <cell r="DN21618">
            <v>0</v>
          </cell>
        </row>
        <row r="21619">
          <cell r="E21619">
            <v>0</v>
          </cell>
          <cell r="F21619">
            <v>0</v>
          </cell>
          <cell r="DN21619">
            <v>0</v>
          </cell>
        </row>
        <row r="21620">
          <cell r="E21620">
            <v>0</v>
          </cell>
          <cell r="F21620">
            <v>0</v>
          </cell>
          <cell r="DN21620">
            <v>0</v>
          </cell>
        </row>
        <row r="21621">
          <cell r="E21621">
            <v>0</v>
          </cell>
          <cell r="F21621">
            <v>0</v>
          </cell>
          <cell r="DN21621">
            <v>0</v>
          </cell>
        </row>
        <row r="21622">
          <cell r="E21622">
            <v>0</v>
          </cell>
          <cell r="F21622">
            <v>0</v>
          </cell>
          <cell r="DN21622">
            <v>0</v>
          </cell>
        </row>
        <row r="21623">
          <cell r="E21623">
            <v>0</v>
          </cell>
          <cell r="F21623">
            <v>0</v>
          </cell>
          <cell r="DN21623">
            <v>0</v>
          </cell>
        </row>
        <row r="21624">
          <cell r="E21624">
            <v>0</v>
          </cell>
          <cell r="F21624">
            <v>0</v>
          </cell>
          <cell r="DN21624">
            <v>0</v>
          </cell>
        </row>
        <row r="21625">
          <cell r="E21625">
            <v>0</v>
          </cell>
          <cell r="F21625">
            <v>0</v>
          </cell>
          <cell r="DN21625">
            <v>0</v>
          </cell>
        </row>
        <row r="21626">
          <cell r="E21626">
            <v>0</v>
          </cell>
          <cell r="F21626">
            <v>0</v>
          </cell>
          <cell r="DN21626">
            <v>0</v>
          </cell>
        </row>
        <row r="21627">
          <cell r="E21627">
            <v>0</v>
          </cell>
          <cell r="F21627">
            <v>0</v>
          </cell>
          <cell r="DN21627">
            <v>0</v>
          </cell>
        </row>
        <row r="21628">
          <cell r="E21628">
            <v>0</v>
          </cell>
          <cell r="F21628">
            <v>0</v>
          </cell>
          <cell r="DN21628">
            <v>0</v>
          </cell>
        </row>
        <row r="21629">
          <cell r="E21629">
            <v>0</v>
          </cell>
          <cell r="F21629">
            <v>0</v>
          </cell>
          <cell r="DN21629">
            <v>0</v>
          </cell>
        </row>
        <row r="21630">
          <cell r="E21630">
            <v>0</v>
          </cell>
          <cell r="F21630">
            <v>0</v>
          </cell>
          <cell r="DN21630">
            <v>0</v>
          </cell>
        </row>
        <row r="21631">
          <cell r="E21631">
            <v>0</v>
          </cell>
          <cell r="F21631">
            <v>0</v>
          </cell>
          <cell r="DN21631">
            <v>0</v>
          </cell>
        </row>
        <row r="21632">
          <cell r="E21632">
            <v>0</v>
          </cell>
          <cell r="F21632">
            <v>0</v>
          </cell>
          <cell r="DN21632">
            <v>0</v>
          </cell>
        </row>
        <row r="21633">
          <cell r="E21633">
            <v>0</v>
          </cell>
          <cell r="F21633">
            <v>0</v>
          </cell>
          <cell r="DN21633">
            <v>0</v>
          </cell>
        </row>
        <row r="21634">
          <cell r="E21634">
            <v>0</v>
          </cell>
          <cell r="F21634">
            <v>0</v>
          </cell>
          <cell r="DN21634">
            <v>0</v>
          </cell>
        </row>
        <row r="21635">
          <cell r="E21635">
            <v>0</v>
          </cell>
          <cell r="F21635">
            <v>0</v>
          </cell>
          <cell r="DN21635">
            <v>0</v>
          </cell>
        </row>
        <row r="21636">
          <cell r="E21636">
            <v>0</v>
          </cell>
          <cell r="F21636">
            <v>0</v>
          </cell>
          <cell r="DN21636">
            <v>0</v>
          </cell>
        </row>
        <row r="21637">
          <cell r="E21637">
            <v>0</v>
          </cell>
          <cell r="F21637">
            <v>0</v>
          </cell>
          <cell r="DN21637">
            <v>0</v>
          </cell>
        </row>
        <row r="21638">
          <cell r="E21638">
            <v>0</v>
          </cell>
          <cell r="F21638">
            <v>0</v>
          </cell>
          <cell r="DN21638">
            <v>0</v>
          </cell>
        </row>
        <row r="21639">
          <cell r="E21639">
            <v>0</v>
          </cell>
          <cell r="F21639">
            <v>0</v>
          </cell>
          <cell r="DN21639">
            <v>0</v>
          </cell>
        </row>
        <row r="21640">
          <cell r="E21640">
            <v>0</v>
          </cell>
          <cell r="F21640">
            <v>0</v>
          </cell>
          <cell r="DN21640">
            <v>0</v>
          </cell>
        </row>
        <row r="21641">
          <cell r="E21641">
            <v>0</v>
          </cell>
          <cell r="F21641">
            <v>0</v>
          </cell>
          <cell r="DN21641">
            <v>0</v>
          </cell>
        </row>
        <row r="21642">
          <cell r="E21642">
            <v>0</v>
          </cell>
          <cell r="F21642">
            <v>0</v>
          </cell>
          <cell r="DN21642">
            <v>0</v>
          </cell>
        </row>
        <row r="21643">
          <cell r="E21643">
            <v>0</v>
          </cell>
          <cell r="F21643">
            <v>0</v>
          </cell>
          <cell r="DN21643">
            <v>0</v>
          </cell>
        </row>
        <row r="21644">
          <cell r="E21644">
            <v>0</v>
          </cell>
          <cell r="F21644">
            <v>0</v>
          </cell>
          <cell r="DN21644">
            <v>0</v>
          </cell>
        </row>
        <row r="21645">
          <cell r="E21645">
            <v>0</v>
          </cell>
          <cell r="F21645">
            <v>0</v>
          </cell>
          <cell r="DN21645">
            <v>0</v>
          </cell>
        </row>
        <row r="21646">
          <cell r="E21646">
            <v>0</v>
          </cell>
          <cell r="F21646">
            <v>0</v>
          </cell>
          <cell r="DN21646">
            <v>0</v>
          </cell>
        </row>
        <row r="21647">
          <cell r="E21647">
            <v>0</v>
          </cell>
          <cell r="F21647">
            <v>0</v>
          </cell>
          <cell r="DN21647">
            <v>0</v>
          </cell>
        </row>
        <row r="21648">
          <cell r="E21648">
            <v>0</v>
          </cell>
          <cell r="F21648">
            <v>0</v>
          </cell>
          <cell r="DN21648">
            <v>0</v>
          </cell>
        </row>
        <row r="21649">
          <cell r="E21649">
            <v>0</v>
          </cell>
          <cell r="F21649">
            <v>0</v>
          </cell>
          <cell r="DN21649">
            <v>0</v>
          </cell>
        </row>
        <row r="21650">
          <cell r="E21650">
            <v>0</v>
          </cell>
          <cell r="F21650">
            <v>0</v>
          </cell>
          <cell r="DN21650">
            <v>0</v>
          </cell>
        </row>
        <row r="21651">
          <cell r="E21651">
            <v>0</v>
          </cell>
          <cell r="F21651">
            <v>0</v>
          </cell>
          <cell r="DN21651">
            <v>0</v>
          </cell>
        </row>
        <row r="21652">
          <cell r="E21652">
            <v>0</v>
          </cell>
          <cell r="F21652">
            <v>0</v>
          </cell>
          <cell r="DN21652">
            <v>0</v>
          </cell>
        </row>
        <row r="21653">
          <cell r="E21653">
            <v>0</v>
          </cell>
          <cell r="F21653">
            <v>0</v>
          </cell>
          <cell r="DN21653">
            <v>0</v>
          </cell>
        </row>
        <row r="21654">
          <cell r="E21654">
            <v>0</v>
          </cell>
          <cell r="F21654">
            <v>0</v>
          </cell>
          <cell r="DN21654">
            <v>0</v>
          </cell>
        </row>
        <row r="21655">
          <cell r="E21655">
            <v>0</v>
          </cell>
          <cell r="F21655">
            <v>0</v>
          </cell>
          <cell r="DN21655">
            <v>0</v>
          </cell>
        </row>
        <row r="21656">
          <cell r="E21656">
            <v>0</v>
          </cell>
          <cell r="F21656">
            <v>0</v>
          </cell>
          <cell r="DN21656">
            <v>0</v>
          </cell>
        </row>
        <row r="21657">
          <cell r="E21657">
            <v>0</v>
          </cell>
          <cell r="F21657">
            <v>0</v>
          </cell>
          <cell r="DN21657">
            <v>0</v>
          </cell>
        </row>
        <row r="21658">
          <cell r="E21658">
            <v>0</v>
          </cell>
          <cell r="F21658">
            <v>0</v>
          </cell>
          <cell r="DN21658">
            <v>0</v>
          </cell>
        </row>
        <row r="21659">
          <cell r="E21659">
            <v>0</v>
          </cell>
          <cell r="F21659">
            <v>0</v>
          </cell>
          <cell r="DN21659">
            <v>0</v>
          </cell>
        </row>
        <row r="21660">
          <cell r="E21660">
            <v>0</v>
          </cell>
          <cell r="F21660">
            <v>0</v>
          </cell>
          <cell r="DN21660">
            <v>0</v>
          </cell>
        </row>
        <row r="21661">
          <cell r="E21661">
            <v>0</v>
          </cell>
          <cell r="F21661">
            <v>0</v>
          </cell>
          <cell r="DN21661">
            <v>0</v>
          </cell>
        </row>
        <row r="21662">
          <cell r="E21662">
            <v>0</v>
          </cell>
          <cell r="F21662">
            <v>0</v>
          </cell>
          <cell r="DN21662">
            <v>0</v>
          </cell>
        </row>
        <row r="21663">
          <cell r="E21663">
            <v>0</v>
          </cell>
          <cell r="F21663">
            <v>0</v>
          </cell>
          <cell r="DN21663">
            <v>0</v>
          </cell>
        </row>
        <row r="21664">
          <cell r="E21664">
            <v>0</v>
          </cell>
          <cell r="F21664">
            <v>0</v>
          </cell>
          <cell r="DN21664">
            <v>0</v>
          </cell>
        </row>
        <row r="21665">
          <cell r="E21665">
            <v>0</v>
          </cell>
          <cell r="F21665">
            <v>0</v>
          </cell>
          <cell r="DN21665">
            <v>0</v>
          </cell>
        </row>
        <row r="21666">
          <cell r="E21666">
            <v>0</v>
          </cell>
          <cell r="F21666">
            <v>0</v>
          </cell>
          <cell r="DN21666">
            <v>0</v>
          </cell>
        </row>
        <row r="21667">
          <cell r="E21667">
            <v>0</v>
          </cell>
          <cell r="F21667">
            <v>0</v>
          </cell>
          <cell r="DN21667">
            <v>0</v>
          </cell>
        </row>
        <row r="21668">
          <cell r="E21668">
            <v>0</v>
          </cell>
          <cell r="F21668">
            <v>0</v>
          </cell>
          <cell r="DN21668">
            <v>0</v>
          </cell>
        </row>
        <row r="21669">
          <cell r="E21669">
            <v>0</v>
          </cell>
          <cell r="F21669">
            <v>0</v>
          </cell>
          <cell r="DN21669">
            <v>0</v>
          </cell>
        </row>
        <row r="21670">
          <cell r="E21670">
            <v>0</v>
          </cell>
          <cell r="F21670">
            <v>0</v>
          </cell>
          <cell r="DN21670">
            <v>0</v>
          </cell>
        </row>
        <row r="21671">
          <cell r="E21671">
            <v>0</v>
          </cell>
          <cell r="F21671">
            <v>0</v>
          </cell>
          <cell r="DN21671">
            <v>0</v>
          </cell>
        </row>
        <row r="21672">
          <cell r="E21672">
            <v>0</v>
          </cell>
          <cell r="F21672">
            <v>0</v>
          </cell>
          <cell r="DN21672">
            <v>0</v>
          </cell>
        </row>
        <row r="21673">
          <cell r="E21673">
            <v>0</v>
          </cell>
          <cell r="F21673">
            <v>0</v>
          </cell>
          <cell r="DN21673">
            <v>0</v>
          </cell>
        </row>
        <row r="21674">
          <cell r="E21674">
            <v>0</v>
          </cell>
          <cell r="F21674">
            <v>0</v>
          </cell>
          <cell r="DN21674">
            <v>0</v>
          </cell>
        </row>
        <row r="21675">
          <cell r="E21675">
            <v>0</v>
          </cell>
          <cell r="F21675">
            <v>0</v>
          </cell>
          <cell r="DN21675">
            <v>0</v>
          </cell>
        </row>
        <row r="21676">
          <cell r="E21676">
            <v>0</v>
          </cell>
          <cell r="F21676">
            <v>0</v>
          </cell>
          <cell r="DN21676">
            <v>0</v>
          </cell>
        </row>
        <row r="21677">
          <cell r="E21677">
            <v>0</v>
          </cell>
          <cell r="F21677">
            <v>0</v>
          </cell>
          <cell r="DN21677">
            <v>0</v>
          </cell>
        </row>
        <row r="21678">
          <cell r="E21678">
            <v>0</v>
          </cell>
          <cell r="F21678">
            <v>0</v>
          </cell>
          <cell r="DN21678">
            <v>0</v>
          </cell>
        </row>
        <row r="21679">
          <cell r="E21679">
            <v>0</v>
          </cell>
          <cell r="F21679">
            <v>0</v>
          </cell>
          <cell r="DN21679">
            <v>0</v>
          </cell>
        </row>
        <row r="21680">
          <cell r="E21680">
            <v>0</v>
          </cell>
          <cell r="F21680">
            <v>0</v>
          </cell>
          <cell r="DN21680">
            <v>0</v>
          </cell>
        </row>
        <row r="21681">
          <cell r="E21681">
            <v>0</v>
          </cell>
          <cell r="F21681">
            <v>0</v>
          </cell>
          <cell r="DN21681">
            <v>0</v>
          </cell>
        </row>
        <row r="21682">
          <cell r="E21682">
            <v>0</v>
          </cell>
          <cell r="F21682">
            <v>0</v>
          </cell>
          <cell r="DN21682">
            <v>0</v>
          </cell>
        </row>
        <row r="21683">
          <cell r="E21683">
            <v>0</v>
          </cell>
          <cell r="F21683">
            <v>0</v>
          </cell>
          <cell r="DN21683">
            <v>0</v>
          </cell>
        </row>
        <row r="21684">
          <cell r="E21684">
            <v>0</v>
          </cell>
          <cell r="F21684">
            <v>0</v>
          </cell>
          <cell r="DN21684">
            <v>0</v>
          </cell>
        </row>
        <row r="21685">
          <cell r="E21685">
            <v>0</v>
          </cell>
          <cell r="F21685">
            <v>0</v>
          </cell>
          <cell r="DN21685">
            <v>0</v>
          </cell>
        </row>
        <row r="21686">
          <cell r="E21686">
            <v>0</v>
          </cell>
          <cell r="F21686">
            <v>0</v>
          </cell>
          <cell r="DN21686">
            <v>0</v>
          </cell>
        </row>
        <row r="21687">
          <cell r="E21687">
            <v>0</v>
          </cell>
          <cell r="F21687">
            <v>0</v>
          </cell>
          <cell r="DN21687">
            <v>0</v>
          </cell>
        </row>
        <row r="21688">
          <cell r="E21688">
            <v>0</v>
          </cell>
          <cell r="F21688">
            <v>0</v>
          </cell>
          <cell r="DN21688">
            <v>0</v>
          </cell>
        </row>
        <row r="21689">
          <cell r="E21689">
            <v>0</v>
          </cell>
          <cell r="F21689">
            <v>0</v>
          </cell>
          <cell r="DN21689">
            <v>0</v>
          </cell>
        </row>
        <row r="21690">
          <cell r="E21690">
            <v>0</v>
          </cell>
          <cell r="F21690">
            <v>0</v>
          </cell>
          <cell r="DN21690">
            <v>0</v>
          </cell>
        </row>
        <row r="21691">
          <cell r="E21691">
            <v>0</v>
          </cell>
          <cell r="F21691">
            <v>0</v>
          </cell>
          <cell r="DN21691">
            <v>0</v>
          </cell>
        </row>
        <row r="21692">
          <cell r="E21692">
            <v>0</v>
          </cell>
          <cell r="F21692">
            <v>0</v>
          </cell>
          <cell r="DN21692">
            <v>0</v>
          </cell>
        </row>
        <row r="21693">
          <cell r="E21693">
            <v>0</v>
          </cell>
          <cell r="F21693">
            <v>0</v>
          </cell>
          <cell r="DN21693">
            <v>0</v>
          </cell>
        </row>
        <row r="21694">
          <cell r="E21694">
            <v>0</v>
          </cell>
          <cell r="F21694">
            <v>0</v>
          </cell>
          <cell r="DN21694">
            <v>0</v>
          </cell>
        </row>
        <row r="21695">
          <cell r="E21695">
            <v>0</v>
          </cell>
          <cell r="F21695">
            <v>0</v>
          </cell>
          <cell r="DN21695">
            <v>0</v>
          </cell>
        </row>
        <row r="21696">
          <cell r="E21696">
            <v>0</v>
          </cell>
          <cell r="F21696">
            <v>0</v>
          </cell>
          <cell r="DN21696">
            <v>0</v>
          </cell>
        </row>
        <row r="21697">
          <cell r="E21697">
            <v>0</v>
          </cell>
          <cell r="F21697">
            <v>0</v>
          </cell>
          <cell r="DN21697">
            <v>0</v>
          </cell>
        </row>
        <row r="21698">
          <cell r="E21698">
            <v>0</v>
          </cell>
          <cell r="F21698">
            <v>0</v>
          </cell>
          <cell r="DN21698">
            <v>0</v>
          </cell>
        </row>
        <row r="21699">
          <cell r="E21699">
            <v>0</v>
          </cell>
          <cell r="F21699">
            <v>0</v>
          </cell>
          <cell r="DN21699">
            <v>0</v>
          </cell>
        </row>
        <row r="21700">
          <cell r="E21700">
            <v>0</v>
          </cell>
          <cell r="F21700">
            <v>0</v>
          </cell>
          <cell r="DN21700">
            <v>0</v>
          </cell>
        </row>
        <row r="21701">
          <cell r="E21701">
            <v>0</v>
          </cell>
          <cell r="F21701">
            <v>0</v>
          </cell>
          <cell r="DN21701">
            <v>0</v>
          </cell>
        </row>
        <row r="21702">
          <cell r="E21702">
            <v>0</v>
          </cell>
          <cell r="F21702">
            <v>0</v>
          </cell>
          <cell r="DN21702">
            <v>0</v>
          </cell>
        </row>
        <row r="21703">
          <cell r="E21703">
            <v>0</v>
          </cell>
          <cell r="F21703">
            <v>0</v>
          </cell>
          <cell r="DN21703">
            <v>0</v>
          </cell>
        </row>
        <row r="21704">
          <cell r="E21704">
            <v>0</v>
          </cell>
          <cell r="F21704">
            <v>0</v>
          </cell>
          <cell r="DN21704">
            <v>0</v>
          </cell>
        </row>
        <row r="21705">
          <cell r="E21705">
            <v>0</v>
          </cell>
          <cell r="F21705">
            <v>0</v>
          </cell>
          <cell r="DN21705">
            <v>0</v>
          </cell>
        </row>
        <row r="21706">
          <cell r="E21706">
            <v>0</v>
          </cell>
          <cell r="F21706">
            <v>0</v>
          </cell>
          <cell r="DN21706">
            <v>0</v>
          </cell>
        </row>
        <row r="21707">
          <cell r="E21707">
            <v>0</v>
          </cell>
          <cell r="F21707">
            <v>0</v>
          </cell>
          <cell r="DN21707">
            <v>0</v>
          </cell>
        </row>
        <row r="21708">
          <cell r="E21708">
            <v>0</v>
          </cell>
          <cell r="F21708">
            <v>0</v>
          </cell>
          <cell r="DN21708">
            <v>0</v>
          </cell>
        </row>
        <row r="21709">
          <cell r="E21709">
            <v>0</v>
          </cell>
          <cell r="F21709">
            <v>0</v>
          </cell>
          <cell r="DN21709">
            <v>0</v>
          </cell>
        </row>
        <row r="21710">
          <cell r="E21710">
            <v>0</v>
          </cell>
          <cell r="F21710">
            <v>0</v>
          </cell>
          <cell r="DN21710">
            <v>0</v>
          </cell>
        </row>
        <row r="21711">
          <cell r="E21711">
            <v>0</v>
          </cell>
          <cell r="F21711">
            <v>0</v>
          </cell>
          <cell r="DN21711">
            <v>0</v>
          </cell>
        </row>
        <row r="21712">
          <cell r="E21712">
            <v>0</v>
          </cell>
          <cell r="F21712">
            <v>0</v>
          </cell>
          <cell r="DN21712">
            <v>0</v>
          </cell>
        </row>
        <row r="21713">
          <cell r="E21713">
            <v>0</v>
          </cell>
          <cell r="F21713">
            <v>0</v>
          </cell>
          <cell r="DN21713">
            <v>0</v>
          </cell>
        </row>
        <row r="21714">
          <cell r="E21714">
            <v>0</v>
          </cell>
          <cell r="F21714">
            <v>0</v>
          </cell>
          <cell r="DN21714">
            <v>0</v>
          </cell>
        </row>
        <row r="21715">
          <cell r="E21715">
            <v>0</v>
          </cell>
          <cell r="F21715">
            <v>0</v>
          </cell>
          <cell r="DN21715">
            <v>0</v>
          </cell>
        </row>
        <row r="21716">
          <cell r="E21716">
            <v>0</v>
          </cell>
          <cell r="F21716">
            <v>0</v>
          </cell>
          <cell r="DN21716">
            <v>0</v>
          </cell>
        </row>
        <row r="21717">
          <cell r="E21717">
            <v>0</v>
          </cell>
          <cell r="F21717">
            <v>0</v>
          </cell>
          <cell r="DN21717">
            <v>0</v>
          </cell>
        </row>
        <row r="21718">
          <cell r="E21718">
            <v>0</v>
          </cell>
          <cell r="F21718">
            <v>0</v>
          </cell>
          <cell r="DN21718">
            <v>0</v>
          </cell>
        </row>
        <row r="21719">
          <cell r="E21719">
            <v>0</v>
          </cell>
          <cell r="F21719">
            <v>0</v>
          </cell>
          <cell r="DN21719">
            <v>0</v>
          </cell>
        </row>
        <row r="21720">
          <cell r="E21720">
            <v>0</v>
          </cell>
          <cell r="F21720">
            <v>0</v>
          </cell>
          <cell r="DN21720">
            <v>0</v>
          </cell>
        </row>
        <row r="21721">
          <cell r="E21721">
            <v>0</v>
          </cell>
          <cell r="F21721">
            <v>0</v>
          </cell>
          <cell r="DN21721">
            <v>0</v>
          </cell>
        </row>
        <row r="21722">
          <cell r="E21722">
            <v>0</v>
          </cell>
          <cell r="F21722">
            <v>0</v>
          </cell>
          <cell r="DN21722">
            <v>0</v>
          </cell>
        </row>
        <row r="21723">
          <cell r="E21723">
            <v>0</v>
          </cell>
          <cell r="F21723">
            <v>0</v>
          </cell>
          <cell r="DN21723">
            <v>0</v>
          </cell>
        </row>
        <row r="21724">
          <cell r="E21724">
            <v>0</v>
          </cell>
          <cell r="F21724">
            <v>0</v>
          </cell>
          <cell r="DN21724">
            <v>0</v>
          </cell>
        </row>
        <row r="21725">
          <cell r="E21725">
            <v>0</v>
          </cell>
          <cell r="F21725">
            <v>0</v>
          </cell>
          <cell r="DN21725">
            <v>0</v>
          </cell>
        </row>
        <row r="21726">
          <cell r="E21726">
            <v>0</v>
          </cell>
          <cell r="F21726">
            <v>0</v>
          </cell>
          <cell r="DN21726">
            <v>0</v>
          </cell>
        </row>
        <row r="21727">
          <cell r="E21727">
            <v>0</v>
          </cell>
          <cell r="F21727">
            <v>0</v>
          </cell>
          <cell r="DN21727">
            <v>0</v>
          </cell>
        </row>
        <row r="21728">
          <cell r="E21728">
            <v>0</v>
          </cell>
          <cell r="F21728">
            <v>0</v>
          </cell>
          <cell r="DN21728">
            <v>0</v>
          </cell>
        </row>
        <row r="21729">
          <cell r="E21729">
            <v>0</v>
          </cell>
          <cell r="F21729">
            <v>0</v>
          </cell>
          <cell r="DN21729">
            <v>0</v>
          </cell>
        </row>
        <row r="21730">
          <cell r="E21730">
            <v>0</v>
          </cell>
          <cell r="F21730">
            <v>0</v>
          </cell>
          <cell r="DN21730">
            <v>0</v>
          </cell>
        </row>
        <row r="21731">
          <cell r="E21731">
            <v>0</v>
          </cell>
          <cell r="F21731">
            <v>0</v>
          </cell>
          <cell r="DN21731">
            <v>0</v>
          </cell>
        </row>
        <row r="21732">
          <cell r="E21732">
            <v>0</v>
          </cell>
          <cell r="F21732">
            <v>0</v>
          </cell>
          <cell r="DN21732">
            <v>0</v>
          </cell>
        </row>
        <row r="21733">
          <cell r="E21733">
            <v>0</v>
          </cell>
          <cell r="F21733">
            <v>0</v>
          </cell>
          <cell r="DN21733">
            <v>0</v>
          </cell>
        </row>
        <row r="21734">
          <cell r="E21734">
            <v>0</v>
          </cell>
          <cell r="F21734">
            <v>0</v>
          </cell>
          <cell r="DN21734">
            <v>0</v>
          </cell>
        </row>
        <row r="21735">
          <cell r="E21735">
            <v>0</v>
          </cell>
          <cell r="F21735">
            <v>0</v>
          </cell>
          <cell r="DN21735">
            <v>0</v>
          </cell>
        </row>
        <row r="21736">
          <cell r="E21736">
            <v>0</v>
          </cell>
          <cell r="F21736">
            <v>0</v>
          </cell>
          <cell r="DN21736">
            <v>0</v>
          </cell>
        </row>
        <row r="21737">
          <cell r="E21737">
            <v>0</v>
          </cell>
          <cell r="F21737">
            <v>0</v>
          </cell>
          <cell r="DN21737">
            <v>0</v>
          </cell>
        </row>
        <row r="21738">
          <cell r="E21738">
            <v>0</v>
          </cell>
          <cell r="F21738">
            <v>0</v>
          </cell>
          <cell r="DN21738">
            <v>0</v>
          </cell>
        </row>
        <row r="21739">
          <cell r="E21739">
            <v>0</v>
          </cell>
          <cell r="F21739">
            <v>0</v>
          </cell>
          <cell r="DN21739">
            <v>0</v>
          </cell>
        </row>
        <row r="21740">
          <cell r="E21740">
            <v>0</v>
          </cell>
          <cell r="F21740">
            <v>0</v>
          </cell>
          <cell r="DN21740">
            <v>0</v>
          </cell>
        </row>
        <row r="21741">
          <cell r="E21741">
            <v>0</v>
          </cell>
          <cell r="F21741">
            <v>0</v>
          </cell>
          <cell r="DN21741">
            <v>0</v>
          </cell>
        </row>
        <row r="21742">
          <cell r="E21742">
            <v>0</v>
          </cell>
          <cell r="F21742">
            <v>0</v>
          </cell>
          <cell r="DN21742">
            <v>0</v>
          </cell>
        </row>
        <row r="21743">
          <cell r="E21743">
            <v>0</v>
          </cell>
          <cell r="F21743">
            <v>0</v>
          </cell>
          <cell r="DN21743">
            <v>0</v>
          </cell>
        </row>
        <row r="21744">
          <cell r="E21744">
            <v>0</v>
          </cell>
          <cell r="F21744">
            <v>0</v>
          </cell>
          <cell r="DN21744">
            <v>0</v>
          </cell>
        </row>
        <row r="21745">
          <cell r="E21745">
            <v>0</v>
          </cell>
          <cell r="F21745">
            <v>0</v>
          </cell>
          <cell r="DN21745">
            <v>0</v>
          </cell>
        </row>
        <row r="21746">
          <cell r="E21746">
            <v>0</v>
          </cell>
          <cell r="F21746">
            <v>0</v>
          </cell>
          <cell r="DN21746">
            <v>0</v>
          </cell>
        </row>
        <row r="21747">
          <cell r="E21747">
            <v>0</v>
          </cell>
          <cell r="F21747">
            <v>0</v>
          </cell>
          <cell r="DN21747">
            <v>0</v>
          </cell>
        </row>
        <row r="21748">
          <cell r="E21748">
            <v>0</v>
          </cell>
          <cell r="F21748">
            <v>0</v>
          </cell>
          <cell r="DN21748">
            <v>0</v>
          </cell>
        </row>
        <row r="21749">
          <cell r="E21749">
            <v>0</v>
          </cell>
          <cell r="F21749">
            <v>0</v>
          </cell>
          <cell r="DN21749">
            <v>0</v>
          </cell>
        </row>
        <row r="21750">
          <cell r="E21750">
            <v>0</v>
          </cell>
          <cell r="F21750">
            <v>0</v>
          </cell>
          <cell r="DN21750">
            <v>0</v>
          </cell>
        </row>
        <row r="21751">
          <cell r="E21751">
            <v>0</v>
          </cell>
          <cell r="F21751">
            <v>0</v>
          </cell>
          <cell r="DN21751">
            <v>0</v>
          </cell>
        </row>
        <row r="21752">
          <cell r="E21752">
            <v>0</v>
          </cell>
          <cell r="F21752">
            <v>0</v>
          </cell>
          <cell r="DN21752">
            <v>0</v>
          </cell>
        </row>
        <row r="21753">
          <cell r="E21753">
            <v>0</v>
          </cell>
          <cell r="F21753">
            <v>0</v>
          </cell>
          <cell r="DN21753">
            <v>0</v>
          </cell>
        </row>
        <row r="21754">
          <cell r="E21754">
            <v>0</v>
          </cell>
          <cell r="F21754">
            <v>0</v>
          </cell>
          <cell r="DN21754">
            <v>0</v>
          </cell>
        </row>
        <row r="21755">
          <cell r="E21755">
            <v>0</v>
          </cell>
          <cell r="F21755">
            <v>0</v>
          </cell>
          <cell r="DN21755">
            <v>0</v>
          </cell>
        </row>
        <row r="21756">
          <cell r="E21756">
            <v>0</v>
          </cell>
          <cell r="F21756">
            <v>0</v>
          </cell>
          <cell r="DN21756">
            <v>0</v>
          </cell>
        </row>
        <row r="21757">
          <cell r="E21757">
            <v>0</v>
          </cell>
          <cell r="F21757">
            <v>0</v>
          </cell>
          <cell r="DN21757">
            <v>0</v>
          </cell>
        </row>
        <row r="21758">
          <cell r="E21758">
            <v>0</v>
          </cell>
          <cell r="F21758">
            <v>0</v>
          </cell>
          <cell r="DN21758">
            <v>0</v>
          </cell>
        </row>
        <row r="21759">
          <cell r="E21759">
            <v>0</v>
          </cell>
          <cell r="F21759">
            <v>0</v>
          </cell>
          <cell r="DN21759">
            <v>0</v>
          </cell>
        </row>
        <row r="21760">
          <cell r="E21760">
            <v>0</v>
          </cell>
          <cell r="F21760">
            <v>0</v>
          </cell>
          <cell r="DN21760">
            <v>0</v>
          </cell>
        </row>
        <row r="21761">
          <cell r="E21761">
            <v>0</v>
          </cell>
          <cell r="F21761">
            <v>0</v>
          </cell>
          <cell r="DN21761">
            <v>0</v>
          </cell>
        </row>
        <row r="21762">
          <cell r="E21762">
            <v>0</v>
          </cell>
          <cell r="F21762">
            <v>0</v>
          </cell>
          <cell r="DN21762">
            <v>0</v>
          </cell>
        </row>
        <row r="21763">
          <cell r="E21763">
            <v>0</v>
          </cell>
          <cell r="F21763">
            <v>0</v>
          </cell>
          <cell r="DN21763">
            <v>0</v>
          </cell>
        </row>
        <row r="21764">
          <cell r="E21764">
            <v>0</v>
          </cell>
          <cell r="F21764">
            <v>0</v>
          </cell>
          <cell r="DN21764">
            <v>0</v>
          </cell>
        </row>
        <row r="21765">
          <cell r="E21765">
            <v>0</v>
          </cell>
          <cell r="F21765">
            <v>0</v>
          </cell>
          <cell r="DN21765">
            <v>0</v>
          </cell>
        </row>
        <row r="21766">
          <cell r="E21766">
            <v>0</v>
          </cell>
          <cell r="F21766">
            <v>0</v>
          </cell>
          <cell r="DN21766">
            <v>0</v>
          </cell>
        </row>
        <row r="21767">
          <cell r="E21767">
            <v>0</v>
          </cell>
          <cell r="F21767">
            <v>0</v>
          </cell>
          <cell r="DN21767">
            <v>0</v>
          </cell>
        </row>
        <row r="21768">
          <cell r="E21768">
            <v>0</v>
          </cell>
          <cell r="F21768">
            <v>0</v>
          </cell>
          <cell r="DN21768">
            <v>0</v>
          </cell>
        </row>
        <row r="21769">
          <cell r="E21769">
            <v>0</v>
          </cell>
          <cell r="F21769">
            <v>0</v>
          </cell>
          <cell r="DN21769">
            <v>0</v>
          </cell>
        </row>
        <row r="21770">
          <cell r="E21770">
            <v>0</v>
          </cell>
          <cell r="F21770">
            <v>0</v>
          </cell>
          <cell r="DN21770">
            <v>0</v>
          </cell>
        </row>
        <row r="21771">
          <cell r="E21771">
            <v>0</v>
          </cell>
          <cell r="F21771">
            <v>0</v>
          </cell>
          <cell r="DN21771">
            <v>0</v>
          </cell>
        </row>
        <row r="21772">
          <cell r="E21772">
            <v>0</v>
          </cell>
          <cell r="F21772">
            <v>0</v>
          </cell>
          <cell r="DN21772">
            <v>0</v>
          </cell>
        </row>
        <row r="21773">
          <cell r="E21773">
            <v>0</v>
          </cell>
          <cell r="F21773">
            <v>0</v>
          </cell>
          <cell r="DN21773">
            <v>0</v>
          </cell>
        </row>
        <row r="21774">
          <cell r="E21774">
            <v>0</v>
          </cell>
          <cell r="F21774">
            <v>0</v>
          </cell>
          <cell r="DN21774">
            <v>0</v>
          </cell>
        </row>
        <row r="21775">
          <cell r="E21775">
            <v>0</v>
          </cell>
          <cell r="F21775">
            <v>0</v>
          </cell>
          <cell r="DN21775">
            <v>0</v>
          </cell>
        </row>
        <row r="21776">
          <cell r="E21776">
            <v>0</v>
          </cell>
          <cell r="F21776">
            <v>0</v>
          </cell>
          <cell r="DN21776">
            <v>0</v>
          </cell>
        </row>
        <row r="21777">
          <cell r="E21777">
            <v>0</v>
          </cell>
          <cell r="F21777">
            <v>0</v>
          </cell>
          <cell r="DN21777">
            <v>0</v>
          </cell>
        </row>
        <row r="21778">
          <cell r="E21778">
            <v>0</v>
          </cell>
          <cell r="F21778">
            <v>0</v>
          </cell>
          <cell r="DN21778">
            <v>0</v>
          </cell>
        </row>
        <row r="21779">
          <cell r="E21779">
            <v>0</v>
          </cell>
          <cell r="F21779">
            <v>0</v>
          </cell>
          <cell r="DN21779">
            <v>0</v>
          </cell>
        </row>
        <row r="21780">
          <cell r="E21780">
            <v>0</v>
          </cell>
          <cell r="F21780">
            <v>0</v>
          </cell>
          <cell r="DN21780">
            <v>0</v>
          </cell>
        </row>
        <row r="21781">
          <cell r="E21781">
            <v>0</v>
          </cell>
          <cell r="F21781">
            <v>0</v>
          </cell>
          <cell r="DN21781">
            <v>0</v>
          </cell>
        </row>
        <row r="21782">
          <cell r="E21782">
            <v>0</v>
          </cell>
          <cell r="F21782">
            <v>0</v>
          </cell>
          <cell r="DN21782">
            <v>0</v>
          </cell>
        </row>
        <row r="21783">
          <cell r="E21783">
            <v>0</v>
          </cell>
          <cell r="F21783">
            <v>0</v>
          </cell>
          <cell r="DN21783">
            <v>0</v>
          </cell>
        </row>
        <row r="21784">
          <cell r="E21784">
            <v>0</v>
          </cell>
          <cell r="F21784">
            <v>0</v>
          </cell>
          <cell r="DN21784">
            <v>0</v>
          </cell>
        </row>
        <row r="21785">
          <cell r="E21785">
            <v>0</v>
          </cell>
          <cell r="F21785">
            <v>0</v>
          </cell>
          <cell r="DN21785">
            <v>0</v>
          </cell>
        </row>
        <row r="21786">
          <cell r="E21786">
            <v>0</v>
          </cell>
          <cell r="F21786">
            <v>0</v>
          </cell>
          <cell r="DN21786">
            <v>0</v>
          </cell>
        </row>
        <row r="21787">
          <cell r="E21787">
            <v>0</v>
          </cell>
          <cell r="F21787">
            <v>0</v>
          </cell>
          <cell r="DN21787">
            <v>0</v>
          </cell>
        </row>
        <row r="21788">
          <cell r="E21788">
            <v>0</v>
          </cell>
          <cell r="F21788">
            <v>0</v>
          </cell>
          <cell r="DN21788">
            <v>0</v>
          </cell>
        </row>
        <row r="21789">
          <cell r="E21789">
            <v>0</v>
          </cell>
          <cell r="F21789">
            <v>0</v>
          </cell>
          <cell r="DN21789">
            <v>0</v>
          </cell>
        </row>
        <row r="21790">
          <cell r="E21790">
            <v>0</v>
          </cell>
          <cell r="F21790">
            <v>0</v>
          </cell>
          <cell r="DN21790">
            <v>0</v>
          </cell>
        </row>
        <row r="21791">
          <cell r="E21791">
            <v>0</v>
          </cell>
          <cell r="F21791">
            <v>0</v>
          </cell>
          <cell r="DN21791">
            <v>0</v>
          </cell>
        </row>
        <row r="21792">
          <cell r="E21792">
            <v>0</v>
          </cell>
          <cell r="F21792">
            <v>0</v>
          </cell>
          <cell r="DN21792">
            <v>0</v>
          </cell>
        </row>
        <row r="21793">
          <cell r="E21793">
            <v>0</v>
          </cell>
          <cell r="F21793">
            <v>0</v>
          </cell>
          <cell r="DN21793">
            <v>0</v>
          </cell>
        </row>
        <row r="21794">
          <cell r="E21794">
            <v>0</v>
          </cell>
          <cell r="F21794">
            <v>0</v>
          </cell>
          <cell r="DN21794">
            <v>0</v>
          </cell>
        </row>
        <row r="21795">
          <cell r="E21795">
            <v>0</v>
          </cell>
          <cell r="F21795">
            <v>0</v>
          </cell>
          <cell r="DN21795">
            <v>0</v>
          </cell>
        </row>
        <row r="21796">
          <cell r="E21796">
            <v>0</v>
          </cell>
          <cell r="F21796">
            <v>0</v>
          </cell>
          <cell r="DN21796">
            <v>0</v>
          </cell>
        </row>
        <row r="21797">
          <cell r="E21797">
            <v>0</v>
          </cell>
          <cell r="F21797">
            <v>0</v>
          </cell>
          <cell r="DN21797">
            <v>0</v>
          </cell>
        </row>
        <row r="21798">
          <cell r="E21798">
            <v>0</v>
          </cell>
          <cell r="F21798">
            <v>0</v>
          </cell>
          <cell r="DN21798">
            <v>0</v>
          </cell>
        </row>
        <row r="21799">
          <cell r="E21799">
            <v>0</v>
          </cell>
          <cell r="F21799">
            <v>0</v>
          </cell>
          <cell r="DN21799">
            <v>0</v>
          </cell>
        </row>
        <row r="21800">
          <cell r="E21800">
            <v>0</v>
          </cell>
          <cell r="F21800">
            <v>0</v>
          </cell>
          <cell r="DN21800">
            <v>0</v>
          </cell>
        </row>
        <row r="21801">
          <cell r="E21801">
            <v>0</v>
          </cell>
          <cell r="F21801">
            <v>0</v>
          </cell>
          <cell r="DN21801">
            <v>0</v>
          </cell>
        </row>
        <row r="21802">
          <cell r="E21802">
            <v>0</v>
          </cell>
          <cell r="F21802">
            <v>0</v>
          </cell>
          <cell r="DN21802">
            <v>0</v>
          </cell>
        </row>
        <row r="21803">
          <cell r="E21803">
            <v>0</v>
          </cell>
          <cell r="F21803">
            <v>0</v>
          </cell>
          <cell r="DN21803">
            <v>0</v>
          </cell>
        </row>
        <row r="21804">
          <cell r="E21804">
            <v>0</v>
          </cell>
          <cell r="F21804">
            <v>0</v>
          </cell>
          <cell r="DN21804">
            <v>0</v>
          </cell>
        </row>
        <row r="21805">
          <cell r="E21805">
            <v>0</v>
          </cell>
          <cell r="F21805">
            <v>0</v>
          </cell>
          <cell r="DN21805">
            <v>0</v>
          </cell>
        </row>
        <row r="21806">
          <cell r="E21806">
            <v>0</v>
          </cell>
          <cell r="F21806">
            <v>0</v>
          </cell>
          <cell r="DN21806">
            <v>0</v>
          </cell>
        </row>
        <row r="21807">
          <cell r="E21807">
            <v>0</v>
          </cell>
          <cell r="F21807">
            <v>0</v>
          </cell>
          <cell r="DN21807">
            <v>0</v>
          </cell>
        </row>
        <row r="21808">
          <cell r="E21808">
            <v>0</v>
          </cell>
          <cell r="F21808">
            <v>0</v>
          </cell>
          <cell r="DN21808">
            <v>0</v>
          </cell>
        </row>
        <row r="21809">
          <cell r="E21809">
            <v>0</v>
          </cell>
          <cell r="F21809">
            <v>0</v>
          </cell>
          <cell r="DN21809">
            <v>0</v>
          </cell>
        </row>
        <row r="21810">
          <cell r="E21810">
            <v>0</v>
          </cell>
          <cell r="F21810">
            <v>0</v>
          </cell>
          <cell r="DN21810">
            <v>0</v>
          </cell>
        </row>
        <row r="21811">
          <cell r="E21811">
            <v>0</v>
          </cell>
          <cell r="F21811">
            <v>0</v>
          </cell>
          <cell r="DN21811">
            <v>0</v>
          </cell>
        </row>
        <row r="21812">
          <cell r="E21812">
            <v>0</v>
          </cell>
          <cell r="F21812">
            <v>0</v>
          </cell>
          <cell r="DN21812">
            <v>0</v>
          </cell>
        </row>
        <row r="21813">
          <cell r="E21813">
            <v>0</v>
          </cell>
          <cell r="F21813">
            <v>0</v>
          </cell>
          <cell r="DN21813">
            <v>0</v>
          </cell>
        </row>
        <row r="21814">
          <cell r="E21814">
            <v>0</v>
          </cell>
          <cell r="F21814">
            <v>0</v>
          </cell>
          <cell r="DN21814">
            <v>0</v>
          </cell>
        </row>
        <row r="21815">
          <cell r="E21815">
            <v>0</v>
          </cell>
          <cell r="F21815">
            <v>0</v>
          </cell>
          <cell r="DN21815">
            <v>0</v>
          </cell>
        </row>
        <row r="21816">
          <cell r="E21816">
            <v>0</v>
          </cell>
          <cell r="F21816">
            <v>0</v>
          </cell>
          <cell r="DN21816">
            <v>0</v>
          </cell>
        </row>
        <row r="21817">
          <cell r="E21817">
            <v>0</v>
          </cell>
          <cell r="F21817">
            <v>0</v>
          </cell>
          <cell r="DN21817">
            <v>0</v>
          </cell>
        </row>
        <row r="21818">
          <cell r="E21818">
            <v>0</v>
          </cell>
          <cell r="F21818">
            <v>0</v>
          </cell>
          <cell r="DN21818">
            <v>0</v>
          </cell>
        </row>
        <row r="21819">
          <cell r="E21819">
            <v>0</v>
          </cell>
          <cell r="F21819">
            <v>0</v>
          </cell>
          <cell r="DN21819">
            <v>0</v>
          </cell>
        </row>
        <row r="21820">
          <cell r="E21820">
            <v>0</v>
          </cell>
          <cell r="F21820">
            <v>0</v>
          </cell>
          <cell r="DN21820">
            <v>0</v>
          </cell>
        </row>
        <row r="21821">
          <cell r="E21821">
            <v>0</v>
          </cell>
          <cell r="F21821">
            <v>0</v>
          </cell>
          <cell r="DN21821">
            <v>0</v>
          </cell>
        </row>
        <row r="21822">
          <cell r="E21822">
            <v>0</v>
          </cell>
          <cell r="F21822">
            <v>0</v>
          </cell>
          <cell r="DN21822">
            <v>0</v>
          </cell>
        </row>
        <row r="21823">
          <cell r="E21823">
            <v>0</v>
          </cell>
          <cell r="F21823">
            <v>0</v>
          </cell>
          <cell r="DN21823">
            <v>0</v>
          </cell>
        </row>
        <row r="21824">
          <cell r="E21824">
            <v>0</v>
          </cell>
          <cell r="F21824">
            <v>0</v>
          </cell>
          <cell r="DN21824">
            <v>0</v>
          </cell>
        </row>
        <row r="21825">
          <cell r="E21825">
            <v>0</v>
          </cell>
          <cell r="F21825">
            <v>0</v>
          </cell>
          <cell r="DN21825">
            <v>0</v>
          </cell>
        </row>
        <row r="21826">
          <cell r="E21826">
            <v>0</v>
          </cell>
          <cell r="F21826">
            <v>0</v>
          </cell>
          <cell r="DN21826">
            <v>0</v>
          </cell>
        </row>
        <row r="21827">
          <cell r="E21827">
            <v>0</v>
          </cell>
          <cell r="F21827">
            <v>0</v>
          </cell>
          <cell r="DN21827">
            <v>0</v>
          </cell>
        </row>
        <row r="21828">
          <cell r="E21828">
            <v>0</v>
          </cell>
          <cell r="F21828">
            <v>0</v>
          </cell>
          <cell r="DN21828">
            <v>0</v>
          </cell>
        </row>
        <row r="21829">
          <cell r="E21829">
            <v>0</v>
          </cell>
          <cell r="F21829">
            <v>0</v>
          </cell>
          <cell r="DN21829">
            <v>0</v>
          </cell>
        </row>
        <row r="21830">
          <cell r="E21830">
            <v>0</v>
          </cell>
          <cell r="F21830">
            <v>0</v>
          </cell>
          <cell r="DN21830">
            <v>0</v>
          </cell>
        </row>
        <row r="21831">
          <cell r="E21831">
            <v>0</v>
          </cell>
          <cell r="F21831">
            <v>0</v>
          </cell>
          <cell r="DN21831">
            <v>0</v>
          </cell>
        </row>
        <row r="21832">
          <cell r="E21832">
            <v>0</v>
          </cell>
          <cell r="F21832">
            <v>0</v>
          </cell>
          <cell r="DN21832">
            <v>0</v>
          </cell>
        </row>
        <row r="21833">
          <cell r="E21833">
            <v>0</v>
          </cell>
          <cell r="F21833">
            <v>0</v>
          </cell>
          <cell r="DN21833">
            <v>0</v>
          </cell>
        </row>
        <row r="21834">
          <cell r="E21834">
            <v>0</v>
          </cell>
          <cell r="F21834">
            <v>0</v>
          </cell>
          <cell r="DN21834">
            <v>0</v>
          </cell>
        </row>
        <row r="21835">
          <cell r="E21835">
            <v>0</v>
          </cell>
          <cell r="F21835">
            <v>0</v>
          </cell>
          <cell r="DN21835">
            <v>0</v>
          </cell>
        </row>
        <row r="21836">
          <cell r="E21836">
            <v>0</v>
          </cell>
          <cell r="F21836">
            <v>0</v>
          </cell>
          <cell r="DN21836">
            <v>0</v>
          </cell>
        </row>
        <row r="21837">
          <cell r="E21837">
            <v>0</v>
          </cell>
          <cell r="F21837">
            <v>0</v>
          </cell>
          <cell r="DN21837">
            <v>0</v>
          </cell>
        </row>
        <row r="21838">
          <cell r="E21838">
            <v>0</v>
          </cell>
          <cell r="F21838">
            <v>0</v>
          </cell>
          <cell r="DN21838">
            <v>0</v>
          </cell>
        </row>
        <row r="21839">
          <cell r="E21839">
            <v>0</v>
          </cell>
          <cell r="F21839">
            <v>0</v>
          </cell>
          <cell r="DN21839">
            <v>0</v>
          </cell>
        </row>
        <row r="21840">
          <cell r="E21840">
            <v>0</v>
          </cell>
          <cell r="F21840">
            <v>0</v>
          </cell>
          <cell r="DN21840">
            <v>0</v>
          </cell>
        </row>
        <row r="21841">
          <cell r="E21841">
            <v>0</v>
          </cell>
          <cell r="F21841">
            <v>0</v>
          </cell>
          <cell r="DN21841">
            <v>0</v>
          </cell>
        </row>
        <row r="21842">
          <cell r="E21842">
            <v>0</v>
          </cell>
          <cell r="F21842">
            <v>0</v>
          </cell>
          <cell r="DN21842">
            <v>0</v>
          </cell>
        </row>
        <row r="21843">
          <cell r="E21843">
            <v>0</v>
          </cell>
          <cell r="F21843">
            <v>0</v>
          </cell>
          <cell r="DN21843">
            <v>0</v>
          </cell>
        </row>
        <row r="21844">
          <cell r="E21844">
            <v>0</v>
          </cell>
          <cell r="F21844">
            <v>0</v>
          </cell>
          <cell r="DN21844">
            <v>0</v>
          </cell>
        </row>
        <row r="21845">
          <cell r="E21845">
            <v>0</v>
          </cell>
          <cell r="F21845">
            <v>0</v>
          </cell>
          <cell r="DN21845">
            <v>0</v>
          </cell>
        </row>
        <row r="21846">
          <cell r="E21846">
            <v>0</v>
          </cell>
          <cell r="F21846">
            <v>0</v>
          </cell>
          <cell r="DN21846">
            <v>0</v>
          </cell>
        </row>
        <row r="21847">
          <cell r="E21847">
            <v>0</v>
          </cell>
          <cell r="F21847">
            <v>0</v>
          </cell>
          <cell r="DN21847">
            <v>0</v>
          </cell>
        </row>
        <row r="21848">
          <cell r="E21848">
            <v>0</v>
          </cell>
          <cell r="F21848">
            <v>0</v>
          </cell>
          <cell r="DN21848">
            <v>0</v>
          </cell>
        </row>
        <row r="21849">
          <cell r="E21849">
            <v>0</v>
          </cell>
          <cell r="F21849">
            <v>0</v>
          </cell>
          <cell r="DN21849">
            <v>0</v>
          </cell>
        </row>
        <row r="21850">
          <cell r="E21850">
            <v>0</v>
          </cell>
          <cell r="F21850">
            <v>0</v>
          </cell>
          <cell r="DN21850">
            <v>0</v>
          </cell>
        </row>
        <row r="21851">
          <cell r="E21851">
            <v>0</v>
          </cell>
          <cell r="F21851">
            <v>0</v>
          </cell>
          <cell r="DN21851">
            <v>0</v>
          </cell>
        </row>
        <row r="21852">
          <cell r="E21852">
            <v>0</v>
          </cell>
          <cell r="F21852">
            <v>0</v>
          </cell>
          <cell r="DN21852">
            <v>0</v>
          </cell>
        </row>
        <row r="21853">
          <cell r="E21853">
            <v>0</v>
          </cell>
          <cell r="F21853">
            <v>0</v>
          </cell>
          <cell r="DN21853">
            <v>0</v>
          </cell>
        </row>
        <row r="21854">
          <cell r="E21854">
            <v>0</v>
          </cell>
          <cell r="F21854">
            <v>0</v>
          </cell>
          <cell r="DN21854">
            <v>0</v>
          </cell>
        </row>
        <row r="21855">
          <cell r="E21855">
            <v>0</v>
          </cell>
          <cell r="F21855">
            <v>0</v>
          </cell>
          <cell r="DN21855">
            <v>0</v>
          </cell>
        </row>
        <row r="21856">
          <cell r="E21856">
            <v>0</v>
          </cell>
          <cell r="F21856">
            <v>0</v>
          </cell>
          <cell r="DN21856">
            <v>0</v>
          </cell>
        </row>
        <row r="21857">
          <cell r="E21857">
            <v>0</v>
          </cell>
          <cell r="F21857">
            <v>0</v>
          </cell>
          <cell r="DN21857">
            <v>0</v>
          </cell>
        </row>
        <row r="21858">
          <cell r="E21858">
            <v>0</v>
          </cell>
          <cell r="F21858">
            <v>0</v>
          </cell>
          <cell r="DN21858">
            <v>0</v>
          </cell>
        </row>
        <row r="21859">
          <cell r="E21859">
            <v>0</v>
          </cell>
          <cell r="F21859">
            <v>0</v>
          </cell>
          <cell r="DN21859">
            <v>0</v>
          </cell>
        </row>
        <row r="21860">
          <cell r="E21860">
            <v>0</v>
          </cell>
          <cell r="F21860">
            <v>0</v>
          </cell>
          <cell r="DN21860">
            <v>0</v>
          </cell>
        </row>
        <row r="21861">
          <cell r="E21861">
            <v>0</v>
          </cell>
          <cell r="F21861">
            <v>0</v>
          </cell>
          <cell r="DN21861">
            <v>0</v>
          </cell>
        </row>
        <row r="21862">
          <cell r="E21862">
            <v>0</v>
          </cell>
          <cell r="F21862">
            <v>0</v>
          </cell>
          <cell r="DN21862">
            <v>0</v>
          </cell>
        </row>
        <row r="21863">
          <cell r="E21863">
            <v>0</v>
          </cell>
          <cell r="F21863">
            <v>0</v>
          </cell>
          <cell r="DN21863">
            <v>0</v>
          </cell>
        </row>
        <row r="21864">
          <cell r="E21864">
            <v>0</v>
          </cell>
          <cell r="F21864">
            <v>0</v>
          </cell>
          <cell r="DN21864">
            <v>0</v>
          </cell>
        </row>
        <row r="21865">
          <cell r="E21865">
            <v>0</v>
          </cell>
          <cell r="F21865">
            <v>0</v>
          </cell>
          <cell r="DN21865">
            <v>0</v>
          </cell>
        </row>
        <row r="21866">
          <cell r="E21866">
            <v>0</v>
          </cell>
          <cell r="F21866">
            <v>0</v>
          </cell>
          <cell r="DN21866">
            <v>0</v>
          </cell>
        </row>
        <row r="21867">
          <cell r="E21867">
            <v>0</v>
          </cell>
          <cell r="F21867">
            <v>0</v>
          </cell>
          <cell r="DN21867">
            <v>0</v>
          </cell>
        </row>
        <row r="21868">
          <cell r="E21868">
            <v>0</v>
          </cell>
          <cell r="F21868">
            <v>0</v>
          </cell>
          <cell r="DN21868">
            <v>0</v>
          </cell>
        </row>
        <row r="21869">
          <cell r="E21869">
            <v>0</v>
          </cell>
          <cell r="F21869">
            <v>0</v>
          </cell>
          <cell r="DN21869">
            <v>0</v>
          </cell>
        </row>
        <row r="21870">
          <cell r="E21870">
            <v>0</v>
          </cell>
          <cell r="F21870">
            <v>0</v>
          </cell>
          <cell r="DN21870">
            <v>0</v>
          </cell>
        </row>
        <row r="21871">
          <cell r="E21871">
            <v>0</v>
          </cell>
          <cell r="F21871">
            <v>0</v>
          </cell>
          <cell r="DN21871">
            <v>0</v>
          </cell>
        </row>
        <row r="21872">
          <cell r="E21872">
            <v>0</v>
          </cell>
          <cell r="F21872">
            <v>0</v>
          </cell>
          <cell r="DN21872">
            <v>0</v>
          </cell>
        </row>
        <row r="21873">
          <cell r="E21873">
            <v>0</v>
          </cell>
          <cell r="F21873">
            <v>0</v>
          </cell>
          <cell r="DN21873">
            <v>0</v>
          </cell>
        </row>
        <row r="21874">
          <cell r="E21874">
            <v>0</v>
          </cell>
          <cell r="F21874">
            <v>0</v>
          </cell>
          <cell r="DN21874">
            <v>0</v>
          </cell>
        </row>
        <row r="21875">
          <cell r="E21875">
            <v>0</v>
          </cell>
          <cell r="F21875">
            <v>0</v>
          </cell>
          <cell r="DN21875">
            <v>0</v>
          </cell>
        </row>
        <row r="21876">
          <cell r="E21876">
            <v>0</v>
          </cell>
          <cell r="F21876">
            <v>0</v>
          </cell>
          <cell r="DN21876">
            <v>0</v>
          </cell>
        </row>
        <row r="21877">
          <cell r="E21877">
            <v>0</v>
          </cell>
          <cell r="F21877">
            <v>0</v>
          </cell>
          <cell r="DN21877">
            <v>0</v>
          </cell>
        </row>
        <row r="21878">
          <cell r="E21878">
            <v>0</v>
          </cell>
          <cell r="F21878">
            <v>0</v>
          </cell>
          <cell r="DN21878">
            <v>0</v>
          </cell>
        </row>
        <row r="21879">
          <cell r="E21879">
            <v>0</v>
          </cell>
          <cell r="F21879">
            <v>0</v>
          </cell>
          <cell r="DN21879">
            <v>0</v>
          </cell>
        </row>
        <row r="21880">
          <cell r="E21880">
            <v>0</v>
          </cell>
          <cell r="F21880">
            <v>0</v>
          </cell>
          <cell r="DN21880">
            <v>0</v>
          </cell>
        </row>
        <row r="21881">
          <cell r="E21881">
            <v>0</v>
          </cell>
          <cell r="F21881">
            <v>0</v>
          </cell>
          <cell r="DN21881">
            <v>0</v>
          </cell>
        </row>
        <row r="21882">
          <cell r="E21882">
            <v>0</v>
          </cell>
          <cell r="F21882">
            <v>0</v>
          </cell>
          <cell r="DN21882">
            <v>0</v>
          </cell>
        </row>
        <row r="21883">
          <cell r="E21883">
            <v>0</v>
          </cell>
          <cell r="F21883">
            <v>0</v>
          </cell>
          <cell r="DN21883">
            <v>0</v>
          </cell>
        </row>
        <row r="21884">
          <cell r="E21884">
            <v>0</v>
          </cell>
          <cell r="F21884">
            <v>0</v>
          </cell>
          <cell r="DN21884">
            <v>0</v>
          </cell>
        </row>
        <row r="21885">
          <cell r="E21885">
            <v>0</v>
          </cell>
          <cell r="F21885">
            <v>0</v>
          </cell>
          <cell r="DN21885">
            <v>0</v>
          </cell>
        </row>
        <row r="21886">
          <cell r="E21886">
            <v>0</v>
          </cell>
          <cell r="F21886">
            <v>0</v>
          </cell>
          <cell r="DN21886">
            <v>0</v>
          </cell>
        </row>
        <row r="21887">
          <cell r="E21887">
            <v>0</v>
          </cell>
          <cell r="F21887">
            <v>0</v>
          </cell>
          <cell r="DN21887">
            <v>0</v>
          </cell>
        </row>
        <row r="21888">
          <cell r="E21888">
            <v>0</v>
          </cell>
          <cell r="F21888">
            <v>0</v>
          </cell>
          <cell r="DN21888">
            <v>0</v>
          </cell>
        </row>
        <row r="21889">
          <cell r="E21889">
            <v>0</v>
          </cell>
          <cell r="F21889">
            <v>0</v>
          </cell>
          <cell r="DN21889">
            <v>0</v>
          </cell>
        </row>
        <row r="21890">
          <cell r="E21890">
            <v>0</v>
          </cell>
          <cell r="F21890">
            <v>0</v>
          </cell>
          <cell r="DN21890">
            <v>0</v>
          </cell>
        </row>
        <row r="21891">
          <cell r="E21891">
            <v>0</v>
          </cell>
          <cell r="F21891">
            <v>0</v>
          </cell>
          <cell r="DN21891">
            <v>0</v>
          </cell>
        </row>
        <row r="21892">
          <cell r="E21892">
            <v>0</v>
          </cell>
          <cell r="F21892">
            <v>0</v>
          </cell>
          <cell r="DN21892">
            <v>0</v>
          </cell>
        </row>
        <row r="21893">
          <cell r="E21893">
            <v>0</v>
          </cell>
          <cell r="F21893">
            <v>0</v>
          </cell>
          <cell r="DN21893">
            <v>0</v>
          </cell>
        </row>
        <row r="21894">
          <cell r="E21894">
            <v>0</v>
          </cell>
          <cell r="F21894">
            <v>0</v>
          </cell>
          <cell r="DN21894">
            <v>0</v>
          </cell>
        </row>
        <row r="21895">
          <cell r="E21895">
            <v>0</v>
          </cell>
          <cell r="F21895">
            <v>0</v>
          </cell>
          <cell r="DN21895">
            <v>0</v>
          </cell>
        </row>
        <row r="21896">
          <cell r="E21896">
            <v>0</v>
          </cell>
          <cell r="F21896">
            <v>0</v>
          </cell>
          <cell r="DN21896">
            <v>0</v>
          </cell>
        </row>
        <row r="21897">
          <cell r="E21897">
            <v>0</v>
          </cell>
          <cell r="F21897">
            <v>0</v>
          </cell>
          <cell r="DN21897">
            <v>0</v>
          </cell>
        </row>
        <row r="21898">
          <cell r="E21898">
            <v>0</v>
          </cell>
          <cell r="F21898">
            <v>0</v>
          </cell>
          <cell r="DN21898">
            <v>0</v>
          </cell>
        </row>
        <row r="21899">
          <cell r="E21899">
            <v>0</v>
          </cell>
          <cell r="F21899">
            <v>0</v>
          </cell>
          <cell r="DN21899">
            <v>0</v>
          </cell>
        </row>
        <row r="21900">
          <cell r="E21900">
            <v>0</v>
          </cell>
          <cell r="F21900">
            <v>0</v>
          </cell>
          <cell r="DN21900">
            <v>0</v>
          </cell>
        </row>
        <row r="21901">
          <cell r="E21901">
            <v>0</v>
          </cell>
          <cell r="F21901">
            <v>0</v>
          </cell>
          <cell r="DN21901">
            <v>0</v>
          </cell>
        </row>
        <row r="21902">
          <cell r="E21902">
            <v>0</v>
          </cell>
          <cell r="F21902">
            <v>0</v>
          </cell>
          <cell r="DN21902">
            <v>0</v>
          </cell>
        </row>
        <row r="21903">
          <cell r="E21903">
            <v>0</v>
          </cell>
          <cell r="F21903">
            <v>0</v>
          </cell>
          <cell r="DN21903">
            <v>0</v>
          </cell>
        </row>
        <row r="21904">
          <cell r="E21904">
            <v>0</v>
          </cell>
          <cell r="F21904">
            <v>0</v>
          </cell>
          <cell r="DN21904">
            <v>0</v>
          </cell>
        </row>
        <row r="21905">
          <cell r="E21905">
            <v>0</v>
          </cell>
          <cell r="F21905">
            <v>0</v>
          </cell>
          <cell r="DN21905">
            <v>0</v>
          </cell>
        </row>
        <row r="21906">
          <cell r="E21906">
            <v>0</v>
          </cell>
          <cell r="F21906">
            <v>0</v>
          </cell>
          <cell r="DN21906">
            <v>0</v>
          </cell>
        </row>
        <row r="21907">
          <cell r="E21907">
            <v>0</v>
          </cell>
          <cell r="F21907">
            <v>0</v>
          </cell>
          <cell r="DN21907">
            <v>0</v>
          </cell>
        </row>
        <row r="21908">
          <cell r="E21908">
            <v>0</v>
          </cell>
          <cell r="F21908">
            <v>0</v>
          </cell>
          <cell r="DN21908">
            <v>0</v>
          </cell>
        </row>
        <row r="21909">
          <cell r="E21909">
            <v>0</v>
          </cell>
          <cell r="F21909">
            <v>0</v>
          </cell>
          <cell r="DN21909">
            <v>0</v>
          </cell>
        </row>
        <row r="21910">
          <cell r="E21910">
            <v>0</v>
          </cell>
          <cell r="F21910">
            <v>0</v>
          </cell>
          <cell r="DN21910">
            <v>0</v>
          </cell>
        </row>
        <row r="21911">
          <cell r="E21911">
            <v>0</v>
          </cell>
          <cell r="F21911">
            <v>0</v>
          </cell>
          <cell r="DN21911">
            <v>0</v>
          </cell>
        </row>
        <row r="21912">
          <cell r="E21912">
            <v>0</v>
          </cell>
          <cell r="F21912">
            <v>0</v>
          </cell>
          <cell r="DN21912">
            <v>0</v>
          </cell>
        </row>
        <row r="21913">
          <cell r="E21913">
            <v>0</v>
          </cell>
          <cell r="F21913">
            <v>0</v>
          </cell>
          <cell r="DN21913">
            <v>0</v>
          </cell>
        </row>
        <row r="21914">
          <cell r="E21914">
            <v>0</v>
          </cell>
          <cell r="F21914">
            <v>0</v>
          </cell>
          <cell r="DN21914">
            <v>0</v>
          </cell>
        </row>
        <row r="21915">
          <cell r="E21915">
            <v>0</v>
          </cell>
          <cell r="F21915">
            <v>0</v>
          </cell>
          <cell r="DN21915">
            <v>0</v>
          </cell>
        </row>
        <row r="21916">
          <cell r="E21916">
            <v>0</v>
          </cell>
          <cell r="F21916">
            <v>0</v>
          </cell>
          <cell r="DN21916">
            <v>0</v>
          </cell>
        </row>
        <row r="21917">
          <cell r="E21917">
            <v>0</v>
          </cell>
          <cell r="F21917">
            <v>0</v>
          </cell>
          <cell r="DN21917">
            <v>0</v>
          </cell>
        </row>
        <row r="21918">
          <cell r="E21918">
            <v>0</v>
          </cell>
          <cell r="F21918">
            <v>0</v>
          </cell>
          <cell r="DN21918">
            <v>0</v>
          </cell>
        </row>
        <row r="21919">
          <cell r="E21919">
            <v>0</v>
          </cell>
          <cell r="F21919">
            <v>0</v>
          </cell>
          <cell r="DN21919">
            <v>0</v>
          </cell>
        </row>
        <row r="21920">
          <cell r="E21920">
            <v>0</v>
          </cell>
          <cell r="F21920">
            <v>0</v>
          </cell>
          <cell r="DN21920">
            <v>0</v>
          </cell>
        </row>
        <row r="21921">
          <cell r="E21921">
            <v>0</v>
          </cell>
          <cell r="F21921">
            <v>0</v>
          </cell>
          <cell r="DN21921">
            <v>0</v>
          </cell>
        </row>
        <row r="21922">
          <cell r="E21922">
            <v>0</v>
          </cell>
          <cell r="F21922">
            <v>0</v>
          </cell>
          <cell r="DN21922">
            <v>0</v>
          </cell>
        </row>
        <row r="21923">
          <cell r="E21923">
            <v>0</v>
          </cell>
          <cell r="F21923">
            <v>0</v>
          </cell>
          <cell r="DN21923">
            <v>0</v>
          </cell>
        </row>
        <row r="21924">
          <cell r="E21924">
            <v>0</v>
          </cell>
          <cell r="F21924">
            <v>0</v>
          </cell>
          <cell r="DN21924">
            <v>0</v>
          </cell>
        </row>
        <row r="21925">
          <cell r="E21925">
            <v>0</v>
          </cell>
          <cell r="F21925">
            <v>0</v>
          </cell>
          <cell r="DN21925">
            <v>0</v>
          </cell>
        </row>
        <row r="21926">
          <cell r="E21926">
            <v>0</v>
          </cell>
          <cell r="F21926">
            <v>0</v>
          </cell>
          <cell r="DN21926">
            <v>0</v>
          </cell>
        </row>
        <row r="21927">
          <cell r="E21927">
            <v>0</v>
          </cell>
          <cell r="F21927">
            <v>0</v>
          </cell>
          <cell r="DN21927">
            <v>0</v>
          </cell>
        </row>
        <row r="21928">
          <cell r="E21928">
            <v>0</v>
          </cell>
          <cell r="F21928">
            <v>0</v>
          </cell>
          <cell r="DN21928">
            <v>0</v>
          </cell>
        </row>
        <row r="21929">
          <cell r="E21929">
            <v>0</v>
          </cell>
          <cell r="F21929">
            <v>0</v>
          </cell>
          <cell r="DN21929">
            <v>0</v>
          </cell>
        </row>
        <row r="21930">
          <cell r="E21930">
            <v>0</v>
          </cell>
          <cell r="F21930">
            <v>0</v>
          </cell>
          <cell r="DN21930">
            <v>0</v>
          </cell>
        </row>
        <row r="21931">
          <cell r="E21931">
            <v>0</v>
          </cell>
          <cell r="F21931">
            <v>0</v>
          </cell>
          <cell r="DN21931">
            <v>0</v>
          </cell>
        </row>
        <row r="21932">
          <cell r="E21932">
            <v>0</v>
          </cell>
          <cell r="F21932">
            <v>0</v>
          </cell>
          <cell r="DN21932">
            <v>0</v>
          </cell>
        </row>
        <row r="21933">
          <cell r="E21933">
            <v>0</v>
          </cell>
          <cell r="F21933">
            <v>0</v>
          </cell>
          <cell r="DN21933">
            <v>0</v>
          </cell>
        </row>
        <row r="21934">
          <cell r="E21934">
            <v>0</v>
          </cell>
          <cell r="F21934">
            <v>0</v>
          </cell>
          <cell r="DN21934">
            <v>0</v>
          </cell>
        </row>
        <row r="21935">
          <cell r="E21935">
            <v>0</v>
          </cell>
          <cell r="F21935">
            <v>0</v>
          </cell>
          <cell r="DN21935">
            <v>0</v>
          </cell>
        </row>
        <row r="21936">
          <cell r="E21936">
            <v>0</v>
          </cell>
          <cell r="F21936">
            <v>0</v>
          </cell>
          <cell r="DN21936">
            <v>0</v>
          </cell>
        </row>
        <row r="21937">
          <cell r="E21937">
            <v>0</v>
          </cell>
          <cell r="F21937">
            <v>0</v>
          </cell>
          <cell r="DN21937">
            <v>0</v>
          </cell>
        </row>
        <row r="21938">
          <cell r="E21938">
            <v>0</v>
          </cell>
          <cell r="F21938">
            <v>0</v>
          </cell>
          <cell r="DN21938">
            <v>0</v>
          </cell>
        </row>
        <row r="21939">
          <cell r="E21939">
            <v>0</v>
          </cell>
          <cell r="F21939">
            <v>0</v>
          </cell>
          <cell r="DN21939">
            <v>0</v>
          </cell>
        </row>
        <row r="21940">
          <cell r="E21940">
            <v>0</v>
          </cell>
          <cell r="F21940">
            <v>0</v>
          </cell>
          <cell r="DN21940">
            <v>0</v>
          </cell>
        </row>
        <row r="21941">
          <cell r="E21941">
            <v>0</v>
          </cell>
          <cell r="F21941">
            <v>0</v>
          </cell>
          <cell r="DN21941">
            <v>0</v>
          </cell>
        </row>
        <row r="21942">
          <cell r="E21942">
            <v>0</v>
          </cell>
          <cell r="F21942">
            <v>0</v>
          </cell>
          <cell r="DN21942">
            <v>0</v>
          </cell>
        </row>
        <row r="21943">
          <cell r="E21943">
            <v>0</v>
          </cell>
          <cell r="F21943">
            <v>0</v>
          </cell>
          <cell r="DN21943">
            <v>0</v>
          </cell>
        </row>
        <row r="21944">
          <cell r="E21944">
            <v>0</v>
          </cell>
          <cell r="F21944">
            <v>0</v>
          </cell>
          <cell r="DN21944">
            <v>0</v>
          </cell>
        </row>
        <row r="21945">
          <cell r="E21945">
            <v>0</v>
          </cell>
          <cell r="F21945">
            <v>0</v>
          </cell>
          <cell r="DN21945">
            <v>0</v>
          </cell>
        </row>
        <row r="21946">
          <cell r="E21946">
            <v>0</v>
          </cell>
          <cell r="F21946">
            <v>0</v>
          </cell>
          <cell r="DN21946">
            <v>0</v>
          </cell>
        </row>
        <row r="21947">
          <cell r="E21947">
            <v>0</v>
          </cell>
          <cell r="F21947">
            <v>0</v>
          </cell>
          <cell r="DN21947">
            <v>0</v>
          </cell>
        </row>
        <row r="21948">
          <cell r="E21948">
            <v>0</v>
          </cell>
          <cell r="F21948">
            <v>0</v>
          </cell>
          <cell r="DN21948">
            <v>0</v>
          </cell>
        </row>
        <row r="21949">
          <cell r="E21949">
            <v>0</v>
          </cell>
          <cell r="F21949">
            <v>0</v>
          </cell>
          <cell r="DN21949">
            <v>0</v>
          </cell>
        </row>
        <row r="21950">
          <cell r="E21950">
            <v>0</v>
          </cell>
          <cell r="F21950">
            <v>0</v>
          </cell>
          <cell r="DN21950">
            <v>0</v>
          </cell>
        </row>
        <row r="21951">
          <cell r="E21951">
            <v>0</v>
          </cell>
          <cell r="F21951">
            <v>0</v>
          </cell>
          <cell r="DN21951">
            <v>0</v>
          </cell>
        </row>
        <row r="21952">
          <cell r="E21952">
            <v>0</v>
          </cell>
          <cell r="F21952">
            <v>0</v>
          </cell>
          <cell r="DN21952">
            <v>0</v>
          </cell>
        </row>
        <row r="21953">
          <cell r="E21953">
            <v>0</v>
          </cell>
          <cell r="F21953">
            <v>0</v>
          </cell>
          <cell r="DN21953">
            <v>0</v>
          </cell>
        </row>
        <row r="21954">
          <cell r="E21954">
            <v>0</v>
          </cell>
          <cell r="F21954">
            <v>0</v>
          </cell>
          <cell r="DN21954">
            <v>0</v>
          </cell>
        </row>
        <row r="21955">
          <cell r="E21955">
            <v>0</v>
          </cell>
          <cell r="F21955">
            <v>0</v>
          </cell>
          <cell r="DN21955">
            <v>0</v>
          </cell>
        </row>
        <row r="21956">
          <cell r="E21956">
            <v>0</v>
          </cell>
          <cell r="F21956">
            <v>0</v>
          </cell>
          <cell r="DN21956">
            <v>0</v>
          </cell>
        </row>
        <row r="21957">
          <cell r="E21957">
            <v>0</v>
          </cell>
          <cell r="F21957">
            <v>0</v>
          </cell>
          <cell r="DN21957">
            <v>0</v>
          </cell>
        </row>
        <row r="21958">
          <cell r="E21958">
            <v>0</v>
          </cell>
          <cell r="F21958">
            <v>0</v>
          </cell>
          <cell r="DN21958">
            <v>0</v>
          </cell>
        </row>
        <row r="21959">
          <cell r="E21959">
            <v>0</v>
          </cell>
          <cell r="F21959">
            <v>0</v>
          </cell>
          <cell r="DN21959">
            <v>0</v>
          </cell>
        </row>
        <row r="21960">
          <cell r="E21960">
            <v>0</v>
          </cell>
          <cell r="F21960">
            <v>0</v>
          </cell>
          <cell r="DN21960">
            <v>0</v>
          </cell>
        </row>
        <row r="21961">
          <cell r="E21961">
            <v>0</v>
          </cell>
          <cell r="F21961">
            <v>0</v>
          </cell>
          <cell r="DN21961">
            <v>0</v>
          </cell>
        </row>
        <row r="21962">
          <cell r="E21962">
            <v>0</v>
          </cell>
          <cell r="F21962">
            <v>0</v>
          </cell>
          <cell r="DN21962">
            <v>0</v>
          </cell>
        </row>
        <row r="21963">
          <cell r="E21963">
            <v>0</v>
          </cell>
          <cell r="F21963">
            <v>0</v>
          </cell>
          <cell r="DN21963">
            <v>0</v>
          </cell>
        </row>
        <row r="21964">
          <cell r="E21964">
            <v>0</v>
          </cell>
          <cell r="F21964">
            <v>0</v>
          </cell>
          <cell r="DN21964">
            <v>0</v>
          </cell>
        </row>
        <row r="21965">
          <cell r="E21965">
            <v>0</v>
          </cell>
          <cell r="F21965">
            <v>0</v>
          </cell>
          <cell r="DN21965">
            <v>0</v>
          </cell>
        </row>
        <row r="21966">
          <cell r="E21966">
            <v>0</v>
          </cell>
          <cell r="F21966">
            <v>0</v>
          </cell>
          <cell r="DN21966">
            <v>0</v>
          </cell>
        </row>
        <row r="21967">
          <cell r="E21967">
            <v>0</v>
          </cell>
          <cell r="F21967">
            <v>0</v>
          </cell>
          <cell r="DN21967">
            <v>0</v>
          </cell>
        </row>
        <row r="21968">
          <cell r="E21968">
            <v>0</v>
          </cell>
          <cell r="F21968">
            <v>0</v>
          </cell>
          <cell r="DN21968">
            <v>0</v>
          </cell>
        </row>
        <row r="21969">
          <cell r="E21969">
            <v>0</v>
          </cell>
          <cell r="F21969">
            <v>0</v>
          </cell>
          <cell r="DN21969">
            <v>0</v>
          </cell>
        </row>
        <row r="21970">
          <cell r="E21970">
            <v>0</v>
          </cell>
          <cell r="F21970">
            <v>0</v>
          </cell>
          <cell r="DN21970">
            <v>0</v>
          </cell>
        </row>
        <row r="21971">
          <cell r="E21971">
            <v>0</v>
          </cell>
          <cell r="F21971">
            <v>0</v>
          </cell>
          <cell r="DN21971">
            <v>0</v>
          </cell>
        </row>
        <row r="21972">
          <cell r="E21972">
            <v>0</v>
          </cell>
          <cell r="F21972">
            <v>0</v>
          </cell>
          <cell r="DN21972">
            <v>0</v>
          </cell>
        </row>
        <row r="21973">
          <cell r="E21973">
            <v>0</v>
          </cell>
          <cell r="F21973">
            <v>0</v>
          </cell>
          <cell r="DN21973">
            <v>0</v>
          </cell>
        </row>
        <row r="21974">
          <cell r="E21974">
            <v>0</v>
          </cell>
          <cell r="F21974">
            <v>0</v>
          </cell>
          <cell r="DN21974">
            <v>0</v>
          </cell>
        </row>
        <row r="21975">
          <cell r="E21975">
            <v>0</v>
          </cell>
          <cell r="F21975">
            <v>0</v>
          </cell>
          <cell r="DN21975">
            <v>0</v>
          </cell>
        </row>
        <row r="21976">
          <cell r="E21976">
            <v>0</v>
          </cell>
          <cell r="F21976">
            <v>0</v>
          </cell>
          <cell r="DN21976">
            <v>0</v>
          </cell>
        </row>
        <row r="21977">
          <cell r="E21977">
            <v>0</v>
          </cell>
          <cell r="F21977">
            <v>0</v>
          </cell>
          <cell r="DN21977">
            <v>0</v>
          </cell>
        </row>
        <row r="21978">
          <cell r="E21978">
            <v>0</v>
          </cell>
          <cell r="F21978">
            <v>0</v>
          </cell>
          <cell r="DN21978">
            <v>0</v>
          </cell>
        </row>
        <row r="21979">
          <cell r="E21979">
            <v>0</v>
          </cell>
          <cell r="F21979">
            <v>0</v>
          </cell>
          <cell r="DN21979">
            <v>0</v>
          </cell>
        </row>
        <row r="21980">
          <cell r="E21980">
            <v>0</v>
          </cell>
          <cell r="F21980">
            <v>0</v>
          </cell>
          <cell r="DN21980">
            <v>0</v>
          </cell>
        </row>
        <row r="21981">
          <cell r="E21981">
            <v>0</v>
          </cell>
          <cell r="F21981">
            <v>0</v>
          </cell>
          <cell r="DN21981">
            <v>0</v>
          </cell>
        </row>
        <row r="21982">
          <cell r="E21982">
            <v>0</v>
          </cell>
          <cell r="F21982">
            <v>0</v>
          </cell>
          <cell r="DN21982">
            <v>0</v>
          </cell>
        </row>
        <row r="21983">
          <cell r="E21983">
            <v>0</v>
          </cell>
          <cell r="F21983">
            <v>0</v>
          </cell>
          <cell r="DN21983">
            <v>0</v>
          </cell>
        </row>
        <row r="21984">
          <cell r="E21984">
            <v>0</v>
          </cell>
          <cell r="F21984">
            <v>0</v>
          </cell>
          <cell r="DN21984">
            <v>0</v>
          </cell>
        </row>
        <row r="21985">
          <cell r="E21985">
            <v>0</v>
          </cell>
          <cell r="F21985">
            <v>0</v>
          </cell>
          <cell r="DN21985">
            <v>0</v>
          </cell>
        </row>
        <row r="21986">
          <cell r="E21986">
            <v>0</v>
          </cell>
          <cell r="F21986">
            <v>0</v>
          </cell>
          <cell r="DN21986">
            <v>0</v>
          </cell>
        </row>
        <row r="21987">
          <cell r="E21987">
            <v>0</v>
          </cell>
          <cell r="F21987">
            <v>0</v>
          </cell>
          <cell r="DN21987">
            <v>0</v>
          </cell>
        </row>
        <row r="21988">
          <cell r="E21988">
            <v>0</v>
          </cell>
          <cell r="F21988">
            <v>0</v>
          </cell>
          <cell r="DN21988">
            <v>0</v>
          </cell>
        </row>
        <row r="21989">
          <cell r="E21989">
            <v>0</v>
          </cell>
          <cell r="F21989">
            <v>0</v>
          </cell>
          <cell r="DN21989">
            <v>0</v>
          </cell>
        </row>
        <row r="21990">
          <cell r="E21990">
            <v>0</v>
          </cell>
          <cell r="F21990">
            <v>0</v>
          </cell>
          <cell r="DN21990">
            <v>0</v>
          </cell>
        </row>
        <row r="21991">
          <cell r="E21991">
            <v>0</v>
          </cell>
          <cell r="F21991">
            <v>0</v>
          </cell>
          <cell r="DN21991">
            <v>0</v>
          </cell>
        </row>
        <row r="21992">
          <cell r="E21992">
            <v>0</v>
          </cell>
          <cell r="F21992">
            <v>0</v>
          </cell>
          <cell r="DN21992">
            <v>0</v>
          </cell>
        </row>
        <row r="21993">
          <cell r="E21993">
            <v>0</v>
          </cell>
          <cell r="F21993">
            <v>0</v>
          </cell>
          <cell r="DN21993">
            <v>0</v>
          </cell>
        </row>
        <row r="21994">
          <cell r="E21994">
            <v>0</v>
          </cell>
          <cell r="F21994">
            <v>0</v>
          </cell>
          <cell r="DN21994">
            <v>0</v>
          </cell>
        </row>
        <row r="21995">
          <cell r="E21995">
            <v>0</v>
          </cell>
          <cell r="F21995">
            <v>0</v>
          </cell>
          <cell r="DN21995">
            <v>0</v>
          </cell>
        </row>
        <row r="21996">
          <cell r="E21996">
            <v>0</v>
          </cell>
          <cell r="F21996">
            <v>0</v>
          </cell>
          <cell r="DN21996">
            <v>0</v>
          </cell>
        </row>
        <row r="21997">
          <cell r="E21997">
            <v>0</v>
          </cell>
          <cell r="F21997">
            <v>0</v>
          </cell>
          <cell r="DN21997">
            <v>0</v>
          </cell>
        </row>
        <row r="21998">
          <cell r="E21998">
            <v>0</v>
          </cell>
          <cell r="F21998">
            <v>0</v>
          </cell>
          <cell r="DN21998">
            <v>0</v>
          </cell>
        </row>
        <row r="21999">
          <cell r="E21999">
            <v>0</v>
          </cell>
          <cell r="F21999">
            <v>0</v>
          </cell>
          <cell r="DN21999">
            <v>0</v>
          </cell>
        </row>
        <row r="22000">
          <cell r="E22000">
            <v>0</v>
          </cell>
          <cell r="F22000">
            <v>0</v>
          </cell>
          <cell r="DN22000">
            <v>0</v>
          </cell>
        </row>
        <row r="22001">
          <cell r="E22001">
            <v>0</v>
          </cell>
          <cell r="F22001">
            <v>0</v>
          </cell>
          <cell r="DN22001">
            <v>0</v>
          </cell>
        </row>
        <row r="22002">
          <cell r="E22002">
            <v>0</v>
          </cell>
          <cell r="F22002">
            <v>0</v>
          </cell>
          <cell r="DN22002">
            <v>0</v>
          </cell>
        </row>
        <row r="22003">
          <cell r="E22003">
            <v>0</v>
          </cell>
          <cell r="F22003">
            <v>0</v>
          </cell>
          <cell r="DN22003">
            <v>0</v>
          </cell>
        </row>
        <row r="22004">
          <cell r="E22004">
            <v>0</v>
          </cell>
          <cell r="F22004">
            <v>0</v>
          </cell>
          <cell r="DN22004">
            <v>0</v>
          </cell>
        </row>
        <row r="22005">
          <cell r="E22005">
            <v>0</v>
          </cell>
          <cell r="F22005">
            <v>0</v>
          </cell>
          <cell r="DN22005">
            <v>0</v>
          </cell>
        </row>
        <row r="22006">
          <cell r="E22006">
            <v>0</v>
          </cell>
          <cell r="F22006">
            <v>0</v>
          </cell>
          <cell r="DN22006">
            <v>0</v>
          </cell>
        </row>
        <row r="22007">
          <cell r="E22007">
            <v>0</v>
          </cell>
          <cell r="F22007">
            <v>0</v>
          </cell>
          <cell r="DN22007">
            <v>0</v>
          </cell>
        </row>
        <row r="22008">
          <cell r="E22008">
            <v>0</v>
          </cell>
          <cell r="F22008">
            <v>0</v>
          </cell>
          <cell r="DN22008">
            <v>0</v>
          </cell>
        </row>
        <row r="22009">
          <cell r="E22009">
            <v>0</v>
          </cell>
          <cell r="F22009">
            <v>0</v>
          </cell>
          <cell r="DN22009">
            <v>0</v>
          </cell>
        </row>
        <row r="22010">
          <cell r="E22010">
            <v>0</v>
          </cell>
          <cell r="F22010">
            <v>0</v>
          </cell>
          <cell r="DN22010">
            <v>0</v>
          </cell>
        </row>
        <row r="22011">
          <cell r="E22011">
            <v>0</v>
          </cell>
          <cell r="F22011">
            <v>0</v>
          </cell>
          <cell r="DN22011">
            <v>0</v>
          </cell>
        </row>
        <row r="22012">
          <cell r="E22012">
            <v>0</v>
          </cell>
          <cell r="F22012">
            <v>0</v>
          </cell>
          <cell r="DN22012">
            <v>0</v>
          </cell>
        </row>
        <row r="22013">
          <cell r="E22013">
            <v>0</v>
          </cell>
          <cell r="F22013">
            <v>0</v>
          </cell>
          <cell r="DN22013">
            <v>0</v>
          </cell>
        </row>
        <row r="22014">
          <cell r="E22014">
            <v>0</v>
          </cell>
          <cell r="F22014">
            <v>0</v>
          </cell>
          <cell r="DN22014">
            <v>0</v>
          </cell>
        </row>
        <row r="22015">
          <cell r="E22015">
            <v>0</v>
          </cell>
          <cell r="F22015">
            <v>0</v>
          </cell>
          <cell r="DN22015">
            <v>0</v>
          </cell>
        </row>
        <row r="22016">
          <cell r="E22016">
            <v>0</v>
          </cell>
          <cell r="F22016">
            <v>0</v>
          </cell>
          <cell r="DN22016">
            <v>0</v>
          </cell>
        </row>
        <row r="22017">
          <cell r="E22017">
            <v>0</v>
          </cell>
          <cell r="F22017">
            <v>0</v>
          </cell>
          <cell r="DN22017">
            <v>0</v>
          </cell>
        </row>
        <row r="22018">
          <cell r="E22018">
            <v>0</v>
          </cell>
          <cell r="F22018">
            <v>0</v>
          </cell>
          <cell r="DN22018">
            <v>0</v>
          </cell>
        </row>
        <row r="22019">
          <cell r="E22019">
            <v>0</v>
          </cell>
          <cell r="F22019">
            <v>0</v>
          </cell>
          <cell r="DN22019">
            <v>0</v>
          </cell>
        </row>
        <row r="22020">
          <cell r="E22020">
            <v>0</v>
          </cell>
          <cell r="F22020">
            <v>0</v>
          </cell>
          <cell r="DN22020">
            <v>0</v>
          </cell>
        </row>
        <row r="22021">
          <cell r="E22021">
            <v>0</v>
          </cell>
          <cell r="F22021">
            <v>0</v>
          </cell>
          <cell r="DN22021">
            <v>0</v>
          </cell>
        </row>
        <row r="22022">
          <cell r="E22022">
            <v>0</v>
          </cell>
          <cell r="F22022">
            <v>0</v>
          </cell>
          <cell r="DN22022">
            <v>0</v>
          </cell>
        </row>
        <row r="22023">
          <cell r="E22023">
            <v>0</v>
          </cell>
          <cell r="F22023">
            <v>0</v>
          </cell>
          <cell r="DN22023">
            <v>0</v>
          </cell>
        </row>
        <row r="22024">
          <cell r="E22024">
            <v>0</v>
          </cell>
          <cell r="F22024">
            <v>0</v>
          </cell>
          <cell r="DN22024">
            <v>0</v>
          </cell>
        </row>
        <row r="22025">
          <cell r="E22025">
            <v>0</v>
          </cell>
          <cell r="F22025">
            <v>0</v>
          </cell>
          <cell r="DN22025">
            <v>0</v>
          </cell>
        </row>
        <row r="22026">
          <cell r="E22026">
            <v>0</v>
          </cell>
          <cell r="F22026">
            <v>0</v>
          </cell>
          <cell r="DN22026">
            <v>0</v>
          </cell>
        </row>
        <row r="22027">
          <cell r="E22027">
            <v>0</v>
          </cell>
          <cell r="F22027">
            <v>0</v>
          </cell>
          <cell r="DN22027">
            <v>0</v>
          </cell>
        </row>
        <row r="22028">
          <cell r="E22028">
            <v>0</v>
          </cell>
          <cell r="F22028">
            <v>0</v>
          </cell>
          <cell r="DN22028">
            <v>0</v>
          </cell>
        </row>
        <row r="22029">
          <cell r="E22029">
            <v>0</v>
          </cell>
          <cell r="F22029">
            <v>0</v>
          </cell>
          <cell r="DN22029">
            <v>0</v>
          </cell>
        </row>
        <row r="22030">
          <cell r="E22030">
            <v>0</v>
          </cell>
          <cell r="F22030">
            <v>0</v>
          </cell>
          <cell r="DN22030">
            <v>0</v>
          </cell>
        </row>
        <row r="22031">
          <cell r="E22031">
            <v>0</v>
          </cell>
          <cell r="F22031">
            <v>0</v>
          </cell>
          <cell r="DN22031">
            <v>0</v>
          </cell>
        </row>
        <row r="22032">
          <cell r="E22032">
            <v>0</v>
          </cell>
          <cell r="F22032">
            <v>0</v>
          </cell>
          <cell r="DN22032">
            <v>0</v>
          </cell>
        </row>
        <row r="22033">
          <cell r="E22033">
            <v>0</v>
          </cell>
          <cell r="F22033">
            <v>0</v>
          </cell>
          <cell r="DN22033">
            <v>0</v>
          </cell>
        </row>
        <row r="22034">
          <cell r="E22034">
            <v>0</v>
          </cell>
          <cell r="F22034">
            <v>0</v>
          </cell>
          <cell r="DN22034">
            <v>0</v>
          </cell>
        </row>
        <row r="22035">
          <cell r="E22035">
            <v>0</v>
          </cell>
          <cell r="F22035">
            <v>0</v>
          </cell>
          <cell r="DN22035">
            <v>0</v>
          </cell>
        </row>
        <row r="22036">
          <cell r="E22036">
            <v>0</v>
          </cell>
          <cell r="F22036">
            <v>0</v>
          </cell>
          <cell r="DN22036">
            <v>0</v>
          </cell>
        </row>
        <row r="22037">
          <cell r="E22037">
            <v>0</v>
          </cell>
          <cell r="F22037">
            <v>0</v>
          </cell>
          <cell r="DN22037">
            <v>0</v>
          </cell>
        </row>
        <row r="22038">
          <cell r="E22038">
            <v>0</v>
          </cell>
          <cell r="F22038">
            <v>0</v>
          </cell>
          <cell r="DN22038">
            <v>0</v>
          </cell>
        </row>
        <row r="22039">
          <cell r="E22039">
            <v>0</v>
          </cell>
          <cell r="F22039">
            <v>0</v>
          </cell>
          <cell r="DN22039">
            <v>0</v>
          </cell>
        </row>
        <row r="22040">
          <cell r="E22040">
            <v>0</v>
          </cell>
          <cell r="F22040">
            <v>0</v>
          </cell>
          <cell r="DN22040">
            <v>0</v>
          </cell>
        </row>
        <row r="22041">
          <cell r="E22041">
            <v>0</v>
          </cell>
          <cell r="F22041">
            <v>0</v>
          </cell>
          <cell r="DN22041">
            <v>0</v>
          </cell>
        </row>
        <row r="22042">
          <cell r="E22042">
            <v>0</v>
          </cell>
          <cell r="F22042">
            <v>0</v>
          </cell>
          <cell r="DN22042">
            <v>0</v>
          </cell>
        </row>
        <row r="22043">
          <cell r="E22043">
            <v>0</v>
          </cell>
          <cell r="F22043">
            <v>0</v>
          </cell>
          <cell r="DN22043">
            <v>0</v>
          </cell>
        </row>
        <row r="22044">
          <cell r="E22044">
            <v>0</v>
          </cell>
          <cell r="F22044">
            <v>0</v>
          </cell>
          <cell r="DN22044">
            <v>0</v>
          </cell>
        </row>
        <row r="22045">
          <cell r="E22045">
            <v>0</v>
          </cell>
          <cell r="F22045">
            <v>0</v>
          </cell>
          <cell r="DN22045">
            <v>0</v>
          </cell>
        </row>
        <row r="22046">
          <cell r="E22046">
            <v>0</v>
          </cell>
          <cell r="F22046">
            <v>0</v>
          </cell>
          <cell r="DN22046">
            <v>0</v>
          </cell>
        </row>
        <row r="22047">
          <cell r="E22047">
            <v>0</v>
          </cell>
          <cell r="F22047">
            <v>0</v>
          </cell>
          <cell r="DN22047">
            <v>0</v>
          </cell>
        </row>
        <row r="22048">
          <cell r="E22048">
            <v>0</v>
          </cell>
          <cell r="F22048">
            <v>0</v>
          </cell>
          <cell r="DN22048">
            <v>0</v>
          </cell>
        </row>
        <row r="22049">
          <cell r="E22049">
            <v>0</v>
          </cell>
          <cell r="F22049">
            <v>0</v>
          </cell>
          <cell r="DN22049">
            <v>0</v>
          </cell>
        </row>
        <row r="22050">
          <cell r="E22050">
            <v>0</v>
          </cell>
          <cell r="F22050">
            <v>0</v>
          </cell>
          <cell r="DN22050">
            <v>0</v>
          </cell>
        </row>
        <row r="22051">
          <cell r="E22051">
            <v>0</v>
          </cell>
          <cell r="F22051">
            <v>0</v>
          </cell>
          <cell r="DN22051">
            <v>0</v>
          </cell>
        </row>
        <row r="22052">
          <cell r="E22052">
            <v>0</v>
          </cell>
          <cell r="F22052">
            <v>0</v>
          </cell>
          <cell r="DN22052">
            <v>0</v>
          </cell>
        </row>
        <row r="22053">
          <cell r="E22053">
            <v>0</v>
          </cell>
          <cell r="F22053">
            <v>0</v>
          </cell>
          <cell r="DN22053">
            <v>0</v>
          </cell>
        </row>
        <row r="22054">
          <cell r="E22054">
            <v>0</v>
          </cell>
          <cell r="F22054">
            <v>0</v>
          </cell>
          <cell r="DN22054">
            <v>0</v>
          </cell>
        </row>
        <row r="22055">
          <cell r="E22055">
            <v>0</v>
          </cell>
          <cell r="F22055">
            <v>0</v>
          </cell>
          <cell r="DN22055">
            <v>0</v>
          </cell>
        </row>
        <row r="22056">
          <cell r="E22056">
            <v>0</v>
          </cell>
          <cell r="F22056">
            <v>0</v>
          </cell>
          <cell r="DN22056">
            <v>0</v>
          </cell>
        </row>
        <row r="22057">
          <cell r="E22057">
            <v>0</v>
          </cell>
          <cell r="F22057">
            <v>0</v>
          </cell>
          <cell r="DN22057">
            <v>0</v>
          </cell>
        </row>
        <row r="22058">
          <cell r="E22058">
            <v>0</v>
          </cell>
          <cell r="F22058">
            <v>0</v>
          </cell>
          <cell r="DN22058">
            <v>0</v>
          </cell>
        </row>
        <row r="22059">
          <cell r="E22059">
            <v>0</v>
          </cell>
          <cell r="F22059">
            <v>0</v>
          </cell>
          <cell r="DN22059">
            <v>0</v>
          </cell>
        </row>
        <row r="22060">
          <cell r="E22060">
            <v>0</v>
          </cell>
          <cell r="F22060">
            <v>0</v>
          </cell>
          <cell r="DN22060">
            <v>0</v>
          </cell>
        </row>
        <row r="22061">
          <cell r="E22061">
            <v>0</v>
          </cell>
          <cell r="F22061">
            <v>0</v>
          </cell>
          <cell r="DN22061">
            <v>0</v>
          </cell>
        </row>
        <row r="22062">
          <cell r="E22062">
            <v>0</v>
          </cell>
          <cell r="F22062">
            <v>0</v>
          </cell>
          <cell r="DN22062">
            <v>0</v>
          </cell>
        </row>
        <row r="22063">
          <cell r="E22063">
            <v>0</v>
          </cell>
          <cell r="F22063">
            <v>0</v>
          </cell>
          <cell r="DN22063">
            <v>0</v>
          </cell>
        </row>
        <row r="22064">
          <cell r="E22064">
            <v>0</v>
          </cell>
          <cell r="F22064">
            <v>0</v>
          </cell>
          <cell r="DN22064">
            <v>0</v>
          </cell>
        </row>
        <row r="22065">
          <cell r="E22065">
            <v>0</v>
          </cell>
          <cell r="F22065">
            <v>0</v>
          </cell>
          <cell r="DN22065">
            <v>0</v>
          </cell>
        </row>
        <row r="22066">
          <cell r="E22066">
            <v>0</v>
          </cell>
          <cell r="F22066">
            <v>0</v>
          </cell>
          <cell r="DN22066">
            <v>0</v>
          </cell>
        </row>
        <row r="22067">
          <cell r="E22067">
            <v>0</v>
          </cell>
          <cell r="F22067">
            <v>0</v>
          </cell>
          <cell r="DN22067">
            <v>0</v>
          </cell>
        </row>
        <row r="22068">
          <cell r="E22068">
            <v>0</v>
          </cell>
          <cell r="F22068">
            <v>0</v>
          </cell>
          <cell r="DN22068">
            <v>0</v>
          </cell>
        </row>
        <row r="22069">
          <cell r="E22069">
            <v>0</v>
          </cell>
          <cell r="F22069">
            <v>0</v>
          </cell>
          <cell r="DN22069">
            <v>0</v>
          </cell>
        </row>
        <row r="22070">
          <cell r="E22070">
            <v>0</v>
          </cell>
          <cell r="F22070">
            <v>0</v>
          </cell>
          <cell r="DN22070">
            <v>0</v>
          </cell>
        </row>
        <row r="22071">
          <cell r="E22071">
            <v>0</v>
          </cell>
          <cell r="F22071">
            <v>0</v>
          </cell>
          <cell r="DN22071">
            <v>0</v>
          </cell>
        </row>
        <row r="22072">
          <cell r="E22072">
            <v>0</v>
          </cell>
          <cell r="F22072">
            <v>0</v>
          </cell>
          <cell r="DN22072">
            <v>0</v>
          </cell>
        </row>
        <row r="22073">
          <cell r="E22073">
            <v>0</v>
          </cell>
          <cell r="F22073">
            <v>0</v>
          </cell>
          <cell r="DN22073">
            <v>0</v>
          </cell>
        </row>
        <row r="22074">
          <cell r="E22074">
            <v>0</v>
          </cell>
          <cell r="F22074">
            <v>0</v>
          </cell>
          <cell r="DN22074">
            <v>0</v>
          </cell>
        </row>
        <row r="22075">
          <cell r="E22075">
            <v>0</v>
          </cell>
          <cell r="F22075">
            <v>0</v>
          </cell>
          <cell r="DN22075">
            <v>0</v>
          </cell>
        </row>
        <row r="22076">
          <cell r="E22076">
            <v>0</v>
          </cell>
          <cell r="F22076">
            <v>0</v>
          </cell>
          <cell r="DN22076">
            <v>0</v>
          </cell>
        </row>
        <row r="22077">
          <cell r="E22077">
            <v>0</v>
          </cell>
          <cell r="F22077">
            <v>0</v>
          </cell>
          <cell r="DN22077">
            <v>0</v>
          </cell>
        </row>
        <row r="22078">
          <cell r="E22078">
            <v>0</v>
          </cell>
          <cell r="F22078">
            <v>0</v>
          </cell>
          <cell r="DN22078">
            <v>0</v>
          </cell>
        </row>
        <row r="22079">
          <cell r="E22079">
            <v>0</v>
          </cell>
          <cell r="F22079">
            <v>0</v>
          </cell>
          <cell r="DN22079">
            <v>0</v>
          </cell>
        </row>
        <row r="22080">
          <cell r="E22080">
            <v>0</v>
          </cell>
          <cell r="F22080">
            <v>0</v>
          </cell>
          <cell r="DN22080">
            <v>0</v>
          </cell>
        </row>
        <row r="22081">
          <cell r="E22081">
            <v>0</v>
          </cell>
          <cell r="F22081">
            <v>0</v>
          </cell>
          <cell r="DN22081">
            <v>0</v>
          </cell>
        </row>
        <row r="22082">
          <cell r="E22082">
            <v>0</v>
          </cell>
          <cell r="F22082">
            <v>0</v>
          </cell>
          <cell r="DN22082">
            <v>0</v>
          </cell>
        </row>
        <row r="22083">
          <cell r="E22083">
            <v>0</v>
          </cell>
          <cell r="F22083">
            <v>0</v>
          </cell>
          <cell r="DN22083">
            <v>0</v>
          </cell>
        </row>
        <row r="22084">
          <cell r="E22084">
            <v>0</v>
          </cell>
          <cell r="F22084">
            <v>0</v>
          </cell>
          <cell r="DN22084">
            <v>0</v>
          </cell>
        </row>
        <row r="22085">
          <cell r="E22085">
            <v>0</v>
          </cell>
          <cell r="F22085">
            <v>0</v>
          </cell>
          <cell r="DN22085">
            <v>0</v>
          </cell>
        </row>
        <row r="22086">
          <cell r="E22086">
            <v>0</v>
          </cell>
          <cell r="F22086">
            <v>0</v>
          </cell>
          <cell r="DN22086">
            <v>0</v>
          </cell>
        </row>
        <row r="22087">
          <cell r="E22087">
            <v>0</v>
          </cell>
          <cell r="F22087">
            <v>0</v>
          </cell>
          <cell r="DN22087">
            <v>0</v>
          </cell>
        </row>
        <row r="22088">
          <cell r="E22088">
            <v>0</v>
          </cell>
          <cell r="F22088">
            <v>0</v>
          </cell>
          <cell r="DN22088">
            <v>0</v>
          </cell>
        </row>
        <row r="22089">
          <cell r="E22089">
            <v>0</v>
          </cell>
          <cell r="F22089">
            <v>0</v>
          </cell>
          <cell r="DN22089">
            <v>0</v>
          </cell>
        </row>
        <row r="22090">
          <cell r="E22090">
            <v>0</v>
          </cell>
          <cell r="F22090">
            <v>0</v>
          </cell>
          <cell r="DN22090">
            <v>0</v>
          </cell>
        </row>
        <row r="22091">
          <cell r="E22091">
            <v>0</v>
          </cell>
          <cell r="F22091">
            <v>0</v>
          </cell>
          <cell r="DN22091">
            <v>0</v>
          </cell>
        </row>
        <row r="22092">
          <cell r="E22092">
            <v>0</v>
          </cell>
          <cell r="F22092">
            <v>0</v>
          </cell>
          <cell r="DN22092">
            <v>0</v>
          </cell>
        </row>
        <row r="22093">
          <cell r="E22093">
            <v>0</v>
          </cell>
          <cell r="F22093">
            <v>0</v>
          </cell>
          <cell r="DN22093">
            <v>0</v>
          </cell>
        </row>
        <row r="22094">
          <cell r="E22094">
            <v>0</v>
          </cell>
          <cell r="F22094">
            <v>0</v>
          </cell>
          <cell r="DN22094">
            <v>0</v>
          </cell>
        </row>
        <row r="22095">
          <cell r="E22095">
            <v>0</v>
          </cell>
          <cell r="F22095">
            <v>0</v>
          </cell>
          <cell r="DN22095">
            <v>0</v>
          </cell>
        </row>
        <row r="22096">
          <cell r="E22096">
            <v>0</v>
          </cell>
          <cell r="F22096">
            <v>0</v>
          </cell>
          <cell r="DN22096">
            <v>0</v>
          </cell>
        </row>
        <row r="22097">
          <cell r="E22097">
            <v>0</v>
          </cell>
          <cell r="F22097">
            <v>0</v>
          </cell>
          <cell r="DN22097">
            <v>0</v>
          </cell>
        </row>
        <row r="22098">
          <cell r="E22098">
            <v>0</v>
          </cell>
          <cell r="F22098">
            <v>0</v>
          </cell>
          <cell r="DN22098">
            <v>0</v>
          </cell>
        </row>
        <row r="22099">
          <cell r="E22099">
            <v>0</v>
          </cell>
          <cell r="F22099">
            <v>0</v>
          </cell>
          <cell r="DN22099">
            <v>0</v>
          </cell>
        </row>
        <row r="22100">
          <cell r="E22100">
            <v>0</v>
          </cell>
          <cell r="F22100">
            <v>0</v>
          </cell>
          <cell r="DN22100">
            <v>0</v>
          </cell>
        </row>
        <row r="22101">
          <cell r="E22101">
            <v>0</v>
          </cell>
          <cell r="F22101">
            <v>0</v>
          </cell>
          <cell r="DN22101">
            <v>0</v>
          </cell>
        </row>
        <row r="22102">
          <cell r="E22102">
            <v>0</v>
          </cell>
          <cell r="F22102">
            <v>0</v>
          </cell>
          <cell r="DN22102">
            <v>0</v>
          </cell>
        </row>
        <row r="22103">
          <cell r="E22103">
            <v>0</v>
          </cell>
          <cell r="F22103">
            <v>0</v>
          </cell>
          <cell r="DN22103">
            <v>0</v>
          </cell>
        </row>
        <row r="22104">
          <cell r="E22104">
            <v>0</v>
          </cell>
          <cell r="F22104">
            <v>0</v>
          </cell>
          <cell r="DN22104">
            <v>0</v>
          </cell>
        </row>
        <row r="22105">
          <cell r="E22105">
            <v>0</v>
          </cell>
          <cell r="F22105">
            <v>0</v>
          </cell>
          <cell r="DN22105">
            <v>0</v>
          </cell>
        </row>
        <row r="22106">
          <cell r="E22106">
            <v>0</v>
          </cell>
          <cell r="F22106">
            <v>0</v>
          </cell>
          <cell r="DN22106">
            <v>0</v>
          </cell>
        </row>
        <row r="22107">
          <cell r="E22107">
            <v>0</v>
          </cell>
          <cell r="F22107">
            <v>0</v>
          </cell>
          <cell r="DN22107">
            <v>0</v>
          </cell>
        </row>
        <row r="22108">
          <cell r="E22108">
            <v>0</v>
          </cell>
          <cell r="F22108">
            <v>0</v>
          </cell>
          <cell r="DN22108">
            <v>0</v>
          </cell>
        </row>
        <row r="22109">
          <cell r="E22109">
            <v>0</v>
          </cell>
          <cell r="F22109">
            <v>0</v>
          </cell>
          <cell r="DN22109">
            <v>0</v>
          </cell>
        </row>
        <row r="22110">
          <cell r="E22110">
            <v>0</v>
          </cell>
          <cell r="F22110">
            <v>0</v>
          </cell>
          <cell r="DN22110">
            <v>0</v>
          </cell>
        </row>
        <row r="22111">
          <cell r="E22111">
            <v>0</v>
          </cell>
          <cell r="F22111">
            <v>0</v>
          </cell>
          <cell r="DN22111">
            <v>0</v>
          </cell>
        </row>
        <row r="22112">
          <cell r="E22112">
            <v>0</v>
          </cell>
          <cell r="F22112">
            <v>0</v>
          </cell>
          <cell r="DN22112">
            <v>0</v>
          </cell>
        </row>
        <row r="22113">
          <cell r="E22113">
            <v>0</v>
          </cell>
          <cell r="F22113">
            <v>0</v>
          </cell>
          <cell r="DN22113">
            <v>0</v>
          </cell>
        </row>
        <row r="22114">
          <cell r="E22114">
            <v>0</v>
          </cell>
          <cell r="F22114">
            <v>0</v>
          </cell>
          <cell r="DN22114">
            <v>0</v>
          </cell>
        </row>
        <row r="22115">
          <cell r="E22115">
            <v>0</v>
          </cell>
          <cell r="F22115">
            <v>0</v>
          </cell>
          <cell r="DN22115">
            <v>0</v>
          </cell>
        </row>
        <row r="22116">
          <cell r="E22116">
            <v>0</v>
          </cell>
          <cell r="F22116">
            <v>0</v>
          </cell>
          <cell r="DN22116">
            <v>0</v>
          </cell>
        </row>
        <row r="22117">
          <cell r="E22117">
            <v>0</v>
          </cell>
          <cell r="F22117">
            <v>0</v>
          </cell>
          <cell r="DN22117">
            <v>0</v>
          </cell>
        </row>
        <row r="22118">
          <cell r="E22118">
            <v>0</v>
          </cell>
          <cell r="F22118">
            <v>0</v>
          </cell>
          <cell r="DN22118">
            <v>0</v>
          </cell>
        </row>
        <row r="22119">
          <cell r="E22119">
            <v>0</v>
          </cell>
          <cell r="F22119">
            <v>0</v>
          </cell>
          <cell r="DN22119">
            <v>0</v>
          </cell>
        </row>
        <row r="22120">
          <cell r="E22120">
            <v>0</v>
          </cell>
          <cell r="F22120">
            <v>0</v>
          </cell>
          <cell r="DN22120">
            <v>0</v>
          </cell>
        </row>
        <row r="22121">
          <cell r="E22121">
            <v>0</v>
          </cell>
          <cell r="F22121">
            <v>0</v>
          </cell>
          <cell r="DN22121">
            <v>0</v>
          </cell>
        </row>
        <row r="22122">
          <cell r="E22122">
            <v>0</v>
          </cell>
          <cell r="F22122">
            <v>0</v>
          </cell>
          <cell r="DN22122">
            <v>0</v>
          </cell>
        </row>
        <row r="22123">
          <cell r="E22123">
            <v>0</v>
          </cell>
          <cell r="F22123">
            <v>0</v>
          </cell>
          <cell r="DN22123">
            <v>0</v>
          </cell>
        </row>
        <row r="22124">
          <cell r="E22124">
            <v>0</v>
          </cell>
          <cell r="F22124">
            <v>0</v>
          </cell>
          <cell r="DN22124">
            <v>0</v>
          </cell>
        </row>
        <row r="22125">
          <cell r="E22125">
            <v>0</v>
          </cell>
          <cell r="F22125">
            <v>0</v>
          </cell>
          <cell r="DN22125">
            <v>0</v>
          </cell>
        </row>
        <row r="22126">
          <cell r="E22126">
            <v>0</v>
          </cell>
          <cell r="F22126">
            <v>0</v>
          </cell>
          <cell r="DN22126">
            <v>0</v>
          </cell>
        </row>
        <row r="22127">
          <cell r="E22127">
            <v>0</v>
          </cell>
          <cell r="F22127">
            <v>0</v>
          </cell>
          <cell r="DN22127">
            <v>0</v>
          </cell>
        </row>
        <row r="22128">
          <cell r="E22128">
            <v>0</v>
          </cell>
          <cell r="F22128">
            <v>0</v>
          </cell>
          <cell r="DN22128">
            <v>0</v>
          </cell>
        </row>
        <row r="22129">
          <cell r="E22129">
            <v>0</v>
          </cell>
          <cell r="F22129">
            <v>0</v>
          </cell>
          <cell r="DN22129">
            <v>0</v>
          </cell>
        </row>
        <row r="22130">
          <cell r="E22130">
            <v>0</v>
          </cell>
          <cell r="F22130">
            <v>0</v>
          </cell>
          <cell r="DN22130">
            <v>0</v>
          </cell>
        </row>
        <row r="22131">
          <cell r="E22131">
            <v>0</v>
          </cell>
          <cell r="F22131">
            <v>0</v>
          </cell>
          <cell r="DN22131">
            <v>0</v>
          </cell>
        </row>
        <row r="22132">
          <cell r="E22132">
            <v>0</v>
          </cell>
          <cell r="F22132">
            <v>0</v>
          </cell>
          <cell r="DN22132">
            <v>0</v>
          </cell>
        </row>
        <row r="22133">
          <cell r="E22133">
            <v>0</v>
          </cell>
          <cell r="F22133">
            <v>0</v>
          </cell>
          <cell r="DN22133">
            <v>0</v>
          </cell>
        </row>
        <row r="22134">
          <cell r="E22134">
            <v>0</v>
          </cell>
          <cell r="F22134">
            <v>0</v>
          </cell>
          <cell r="DN22134">
            <v>0</v>
          </cell>
        </row>
        <row r="22135">
          <cell r="E22135">
            <v>0</v>
          </cell>
          <cell r="F22135">
            <v>0</v>
          </cell>
          <cell r="DN22135">
            <v>0</v>
          </cell>
        </row>
        <row r="22136">
          <cell r="E22136">
            <v>0</v>
          </cell>
          <cell r="F22136">
            <v>0</v>
          </cell>
          <cell r="DN22136">
            <v>0</v>
          </cell>
        </row>
        <row r="22137">
          <cell r="E22137">
            <v>0</v>
          </cell>
          <cell r="F22137">
            <v>0</v>
          </cell>
          <cell r="DN22137">
            <v>0</v>
          </cell>
        </row>
        <row r="22138">
          <cell r="E22138">
            <v>0</v>
          </cell>
          <cell r="F22138">
            <v>0</v>
          </cell>
          <cell r="DN22138">
            <v>0</v>
          </cell>
        </row>
        <row r="22139">
          <cell r="E22139">
            <v>0</v>
          </cell>
          <cell r="F22139">
            <v>0</v>
          </cell>
          <cell r="DN22139">
            <v>0</v>
          </cell>
        </row>
        <row r="22140">
          <cell r="E22140">
            <v>0</v>
          </cell>
          <cell r="F22140">
            <v>0</v>
          </cell>
          <cell r="DN22140">
            <v>0</v>
          </cell>
        </row>
        <row r="22141">
          <cell r="E22141">
            <v>0</v>
          </cell>
          <cell r="F22141">
            <v>0</v>
          </cell>
          <cell r="DN22141">
            <v>0</v>
          </cell>
        </row>
        <row r="22142">
          <cell r="E22142">
            <v>0</v>
          </cell>
          <cell r="F22142">
            <v>0</v>
          </cell>
          <cell r="DN22142">
            <v>0</v>
          </cell>
        </row>
        <row r="22143">
          <cell r="E22143">
            <v>0</v>
          </cell>
          <cell r="F22143">
            <v>0</v>
          </cell>
          <cell r="DN22143">
            <v>0</v>
          </cell>
        </row>
        <row r="22144">
          <cell r="E22144">
            <v>0</v>
          </cell>
          <cell r="F22144">
            <v>0</v>
          </cell>
          <cell r="DN22144">
            <v>0</v>
          </cell>
        </row>
        <row r="22145">
          <cell r="E22145">
            <v>0</v>
          </cell>
          <cell r="F22145">
            <v>0</v>
          </cell>
          <cell r="DN22145">
            <v>0</v>
          </cell>
        </row>
        <row r="22146">
          <cell r="E22146">
            <v>0</v>
          </cell>
          <cell r="F22146">
            <v>0</v>
          </cell>
          <cell r="DN22146">
            <v>0</v>
          </cell>
        </row>
        <row r="22147">
          <cell r="E22147">
            <v>0</v>
          </cell>
          <cell r="F22147">
            <v>0</v>
          </cell>
          <cell r="DN22147">
            <v>0</v>
          </cell>
        </row>
        <row r="22148">
          <cell r="E22148">
            <v>0</v>
          </cell>
          <cell r="F22148">
            <v>0</v>
          </cell>
          <cell r="DN22148">
            <v>0</v>
          </cell>
        </row>
        <row r="22149">
          <cell r="E22149">
            <v>0</v>
          </cell>
          <cell r="F22149">
            <v>0</v>
          </cell>
          <cell r="DN22149">
            <v>0</v>
          </cell>
        </row>
        <row r="22150">
          <cell r="E22150">
            <v>0</v>
          </cell>
          <cell r="F22150">
            <v>0</v>
          </cell>
          <cell r="DN22150">
            <v>0</v>
          </cell>
        </row>
        <row r="22151">
          <cell r="E22151">
            <v>0</v>
          </cell>
          <cell r="F22151">
            <v>0</v>
          </cell>
          <cell r="DN22151">
            <v>0</v>
          </cell>
        </row>
        <row r="22152">
          <cell r="E22152">
            <v>0</v>
          </cell>
          <cell r="F22152">
            <v>0</v>
          </cell>
          <cell r="DN22152">
            <v>0</v>
          </cell>
        </row>
        <row r="22153">
          <cell r="E22153">
            <v>0</v>
          </cell>
          <cell r="F22153">
            <v>0</v>
          </cell>
          <cell r="DN22153">
            <v>0</v>
          </cell>
        </row>
        <row r="22154">
          <cell r="E22154">
            <v>0</v>
          </cell>
          <cell r="F22154">
            <v>0</v>
          </cell>
          <cell r="DN22154">
            <v>0</v>
          </cell>
        </row>
        <row r="22155">
          <cell r="E22155">
            <v>0</v>
          </cell>
          <cell r="F22155">
            <v>0</v>
          </cell>
          <cell r="DN22155">
            <v>0</v>
          </cell>
        </row>
        <row r="22156">
          <cell r="E22156">
            <v>0</v>
          </cell>
          <cell r="F22156">
            <v>0</v>
          </cell>
          <cell r="DN22156">
            <v>0</v>
          </cell>
        </row>
        <row r="22157">
          <cell r="E22157">
            <v>0</v>
          </cell>
          <cell r="F22157">
            <v>0</v>
          </cell>
          <cell r="DN22157">
            <v>0</v>
          </cell>
        </row>
        <row r="22158">
          <cell r="E22158">
            <v>0</v>
          </cell>
          <cell r="F22158">
            <v>0</v>
          </cell>
          <cell r="DN22158">
            <v>0</v>
          </cell>
        </row>
        <row r="22159">
          <cell r="E22159">
            <v>0</v>
          </cell>
          <cell r="F22159">
            <v>0</v>
          </cell>
          <cell r="DN22159">
            <v>0</v>
          </cell>
        </row>
        <row r="22160">
          <cell r="E22160">
            <v>0</v>
          </cell>
          <cell r="F22160">
            <v>0</v>
          </cell>
          <cell r="DN22160">
            <v>0</v>
          </cell>
        </row>
        <row r="22161">
          <cell r="E22161">
            <v>0</v>
          </cell>
          <cell r="F22161">
            <v>0</v>
          </cell>
          <cell r="DN22161">
            <v>0</v>
          </cell>
        </row>
        <row r="22162">
          <cell r="E22162">
            <v>0</v>
          </cell>
          <cell r="F22162">
            <v>0</v>
          </cell>
          <cell r="DN22162">
            <v>0</v>
          </cell>
        </row>
        <row r="22163">
          <cell r="E22163">
            <v>0</v>
          </cell>
          <cell r="F22163">
            <v>0</v>
          </cell>
          <cell r="DN22163">
            <v>0</v>
          </cell>
        </row>
        <row r="22164">
          <cell r="E22164">
            <v>0</v>
          </cell>
          <cell r="F22164">
            <v>0</v>
          </cell>
          <cell r="DN22164">
            <v>0</v>
          </cell>
        </row>
        <row r="22165">
          <cell r="E22165">
            <v>0</v>
          </cell>
          <cell r="F22165">
            <v>0</v>
          </cell>
          <cell r="DN22165">
            <v>0</v>
          </cell>
        </row>
        <row r="22166">
          <cell r="E22166">
            <v>0</v>
          </cell>
          <cell r="F22166">
            <v>0</v>
          </cell>
          <cell r="DN22166">
            <v>0</v>
          </cell>
        </row>
        <row r="22167">
          <cell r="E22167">
            <v>0</v>
          </cell>
          <cell r="F22167">
            <v>0</v>
          </cell>
          <cell r="DN22167">
            <v>0</v>
          </cell>
        </row>
        <row r="22168">
          <cell r="E22168">
            <v>0</v>
          </cell>
          <cell r="F22168">
            <v>0</v>
          </cell>
          <cell r="DN22168">
            <v>0</v>
          </cell>
        </row>
        <row r="22169">
          <cell r="E22169">
            <v>0</v>
          </cell>
          <cell r="F22169">
            <v>0</v>
          </cell>
          <cell r="DN22169">
            <v>0</v>
          </cell>
        </row>
        <row r="22170">
          <cell r="E22170">
            <v>0</v>
          </cell>
          <cell r="F22170">
            <v>0</v>
          </cell>
          <cell r="DN22170">
            <v>0</v>
          </cell>
        </row>
        <row r="22171">
          <cell r="E22171">
            <v>0</v>
          </cell>
          <cell r="F22171">
            <v>0</v>
          </cell>
          <cell r="DN22171">
            <v>0</v>
          </cell>
        </row>
        <row r="22172">
          <cell r="E22172">
            <v>0</v>
          </cell>
          <cell r="F22172">
            <v>0</v>
          </cell>
          <cell r="DN22172">
            <v>0</v>
          </cell>
        </row>
        <row r="22173">
          <cell r="E22173">
            <v>0</v>
          </cell>
          <cell r="F22173">
            <v>0</v>
          </cell>
          <cell r="DN22173">
            <v>0</v>
          </cell>
        </row>
        <row r="22174">
          <cell r="E22174">
            <v>0</v>
          </cell>
          <cell r="F22174">
            <v>0</v>
          </cell>
          <cell r="DN22174">
            <v>0</v>
          </cell>
        </row>
        <row r="22175">
          <cell r="E22175">
            <v>0</v>
          </cell>
          <cell r="F22175">
            <v>0</v>
          </cell>
          <cell r="DN22175">
            <v>0</v>
          </cell>
        </row>
        <row r="22176">
          <cell r="E22176">
            <v>0</v>
          </cell>
          <cell r="F22176">
            <v>0</v>
          </cell>
          <cell r="DN22176">
            <v>0</v>
          </cell>
        </row>
        <row r="22177">
          <cell r="E22177">
            <v>0</v>
          </cell>
          <cell r="F22177">
            <v>0</v>
          </cell>
          <cell r="DN22177">
            <v>0</v>
          </cell>
        </row>
        <row r="22178">
          <cell r="E22178">
            <v>0</v>
          </cell>
          <cell r="F22178">
            <v>0</v>
          </cell>
          <cell r="DN22178">
            <v>0</v>
          </cell>
        </row>
        <row r="22179">
          <cell r="E22179">
            <v>0</v>
          </cell>
          <cell r="F22179">
            <v>0</v>
          </cell>
          <cell r="DN22179">
            <v>0</v>
          </cell>
        </row>
        <row r="22180">
          <cell r="E22180">
            <v>0</v>
          </cell>
          <cell r="F22180">
            <v>0</v>
          </cell>
          <cell r="DN22180">
            <v>0</v>
          </cell>
        </row>
        <row r="22181">
          <cell r="E22181">
            <v>0</v>
          </cell>
          <cell r="F22181">
            <v>0</v>
          </cell>
          <cell r="DN22181">
            <v>0</v>
          </cell>
        </row>
        <row r="22182">
          <cell r="E22182">
            <v>0</v>
          </cell>
          <cell r="F22182">
            <v>0</v>
          </cell>
          <cell r="DN22182">
            <v>0</v>
          </cell>
        </row>
        <row r="22183">
          <cell r="E22183">
            <v>0</v>
          </cell>
          <cell r="F22183">
            <v>0</v>
          </cell>
          <cell r="DN22183">
            <v>0</v>
          </cell>
        </row>
        <row r="22184">
          <cell r="E22184">
            <v>0</v>
          </cell>
          <cell r="F22184">
            <v>0</v>
          </cell>
          <cell r="DN22184">
            <v>0</v>
          </cell>
        </row>
        <row r="22185">
          <cell r="E22185">
            <v>0</v>
          </cell>
          <cell r="F22185">
            <v>0</v>
          </cell>
          <cell r="DN22185">
            <v>0</v>
          </cell>
        </row>
        <row r="22186">
          <cell r="E22186">
            <v>0</v>
          </cell>
          <cell r="F22186">
            <v>0</v>
          </cell>
          <cell r="DN22186">
            <v>0</v>
          </cell>
        </row>
        <row r="22187">
          <cell r="E22187">
            <v>0</v>
          </cell>
          <cell r="F22187">
            <v>0</v>
          </cell>
          <cell r="DN22187">
            <v>0</v>
          </cell>
        </row>
        <row r="22188">
          <cell r="E22188">
            <v>0</v>
          </cell>
          <cell r="F22188">
            <v>0</v>
          </cell>
          <cell r="DN22188">
            <v>0</v>
          </cell>
        </row>
        <row r="22189">
          <cell r="E22189">
            <v>0</v>
          </cell>
          <cell r="F22189">
            <v>0</v>
          </cell>
          <cell r="DN22189">
            <v>0</v>
          </cell>
        </row>
        <row r="22190">
          <cell r="E22190">
            <v>0</v>
          </cell>
          <cell r="F22190">
            <v>0</v>
          </cell>
          <cell r="DN22190">
            <v>0</v>
          </cell>
        </row>
        <row r="22191">
          <cell r="E22191">
            <v>0</v>
          </cell>
          <cell r="F22191">
            <v>0</v>
          </cell>
          <cell r="DN22191">
            <v>0</v>
          </cell>
        </row>
        <row r="22192">
          <cell r="E22192">
            <v>0</v>
          </cell>
          <cell r="F22192">
            <v>0</v>
          </cell>
          <cell r="DN22192">
            <v>0</v>
          </cell>
        </row>
        <row r="22193">
          <cell r="E22193">
            <v>0</v>
          </cell>
          <cell r="F22193">
            <v>0</v>
          </cell>
          <cell r="DN22193">
            <v>0</v>
          </cell>
        </row>
        <row r="22194">
          <cell r="E22194">
            <v>0</v>
          </cell>
          <cell r="F22194">
            <v>0</v>
          </cell>
          <cell r="DN22194">
            <v>0</v>
          </cell>
        </row>
        <row r="22195">
          <cell r="E22195">
            <v>0</v>
          </cell>
          <cell r="F22195">
            <v>0</v>
          </cell>
          <cell r="DN22195">
            <v>0</v>
          </cell>
        </row>
        <row r="22196">
          <cell r="E22196">
            <v>0</v>
          </cell>
          <cell r="F22196">
            <v>0</v>
          </cell>
          <cell r="DN22196">
            <v>0</v>
          </cell>
        </row>
        <row r="22197">
          <cell r="E22197">
            <v>0</v>
          </cell>
          <cell r="F22197">
            <v>0</v>
          </cell>
          <cell r="DN22197">
            <v>0</v>
          </cell>
        </row>
        <row r="22198">
          <cell r="E22198">
            <v>0</v>
          </cell>
          <cell r="F22198">
            <v>0</v>
          </cell>
          <cell r="DN22198">
            <v>0</v>
          </cell>
        </row>
        <row r="22199">
          <cell r="E22199">
            <v>0</v>
          </cell>
          <cell r="F22199">
            <v>0</v>
          </cell>
          <cell r="DN22199">
            <v>0</v>
          </cell>
        </row>
        <row r="22200">
          <cell r="E22200">
            <v>0</v>
          </cell>
          <cell r="F22200">
            <v>0</v>
          </cell>
          <cell r="DN22200">
            <v>0</v>
          </cell>
        </row>
        <row r="22201">
          <cell r="E22201">
            <v>0</v>
          </cell>
          <cell r="F22201">
            <v>0</v>
          </cell>
          <cell r="DN22201">
            <v>0</v>
          </cell>
        </row>
        <row r="22202">
          <cell r="E22202">
            <v>0</v>
          </cell>
          <cell r="F22202">
            <v>0</v>
          </cell>
          <cell r="DN22202">
            <v>0</v>
          </cell>
        </row>
        <row r="22203">
          <cell r="E22203">
            <v>0</v>
          </cell>
          <cell r="F22203">
            <v>0</v>
          </cell>
          <cell r="DN22203">
            <v>0</v>
          </cell>
        </row>
        <row r="22204">
          <cell r="E22204">
            <v>0</v>
          </cell>
          <cell r="F22204">
            <v>0</v>
          </cell>
          <cell r="DN22204">
            <v>0</v>
          </cell>
        </row>
        <row r="22205">
          <cell r="E22205">
            <v>0</v>
          </cell>
          <cell r="F22205">
            <v>0</v>
          </cell>
          <cell r="DN22205">
            <v>0</v>
          </cell>
        </row>
        <row r="22206">
          <cell r="E22206">
            <v>0</v>
          </cell>
          <cell r="F22206">
            <v>0</v>
          </cell>
          <cell r="DN22206">
            <v>0</v>
          </cell>
        </row>
        <row r="22207">
          <cell r="E22207">
            <v>0</v>
          </cell>
          <cell r="F22207">
            <v>0</v>
          </cell>
          <cell r="DN22207">
            <v>0</v>
          </cell>
        </row>
        <row r="22208">
          <cell r="E22208">
            <v>0</v>
          </cell>
          <cell r="F22208">
            <v>0</v>
          </cell>
          <cell r="DN22208">
            <v>0</v>
          </cell>
        </row>
        <row r="22209">
          <cell r="E22209">
            <v>0</v>
          </cell>
          <cell r="F22209">
            <v>0</v>
          </cell>
          <cell r="DN22209">
            <v>0</v>
          </cell>
        </row>
        <row r="22210">
          <cell r="E22210">
            <v>0</v>
          </cell>
          <cell r="F22210">
            <v>0</v>
          </cell>
          <cell r="DN22210">
            <v>0</v>
          </cell>
        </row>
        <row r="22211">
          <cell r="E22211">
            <v>0</v>
          </cell>
          <cell r="F22211">
            <v>0</v>
          </cell>
          <cell r="DN22211">
            <v>0</v>
          </cell>
        </row>
        <row r="22212">
          <cell r="E22212">
            <v>0</v>
          </cell>
          <cell r="F22212">
            <v>0</v>
          </cell>
          <cell r="DN22212">
            <v>0</v>
          </cell>
        </row>
        <row r="22213">
          <cell r="E22213">
            <v>0</v>
          </cell>
          <cell r="F22213">
            <v>0</v>
          </cell>
          <cell r="DN22213">
            <v>0</v>
          </cell>
        </row>
        <row r="22214">
          <cell r="E22214">
            <v>0</v>
          </cell>
          <cell r="F22214">
            <v>0</v>
          </cell>
          <cell r="DN22214">
            <v>0</v>
          </cell>
        </row>
        <row r="22215">
          <cell r="E22215">
            <v>0</v>
          </cell>
          <cell r="F22215">
            <v>0</v>
          </cell>
          <cell r="DN22215">
            <v>0</v>
          </cell>
        </row>
        <row r="22216">
          <cell r="E22216">
            <v>0</v>
          </cell>
          <cell r="F22216">
            <v>0</v>
          </cell>
          <cell r="DN22216">
            <v>0</v>
          </cell>
        </row>
        <row r="22217">
          <cell r="E22217">
            <v>0</v>
          </cell>
          <cell r="F22217">
            <v>0</v>
          </cell>
          <cell r="DN22217">
            <v>0</v>
          </cell>
        </row>
        <row r="22218">
          <cell r="E22218">
            <v>0</v>
          </cell>
          <cell r="F22218">
            <v>0</v>
          </cell>
          <cell r="DN22218">
            <v>0</v>
          </cell>
        </row>
        <row r="22219">
          <cell r="E22219">
            <v>0</v>
          </cell>
          <cell r="F22219">
            <v>0</v>
          </cell>
          <cell r="DN22219">
            <v>0</v>
          </cell>
        </row>
        <row r="22220">
          <cell r="E22220">
            <v>0</v>
          </cell>
          <cell r="F22220">
            <v>0</v>
          </cell>
          <cell r="DN22220">
            <v>0</v>
          </cell>
        </row>
        <row r="22221">
          <cell r="E22221">
            <v>0</v>
          </cell>
          <cell r="F22221">
            <v>0</v>
          </cell>
          <cell r="DN22221">
            <v>0</v>
          </cell>
        </row>
        <row r="22222">
          <cell r="E22222">
            <v>0</v>
          </cell>
          <cell r="F22222">
            <v>0</v>
          </cell>
          <cell r="DN22222">
            <v>0</v>
          </cell>
        </row>
        <row r="22223">
          <cell r="E22223">
            <v>0</v>
          </cell>
          <cell r="F22223">
            <v>0</v>
          </cell>
          <cell r="DN22223">
            <v>0</v>
          </cell>
        </row>
        <row r="22224">
          <cell r="E22224">
            <v>0</v>
          </cell>
          <cell r="F22224">
            <v>0</v>
          </cell>
          <cell r="DN22224">
            <v>0</v>
          </cell>
        </row>
        <row r="22225">
          <cell r="E22225">
            <v>0</v>
          </cell>
          <cell r="F22225">
            <v>0</v>
          </cell>
          <cell r="DN22225">
            <v>0</v>
          </cell>
        </row>
        <row r="22226">
          <cell r="E22226">
            <v>0</v>
          </cell>
          <cell r="F22226">
            <v>0</v>
          </cell>
          <cell r="DN22226">
            <v>0</v>
          </cell>
        </row>
        <row r="22227">
          <cell r="E22227">
            <v>0</v>
          </cell>
          <cell r="F22227">
            <v>0</v>
          </cell>
          <cell r="DN22227">
            <v>0</v>
          </cell>
        </row>
        <row r="22228">
          <cell r="E22228">
            <v>0</v>
          </cell>
          <cell r="F22228">
            <v>0</v>
          </cell>
          <cell r="DN22228">
            <v>0</v>
          </cell>
        </row>
        <row r="22229">
          <cell r="E22229">
            <v>0</v>
          </cell>
          <cell r="F22229">
            <v>0</v>
          </cell>
          <cell r="DN22229">
            <v>0</v>
          </cell>
        </row>
        <row r="22230">
          <cell r="E22230">
            <v>0</v>
          </cell>
          <cell r="F22230">
            <v>0</v>
          </cell>
          <cell r="DN22230">
            <v>0</v>
          </cell>
        </row>
        <row r="22231">
          <cell r="E22231">
            <v>0</v>
          </cell>
          <cell r="F22231">
            <v>0</v>
          </cell>
          <cell r="DN22231">
            <v>0</v>
          </cell>
        </row>
        <row r="22232">
          <cell r="E22232">
            <v>0</v>
          </cell>
          <cell r="F22232">
            <v>0</v>
          </cell>
          <cell r="DN22232">
            <v>0</v>
          </cell>
        </row>
        <row r="22233">
          <cell r="E22233">
            <v>0</v>
          </cell>
          <cell r="F22233">
            <v>0</v>
          </cell>
          <cell r="DN22233">
            <v>0</v>
          </cell>
        </row>
        <row r="22234">
          <cell r="E22234">
            <v>0</v>
          </cell>
          <cell r="F22234">
            <v>0</v>
          </cell>
          <cell r="DN22234">
            <v>0</v>
          </cell>
        </row>
        <row r="22235">
          <cell r="E22235">
            <v>0</v>
          </cell>
          <cell r="F22235">
            <v>0</v>
          </cell>
          <cell r="DN22235">
            <v>0</v>
          </cell>
        </row>
        <row r="22236">
          <cell r="E22236">
            <v>0</v>
          </cell>
          <cell r="F22236">
            <v>0</v>
          </cell>
          <cell r="DN22236">
            <v>0</v>
          </cell>
        </row>
        <row r="22237">
          <cell r="E22237">
            <v>0</v>
          </cell>
          <cell r="F22237">
            <v>0</v>
          </cell>
          <cell r="DN22237">
            <v>0</v>
          </cell>
        </row>
        <row r="22238">
          <cell r="E22238">
            <v>0</v>
          </cell>
          <cell r="F22238">
            <v>0</v>
          </cell>
          <cell r="DN22238">
            <v>0</v>
          </cell>
        </row>
        <row r="22239">
          <cell r="E22239">
            <v>0</v>
          </cell>
          <cell r="F22239">
            <v>0</v>
          </cell>
          <cell r="DN22239">
            <v>0</v>
          </cell>
        </row>
        <row r="22240">
          <cell r="E22240">
            <v>0</v>
          </cell>
          <cell r="F22240">
            <v>0</v>
          </cell>
          <cell r="DN22240">
            <v>0</v>
          </cell>
        </row>
        <row r="22241">
          <cell r="E22241">
            <v>0</v>
          </cell>
          <cell r="F22241">
            <v>0</v>
          </cell>
          <cell r="DN22241">
            <v>0</v>
          </cell>
        </row>
        <row r="22242">
          <cell r="E22242">
            <v>0</v>
          </cell>
          <cell r="F22242">
            <v>0</v>
          </cell>
          <cell r="DN22242">
            <v>0</v>
          </cell>
        </row>
        <row r="22243">
          <cell r="E22243">
            <v>0</v>
          </cell>
          <cell r="F22243">
            <v>0</v>
          </cell>
          <cell r="DN22243">
            <v>0</v>
          </cell>
        </row>
        <row r="22244">
          <cell r="E22244">
            <v>0</v>
          </cell>
          <cell r="F22244">
            <v>0</v>
          </cell>
          <cell r="DN22244">
            <v>0</v>
          </cell>
        </row>
        <row r="22245">
          <cell r="E22245">
            <v>0</v>
          </cell>
          <cell r="F22245">
            <v>0</v>
          </cell>
          <cell r="DN22245">
            <v>0</v>
          </cell>
        </row>
        <row r="22246">
          <cell r="E22246">
            <v>0</v>
          </cell>
          <cell r="F22246">
            <v>0</v>
          </cell>
          <cell r="DN22246">
            <v>0</v>
          </cell>
        </row>
        <row r="22247">
          <cell r="E22247">
            <v>0</v>
          </cell>
          <cell r="F22247">
            <v>0</v>
          </cell>
          <cell r="DN22247">
            <v>0</v>
          </cell>
        </row>
        <row r="22248">
          <cell r="E22248">
            <v>0</v>
          </cell>
          <cell r="F22248">
            <v>0</v>
          </cell>
          <cell r="DN22248">
            <v>0</v>
          </cell>
        </row>
        <row r="22249">
          <cell r="E22249">
            <v>0</v>
          </cell>
          <cell r="F22249">
            <v>0</v>
          </cell>
          <cell r="DN22249">
            <v>0</v>
          </cell>
        </row>
        <row r="22250">
          <cell r="E22250">
            <v>0</v>
          </cell>
          <cell r="F22250">
            <v>0</v>
          </cell>
          <cell r="DN22250">
            <v>0</v>
          </cell>
        </row>
        <row r="22251">
          <cell r="E22251">
            <v>0</v>
          </cell>
          <cell r="F22251">
            <v>0</v>
          </cell>
          <cell r="DN22251">
            <v>0</v>
          </cell>
        </row>
        <row r="22252">
          <cell r="E22252">
            <v>0</v>
          </cell>
          <cell r="F22252">
            <v>0</v>
          </cell>
          <cell r="DN22252">
            <v>0</v>
          </cell>
        </row>
        <row r="22253">
          <cell r="E22253">
            <v>0</v>
          </cell>
          <cell r="F22253">
            <v>0</v>
          </cell>
          <cell r="DN22253">
            <v>0</v>
          </cell>
        </row>
        <row r="22254">
          <cell r="E22254">
            <v>0</v>
          </cell>
          <cell r="F22254">
            <v>0</v>
          </cell>
          <cell r="DN22254">
            <v>0</v>
          </cell>
        </row>
        <row r="22255">
          <cell r="E22255">
            <v>0</v>
          </cell>
          <cell r="F22255">
            <v>0</v>
          </cell>
          <cell r="DN22255">
            <v>0</v>
          </cell>
        </row>
        <row r="22256">
          <cell r="E22256">
            <v>0</v>
          </cell>
          <cell r="F22256">
            <v>0</v>
          </cell>
          <cell r="DN22256">
            <v>0</v>
          </cell>
        </row>
        <row r="22257">
          <cell r="E22257">
            <v>0</v>
          </cell>
          <cell r="F22257">
            <v>0</v>
          </cell>
          <cell r="DN22257">
            <v>0</v>
          </cell>
        </row>
        <row r="22258">
          <cell r="E22258">
            <v>0</v>
          </cell>
          <cell r="F22258">
            <v>0</v>
          </cell>
          <cell r="DN22258">
            <v>0</v>
          </cell>
        </row>
        <row r="22259">
          <cell r="E22259">
            <v>0</v>
          </cell>
          <cell r="F22259">
            <v>0</v>
          </cell>
          <cell r="DN22259">
            <v>0</v>
          </cell>
        </row>
        <row r="22260">
          <cell r="E22260">
            <v>0</v>
          </cell>
          <cell r="F22260">
            <v>0</v>
          </cell>
          <cell r="DN22260">
            <v>0</v>
          </cell>
        </row>
        <row r="22261">
          <cell r="E22261">
            <v>0</v>
          </cell>
          <cell r="F22261">
            <v>0</v>
          </cell>
          <cell r="DN22261">
            <v>0</v>
          </cell>
        </row>
        <row r="22262">
          <cell r="E22262">
            <v>0</v>
          </cell>
          <cell r="F22262">
            <v>0</v>
          </cell>
          <cell r="DN22262">
            <v>0</v>
          </cell>
        </row>
        <row r="22263">
          <cell r="E22263">
            <v>0</v>
          </cell>
          <cell r="F22263">
            <v>0</v>
          </cell>
          <cell r="DN22263">
            <v>0</v>
          </cell>
        </row>
        <row r="22264">
          <cell r="E22264">
            <v>0</v>
          </cell>
          <cell r="F22264">
            <v>0</v>
          </cell>
          <cell r="DN22264">
            <v>0</v>
          </cell>
        </row>
        <row r="22265">
          <cell r="E22265">
            <v>0</v>
          </cell>
          <cell r="F22265">
            <v>0</v>
          </cell>
          <cell r="DN22265">
            <v>0</v>
          </cell>
        </row>
        <row r="22266">
          <cell r="E22266">
            <v>0</v>
          </cell>
          <cell r="F22266">
            <v>0</v>
          </cell>
          <cell r="DN22266">
            <v>0</v>
          </cell>
        </row>
        <row r="22267">
          <cell r="E22267">
            <v>0</v>
          </cell>
          <cell r="F22267">
            <v>0</v>
          </cell>
          <cell r="DN22267">
            <v>0</v>
          </cell>
        </row>
        <row r="22268">
          <cell r="E22268">
            <v>0</v>
          </cell>
          <cell r="F22268">
            <v>0</v>
          </cell>
          <cell r="DN22268">
            <v>0</v>
          </cell>
        </row>
        <row r="22269">
          <cell r="E22269">
            <v>0</v>
          </cell>
          <cell r="F22269">
            <v>0</v>
          </cell>
          <cell r="DN22269">
            <v>0</v>
          </cell>
        </row>
        <row r="22270">
          <cell r="E22270">
            <v>0</v>
          </cell>
          <cell r="F22270">
            <v>0</v>
          </cell>
          <cell r="DN22270">
            <v>0</v>
          </cell>
        </row>
        <row r="22271">
          <cell r="E22271">
            <v>0</v>
          </cell>
          <cell r="F22271">
            <v>0</v>
          </cell>
          <cell r="DN22271">
            <v>0</v>
          </cell>
        </row>
        <row r="22272">
          <cell r="E22272">
            <v>0</v>
          </cell>
          <cell r="F22272">
            <v>0</v>
          </cell>
          <cell r="DN22272">
            <v>0</v>
          </cell>
        </row>
        <row r="22273">
          <cell r="E22273">
            <v>0</v>
          </cell>
          <cell r="F22273">
            <v>0</v>
          </cell>
          <cell r="DN22273">
            <v>0</v>
          </cell>
        </row>
        <row r="22274">
          <cell r="E22274">
            <v>0</v>
          </cell>
          <cell r="F22274">
            <v>0</v>
          </cell>
          <cell r="DN22274">
            <v>0</v>
          </cell>
        </row>
        <row r="22275">
          <cell r="E22275">
            <v>0</v>
          </cell>
          <cell r="F22275">
            <v>0</v>
          </cell>
          <cell r="DN22275">
            <v>0</v>
          </cell>
        </row>
        <row r="22276">
          <cell r="E22276">
            <v>0</v>
          </cell>
          <cell r="F22276">
            <v>0</v>
          </cell>
          <cell r="DN22276">
            <v>0</v>
          </cell>
        </row>
        <row r="22277">
          <cell r="E22277">
            <v>0</v>
          </cell>
          <cell r="F22277">
            <v>0</v>
          </cell>
          <cell r="DN22277">
            <v>0</v>
          </cell>
        </row>
        <row r="22278">
          <cell r="E22278">
            <v>0</v>
          </cell>
          <cell r="F22278">
            <v>0</v>
          </cell>
          <cell r="DN22278">
            <v>0</v>
          </cell>
        </row>
        <row r="22279">
          <cell r="E22279">
            <v>0</v>
          </cell>
          <cell r="F22279">
            <v>0</v>
          </cell>
          <cell r="DN22279">
            <v>0</v>
          </cell>
        </row>
        <row r="22280">
          <cell r="E22280">
            <v>0</v>
          </cell>
          <cell r="F22280">
            <v>0</v>
          </cell>
          <cell r="DN22280">
            <v>0</v>
          </cell>
        </row>
        <row r="22281">
          <cell r="E22281">
            <v>0</v>
          </cell>
          <cell r="F22281">
            <v>0</v>
          </cell>
          <cell r="DN22281">
            <v>0</v>
          </cell>
        </row>
        <row r="22282">
          <cell r="E22282">
            <v>0</v>
          </cell>
          <cell r="F22282">
            <v>0</v>
          </cell>
          <cell r="DN22282">
            <v>0</v>
          </cell>
        </row>
        <row r="22283">
          <cell r="E22283">
            <v>0</v>
          </cell>
          <cell r="F22283">
            <v>0</v>
          </cell>
          <cell r="DN22283">
            <v>0</v>
          </cell>
        </row>
        <row r="22284">
          <cell r="E22284">
            <v>0</v>
          </cell>
          <cell r="F22284">
            <v>0</v>
          </cell>
          <cell r="DN22284">
            <v>0</v>
          </cell>
        </row>
        <row r="22285">
          <cell r="E22285">
            <v>0</v>
          </cell>
          <cell r="F22285">
            <v>0</v>
          </cell>
          <cell r="DN22285">
            <v>0</v>
          </cell>
        </row>
        <row r="22286">
          <cell r="E22286">
            <v>0</v>
          </cell>
          <cell r="F22286">
            <v>0</v>
          </cell>
          <cell r="DN22286">
            <v>0</v>
          </cell>
        </row>
        <row r="22287">
          <cell r="E22287">
            <v>0</v>
          </cell>
          <cell r="F22287">
            <v>0</v>
          </cell>
          <cell r="DN22287">
            <v>0</v>
          </cell>
        </row>
        <row r="22288">
          <cell r="E22288">
            <v>0</v>
          </cell>
          <cell r="F22288">
            <v>0</v>
          </cell>
          <cell r="DN22288">
            <v>0</v>
          </cell>
        </row>
        <row r="22289">
          <cell r="E22289">
            <v>0</v>
          </cell>
          <cell r="F22289">
            <v>0</v>
          </cell>
          <cell r="DN22289">
            <v>0</v>
          </cell>
        </row>
        <row r="22290">
          <cell r="E22290">
            <v>0</v>
          </cell>
          <cell r="F22290">
            <v>0</v>
          </cell>
          <cell r="DN22290">
            <v>0</v>
          </cell>
        </row>
        <row r="22291">
          <cell r="E22291">
            <v>0</v>
          </cell>
          <cell r="F22291">
            <v>0</v>
          </cell>
          <cell r="DN22291">
            <v>0</v>
          </cell>
        </row>
        <row r="22292">
          <cell r="E22292">
            <v>0</v>
          </cell>
          <cell r="F22292">
            <v>0</v>
          </cell>
          <cell r="DN22292">
            <v>0</v>
          </cell>
        </row>
        <row r="22293">
          <cell r="E22293">
            <v>0</v>
          </cell>
          <cell r="F22293">
            <v>0</v>
          </cell>
          <cell r="DN22293">
            <v>0</v>
          </cell>
        </row>
        <row r="22294">
          <cell r="E22294">
            <v>0</v>
          </cell>
          <cell r="F22294">
            <v>0</v>
          </cell>
          <cell r="DN22294">
            <v>0</v>
          </cell>
        </row>
        <row r="22295">
          <cell r="E22295">
            <v>0</v>
          </cell>
          <cell r="F22295">
            <v>0</v>
          </cell>
          <cell r="DN22295">
            <v>0</v>
          </cell>
        </row>
        <row r="22296">
          <cell r="E22296">
            <v>0</v>
          </cell>
          <cell r="F22296">
            <v>0</v>
          </cell>
          <cell r="DN22296">
            <v>0</v>
          </cell>
        </row>
        <row r="22297">
          <cell r="E22297">
            <v>0</v>
          </cell>
          <cell r="F22297">
            <v>0</v>
          </cell>
          <cell r="DN22297">
            <v>0</v>
          </cell>
        </row>
        <row r="22298">
          <cell r="E22298">
            <v>0</v>
          </cell>
          <cell r="F22298">
            <v>0</v>
          </cell>
          <cell r="DN22298">
            <v>0</v>
          </cell>
        </row>
        <row r="22299">
          <cell r="E22299">
            <v>0</v>
          </cell>
          <cell r="F22299">
            <v>0</v>
          </cell>
          <cell r="DN22299">
            <v>0</v>
          </cell>
        </row>
        <row r="22300">
          <cell r="E22300">
            <v>0</v>
          </cell>
          <cell r="F22300">
            <v>0</v>
          </cell>
          <cell r="DN22300">
            <v>0</v>
          </cell>
        </row>
        <row r="22301">
          <cell r="E22301">
            <v>0</v>
          </cell>
          <cell r="F22301">
            <v>0</v>
          </cell>
          <cell r="DN22301">
            <v>0</v>
          </cell>
        </row>
        <row r="22302">
          <cell r="E22302">
            <v>0</v>
          </cell>
          <cell r="F22302">
            <v>0</v>
          </cell>
          <cell r="DN22302">
            <v>0</v>
          </cell>
        </row>
        <row r="22303">
          <cell r="E22303">
            <v>0</v>
          </cell>
          <cell r="F22303">
            <v>0</v>
          </cell>
          <cell r="DN22303">
            <v>0</v>
          </cell>
        </row>
        <row r="22304">
          <cell r="E22304">
            <v>0</v>
          </cell>
          <cell r="F22304">
            <v>0</v>
          </cell>
          <cell r="DN22304">
            <v>0</v>
          </cell>
        </row>
        <row r="22305">
          <cell r="E22305">
            <v>0</v>
          </cell>
          <cell r="F22305">
            <v>0</v>
          </cell>
          <cell r="DN22305">
            <v>0</v>
          </cell>
        </row>
        <row r="22306">
          <cell r="E22306">
            <v>0</v>
          </cell>
          <cell r="F22306">
            <v>0</v>
          </cell>
          <cell r="DN22306">
            <v>0</v>
          </cell>
        </row>
        <row r="22307">
          <cell r="E22307">
            <v>0</v>
          </cell>
          <cell r="F22307">
            <v>0</v>
          </cell>
          <cell r="DN22307">
            <v>0</v>
          </cell>
        </row>
        <row r="22308">
          <cell r="E22308">
            <v>0</v>
          </cell>
          <cell r="F22308">
            <v>0</v>
          </cell>
          <cell r="DN22308">
            <v>0</v>
          </cell>
        </row>
        <row r="22309">
          <cell r="E22309">
            <v>0</v>
          </cell>
          <cell r="F22309">
            <v>0</v>
          </cell>
          <cell r="DN22309">
            <v>0</v>
          </cell>
        </row>
        <row r="22310">
          <cell r="E22310">
            <v>0</v>
          </cell>
          <cell r="F22310">
            <v>0</v>
          </cell>
          <cell r="DN22310">
            <v>0</v>
          </cell>
        </row>
        <row r="22311">
          <cell r="E22311">
            <v>0</v>
          </cell>
          <cell r="F22311">
            <v>0</v>
          </cell>
          <cell r="DN22311">
            <v>0</v>
          </cell>
        </row>
        <row r="22312">
          <cell r="E22312">
            <v>0</v>
          </cell>
          <cell r="F22312">
            <v>0</v>
          </cell>
          <cell r="DN22312">
            <v>0</v>
          </cell>
        </row>
        <row r="22313">
          <cell r="E22313">
            <v>0</v>
          </cell>
          <cell r="F22313">
            <v>0</v>
          </cell>
          <cell r="DN22313">
            <v>0</v>
          </cell>
        </row>
        <row r="22314">
          <cell r="E22314">
            <v>0</v>
          </cell>
          <cell r="F22314">
            <v>0</v>
          </cell>
          <cell r="DN22314">
            <v>0</v>
          </cell>
        </row>
        <row r="22315">
          <cell r="E22315">
            <v>0</v>
          </cell>
          <cell r="F22315">
            <v>0</v>
          </cell>
          <cell r="DN22315">
            <v>0</v>
          </cell>
        </row>
        <row r="22316">
          <cell r="E22316">
            <v>0</v>
          </cell>
          <cell r="F22316">
            <v>0</v>
          </cell>
          <cell r="DN22316">
            <v>0</v>
          </cell>
        </row>
        <row r="22317">
          <cell r="E22317">
            <v>0</v>
          </cell>
          <cell r="F22317">
            <v>0</v>
          </cell>
          <cell r="DN22317">
            <v>0</v>
          </cell>
        </row>
        <row r="22318">
          <cell r="E22318">
            <v>0</v>
          </cell>
          <cell r="F22318">
            <v>0</v>
          </cell>
          <cell r="DN22318">
            <v>0</v>
          </cell>
        </row>
        <row r="22319">
          <cell r="E22319">
            <v>0</v>
          </cell>
          <cell r="F22319">
            <v>0</v>
          </cell>
          <cell r="DN22319">
            <v>0</v>
          </cell>
        </row>
        <row r="22320">
          <cell r="E22320">
            <v>0</v>
          </cell>
          <cell r="F22320">
            <v>0</v>
          </cell>
          <cell r="DN22320">
            <v>0</v>
          </cell>
        </row>
        <row r="22321">
          <cell r="E22321">
            <v>0</v>
          </cell>
          <cell r="F22321">
            <v>0</v>
          </cell>
          <cell r="DN22321">
            <v>0</v>
          </cell>
        </row>
        <row r="22322">
          <cell r="E22322">
            <v>0</v>
          </cell>
          <cell r="F22322">
            <v>0</v>
          </cell>
          <cell r="DN22322">
            <v>0</v>
          </cell>
        </row>
        <row r="22323">
          <cell r="E22323">
            <v>0</v>
          </cell>
          <cell r="F22323">
            <v>0</v>
          </cell>
          <cell r="DN22323">
            <v>0</v>
          </cell>
        </row>
        <row r="22324">
          <cell r="E22324">
            <v>0</v>
          </cell>
          <cell r="F22324">
            <v>0</v>
          </cell>
          <cell r="DN22324">
            <v>0</v>
          </cell>
        </row>
        <row r="22325">
          <cell r="E22325">
            <v>0</v>
          </cell>
          <cell r="F22325">
            <v>0</v>
          </cell>
          <cell r="DN22325">
            <v>0</v>
          </cell>
        </row>
        <row r="22326">
          <cell r="E22326">
            <v>0</v>
          </cell>
          <cell r="F22326">
            <v>0</v>
          </cell>
          <cell r="DN22326">
            <v>0</v>
          </cell>
        </row>
        <row r="22327">
          <cell r="E22327">
            <v>0</v>
          </cell>
          <cell r="F22327">
            <v>0</v>
          </cell>
          <cell r="DN22327">
            <v>0</v>
          </cell>
        </row>
        <row r="22328">
          <cell r="E22328">
            <v>0</v>
          </cell>
          <cell r="F22328">
            <v>0</v>
          </cell>
          <cell r="DN22328">
            <v>0</v>
          </cell>
        </row>
        <row r="22329">
          <cell r="E22329">
            <v>0</v>
          </cell>
          <cell r="F22329">
            <v>0</v>
          </cell>
          <cell r="DN22329">
            <v>0</v>
          </cell>
        </row>
        <row r="22330">
          <cell r="E22330">
            <v>0</v>
          </cell>
          <cell r="F22330">
            <v>0</v>
          </cell>
          <cell r="DN22330">
            <v>0</v>
          </cell>
        </row>
        <row r="22331">
          <cell r="E22331">
            <v>0</v>
          </cell>
          <cell r="F22331">
            <v>0</v>
          </cell>
          <cell r="DN22331">
            <v>0</v>
          </cell>
        </row>
        <row r="22332">
          <cell r="E22332">
            <v>0</v>
          </cell>
          <cell r="F22332">
            <v>0</v>
          </cell>
          <cell r="DN22332">
            <v>0</v>
          </cell>
        </row>
        <row r="22333">
          <cell r="E22333">
            <v>0</v>
          </cell>
          <cell r="F22333">
            <v>0</v>
          </cell>
          <cell r="DN22333">
            <v>0</v>
          </cell>
        </row>
        <row r="22334">
          <cell r="E22334">
            <v>0</v>
          </cell>
          <cell r="F22334">
            <v>0</v>
          </cell>
          <cell r="DN22334">
            <v>0</v>
          </cell>
        </row>
        <row r="22335">
          <cell r="E22335">
            <v>0</v>
          </cell>
          <cell r="F22335">
            <v>0</v>
          </cell>
          <cell r="DN22335">
            <v>0</v>
          </cell>
        </row>
        <row r="22336">
          <cell r="E22336">
            <v>0</v>
          </cell>
          <cell r="F22336">
            <v>0</v>
          </cell>
          <cell r="DN22336">
            <v>0</v>
          </cell>
        </row>
        <row r="22337">
          <cell r="E22337">
            <v>0</v>
          </cell>
          <cell r="F22337">
            <v>0</v>
          </cell>
          <cell r="DN22337">
            <v>0</v>
          </cell>
        </row>
        <row r="22338">
          <cell r="E22338">
            <v>0</v>
          </cell>
          <cell r="F22338">
            <v>0</v>
          </cell>
          <cell r="DN22338">
            <v>0</v>
          </cell>
        </row>
        <row r="22339">
          <cell r="E22339">
            <v>0</v>
          </cell>
          <cell r="F22339">
            <v>0</v>
          </cell>
          <cell r="DN22339">
            <v>0</v>
          </cell>
        </row>
        <row r="22340">
          <cell r="E22340">
            <v>0</v>
          </cell>
          <cell r="F22340">
            <v>0</v>
          </cell>
          <cell r="DN22340">
            <v>0</v>
          </cell>
        </row>
        <row r="22341">
          <cell r="E22341">
            <v>0</v>
          </cell>
          <cell r="F22341">
            <v>0</v>
          </cell>
          <cell r="DN22341">
            <v>0</v>
          </cell>
        </row>
        <row r="22342">
          <cell r="E22342">
            <v>0</v>
          </cell>
          <cell r="F22342">
            <v>0</v>
          </cell>
          <cell r="DN22342">
            <v>0</v>
          </cell>
        </row>
        <row r="22343">
          <cell r="E22343">
            <v>0</v>
          </cell>
          <cell r="F22343">
            <v>0</v>
          </cell>
          <cell r="DN22343">
            <v>0</v>
          </cell>
        </row>
        <row r="22344">
          <cell r="E22344">
            <v>0</v>
          </cell>
          <cell r="F22344">
            <v>0</v>
          </cell>
          <cell r="DN22344">
            <v>0</v>
          </cell>
        </row>
        <row r="22345">
          <cell r="E22345">
            <v>0</v>
          </cell>
          <cell r="F22345">
            <v>0</v>
          </cell>
          <cell r="DN22345">
            <v>0</v>
          </cell>
        </row>
        <row r="22346">
          <cell r="E22346">
            <v>0</v>
          </cell>
          <cell r="F22346">
            <v>0</v>
          </cell>
          <cell r="DN22346">
            <v>0</v>
          </cell>
        </row>
        <row r="22347">
          <cell r="E22347">
            <v>0</v>
          </cell>
          <cell r="F22347">
            <v>0</v>
          </cell>
          <cell r="DN22347">
            <v>0</v>
          </cell>
        </row>
        <row r="22348">
          <cell r="E22348">
            <v>0</v>
          </cell>
          <cell r="F22348">
            <v>0</v>
          </cell>
          <cell r="DN22348">
            <v>0</v>
          </cell>
        </row>
        <row r="22349">
          <cell r="E22349">
            <v>0</v>
          </cell>
          <cell r="F22349">
            <v>0</v>
          </cell>
          <cell r="DN22349">
            <v>0</v>
          </cell>
        </row>
        <row r="22350">
          <cell r="E22350">
            <v>0</v>
          </cell>
          <cell r="F22350">
            <v>0</v>
          </cell>
          <cell r="DN22350">
            <v>0</v>
          </cell>
        </row>
        <row r="22351">
          <cell r="E22351">
            <v>0</v>
          </cell>
          <cell r="F22351">
            <v>0</v>
          </cell>
          <cell r="DN22351">
            <v>0</v>
          </cell>
        </row>
        <row r="22352">
          <cell r="E22352">
            <v>0</v>
          </cell>
          <cell r="F22352">
            <v>0</v>
          </cell>
          <cell r="DN22352">
            <v>0</v>
          </cell>
        </row>
        <row r="22353">
          <cell r="E22353">
            <v>0</v>
          </cell>
          <cell r="F22353">
            <v>0</v>
          </cell>
          <cell r="DN22353">
            <v>0</v>
          </cell>
        </row>
        <row r="22354">
          <cell r="E22354">
            <v>0</v>
          </cell>
          <cell r="F22354">
            <v>0</v>
          </cell>
          <cell r="DN22354">
            <v>0</v>
          </cell>
        </row>
        <row r="22355">
          <cell r="E22355">
            <v>0</v>
          </cell>
          <cell r="F22355">
            <v>0</v>
          </cell>
          <cell r="DN22355">
            <v>0</v>
          </cell>
        </row>
        <row r="22356">
          <cell r="E22356">
            <v>0</v>
          </cell>
          <cell r="F22356">
            <v>0</v>
          </cell>
          <cell r="DN22356">
            <v>0</v>
          </cell>
        </row>
        <row r="22357">
          <cell r="E22357">
            <v>0</v>
          </cell>
          <cell r="F22357">
            <v>0</v>
          </cell>
          <cell r="DN22357">
            <v>0</v>
          </cell>
        </row>
        <row r="22358">
          <cell r="E22358">
            <v>0</v>
          </cell>
          <cell r="F22358">
            <v>0</v>
          </cell>
          <cell r="DN22358">
            <v>0</v>
          </cell>
        </row>
        <row r="22359">
          <cell r="E22359">
            <v>0</v>
          </cell>
          <cell r="F22359">
            <v>0</v>
          </cell>
          <cell r="DN22359">
            <v>0</v>
          </cell>
        </row>
        <row r="22360">
          <cell r="E22360">
            <v>0</v>
          </cell>
          <cell r="F22360">
            <v>0</v>
          </cell>
          <cell r="DN22360">
            <v>0</v>
          </cell>
        </row>
        <row r="22361">
          <cell r="E22361">
            <v>0</v>
          </cell>
          <cell r="F22361">
            <v>0</v>
          </cell>
          <cell r="DN22361">
            <v>0</v>
          </cell>
        </row>
        <row r="22362">
          <cell r="E22362">
            <v>0</v>
          </cell>
          <cell r="F22362">
            <v>0</v>
          </cell>
          <cell r="DN22362">
            <v>0</v>
          </cell>
        </row>
        <row r="22363">
          <cell r="E22363">
            <v>0</v>
          </cell>
          <cell r="F22363">
            <v>0</v>
          </cell>
          <cell r="DN22363">
            <v>0</v>
          </cell>
        </row>
        <row r="22364">
          <cell r="E22364">
            <v>0</v>
          </cell>
          <cell r="F22364">
            <v>0</v>
          </cell>
          <cell r="DN22364">
            <v>0</v>
          </cell>
        </row>
        <row r="22365">
          <cell r="E22365">
            <v>0</v>
          </cell>
          <cell r="F22365">
            <v>0</v>
          </cell>
          <cell r="DN22365">
            <v>0</v>
          </cell>
        </row>
        <row r="22366">
          <cell r="E22366">
            <v>0</v>
          </cell>
          <cell r="F22366">
            <v>0</v>
          </cell>
          <cell r="DN22366">
            <v>0</v>
          </cell>
        </row>
        <row r="22367">
          <cell r="E22367">
            <v>0</v>
          </cell>
          <cell r="F22367">
            <v>0</v>
          </cell>
          <cell r="DN22367">
            <v>0</v>
          </cell>
        </row>
        <row r="22368">
          <cell r="E22368">
            <v>0</v>
          </cell>
          <cell r="F22368">
            <v>0</v>
          </cell>
          <cell r="DN22368">
            <v>0</v>
          </cell>
        </row>
        <row r="22369">
          <cell r="E22369">
            <v>0</v>
          </cell>
          <cell r="F22369">
            <v>0</v>
          </cell>
          <cell r="DN22369">
            <v>0</v>
          </cell>
        </row>
        <row r="22370">
          <cell r="E22370">
            <v>0</v>
          </cell>
          <cell r="F22370">
            <v>0</v>
          </cell>
          <cell r="DN22370">
            <v>0</v>
          </cell>
        </row>
        <row r="22371">
          <cell r="E22371">
            <v>0</v>
          </cell>
          <cell r="F22371">
            <v>0</v>
          </cell>
          <cell r="DN22371">
            <v>0</v>
          </cell>
        </row>
        <row r="22372">
          <cell r="E22372">
            <v>0</v>
          </cell>
          <cell r="F22372">
            <v>0</v>
          </cell>
          <cell r="DN22372">
            <v>0</v>
          </cell>
        </row>
        <row r="22373">
          <cell r="E22373">
            <v>0</v>
          </cell>
          <cell r="F22373">
            <v>0</v>
          </cell>
          <cell r="DN22373">
            <v>0</v>
          </cell>
        </row>
        <row r="22374">
          <cell r="E22374">
            <v>0</v>
          </cell>
          <cell r="F22374">
            <v>0</v>
          </cell>
          <cell r="DN22374">
            <v>0</v>
          </cell>
        </row>
        <row r="22375">
          <cell r="E22375">
            <v>0</v>
          </cell>
          <cell r="F22375">
            <v>0</v>
          </cell>
          <cell r="DN22375">
            <v>0</v>
          </cell>
        </row>
        <row r="22376">
          <cell r="E22376">
            <v>0</v>
          </cell>
          <cell r="F22376">
            <v>0</v>
          </cell>
          <cell r="DN22376">
            <v>0</v>
          </cell>
        </row>
        <row r="22377">
          <cell r="E22377">
            <v>0</v>
          </cell>
          <cell r="F22377">
            <v>0</v>
          </cell>
          <cell r="DN22377">
            <v>0</v>
          </cell>
        </row>
        <row r="22378">
          <cell r="E22378">
            <v>0</v>
          </cell>
          <cell r="F22378">
            <v>0</v>
          </cell>
          <cell r="DN22378">
            <v>0</v>
          </cell>
        </row>
        <row r="22379">
          <cell r="E22379">
            <v>0</v>
          </cell>
          <cell r="F22379">
            <v>0</v>
          </cell>
          <cell r="DN22379">
            <v>0</v>
          </cell>
        </row>
        <row r="22380">
          <cell r="E22380">
            <v>0</v>
          </cell>
          <cell r="F22380">
            <v>0</v>
          </cell>
          <cell r="DN22380">
            <v>0</v>
          </cell>
        </row>
        <row r="22381">
          <cell r="E22381">
            <v>0</v>
          </cell>
          <cell r="F22381">
            <v>0</v>
          </cell>
          <cell r="DN22381">
            <v>0</v>
          </cell>
        </row>
        <row r="22382">
          <cell r="E22382">
            <v>0</v>
          </cell>
          <cell r="F22382">
            <v>0</v>
          </cell>
          <cell r="DN22382">
            <v>0</v>
          </cell>
        </row>
        <row r="22383">
          <cell r="E22383">
            <v>0</v>
          </cell>
          <cell r="F22383">
            <v>0</v>
          </cell>
          <cell r="DN22383">
            <v>0</v>
          </cell>
        </row>
        <row r="22384">
          <cell r="E22384">
            <v>0</v>
          </cell>
          <cell r="F22384">
            <v>0</v>
          </cell>
          <cell r="DN22384">
            <v>0</v>
          </cell>
        </row>
        <row r="22385">
          <cell r="E22385">
            <v>0</v>
          </cell>
          <cell r="F22385">
            <v>0</v>
          </cell>
          <cell r="DN22385">
            <v>0</v>
          </cell>
        </row>
        <row r="22386">
          <cell r="E22386">
            <v>0</v>
          </cell>
          <cell r="F22386">
            <v>0</v>
          </cell>
          <cell r="DN22386">
            <v>0</v>
          </cell>
        </row>
        <row r="22387">
          <cell r="E22387">
            <v>0</v>
          </cell>
          <cell r="F22387">
            <v>0</v>
          </cell>
          <cell r="DN22387">
            <v>0</v>
          </cell>
        </row>
        <row r="22388">
          <cell r="E22388">
            <v>0</v>
          </cell>
          <cell r="F22388">
            <v>0</v>
          </cell>
          <cell r="DN22388">
            <v>0</v>
          </cell>
        </row>
        <row r="22389">
          <cell r="E22389">
            <v>0</v>
          </cell>
          <cell r="F22389">
            <v>0</v>
          </cell>
          <cell r="DN22389">
            <v>0</v>
          </cell>
        </row>
        <row r="22390">
          <cell r="E22390">
            <v>0</v>
          </cell>
          <cell r="F22390">
            <v>0</v>
          </cell>
          <cell r="DN22390">
            <v>0</v>
          </cell>
        </row>
        <row r="22391">
          <cell r="E22391">
            <v>0</v>
          </cell>
          <cell r="F22391">
            <v>0</v>
          </cell>
          <cell r="DN22391">
            <v>0</v>
          </cell>
        </row>
        <row r="22392">
          <cell r="E22392">
            <v>0</v>
          </cell>
          <cell r="F22392">
            <v>0</v>
          </cell>
          <cell r="DN22392">
            <v>0</v>
          </cell>
        </row>
        <row r="22393">
          <cell r="E22393">
            <v>0</v>
          </cell>
          <cell r="F22393">
            <v>0</v>
          </cell>
          <cell r="DN22393">
            <v>0</v>
          </cell>
        </row>
        <row r="22394">
          <cell r="E22394">
            <v>0</v>
          </cell>
          <cell r="F22394">
            <v>0</v>
          </cell>
          <cell r="DN22394">
            <v>0</v>
          </cell>
        </row>
        <row r="22395">
          <cell r="E22395">
            <v>0</v>
          </cell>
          <cell r="F22395">
            <v>0</v>
          </cell>
          <cell r="DN22395">
            <v>0</v>
          </cell>
        </row>
        <row r="22396">
          <cell r="E22396">
            <v>0</v>
          </cell>
          <cell r="F22396">
            <v>0</v>
          </cell>
          <cell r="DN22396">
            <v>0</v>
          </cell>
        </row>
        <row r="22397">
          <cell r="E22397">
            <v>0</v>
          </cell>
          <cell r="F22397">
            <v>0</v>
          </cell>
          <cell r="DN22397">
            <v>0</v>
          </cell>
        </row>
        <row r="22398">
          <cell r="E22398">
            <v>0</v>
          </cell>
          <cell r="F22398">
            <v>0</v>
          </cell>
          <cell r="DN22398">
            <v>0</v>
          </cell>
        </row>
        <row r="22399">
          <cell r="E22399">
            <v>0</v>
          </cell>
          <cell r="F22399">
            <v>0</v>
          </cell>
          <cell r="DN22399">
            <v>0</v>
          </cell>
        </row>
        <row r="22400">
          <cell r="E22400">
            <v>0</v>
          </cell>
          <cell r="F22400">
            <v>0</v>
          </cell>
          <cell r="DN22400">
            <v>0</v>
          </cell>
        </row>
        <row r="22401">
          <cell r="E22401">
            <v>0</v>
          </cell>
          <cell r="F22401">
            <v>0</v>
          </cell>
          <cell r="DN22401">
            <v>0</v>
          </cell>
        </row>
        <row r="22402">
          <cell r="E22402">
            <v>0</v>
          </cell>
          <cell r="F22402">
            <v>0</v>
          </cell>
          <cell r="DN22402">
            <v>0</v>
          </cell>
        </row>
        <row r="22403">
          <cell r="E22403">
            <v>0</v>
          </cell>
          <cell r="F22403">
            <v>0</v>
          </cell>
          <cell r="DN22403">
            <v>0</v>
          </cell>
        </row>
        <row r="22404">
          <cell r="E22404">
            <v>0</v>
          </cell>
          <cell r="F22404">
            <v>0</v>
          </cell>
          <cell r="DN22404">
            <v>0</v>
          </cell>
        </row>
        <row r="22405">
          <cell r="E22405">
            <v>0</v>
          </cell>
          <cell r="F22405">
            <v>0</v>
          </cell>
          <cell r="DN22405">
            <v>0</v>
          </cell>
        </row>
        <row r="22406">
          <cell r="E22406">
            <v>0</v>
          </cell>
          <cell r="F22406">
            <v>0</v>
          </cell>
          <cell r="DN22406">
            <v>0</v>
          </cell>
        </row>
        <row r="22407">
          <cell r="E22407">
            <v>0</v>
          </cell>
          <cell r="F22407">
            <v>0</v>
          </cell>
          <cell r="DN22407">
            <v>0</v>
          </cell>
        </row>
        <row r="22408">
          <cell r="E22408">
            <v>0</v>
          </cell>
          <cell r="F22408">
            <v>0</v>
          </cell>
          <cell r="DN22408">
            <v>0</v>
          </cell>
        </row>
        <row r="22409">
          <cell r="E22409">
            <v>0</v>
          </cell>
          <cell r="F22409">
            <v>0</v>
          </cell>
          <cell r="DN22409">
            <v>0</v>
          </cell>
        </row>
        <row r="22410">
          <cell r="E22410">
            <v>0</v>
          </cell>
          <cell r="F22410">
            <v>0</v>
          </cell>
          <cell r="DN22410">
            <v>0</v>
          </cell>
        </row>
        <row r="22411">
          <cell r="E22411">
            <v>0</v>
          </cell>
          <cell r="F22411">
            <v>0</v>
          </cell>
          <cell r="DN22411">
            <v>0</v>
          </cell>
        </row>
        <row r="22412">
          <cell r="E22412">
            <v>0</v>
          </cell>
          <cell r="F22412">
            <v>0</v>
          </cell>
          <cell r="DN22412">
            <v>0</v>
          </cell>
        </row>
        <row r="22413">
          <cell r="E22413">
            <v>0</v>
          </cell>
          <cell r="F22413">
            <v>0</v>
          </cell>
          <cell r="DN22413">
            <v>0</v>
          </cell>
        </row>
        <row r="22414">
          <cell r="E22414">
            <v>0</v>
          </cell>
          <cell r="F22414">
            <v>0</v>
          </cell>
          <cell r="DN22414">
            <v>0</v>
          </cell>
        </row>
        <row r="22415">
          <cell r="E22415">
            <v>0</v>
          </cell>
          <cell r="F22415">
            <v>0</v>
          </cell>
          <cell r="DN22415">
            <v>0</v>
          </cell>
        </row>
        <row r="22416">
          <cell r="E22416">
            <v>0</v>
          </cell>
          <cell r="F22416">
            <v>0</v>
          </cell>
          <cell r="DN22416">
            <v>0</v>
          </cell>
        </row>
        <row r="22417">
          <cell r="E22417">
            <v>0</v>
          </cell>
          <cell r="F22417">
            <v>0</v>
          </cell>
          <cell r="DN22417">
            <v>0</v>
          </cell>
        </row>
        <row r="22418">
          <cell r="E22418">
            <v>0</v>
          </cell>
          <cell r="F22418">
            <v>0</v>
          </cell>
          <cell r="DN22418">
            <v>0</v>
          </cell>
        </row>
        <row r="22419">
          <cell r="E22419">
            <v>0</v>
          </cell>
          <cell r="F22419">
            <v>0</v>
          </cell>
          <cell r="DN22419">
            <v>0</v>
          </cell>
        </row>
        <row r="22420">
          <cell r="E22420">
            <v>0</v>
          </cell>
          <cell r="F22420">
            <v>0</v>
          </cell>
          <cell r="DN22420">
            <v>0</v>
          </cell>
        </row>
        <row r="22421">
          <cell r="E22421">
            <v>0</v>
          </cell>
          <cell r="F22421">
            <v>0</v>
          </cell>
          <cell r="DN22421">
            <v>0</v>
          </cell>
        </row>
        <row r="22422">
          <cell r="E22422">
            <v>0</v>
          </cell>
          <cell r="F22422">
            <v>0</v>
          </cell>
          <cell r="DN22422">
            <v>0</v>
          </cell>
        </row>
        <row r="22423">
          <cell r="E22423">
            <v>0</v>
          </cell>
          <cell r="F22423">
            <v>0</v>
          </cell>
          <cell r="DN22423">
            <v>0</v>
          </cell>
        </row>
        <row r="22424">
          <cell r="E22424">
            <v>0</v>
          </cell>
          <cell r="F22424">
            <v>0</v>
          </cell>
          <cell r="DN22424">
            <v>0</v>
          </cell>
        </row>
        <row r="22425">
          <cell r="E22425">
            <v>0</v>
          </cell>
          <cell r="F22425">
            <v>0</v>
          </cell>
          <cell r="DN22425">
            <v>0</v>
          </cell>
        </row>
        <row r="22426">
          <cell r="E22426">
            <v>0</v>
          </cell>
          <cell r="F22426">
            <v>0</v>
          </cell>
          <cell r="DN22426">
            <v>0</v>
          </cell>
        </row>
        <row r="22427">
          <cell r="E22427">
            <v>0</v>
          </cell>
          <cell r="F22427">
            <v>0</v>
          </cell>
          <cell r="DN22427">
            <v>0</v>
          </cell>
        </row>
        <row r="22428">
          <cell r="E22428">
            <v>0</v>
          </cell>
          <cell r="F22428">
            <v>0</v>
          </cell>
          <cell r="DN22428">
            <v>0</v>
          </cell>
        </row>
        <row r="22429">
          <cell r="E22429">
            <v>0</v>
          </cell>
          <cell r="F22429">
            <v>0</v>
          </cell>
          <cell r="DN22429">
            <v>0</v>
          </cell>
        </row>
        <row r="22430">
          <cell r="E22430">
            <v>0</v>
          </cell>
          <cell r="F22430">
            <v>0</v>
          </cell>
          <cell r="DN22430">
            <v>0</v>
          </cell>
        </row>
        <row r="22431">
          <cell r="E22431">
            <v>0</v>
          </cell>
          <cell r="F22431">
            <v>0</v>
          </cell>
          <cell r="DN22431">
            <v>0</v>
          </cell>
        </row>
        <row r="22432">
          <cell r="E22432">
            <v>0</v>
          </cell>
          <cell r="F22432">
            <v>0</v>
          </cell>
          <cell r="DN22432">
            <v>0</v>
          </cell>
        </row>
        <row r="22433">
          <cell r="E22433">
            <v>0</v>
          </cell>
          <cell r="F22433">
            <v>0</v>
          </cell>
          <cell r="DN22433">
            <v>0</v>
          </cell>
        </row>
        <row r="22434">
          <cell r="E22434">
            <v>0</v>
          </cell>
          <cell r="F22434">
            <v>0</v>
          </cell>
          <cell r="DN22434">
            <v>0</v>
          </cell>
        </row>
        <row r="22435">
          <cell r="E22435">
            <v>0</v>
          </cell>
          <cell r="F22435">
            <v>0</v>
          </cell>
          <cell r="DN22435">
            <v>0</v>
          </cell>
        </row>
        <row r="22436">
          <cell r="E22436">
            <v>0</v>
          </cell>
          <cell r="F22436">
            <v>0</v>
          </cell>
          <cell r="DN22436">
            <v>0</v>
          </cell>
        </row>
        <row r="22437">
          <cell r="E22437">
            <v>0</v>
          </cell>
          <cell r="F22437">
            <v>0</v>
          </cell>
          <cell r="DN22437">
            <v>0</v>
          </cell>
        </row>
        <row r="22438">
          <cell r="E22438">
            <v>0</v>
          </cell>
          <cell r="F22438">
            <v>0</v>
          </cell>
          <cell r="DN22438">
            <v>0</v>
          </cell>
        </row>
        <row r="22439">
          <cell r="E22439">
            <v>0</v>
          </cell>
          <cell r="F22439">
            <v>0</v>
          </cell>
          <cell r="DN22439">
            <v>0</v>
          </cell>
        </row>
        <row r="22440">
          <cell r="E22440">
            <v>0</v>
          </cell>
          <cell r="F22440">
            <v>0</v>
          </cell>
          <cell r="DN22440">
            <v>0</v>
          </cell>
        </row>
        <row r="22441">
          <cell r="E22441">
            <v>0</v>
          </cell>
          <cell r="F22441">
            <v>0</v>
          </cell>
          <cell r="DN22441">
            <v>0</v>
          </cell>
        </row>
        <row r="22442">
          <cell r="E22442">
            <v>0</v>
          </cell>
          <cell r="F22442">
            <v>0</v>
          </cell>
          <cell r="DN22442">
            <v>0</v>
          </cell>
        </row>
        <row r="22443">
          <cell r="E22443">
            <v>0</v>
          </cell>
          <cell r="F22443">
            <v>0</v>
          </cell>
          <cell r="DN22443">
            <v>0</v>
          </cell>
        </row>
        <row r="22444">
          <cell r="E22444">
            <v>0</v>
          </cell>
          <cell r="F22444">
            <v>0</v>
          </cell>
          <cell r="DN22444">
            <v>0</v>
          </cell>
        </row>
        <row r="22445">
          <cell r="E22445">
            <v>0</v>
          </cell>
          <cell r="F22445">
            <v>0</v>
          </cell>
          <cell r="DN22445">
            <v>0</v>
          </cell>
        </row>
        <row r="22446">
          <cell r="E22446">
            <v>0</v>
          </cell>
          <cell r="F22446">
            <v>0</v>
          </cell>
          <cell r="DN22446">
            <v>0</v>
          </cell>
        </row>
        <row r="22447">
          <cell r="E22447">
            <v>0</v>
          </cell>
          <cell r="F22447">
            <v>0</v>
          </cell>
          <cell r="DN22447">
            <v>0</v>
          </cell>
        </row>
        <row r="22448">
          <cell r="E22448">
            <v>0</v>
          </cell>
          <cell r="F22448">
            <v>0</v>
          </cell>
          <cell r="DN22448">
            <v>0</v>
          </cell>
        </row>
        <row r="22449">
          <cell r="E22449">
            <v>0</v>
          </cell>
          <cell r="F22449">
            <v>0</v>
          </cell>
          <cell r="DN22449">
            <v>0</v>
          </cell>
        </row>
        <row r="22450">
          <cell r="E22450">
            <v>0</v>
          </cell>
          <cell r="F22450">
            <v>0</v>
          </cell>
          <cell r="DN22450">
            <v>0</v>
          </cell>
        </row>
        <row r="22451">
          <cell r="E22451">
            <v>0</v>
          </cell>
          <cell r="F22451">
            <v>0</v>
          </cell>
          <cell r="DN22451">
            <v>0</v>
          </cell>
        </row>
        <row r="22452">
          <cell r="E22452">
            <v>0</v>
          </cell>
          <cell r="F22452">
            <v>0</v>
          </cell>
          <cell r="DN22452">
            <v>0</v>
          </cell>
        </row>
        <row r="22453">
          <cell r="E22453">
            <v>0</v>
          </cell>
          <cell r="F22453">
            <v>0</v>
          </cell>
          <cell r="DN22453">
            <v>0</v>
          </cell>
        </row>
        <row r="22454">
          <cell r="E22454">
            <v>0</v>
          </cell>
          <cell r="F22454">
            <v>0</v>
          </cell>
          <cell r="DN22454">
            <v>0</v>
          </cell>
        </row>
        <row r="22455">
          <cell r="E22455">
            <v>0</v>
          </cell>
          <cell r="F22455">
            <v>0</v>
          </cell>
          <cell r="DN22455">
            <v>0</v>
          </cell>
        </row>
        <row r="22456">
          <cell r="E22456">
            <v>0</v>
          </cell>
          <cell r="F22456">
            <v>0</v>
          </cell>
          <cell r="DN22456">
            <v>0</v>
          </cell>
        </row>
        <row r="22457">
          <cell r="E22457">
            <v>0</v>
          </cell>
          <cell r="F22457">
            <v>0</v>
          </cell>
          <cell r="DN22457">
            <v>0</v>
          </cell>
        </row>
        <row r="22458">
          <cell r="E22458">
            <v>0</v>
          </cell>
          <cell r="F22458">
            <v>0</v>
          </cell>
          <cell r="DN22458">
            <v>0</v>
          </cell>
        </row>
        <row r="22459">
          <cell r="E22459">
            <v>0</v>
          </cell>
          <cell r="F22459">
            <v>0</v>
          </cell>
          <cell r="DN22459">
            <v>0</v>
          </cell>
        </row>
        <row r="22460">
          <cell r="E22460">
            <v>0</v>
          </cell>
          <cell r="F22460">
            <v>0</v>
          </cell>
          <cell r="DN22460">
            <v>0</v>
          </cell>
        </row>
        <row r="22461">
          <cell r="E22461">
            <v>0</v>
          </cell>
          <cell r="F22461">
            <v>0</v>
          </cell>
          <cell r="DN22461">
            <v>0</v>
          </cell>
        </row>
        <row r="22462">
          <cell r="E22462">
            <v>0</v>
          </cell>
          <cell r="F22462">
            <v>0</v>
          </cell>
          <cell r="DN22462">
            <v>0</v>
          </cell>
        </row>
        <row r="22463">
          <cell r="E22463">
            <v>0</v>
          </cell>
          <cell r="F22463">
            <v>0</v>
          </cell>
          <cell r="DN22463">
            <v>0</v>
          </cell>
        </row>
        <row r="22464">
          <cell r="E22464">
            <v>0</v>
          </cell>
          <cell r="F22464">
            <v>0</v>
          </cell>
          <cell r="DN22464">
            <v>0</v>
          </cell>
        </row>
        <row r="22465">
          <cell r="E22465">
            <v>0</v>
          </cell>
          <cell r="F22465">
            <v>0</v>
          </cell>
          <cell r="DN22465">
            <v>0</v>
          </cell>
        </row>
        <row r="22466">
          <cell r="E22466">
            <v>0</v>
          </cell>
          <cell r="F22466">
            <v>0</v>
          </cell>
          <cell r="DN22466">
            <v>0</v>
          </cell>
        </row>
        <row r="22467">
          <cell r="E22467">
            <v>0</v>
          </cell>
          <cell r="F22467">
            <v>0</v>
          </cell>
          <cell r="DN22467">
            <v>0</v>
          </cell>
        </row>
        <row r="22468">
          <cell r="E22468">
            <v>0</v>
          </cell>
          <cell r="F22468">
            <v>0</v>
          </cell>
          <cell r="DN22468">
            <v>0</v>
          </cell>
        </row>
        <row r="22469">
          <cell r="E22469">
            <v>0</v>
          </cell>
          <cell r="F22469">
            <v>0</v>
          </cell>
          <cell r="DN22469">
            <v>0</v>
          </cell>
        </row>
        <row r="22470">
          <cell r="E22470">
            <v>0</v>
          </cell>
          <cell r="F22470">
            <v>0</v>
          </cell>
          <cell r="DN22470">
            <v>0</v>
          </cell>
        </row>
        <row r="22471">
          <cell r="E22471">
            <v>0</v>
          </cell>
          <cell r="F22471">
            <v>0</v>
          </cell>
          <cell r="DN22471">
            <v>0</v>
          </cell>
        </row>
        <row r="22472">
          <cell r="E22472">
            <v>0</v>
          </cell>
          <cell r="F22472">
            <v>0</v>
          </cell>
          <cell r="DN22472">
            <v>0</v>
          </cell>
        </row>
        <row r="22473">
          <cell r="E22473">
            <v>0</v>
          </cell>
          <cell r="F22473">
            <v>0</v>
          </cell>
          <cell r="DN22473">
            <v>0</v>
          </cell>
        </row>
        <row r="22474">
          <cell r="E22474">
            <v>0</v>
          </cell>
          <cell r="F22474">
            <v>0</v>
          </cell>
          <cell r="DN22474">
            <v>0</v>
          </cell>
        </row>
        <row r="22475">
          <cell r="E22475">
            <v>0</v>
          </cell>
          <cell r="F22475">
            <v>0</v>
          </cell>
          <cell r="DN22475">
            <v>0</v>
          </cell>
        </row>
        <row r="22476">
          <cell r="E22476">
            <v>0</v>
          </cell>
          <cell r="F22476">
            <v>0</v>
          </cell>
          <cell r="DN22476">
            <v>0</v>
          </cell>
        </row>
        <row r="22477">
          <cell r="E22477">
            <v>0</v>
          </cell>
          <cell r="F22477">
            <v>0</v>
          </cell>
          <cell r="DN22477">
            <v>0</v>
          </cell>
        </row>
        <row r="22478">
          <cell r="E22478">
            <v>0</v>
          </cell>
          <cell r="F22478">
            <v>0</v>
          </cell>
          <cell r="DN22478">
            <v>0</v>
          </cell>
        </row>
        <row r="22479">
          <cell r="E22479">
            <v>0</v>
          </cell>
          <cell r="F22479">
            <v>0</v>
          </cell>
          <cell r="DN22479">
            <v>0</v>
          </cell>
        </row>
        <row r="22480">
          <cell r="E22480">
            <v>0</v>
          </cell>
          <cell r="F22480">
            <v>0</v>
          </cell>
          <cell r="DN22480">
            <v>0</v>
          </cell>
        </row>
        <row r="22481">
          <cell r="E22481">
            <v>0</v>
          </cell>
          <cell r="F22481">
            <v>0</v>
          </cell>
          <cell r="DN22481">
            <v>0</v>
          </cell>
        </row>
        <row r="22482">
          <cell r="E22482">
            <v>0</v>
          </cell>
          <cell r="F22482">
            <v>0</v>
          </cell>
          <cell r="DN22482">
            <v>0</v>
          </cell>
        </row>
        <row r="22483">
          <cell r="E22483">
            <v>0</v>
          </cell>
          <cell r="F22483">
            <v>0</v>
          </cell>
          <cell r="DN22483">
            <v>0</v>
          </cell>
        </row>
        <row r="22484">
          <cell r="E22484">
            <v>0</v>
          </cell>
          <cell r="F22484">
            <v>0</v>
          </cell>
          <cell r="DN22484">
            <v>0</v>
          </cell>
        </row>
        <row r="22485">
          <cell r="E22485">
            <v>0</v>
          </cell>
          <cell r="F22485">
            <v>0</v>
          </cell>
          <cell r="DN22485">
            <v>0</v>
          </cell>
        </row>
        <row r="22486">
          <cell r="E22486">
            <v>0</v>
          </cell>
          <cell r="F22486">
            <v>0</v>
          </cell>
          <cell r="DN22486">
            <v>0</v>
          </cell>
        </row>
        <row r="22487">
          <cell r="E22487">
            <v>0</v>
          </cell>
          <cell r="F22487">
            <v>0</v>
          </cell>
          <cell r="DN22487">
            <v>0</v>
          </cell>
        </row>
        <row r="22488">
          <cell r="E22488">
            <v>0</v>
          </cell>
          <cell r="F22488">
            <v>0</v>
          </cell>
          <cell r="DN22488">
            <v>0</v>
          </cell>
        </row>
        <row r="22489">
          <cell r="E22489">
            <v>0</v>
          </cell>
          <cell r="F22489">
            <v>0</v>
          </cell>
          <cell r="DN22489">
            <v>0</v>
          </cell>
        </row>
        <row r="22490">
          <cell r="E22490">
            <v>0</v>
          </cell>
          <cell r="F22490">
            <v>0</v>
          </cell>
          <cell r="DN22490">
            <v>0</v>
          </cell>
        </row>
        <row r="22491">
          <cell r="E22491">
            <v>0</v>
          </cell>
          <cell r="F22491">
            <v>0</v>
          </cell>
          <cell r="DN22491">
            <v>0</v>
          </cell>
        </row>
        <row r="22492">
          <cell r="E22492">
            <v>0</v>
          </cell>
          <cell r="F22492">
            <v>0</v>
          </cell>
          <cell r="DN22492">
            <v>0</v>
          </cell>
        </row>
        <row r="22493">
          <cell r="E22493">
            <v>0</v>
          </cell>
          <cell r="F22493">
            <v>0</v>
          </cell>
          <cell r="DN22493">
            <v>0</v>
          </cell>
        </row>
        <row r="22494">
          <cell r="E22494">
            <v>0</v>
          </cell>
          <cell r="F22494">
            <v>0</v>
          </cell>
          <cell r="DN22494">
            <v>0</v>
          </cell>
        </row>
        <row r="22495">
          <cell r="E22495">
            <v>0</v>
          </cell>
          <cell r="F22495">
            <v>0</v>
          </cell>
          <cell r="DN22495">
            <v>0</v>
          </cell>
        </row>
        <row r="22496">
          <cell r="E22496">
            <v>0</v>
          </cell>
          <cell r="F22496">
            <v>0</v>
          </cell>
          <cell r="DN22496">
            <v>0</v>
          </cell>
        </row>
        <row r="22497">
          <cell r="E22497">
            <v>0</v>
          </cell>
          <cell r="F22497">
            <v>0</v>
          </cell>
          <cell r="DN22497">
            <v>0</v>
          </cell>
        </row>
        <row r="22498">
          <cell r="E22498">
            <v>0</v>
          </cell>
          <cell r="F22498">
            <v>0</v>
          </cell>
          <cell r="DN22498">
            <v>0</v>
          </cell>
        </row>
        <row r="22499">
          <cell r="E22499">
            <v>0</v>
          </cell>
          <cell r="F22499">
            <v>0</v>
          </cell>
          <cell r="DN22499">
            <v>0</v>
          </cell>
        </row>
        <row r="22500">
          <cell r="E22500">
            <v>0</v>
          </cell>
          <cell r="F22500">
            <v>0</v>
          </cell>
          <cell r="DN22500">
            <v>0</v>
          </cell>
        </row>
        <row r="22501">
          <cell r="E22501">
            <v>0</v>
          </cell>
          <cell r="F22501">
            <v>0</v>
          </cell>
          <cell r="DN22501">
            <v>0</v>
          </cell>
        </row>
        <row r="22502">
          <cell r="E22502">
            <v>0</v>
          </cell>
          <cell r="F22502">
            <v>0</v>
          </cell>
          <cell r="DN22502">
            <v>0</v>
          </cell>
        </row>
        <row r="22503">
          <cell r="E22503">
            <v>0</v>
          </cell>
          <cell r="F22503">
            <v>0</v>
          </cell>
          <cell r="DN22503">
            <v>0</v>
          </cell>
        </row>
        <row r="22504">
          <cell r="E22504">
            <v>0</v>
          </cell>
          <cell r="F22504">
            <v>0</v>
          </cell>
          <cell r="DN22504">
            <v>0</v>
          </cell>
        </row>
        <row r="22505">
          <cell r="E22505">
            <v>0</v>
          </cell>
          <cell r="F22505">
            <v>0</v>
          </cell>
          <cell r="DN22505">
            <v>0</v>
          </cell>
        </row>
        <row r="22506">
          <cell r="E22506">
            <v>0</v>
          </cell>
          <cell r="F22506">
            <v>0</v>
          </cell>
          <cell r="DN22506">
            <v>0</v>
          </cell>
        </row>
        <row r="22507">
          <cell r="E22507">
            <v>0</v>
          </cell>
          <cell r="F22507">
            <v>0</v>
          </cell>
          <cell r="DN22507">
            <v>0</v>
          </cell>
        </row>
        <row r="22508">
          <cell r="E22508">
            <v>0</v>
          </cell>
          <cell r="F22508">
            <v>0</v>
          </cell>
          <cell r="DN22508">
            <v>0</v>
          </cell>
        </row>
        <row r="22509">
          <cell r="E22509">
            <v>0</v>
          </cell>
          <cell r="F22509">
            <v>0</v>
          </cell>
          <cell r="DN22509">
            <v>0</v>
          </cell>
        </row>
        <row r="22510">
          <cell r="E22510">
            <v>0</v>
          </cell>
          <cell r="F22510">
            <v>0</v>
          </cell>
          <cell r="DN22510">
            <v>0</v>
          </cell>
        </row>
        <row r="22511">
          <cell r="E22511">
            <v>0</v>
          </cell>
          <cell r="F22511">
            <v>0</v>
          </cell>
          <cell r="DN22511">
            <v>0</v>
          </cell>
        </row>
        <row r="22512">
          <cell r="E22512">
            <v>0</v>
          </cell>
          <cell r="F22512">
            <v>0</v>
          </cell>
          <cell r="DN22512">
            <v>0</v>
          </cell>
        </row>
        <row r="22513">
          <cell r="E22513">
            <v>0</v>
          </cell>
          <cell r="F22513">
            <v>0</v>
          </cell>
          <cell r="DN22513">
            <v>0</v>
          </cell>
        </row>
        <row r="22514">
          <cell r="E22514">
            <v>0</v>
          </cell>
          <cell r="F22514">
            <v>0</v>
          </cell>
          <cell r="DN22514">
            <v>0</v>
          </cell>
        </row>
        <row r="22515">
          <cell r="E22515">
            <v>0</v>
          </cell>
          <cell r="F22515">
            <v>0</v>
          </cell>
          <cell r="DN22515">
            <v>0</v>
          </cell>
        </row>
        <row r="22516">
          <cell r="E22516">
            <v>0</v>
          </cell>
          <cell r="F22516">
            <v>0</v>
          </cell>
          <cell r="DN22516">
            <v>0</v>
          </cell>
        </row>
        <row r="22517">
          <cell r="E22517">
            <v>0</v>
          </cell>
          <cell r="F22517">
            <v>0</v>
          </cell>
          <cell r="DN22517">
            <v>0</v>
          </cell>
        </row>
        <row r="22518">
          <cell r="E22518">
            <v>0</v>
          </cell>
          <cell r="F22518">
            <v>0</v>
          </cell>
          <cell r="DN22518">
            <v>0</v>
          </cell>
        </row>
        <row r="22519">
          <cell r="E22519">
            <v>0</v>
          </cell>
          <cell r="F22519">
            <v>0</v>
          </cell>
          <cell r="DN22519">
            <v>0</v>
          </cell>
        </row>
        <row r="22520">
          <cell r="E22520">
            <v>0</v>
          </cell>
          <cell r="F22520">
            <v>0</v>
          </cell>
          <cell r="DN22520">
            <v>0</v>
          </cell>
        </row>
        <row r="22521">
          <cell r="E22521">
            <v>0</v>
          </cell>
          <cell r="F22521">
            <v>0</v>
          </cell>
          <cell r="DN22521">
            <v>0</v>
          </cell>
        </row>
        <row r="22522">
          <cell r="E22522">
            <v>0</v>
          </cell>
          <cell r="F22522">
            <v>0</v>
          </cell>
          <cell r="DN22522">
            <v>0</v>
          </cell>
        </row>
        <row r="22523">
          <cell r="E22523">
            <v>0</v>
          </cell>
          <cell r="F22523">
            <v>0</v>
          </cell>
          <cell r="DN22523">
            <v>0</v>
          </cell>
        </row>
        <row r="22524">
          <cell r="E22524">
            <v>0</v>
          </cell>
          <cell r="F22524">
            <v>0</v>
          </cell>
          <cell r="DN22524">
            <v>0</v>
          </cell>
        </row>
        <row r="22525">
          <cell r="E22525">
            <v>0</v>
          </cell>
          <cell r="F22525">
            <v>0</v>
          </cell>
          <cell r="DN22525">
            <v>0</v>
          </cell>
        </row>
        <row r="22526">
          <cell r="E22526">
            <v>0</v>
          </cell>
          <cell r="F22526">
            <v>0</v>
          </cell>
          <cell r="DN22526">
            <v>0</v>
          </cell>
        </row>
        <row r="22527">
          <cell r="E22527">
            <v>0</v>
          </cell>
          <cell r="F22527">
            <v>0</v>
          </cell>
          <cell r="DN22527">
            <v>0</v>
          </cell>
        </row>
        <row r="22528">
          <cell r="E22528">
            <v>0</v>
          </cell>
          <cell r="F22528">
            <v>0</v>
          </cell>
          <cell r="DN22528">
            <v>0</v>
          </cell>
        </row>
        <row r="22529">
          <cell r="E22529">
            <v>0</v>
          </cell>
          <cell r="F22529">
            <v>0</v>
          </cell>
          <cell r="DN22529">
            <v>0</v>
          </cell>
        </row>
        <row r="22530">
          <cell r="E22530">
            <v>0</v>
          </cell>
          <cell r="F22530">
            <v>0</v>
          </cell>
          <cell r="DN22530">
            <v>0</v>
          </cell>
        </row>
        <row r="22531">
          <cell r="E22531">
            <v>0</v>
          </cell>
          <cell r="F22531">
            <v>0</v>
          </cell>
          <cell r="DN22531">
            <v>0</v>
          </cell>
        </row>
        <row r="22532">
          <cell r="E22532">
            <v>0</v>
          </cell>
          <cell r="F22532">
            <v>0</v>
          </cell>
          <cell r="DN22532">
            <v>0</v>
          </cell>
        </row>
        <row r="22533">
          <cell r="E22533">
            <v>0</v>
          </cell>
          <cell r="F22533">
            <v>0</v>
          </cell>
          <cell r="DN22533">
            <v>0</v>
          </cell>
        </row>
        <row r="22534">
          <cell r="E22534">
            <v>0</v>
          </cell>
          <cell r="F22534">
            <v>0</v>
          </cell>
          <cell r="DN22534">
            <v>0</v>
          </cell>
        </row>
        <row r="22535">
          <cell r="E22535">
            <v>0</v>
          </cell>
          <cell r="F22535">
            <v>0</v>
          </cell>
          <cell r="DN22535">
            <v>0</v>
          </cell>
        </row>
        <row r="22536">
          <cell r="E22536">
            <v>0</v>
          </cell>
          <cell r="F22536">
            <v>0</v>
          </cell>
          <cell r="DN22536">
            <v>0</v>
          </cell>
        </row>
        <row r="22537">
          <cell r="E22537">
            <v>0</v>
          </cell>
          <cell r="F22537">
            <v>0</v>
          </cell>
          <cell r="DN22537">
            <v>0</v>
          </cell>
        </row>
        <row r="22538">
          <cell r="E22538">
            <v>0</v>
          </cell>
          <cell r="F22538">
            <v>0</v>
          </cell>
          <cell r="DN22538">
            <v>0</v>
          </cell>
        </row>
        <row r="22539">
          <cell r="E22539">
            <v>0</v>
          </cell>
          <cell r="F22539">
            <v>0</v>
          </cell>
          <cell r="DN22539">
            <v>0</v>
          </cell>
        </row>
        <row r="22540">
          <cell r="E22540">
            <v>0</v>
          </cell>
          <cell r="F22540">
            <v>0</v>
          </cell>
          <cell r="DN22540">
            <v>0</v>
          </cell>
        </row>
        <row r="22541">
          <cell r="E22541">
            <v>0</v>
          </cell>
          <cell r="F22541">
            <v>0</v>
          </cell>
          <cell r="DN22541">
            <v>0</v>
          </cell>
        </row>
        <row r="22542">
          <cell r="E22542">
            <v>0</v>
          </cell>
          <cell r="F22542">
            <v>0</v>
          </cell>
          <cell r="DN22542">
            <v>0</v>
          </cell>
        </row>
        <row r="22543">
          <cell r="E22543">
            <v>0</v>
          </cell>
          <cell r="F22543">
            <v>0</v>
          </cell>
          <cell r="DN22543">
            <v>0</v>
          </cell>
        </row>
        <row r="22544">
          <cell r="E22544">
            <v>0</v>
          </cell>
          <cell r="F22544">
            <v>0</v>
          </cell>
          <cell r="DN22544">
            <v>0</v>
          </cell>
        </row>
        <row r="22545">
          <cell r="E22545">
            <v>0</v>
          </cell>
          <cell r="F22545">
            <v>0</v>
          </cell>
          <cell r="DN22545">
            <v>0</v>
          </cell>
        </row>
        <row r="22546">
          <cell r="E22546">
            <v>0</v>
          </cell>
          <cell r="F22546">
            <v>0</v>
          </cell>
          <cell r="DN22546">
            <v>0</v>
          </cell>
        </row>
        <row r="22547">
          <cell r="E22547">
            <v>0</v>
          </cell>
          <cell r="F22547">
            <v>0</v>
          </cell>
          <cell r="DN22547">
            <v>0</v>
          </cell>
        </row>
        <row r="22548">
          <cell r="E22548">
            <v>0</v>
          </cell>
          <cell r="F22548">
            <v>0</v>
          </cell>
          <cell r="DN22548">
            <v>0</v>
          </cell>
        </row>
        <row r="22549">
          <cell r="E22549">
            <v>0</v>
          </cell>
          <cell r="F22549">
            <v>0</v>
          </cell>
          <cell r="DN22549">
            <v>0</v>
          </cell>
        </row>
        <row r="22550">
          <cell r="E22550">
            <v>0</v>
          </cell>
          <cell r="F22550">
            <v>0</v>
          </cell>
          <cell r="DN22550">
            <v>0</v>
          </cell>
        </row>
        <row r="22551">
          <cell r="E22551">
            <v>0</v>
          </cell>
          <cell r="F22551">
            <v>0</v>
          </cell>
          <cell r="DN22551">
            <v>0</v>
          </cell>
        </row>
        <row r="22552">
          <cell r="E22552">
            <v>0</v>
          </cell>
          <cell r="F22552">
            <v>0</v>
          </cell>
          <cell r="DN22552">
            <v>0</v>
          </cell>
        </row>
        <row r="22553">
          <cell r="E22553">
            <v>0</v>
          </cell>
          <cell r="F22553">
            <v>0</v>
          </cell>
          <cell r="DN22553">
            <v>0</v>
          </cell>
        </row>
        <row r="22554">
          <cell r="E22554">
            <v>0</v>
          </cell>
          <cell r="F22554">
            <v>0</v>
          </cell>
          <cell r="DN22554">
            <v>0</v>
          </cell>
        </row>
        <row r="22555">
          <cell r="E22555">
            <v>0</v>
          </cell>
          <cell r="F22555">
            <v>0</v>
          </cell>
          <cell r="DN22555">
            <v>0</v>
          </cell>
        </row>
        <row r="22556">
          <cell r="E22556">
            <v>0</v>
          </cell>
          <cell r="F22556">
            <v>0</v>
          </cell>
          <cell r="DN22556">
            <v>0</v>
          </cell>
        </row>
        <row r="22557">
          <cell r="E22557">
            <v>0</v>
          </cell>
          <cell r="F22557">
            <v>0</v>
          </cell>
          <cell r="DN22557">
            <v>0</v>
          </cell>
        </row>
        <row r="22558">
          <cell r="E22558">
            <v>0</v>
          </cell>
          <cell r="F22558">
            <v>0</v>
          </cell>
          <cell r="DN22558">
            <v>0</v>
          </cell>
        </row>
        <row r="22559">
          <cell r="E22559">
            <v>0</v>
          </cell>
          <cell r="F22559">
            <v>0</v>
          </cell>
          <cell r="DN22559">
            <v>0</v>
          </cell>
        </row>
        <row r="22560">
          <cell r="E22560">
            <v>0</v>
          </cell>
          <cell r="F22560">
            <v>0</v>
          </cell>
          <cell r="DN22560">
            <v>0</v>
          </cell>
        </row>
        <row r="22561">
          <cell r="E22561">
            <v>0</v>
          </cell>
          <cell r="F22561">
            <v>0</v>
          </cell>
          <cell r="DN22561">
            <v>0</v>
          </cell>
        </row>
        <row r="22562">
          <cell r="E22562">
            <v>0</v>
          </cell>
          <cell r="F22562">
            <v>0</v>
          </cell>
          <cell r="DN22562">
            <v>0</v>
          </cell>
        </row>
        <row r="22563">
          <cell r="E22563">
            <v>0</v>
          </cell>
          <cell r="F22563">
            <v>0</v>
          </cell>
          <cell r="DN22563">
            <v>0</v>
          </cell>
        </row>
        <row r="22564">
          <cell r="E22564">
            <v>0</v>
          </cell>
          <cell r="F22564">
            <v>0</v>
          </cell>
          <cell r="DN22564">
            <v>0</v>
          </cell>
        </row>
        <row r="22565">
          <cell r="E22565">
            <v>0</v>
          </cell>
          <cell r="F22565">
            <v>0</v>
          </cell>
          <cell r="DN22565">
            <v>0</v>
          </cell>
        </row>
        <row r="22566">
          <cell r="E22566">
            <v>0</v>
          </cell>
          <cell r="F22566">
            <v>0</v>
          </cell>
          <cell r="DN22566">
            <v>0</v>
          </cell>
        </row>
        <row r="22567">
          <cell r="E22567">
            <v>0</v>
          </cell>
          <cell r="F22567">
            <v>0</v>
          </cell>
          <cell r="DN22567">
            <v>0</v>
          </cell>
        </row>
        <row r="22568">
          <cell r="E22568">
            <v>0</v>
          </cell>
          <cell r="F22568">
            <v>0</v>
          </cell>
          <cell r="DN22568">
            <v>0</v>
          </cell>
        </row>
        <row r="22569">
          <cell r="E22569">
            <v>0</v>
          </cell>
          <cell r="F22569">
            <v>0</v>
          </cell>
          <cell r="DN22569">
            <v>0</v>
          </cell>
        </row>
        <row r="22570">
          <cell r="E22570">
            <v>0</v>
          </cell>
          <cell r="F22570">
            <v>0</v>
          </cell>
          <cell r="DN22570">
            <v>0</v>
          </cell>
        </row>
        <row r="22571">
          <cell r="E22571">
            <v>0</v>
          </cell>
          <cell r="F22571">
            <v>0</v>
          </cell>
          <cell r="DN22571">
            <v>0</v>
          </cell>
        </row>
        <row r="22572">
          <cell r="E22572">
            <v>0</v>
          </cell>
          <cell r="F22572">
            <v>0</v>
          </cell>
          <cell r="DN22572">
            <v>0</v>
          </cell>
        </row>
        <row r="22573">
          <cell r="E22573">
            <v>0</v>
          </cell>
          <cell r="F22573">
            <v>0</v>
          </cell>
          <cell r="DN22573">
            <v>0</v>
          </cell>
        </row>
        <row r="22574">
          <cell r="E22574">
            <v>0</v>
          </cell>
          <cell r="F22574">
            <v>0</v>
          </cell>
          <cell r="DN22574">
            <v>0</v>
          </cell>
        </row>
        <row r="22575">
          <cell r="E22575">
            <v>0</v>
          </cell>
          <cell r="F22575">
            <v>0</v>
          </cell>
          <cell r="DN22575">
            <v>0</v>
          </cell>
        </row>
        <row r="22576">
          <cell r="E22576">
            <v>0</v>
          </cell>
          <cell r="F22576">
            <v>0</v>
          </cell>
          <cell r="DN22576">
            <v>0</v>
          </cell>
        </row>
        <row r="22577">
          <cell r="E22577">
            <v>0</v>
          </cell>
          <cell r="F22577">
            <v>0</v>
          </cell>
          <cell r="DN22577">
            <v>0</v>
          </cell>
        </row>
        <row r="22578">
          <cell r="E22578">
            <v>0</v>
          </cell>
          <cell r="F22578">
            <v>0</v>
          </cell>
          <cell r="DN22578">
            <v>0</v>
          </cell>
        </row>
        <row r="22579">
          <cell r="E22579">
            <v>0</v>
          </cell>
          <cell r="F22579">
            <v>0</v>
          </cell>
          <cell r="DN22579">
            <v>0</v>
          </cell>
        </row>
        <row r="22580">
          <cell r="E22580">
            <v>0</v>
          </cell>
          <cell r="F22580">
            <v>0</v>
          </cell>
          <cell r="DN22580">
            <v>0</v>
          </cell>
        </row>
        <row r="22581">
          <cell r="E22581">
            <v>0</v>
          </cell>
          <cell r="F22581">
            <v>0</v>
          </cell>
          <cell r="DN22581">
            <v>0</v>
          </cell>
        </row>
        <row r="22582">
          <cell r="E22582">
            <v>0</v>
          </cell>
          <cell r="F22582">
            <v>0</v>
          </cell>
          <cell r="DN22582">
            <v>0</v>
          </cell>
        </row>
        <row r="22583">
          <cell r="E22583">
            <v>0</v>
          </cell>
          <cell r="F22583">
            <v>0</v>
          </cell>
          <cell r="DN22583">
            <v>0</v>
          </cell>
        </row>
        <row r="22584">
          <cell r="E22584">
            <v>0</v>
          </cell>
          <cell r="F22584">
            <v>0</v>
          </cell>
          <cell r="DN22584">
            <v>0</v>
          </cell>
        </row>
        <row r="22585">
          <cell r="E22585">
            <v>0</v>
          </cell>
          <cell r="F22585">
            <v>0</v>
          </cell>
          <cell r="DN22585">
            <v>0</v>
          </cell>
        </row>
        <row r="22586">
          <cell r="E22586">
            <v>0</v>
          </cell>
          <cell r="F22586">
            <v>0</v>
          </cell>
          <cell r="DN22586">
            <v>0</v>
          </cell>
        </row>
        <row r="22587">
          <cell r="E22587">
            <v>0</v>
          </cell>
          <cell r="F22587">
            <v>0</v>
          </cell>
          <cell r="DN22587">
            <v>0</v>
          </cell>
        </row>
        <row r="22588">
          <cell r="E22588">
            <v>0</v>
          </cell>
          <cell r="F22588">
            <v>0</v>
          </cell>
          <cell r="DN22588">
            <v>0</v>
          </cell>
        </row>
        <row r="22589">
          <cell r="E22589">
            <v>0</v>
          </cell>
          <cell r="F22589">
            <v>0</v>
          </cell>
          <cell r="DN22589">
            <v>0</v>
          </cell>
        </row>
        <row r="22590">
          <cell r="E22590">
            <v>0</v>
          </cell>
          <cell r="F22590">
            <v>0</v>
          </cell>
          <cell r="DN22590">
            <v>0</v>
          </cell>
        </row>
        <row r="22591">
          <cell r="E22591">
            <v>0</v>
          </cell>
          <cell r="F22591">
            <v>0</v>
          </cell>
          <cell r="DN22591">
            <v>0</v>
          </cell>
        </row>
        <row r="22592">
          <cell r="E22592">
            <v>0</v>
          </cell>
          <cell r="F22592">
            <v>0</v>
          </cell>
          <cell r="DN22592">
            <v>0</v>
          </cell>
        </row>
        <row r="22593">
          <cell r="E22593">
            <v>0</v>
          </cell>
          <cell r="F22593">
            <v>0</v>
          </cell>
          <cell r="DN22593">
            <v>0</v>
          </cell>
        </row>
        <row r="22594">
          <cell r="E22594">
            <v>0</v>
          </cell>
          <cell r="F22594">
            <v>0</v>
          </cell>
          <cell r="DN22594">
            <v>0</v>
          </cell>
        </row>
        <row r="22595">
          <cell r="E22595">
            <v>0</v>
          </cell>
          <cell r="F22595">
            <v>0</v>
          </cell>
          <cell r="DN22595">
            <v>0</v>
          </cell>
        </row>
        <row r="22596">
          <cell r="E22596">
            <v>0</v>
          </cell>
          <cell r="F22596">
            <v>0</v>
          </cell>
          <cell r="DN22596">
            <v>0</v>
          </cell>
        </row>
        <row r="22597">
          <cell r="E22597">
            <v>0</v>
          </cell>
          <cell r="F22597">
            <v>0</v>
          </cell>
          <cell r="DN22597">
            <v>0</v>
          </cell>
        </row>
        <row r="22598">
          <cell r="E22598">
            <v>0</v>
          </cell>
          <cell r="F22598">
            <v>0</v>
          </cell>
          <cell r="DN22598">
            <v>0</v>
          </cell>
        </row>
        <row r="22599">
          <cell r="E22599">
            <v>0</v>
          </cell>
          <cell r="F22599">
            <v>0</v>
          </cell>
          <cell r="DN22599">
            <v>0</v>
          </cell>
        </row>
        <row r="22600">
          <cell r="E22600">
            <v>0</v>
          </cell>
          <cell r="F22600">
            <v>0</v>
          </cell>
          <cell r="DN22600">
            <v>0</v>
          </cell>
        </row>
        <row r="22601">
          <cell r="E22601">
            <v>0</v>
          </cell>
          <cell r="F22601">
            <v>0</v>
          </cell>
          <cell r="DN22601">
            <v>0</v>
          </cell>
        </row>
        <row r="22602">
          <cell r="E22602">
            <v>0</v>
          </cell>
          <cell r="F22602">
            <v>0</v>
          </cell>
          <cell r="DN22602">
            <v>0</v>
          </cell>
        </row>
        <row r="22603">
          <cell r="E22603">
            <v>0</v>
          </cell>
          <cell r="F22603">
            <v>0</v>
          </cell>
          <cell r="DN22603">
            <v>0</v>
          </cell>
        </row>
        <row r="22604">
          <cell r="E22604">
            <v>0</v>
          </cell>
          <cell r="F22604">
            <v>0</v>
          </cell>
          <cell r="DN22604">
            <v>0</v>
          </cell>
        </row>
        <row r="22605">
          <cell r="E22605">
            <v>0</v>
          </cell>
          <cell r="F22605">
            <v>0</v>
          </cell>
          <cell r="DN22605">
            <v>0</v>
          </cell>
        </row>
        <row r="22606">
          <cell r="E22606">
            <v>0</v>
          </cell>
          <cell r="F22606">
            <v>0</v>
          </cell>
          <cell r="DN22606">
            <v>0</v>
          </cell>
        </row>
        <row r="22607">
          <cell r="E22607">
            <v>0</v>
          </cell>
          <cell r="F22607">
            <v>0</v>
          </cell>
          <cell r="DN22607">
            <v>0</v>
          </cell>
        </row>
        <row r="22608">
          <cell r="E22608">
            <v>0</v>
          </cell>
          <cell r="F22608">
            <v>0</v>
          </cell>
          <cell r="DN22608">
            <v>0</v>
          </cell>
        </row>
        <row r="22609">
          <cell r="E22609">
            <v>0</v>
          </cell>
          <cell r="F22609">
            <v>0</v>
          </cell>
          <cell r="DN22609">
            <v>0</v>
          </cell>
        </row>
        <row r="22610">
          <cell r="E22610">
            <v>0</v>
          </cell>
          <cell r="F22610">
            <v>0</v>
          </cell>
          <cell r="DN22610">
            <v>0</v>
          </cell>
        </row>
        <row r="22611">
          <cell r="E22611">
            <v>0</v>
          </cell>
          <cell r="F22611">
            <v>0</v>
          </cell>
          <cell r="DN22611">
            <v>0</v>
          </cell>
        </row>
        <row r="22612">
          <cell r="E22612">
            <v>0</v>
          </cell>
          <cell r="F22612">
            <v>0</v>
          </cell>
          <cell r="DN22612">
            <v>0</v>
          </cell>
        </row>
        <row r="22613">
          <cell r="E22613">
            <v>0</v>
          </cell>
          <cell r="F22613">
            <v>0</v>
          </cell>
          <cell r="DN22613">
            <v>0</v>
          </cell>
        </row>
        <row r="22614">
          <cell r="E22614">
            <v>0</v>
          </cell>
          <cell r="F22614">
            <v>0</v>
          </cell>
          <cell r="DN22614">
            <v>0</v>
          </cell>
        </row>
        <row r="22615">
          <cell r="E22615">
            <v>0</v>
          </cell>
          <cell r="F22615">
            <v>0</v>
          </cell>
          <cell r="DN22615">
            <v>0</v>
          </cell>
        </row>
        <row r="22616">
          <cell r="E22616">
            <v>0</v>
          </cell>
          <cell r="F22616">
            <v>0</v>
          </cell>
          <cell r="DN22616">
            <v>0</v>
          </cell>
        </row>
        <row r="22617">
          <cell r="E22617">
            <v>0</v>
          </cell>
          <cell r="F22617">
            <v>0</v>
          </cell>
          <cell r="DN22617">
            <v>0</v>
          </cell>
        </row>
        <row r="22618">
          <cell r="E22618">
            <v>0</v>
          </cell>
          <cell r="F22618">
            <v>0</v>
          </cell>
          <cell r="DN22618">
            <v>0</v>
          </cell>
        </row>
        <row r="22619">
          <cell r="E22619">
            <v>0</v>
          </cell>
          <cell r="F22619">
            <v>0</v>
          </cell>
          <cell r="DN22619">
            <v>0</v>
          </cell>
        </row>
        <row r="22620">
          <cell r="E22620">
            <v>0</v>
          </cell>
          <cell r="F22620">
            <v>0</v>
          </cell>
          <cell r="DN22620">
            <v>0</v>
          </cell>
        </row>
        <row r="22621">
          <cell r="E22621">
            <v>0</v>
          </cell>
          <cell r="F22621">
            <v>0</v>
          </cell>
          <cell r="DN22621">
            <v>0</v>
          </cell>
        </row>
        <row r="22622">
          <cell r="E22622">
            <v>0</v>
          </cell>
          <cell r="F22622">
            <v>0</v>
          </cell>
          <cell r="DN22622">
            <v>0</v>
          </cell>
        </row>
        <row r="22623">
          <cell r="E22623">
            <v>0</v>
          </cell>
          <cell r="F22623">
            <v>0</v>
          </cell>
          <cell r="DN22623">
            <v>0</v>
          </cell>
        </row>
        <row r="22624">
          <cell r="E22624">
            <v>0</v>
          </cell>
          <cell r="F22624">
            <v>0</v>
          </cell>
          <cell r="DN22624">
            <v>0</v>
          </cell>
        </row>
        <row r="22625">
          <cell r="E22625">
            <v>0</v>
          </cell>
          <cell r="F22625">
            <v>0</v>
          </cell>
          <cell r="DN22625">
            <v>0</v>
          </cell>
        </row>
        <row r="22626">
          <cell r="E22626">
            <v>0</v>
          </cell>
          <cell r="F22626">
            <v>0</v>
          </cell>
          <cell r="DN22626">
            <v>0</v>
          </cell>
        </row>
        <row r="22627">
          <cell r="E22627">
            <v>0</v>
          </cell>
          <cell r="F22627">
            <v>0</v>
          </cell>
          <cell r="DN22627">
            <v>0</v>
          </cell>
        </row>
        <row r="22628">
          <cell r="E22628">
            <v>0</v>
          </cell>
          <cell r="F22628">
            <v>0</v>
          </cell>
          <cell r="DN22628">
            <v>0</v>
          </cell>
        </row>
        <row r="22629">
          <cell r="E22629">
            <v>0</v>
          </cell>
          <cell r="F22629">
            <v>0</v>
          </cell>
          <cell r="DN22629">
            <v>0</v>
          </cell>
        </row>
        <row r="22630">
          <cell r="E22630">
            <v>0</v>
          </cell>
          <cell r="F22630">
            <v>0</v>
          </cell>
          <cell r="DN22630">
            <v>0</v>
          </cell>
        </row>
        <row r="22631">
          <cell r="E22631">
            <v>0</v>
          </cell>
          <cell r="F22631">
            <v>0</v>
          </cell>
          <cell r="DN22631">
            <v>0</v>
          </cell>
        </row>
        <row r="22632">
          <cell r="E22632">
            <v>0</v>
          </cell>
          <cell r="F22632">
            <v>0</v>
          </cell>
          <cell r="DN22632">
            <v>0</v>
          </cell>
        </row>
        <row r="22633">
          <cell r="E22633">
            <v>0</v>
          </cell>
          <cell r="F22633">
            <v>0</v>
          </cell>
          <cell r="DN22633">
            <v>0</v>
          </cell>
        </row>
        <row r="22634">
          <cell r="E22634">
            <v>0</v>
          </cell>
          <cell r="F22634">
            <v>0</v>
          </cell>
          <cell r="DN22634">
            <v>0</v>
          </cell>
        </row>
        <row r="22635">
          <cell r="E22635">
            <v>0</v>
          </cell>
          <cell r="F22635">
            <v>0</v>
          </cell>
          <cell r="DN22635">
            <v>0</v>
          </cell>
        </row>
        <row r="22636">
          <cell r="E22636">
            <v>0</v>
          </cell>
          <cell r="F22636">
            <v>0</v>
          </cell>
          <cell r="DN22636">
            <v>0</v>
          </cell>
        </row>
        <row r="22637">
          <cell r="E22637">
            <v>0</v>
          </cell>
          <cell r="F22637">
            <v>0</v>
          </cell>
          <cell r="DN22637">
            <v>0</v>
          </cell>
        </row>
        <row r="22638">
          <cell r="E22638">
            <v>0</v>
          </cell>
          <cell r="F22638">
            <v>0</v>
          </cell>
          <cell r="DN22638">
            <v>0</v>
          </cell>
        </row>
        <row r="22639">
          <cell r="E22639">
            <v>0</v>
          </cell>
          <cell r="F22639">
            <v>0</v>
          </cell>
          <cell r="DN22639">
            <v>0</v>
          </cell>
        </row>
        <row r="22640">
          <cell r="E22640">
            <v>0</v>
          </cell>
          <cell r="F22640">
            <v>0</v>
          </cell>
          <cell r="DN22640">
            <v>0</v>
          </cell>
        </row>
        <row r="22641">
          <cell r="E22641">
            <v>0</v>
          </cell>
          <cell r="F22641">
            <v>0</v>
          </cell>
          <cell r="DN22641">
            <v>0</v>
          </cell>
        </row>
        <row r="22642">
          <cell r="E22642">
            <v>0</v>
          </cell>
          <cell r="F22642">
            <v>0</v>
          </cell>
          <cell r="DN22642">
            <v>0</v>
          </cell>
        </row>
        <row r="22643">
          <cell r="E22643">
            <v>0</v>
          </cell>
          <cell r="F22643">
            <v>0</v>
          </cell>
          <cell r="DN22643">
            <v>0</v>
          </cell>
        </row>
        <row r="22644">
          <cell r="E22644">
            <v>0</v>
          </cell>
          <cell r="F22644">
            <v>0</v>
          </cell>
          <cell r="DN22644">
            <v>0</v>
          </cell>
        </row>
        <row r="22645">
          <cell r="E22645">
            <v>0</v>
          </cell>
          <cell r="F22645">
            <v>0</v>
          </cell>
          <cell r="DN22645">
            <v>0</v>
          </cell>
        </row>
        <row r="22646">
          <cell r="E22646">
            <v>0</v>
          </cell>
          <cell r="F22646">
            <v>0</v>
          </cell>
          <cell r="DN22646">
            <v>0</v>
          </cell>
        </row>
        <row r="22647">
          <cell r="E22647">
            <v>0</v>
          </cell>
          <cell r="F22647">
            <v>0</v>
          </cell>
          <cell r="DN22647">
            <v>0</v>
          </cell>
        </row>
        <row r="22648">
          <cell r="E22648">
            <v>0</v>
          </cell>
          <cell r="F22648">
            <v>0</v>
          </cell>
          <cell r="DN22648">
            <v>0</v>
          </cell>
        </row>
        <row r="22649">
          <cell r="E22649">
            <v>0</v>
          </cell>
          <cell r="F22649">
            <v>0</v>
          </cell>
          <cell r="DN22649">
            <v>0</v>
          </cell>
        </row>
        <row r="22650">
          <cell r="E22650">
            <v>0</v>
          </cell>
          <cell r="F22650">
            <v>0</v>
          </cell>
          <cell r="DN22650">
            <v>0</v>
          </cell>
        </row>
        <row r="22651">
          <cell r="E22651">
            <v>0</v>
          </cell>
          <cell r="F22651">
            <v>0</v>
          </cell>
          <cell r="DN22651">
            <v>0</v>
          </cell>
        </row>
        <row r="22652">
          <cell r="E22652">
            <v>0</v>
          </cell>
          <cell r="F22652">
            <v>0</v>
          </cell>
          <cell r="DN22652">
            <v>0</v>
          </cell>
        </row>
        <row r="22653">
          <cell r="E22653">
            <v>0</v>
          </cell>
          <cell r="F22653">
            <v>0</v>
          </cell>
          <cell r="DN22653">
            <v>0</v>
          </cell>
        </row>
        <row r="22654">
          <cell r="E22654">
            <v>0</v>
          </cell>
          <cell r="F22654">
            <v>0</v>
          </cell>
          <cell r="DN22654">
            <v>0</v>
          </cell>
        </row>
        <row r="22655">
          <cell r="E22655">
            <v>0</v>
          </cell>
          <cell r="F22655">
            <v>0</v>
          </cell>
          <cell r="DN22655">
            <v>0</v>
          </cell>
        </row>
        <row r="22656">
          <cell r="E22656">
            <v>0</v>
          </cell>
          <cell r="F22656">
            <v>0</v>
          </cell>
          <cell r="DN22656">
            <v>0</v>
          </cell>
        </row>
        <row r="22657">
          <cell r="E22657">
            <v>0</v>
          </cell>
          <cell r="F22657">
            <v>0</v>
          </cell>
          <cell r="DN22657">
            <v>0</v>
          </cell>
        </row>
        <row r="22658">
          <cell r="E22658">
            <v>0</v>
          </cell>
          <cell r="F22658">
            <v>0</v>
          </cell>
          <cell r="DN22658">
            <v>0</v>
          </cell>
        </row>
        <row r="22659">
          <cell r="E22659">
            <v>0</v>
          </cell>
          <cell r="F22659">
            <v>0</v>
          </cell>
          <cell r="DN22659">
            <v>0</v>
          </cell>
        </row>
        <row r="22660">
          <cell r="E22660">
            <v>0</v>
          </cell>
          <cell r="F22660">
            <v>0</v>
          </cell>
          <cell r="DN22660">
            <v>0</v>
          </cell>
        </row>
        <row r="22661">
          <cell r="E22661">
            <v>0</v>
          </cell>
          <cell r="F22661">
            <v>0</v>
          </cell>
          <cell r="DN22661">
            <v>0</v>
          </cell>
        </row>
        <row r="22662">
          <cell r="E22662">
            <v>0</v>
          </cell>
          <cell r="F22662">
            <v>0</v>
          </cell>
          <cell r="DN22662">
            <v>0</v>
          </cell>
        </row>
        <row r="22663">
          <cell r="E22663">
            <v>0</v>
          </cell>
          <cell r="F22663">
            <v>0</v>
          </cell>
          <cell r="DN22663">
            <v>0</v>
          </cell>
        </row>
        <row r="22664">
          <cell r="E22664">
            <v>0</v>
          </cell>
          <cell r="F22664">
            <v>0</v>
          </cell>
          <cell r="DN22664">
            <v>0</v>
          </cell>
        </row>
        <row r="22665">
          <cell r="E22665">
            <v>0</v>
          </cell>
          <cell r="F22665">
            <v>0</v>
          </cell>
          <cell r="DN22665">
            <v>0</v>
          </cell>
        </row>
        <row r="22666">
          <cell r="E22666">
            <v>0</v>
          </cell>
          <cell r="F22666">
            <v>0</v>
          </cell>
          <cell r="DN22666">
            <v>0</v>
          </cell>
        </row>
        <row r="22667">
          <cell r="E22667">
            <v>0</v>
          </cell>
          <cell r="F22667">
            <v>0</v>
          </cell>
          <cell r="DN22667">
            <v>0</v>
          </cell>
        </row>
        <row r="22668">
          <cell r="E22668">
            <v>0</v>
          </cell>
          <cell r="F22668">
            <v>0</v>
          </cell>
          <cell r="DN22668">
            <v>0</v>
          </cell>
        </row>
        <row r="22669">
          <cell r="E22669">
            <v>0</v>
          </cell>
          <cell r="F22669">
            <v>0</v>
          </cell>
          <cell r="DN22669">
            <v>0</v>
          </cell>
        </row>
        <row r="22670">
          <cell r="E22670">
            <v>0</v>
          </cell>
          <cell r="F22670">
            <v>0</v>
          </cell>
          <cell r="DN22670">
            <v>0</v>
          </cell>
        </row>
        <row r="22671">
          <cell r="E22671">
            <v>0</v>
          </cell>
          <cell r="F22671">
            <v>0</v>
          </cell>
          <cell r="DN22671">
            <v>0</v>
          </cell>
        </row>
        <row r="22672">
          <cell r="E22672">
            <v>0</v>
          </cell>
          <cell r="F22672">
            <v>0</v>
          </cell>
          <cell r="DN22672">
            <v>0</v>
          </cell>
        </row>
        <row r="22673">
          <cell r="E22673">
            <v>0</v>
          </cell>
          <cell r="F22673">
            <v>0</v>
          </cell>
          <cell r="DN22673">
            <v>0</v>
          </cell>
        </row>
        <row r="22674">
          <cell r="E22674">
            <v>0</v>
          </cell>
          <cell r="F22674">
            <v>0</v>
          </cell>
          <cell r="DN22674">
            <v>0</v>
          </cell>
        </row>
        <row r="22675">
          <cell r="E22675">
            <v>0</v>
          </cell>
          <cell r="F22675">
            <v>0</v>
          </cell>
          <cell r="DN22675">
            <v>0</v>
          </cell>
        </row>
        <row r="22676">
          <cell r="E22676">
            <v>0</v>
          </cell>
          <cell r="F22676">
            <v>0</v>
          </cell>
          <cell r="DN22676">
            <v>0</v>
          </cell>
        </row>
        <row r="22677">
          <cell r="E22677">
            <v>0</v>
          </cell>
          <cell r="F22677">
            <v>0</v>
          </cell>
          <cell r="DN22677">
            <v>0</v>
          </cell>
        </row>
        <row r="22678">
          <cell r="E22678">
            <v>0</v>
          </cell>
          <cell r="F22678">
            <v>0</v>
          </cell>
          <cell r="DN22678">
            <v>0</v>
          </cell>
        </row>
        <row r="22679">
          <cell r="E22679">
            <v>0</v>
          </cell>
          <cell r="F22679">
            <v>0</v>
          </cell>
          <cell r="DN22679">
            <v>0</v>
          </cell>
        </row>
        <row r="22680">
          <cell r="E22680">
            <v>0</v>
          </cell>
          <cell r="F22680">
            <v>0</v>
          </cell>
          <cell r="DN22680">
            <v>0</v>
          </cell>
        </row>
        <row r="22681">
          <cell r="E22681">
            <v>0</v>
          </cell>
          <cell r="F22681">
            <v>0</v>
          </cell>
          <cell r="DN22681">
            <v>0</v>
          </cell>
        </row>
        <row r="22682">
          <cell r="E22682">
            <v>0</v>
          </cell>
          <cell r="F22682">
            <v>0</v>
          </cell>
          <cell r="DN22682">
            <v>0</v>
          </cell>
        </row>
        <row r="22683">
          <cell r="E22683">
            <v>0</v>
          </cell>
          <cell r="F22683">
            <v>0</v>
          </cell>
          <cell r="DN22683">
            <v>0</v>
          </cell>
        </row>
        <row r="22684">
          <cell r="E22684">
            <v>0</v>
          </cell>
          <cell r="F22684">
            <v>0</v>
          </cell>
          <cell r="DN22684">
            <v>0</v>
          </cell>
        </row>
        <row r="22685">
          <cell r="E22685">
            <v>0</v>
          </cell>
          <cell r="F22685">
            <v>0</v>
          </cell>
          <cell r="DN22685">
            <v>0</v>
          </cell>
        </row>
        <row r="22686">
          <cell r="E22686">
            <v>0</v>
          </cell>
          <cell r="F22686">
            <v>0</v>
          </cell>
          <cell r="DN22686">
            <v>0</v>
          </cell>
        </row>
        <row r="22687">
          <cell r="E22687">
            <v>0</v>
          </cell>
          <cell r="F22687">
            <v>0</v>
          </cell>
          <cell r="DN22687">
            <v>0</v>
          </cell>
        </row>
        <row r="22688">
          <cell r="E22688">
            <v>0</v>
          </cell>
          <cell r="F22688">
            <v>0</v>
          </cell>
          <cell r="DN22688">
            <v>0</v>
          </cell>
        </row>
        <row r="22689">
          <cell r="E22689">
            <v>0</v>
          </cell>
          <cell r="F22689">
            <v>0</v>
          </cell>
          <cell r="DN22689">
            <v>0</v>
          </cell>
        </row>
        <row r="22690">
          <cell r="E22690">
            <v>0</v>
          </cell>
          <cell r="F22690">
            <v>0</v>
          </cell>
          <cell r="DN22690">
            <v>0</v>
          </cell>
        </row>
        <row r="22691">
          <cell r="E22691">
            <v>0</v>
          </cell>
          <cell r="F22691">
            <v>0</v>
          </cell>
          <cell r="DN22691">
            <v>0</v>
          </cell>
        </row>
        <row r="22692">
          <cell r="E22692">
            <v>0</v>
          </cell>
          <cell r="F22692">
            <v>0</v>
          </cell>
          <cell r="DN22692">
            <v>0</v>
          </cell>
        </row>
        <row r="22693">
          <cell r="E22693">
            <v>0</v>
          </cell>
          <cell r="F22693">
            <v>0</v>
          </cell>
          <cell r="DN22693">
            <v>0</v>
          </cell>
        </row>
        <row r="22694">
          <cell r="E22694">
            <v>0</v>
          </cell>
          <cell r="F22694">
            <v>0</v>
          </cell>
          <cell r="DN22694">
            <v>0</v>
          </cell>
        </row>
        <row r="22695">
          <cell r="E22695">
            <v>0</v>
          </cell>
          <cell r="F22695">
            <v>0</v>
          </cell>
          <cell r="DN22695">
            <v>0</v>
          </cell>
        </row>
        <row r="22696">
          <cell r="E22696">
            <v>0</v>
          </cell>
          <cell r="F22696">
            <v>0</v>
          </cell>
          <cell r="DN22696">
            <v>0</v>
          </cell>
        </row>
        <row r="22697">
          <cell r="E22697">
            <v>0</v>
          </cell>
          <cell r="F22697">
            <v>0</v>
          </cell>
          <cell r="DN22697">
            <v>0</v>
          </cell>
        </row>
        <row r="22698">
          <cell r="E22698">
            <v>0</v>
          </cell>
          <cell r="F22698">
            <v>0</v>
          </cell>
          <cell r="DN22698">
            <v>0</v>
          </cell>
        </row>
        <row r="22699">
          <cell r="E22699">
            <v>0</v>
          </cell>
          <cell r="F22699">
            <v>0</v>
          </cell>
          <cell r="DN22699">
            <v>0</v>
          </cell>
        </row>
        <row r="22700">
          <cell r="E22700">
            <v>0</v>
          </cell>
          <cell r="F22700">
            <v>0</v>
          </cell>
          <cell r="DN22700">
            <v>0</v>
          </cell>
        </row>
        <row r="22701">
          <cell r="E22701">
            <v>0</v>
          </cell>
          <cell r="F22701">
            <v>0</v>
          </cell>
          <cell r="DN22701">
            <v>0</v>
          </cell>
        </row>
        <row r="22702">
          <cell r="E22702">
            <v>0</v>
          </cell>
          <cell r="F22702">
            <v>0</v>
          </cell>
          <cell r="DN22702">
            <v>0</v>
          </cell>
        </row>
        <row r="22703">
          <cell r="E22703">
            <v>0</v>
          </cell>
          <cell r="F22703">
            <v>0</v>
          </cell>
          <cell r="DN22703">
            <v>0</v>
          </cell>
        </row>
        <row r="22704">
          <cell r="E22704">
            <v>0</v>
          </cell>
          <cell r="F22704">
            <v>0</v>
          </cell>
          <cell r="DN22704">
            <v>0</v>
          </cell>
        </row>
        <row r="22705">
          <cell r="E22705">
            <v>0</v>
          </cell>
          <cell r="F22705">
            <v>0</v>
          </cell>
          <cell r="DN22705">
            <v>0</v>
          </cell>
        </row>
        <row r="22706">
          <cell r="E22706">
            <v>0</v>
          </cell>
          <cell r="F22706">
            <v>0</v>
          </cell>
          <cell r="DN22706">
            <v>0</v>
          </cell>
        </row>
        <row r="22707">
          <cell r="E22707">
            <v>0</v>
          </cell>
          <cell r="F22707">
            <v>0</v>
          </cell>
          <cell r="DN22707">
            <v>0</v>
          </cell>
        </row>
        <row r="22708">
          <cell r="E22708">
            <v>0</v>
          </cell>
          <cell r="F22708">
            <v>0</v>
          </cell>
          <cell r="DN22708">
            <v>0</v>
          </cell>
        </row>
        <row r="22709">
          <cell r="E22709">
            <v>0</v>
          </cell>
          <cell r="F22709">
            <v>0</v>
          </cell>
          <cell r="DN22709">
            <v>0</v>
          </cell>
        </row>
        <row r="22710">
          <cell r="E22710">
            <v>0</v>
          </cell>
          <cell r="F22710">
            <v>0</v>
          </cell>
          <cell r="DN22710">
            <v>0</v>
          </cell>
        </row>
        <row r="22711">
          <cell r="E22711">
            <v>0</v>
          </cell>
          <cell r="F22711">
            <v>0</v>
          </cell>
          <cell r="DN22711">
            <v>0</v>
          </cell>
        </row>
        <row r="22712">
          <cell r="E22712">
            <v>0</v>
          </cell>
          <cell r="F22712">
            <v>0</v>
          </cell>
          <cell r="DN22712">
            <v>0</v>
          </cell>
        </row>
        <row r="22713">
          <cell r="E22713">
            <v>0</v>
          </cell>
          <cell r="F22713">
            <v>0</v>
          </cell>
          <cell r="DN22713">
            <v>0</v>
          </cell>
        </row>
        <row r="22714">
          <cell r="E22714">
            <v>0</v>
          </cell>
          <cell r="F22714">
            <v>0</v>
          </cell>
          <cell r="DN22714">
            <v>0</v>
          </cell>
        </row>
        <row r="22715">
          <cell r="E22715">
            <v>0</v>
          </cell>
          <cell r="F22715">
            <v>0</v>
          </cell>
          <cell r="DN22715">
            <v>0</v>
          </cell>
        </row>
        <row r="22716">
          <cell r="E22716">
            <v>0</v>
          </cell>
          <cell r="F22716">
            <v>0</v>
          </cell>
          <cell r="DN22716">
            <v>0</v>
          </cell>
        </row>
        <row r="22717">
          <cell r="E22717">
            <v>0</v>
          </cell>
          <cell r="F22717">
            <v>0</v>
          </cell>
          <cell r="DN22717">
            <v>0</v>
          </cell>
        </row>
        <row r="22718">
          <cell r="E22718">
            <v>0</v>
          </cell>
          <cell r="F22718">
            <v>0</v>
          </cell>
          <cell r="DN22718">
            <v>0</v>
          </cell>
        </row>
        <row r="22719">
          <cell r="E22719">
            <v>0</v>
          </cell>
          <cell r="F22719">
            <v>0</v>
          </cell>
          <cell r="DN22719">
            <v>0</v>
          </cell>
        </row>
        <row r="22720">
          <cell r="E22720">
            <v>0</v>
          </cell>
          <cell r="F22720">
            <v>0</v>
          </cell>
          <cell r="DN22720">
            <v>0</v>
          </cell>
        </row>
        <row r="22721">
          <cell r="E22721">
            <v>0</v>
          </cell>
          <cell r="F22721">
            <v>0</v>
          </cell>
          <cell r="DN22721">
            <v>0</v>
          </cell>
        </row>
        <row r="22722">
          <cell r="E22722">
            <v>0</v>
          </cell>
          <cell r="F22722">
            <v>0</v>
          </cell>
          <cell r="DN22722">
            <v>0</v>
          </cell>
        </row>
        <row r="22723">
          <cell r="E22723">
            <v>0</v>
          </cell>
          <cell r="F22723">
            <v>0</v>
          </cell>
          <cell r="DN22723">
            <v>0</v>
          </cell>
        </row>
        <row r="22724">
          <cell r="E22724">
            <v>0</v>
          </cell>
          <cell r="F22724">
            <v>0</v>
          </cell>
          <cell r="DN22724">
            <v>0</v>
          </cell>
        </row>
        <row r="22725">
          <cell r="E22725">
            <v>0</v>
          </cell>
          <cell r="F22725">
            <v>0</v>
          </cell>
          <cell r="DN22725">
            <v>0</v>
          </cell>
        </row>
        <row r="22726">
          <cell r="E22726">
            <v>0</v>
          </cell>
          <cell r="F22726">
            <v>0</v>
          </cell>
          <cell r="DN22726">
            <v>0</v>
          </cell>
        </row>
        <row r="22727">
          <cell r="E22727">
            <v>0</v>
          </cell>
          <cell r="F22727">
            <v>0</v>
          </cell>
          <cell r="DN22727">
            <v>0</v>
          </cell>
        </row>
        <row r="22728">
          <cell r="E22728">
            <v>0</v>
          </cell>
          <cell r="F22728">
            <v>0</v>
          </cell>
          <cell r="DN22728">
            <v>0</v>
          </cell>
        </row>
        <row r="22729">
          <cell r="E22729">
            <v>0</v>
          </cell>
          <cell r="F22729">
            <v>0</v>
          </cell>
          <cell r="DN22729">
            <v>0</v>
          </cell>
        </row>
        <row r="22730">
          <cell r="E22730">
            <v>0</v>
          </cell>
          <cell r="F22730">
            <v>0</v>
          </cell>
          <cell r="DN22730">
            <v>0</v>
          </cell>
        </row>
        <row r="22731">
          <cell r="E22731">
            <v>0</v>
          </cell>
          <cell r="F22731">
            <v>0</v>
          </cell>
          <cell r="DN22731">
            <v>0</v>
          </cell>
        </row>
        <row r="22732">
          <cell r="E22732">
            <v>0</v>
          </cell>
          <cell r="F22732">
            <v>0</v>
          </cell>
          <cell r="DN22732">
            <v>0</v>
          </cell>
        </row>
        <row r="22733">
          <cell r="E22733">
            <v>0</v>
          </cell>
          <cell r="F22733">
            <v>0</v>
          </cell>
          <cell r="DN22733">
            <v>0</v>
          </cell>
        </row>
        <row r="22734">
          <cell r="E22734">
            <v>0</v>
          </cell>
          <cell r="F22734">
            <v>0</v>
          </cell>
          <cell r="DN22734">
            <v>0</v>
          </cell>
        </row>
        <row r="22735">
          <cell r="E22735">
            <v>0</v>
          </cell>
          <cell r="F22735">
            <v>0</v>
          </cell>
          <cell r="DN22735">
            <v>0</v>
          </cell>
        </row>
        <row r="22736">
          <cell r="E22736">
            <v>0</v>
          </cell>
          <cell r="F22736">
            <v>0</v>
          </cell>
          <cell r="DN22736">
            <v>0</v>
          </cell>
        </row>
        <row r="22737">
          <cell r="E22737">
            <v>0</v>
          </cell>
          <cell r="F22737">
            <v>0</v>
          </cell>
          <cell r="DN22737">
            <v>0</v>
          </cell>
        </row>
        <row r="22738">
          <cell r="E22738">
            <v>0</v>
          </cell>
          <cell r="F22738">
            <v>0</v>
          </cell>
          <cell r="DN22738">
            <v>0</v>
          </cell>
        </row>
        <row r="22739">
          <cell r="E22739">
            <v>0</v>
          </cell>
          <cell r="F22739">
            <v>0</v>
          </cell>
          <cell r="DN22739">
            <v>0</v>
          </cell>
        </row>
        <row r="22740">
          <cell r="E22740">
            <v>0</v>
          </cell>
          <cell r="F22740">
            <v>0</v>
          </cell>
          <cell r="DN22740">
            <v>0</v>
          </cell>
        </row>
        <row r="22741">
          <cell r="E22741">
            <v>0</v>
          </cell>
          <cell r="F22741">
            <v>0</v>
          </cell>
          <cell r="DN22741">
            <v>0</v>
          </cell>
        </row>
        <row r="22742">
          <cell r="E22742">
            <v>0</v>
          </cell>
          <cell r="F22742">
            <v>0</v>
          </cell>
          <cell r="DN22742">
            <v>0</v>
          </cell>
        </row>
        <row r="22743">
          <cell r="E22743">
            <v>0</v>
          </cell>
          <cell r="F22743">
            <v>0</v>
          </cell>
          <cell r="DN22743">
            <v>0</v>
          </cell>
        </row>
        <row r="22744">
          <cell r="E22744">
            <v>0</v>
          </cell>
          <cell r="F22744">
            <v>0</v>
          </cell>
          <cell r="DN22744">
            <v>0</v>
          </cell>
        </row>
        <row r="22745">
          <cell r="E22745">
            <v>0</v>
          </cell>
          <cell r="F22745">
            <v>0</v>
          </cell>
          <cell r="DN22745">
            <v>0</v>
          </cell>
        </row>
        <row r="22746">
          <cell r="E22746">
            <v>0</v>
          </cell>
          <cell r="F22746">
            <v>0</v>
          </cell>
          <cell r="DN22746">
            <v>0</v>
          </cell>
        </row>
        <row r="22747">
          <cell r="E22747">
            <v>0</v>
          </cell>
          <cell r="F22747">
            <v>0</v>
          </cell>
          <cell r="DN22747">
            <v>0</v>
          </cell>
        </row>
        <row r="22748">
          <cell r="E22748">
            <v>0</v>
          </cell>
          <cell r="F22748">
            <v>0</v>
          </cell>
          <cell r="DN22748">
            <v>0</v>
          </cell>
        </row>
        <row r="22749">
          <cell r="E22749">
            <v>0</v>
          </cell>
          <cell r="F22749">
            <v>0</v>
          </cell>
          <cell r="DN22749">
            <v>0</v>
          </cell>
        </row>
        <row r="22750">
          <cell r="E22750">
            <v>0</v>
          </cell>
          <cell r="F22750">
            <v>0</v>
          </cell>
          <cell r="DN22750">
            <v>0</v>
          </cell>
        </row>
        <row r="22751">
          <cell r="E22751">
            <v>0</v>
          </cell>
          <cell r="F22751">
            <v>0</v>
          </cell>
          <cell r="DN22751">
            <v>0</v>
          </cell>
        </row>
        <row r="22752">
          <cell r="E22752">
            <v>0</v>
          </cell>
          <cell r="F22752">
            <v>0</v>
          </cell>
          <cell r="DN22752">
            <v>0</v>
          </cell>
        </row>
        <row r="22753">
          <cell r="E22753">
            <v>0</v>
          </cell>
          <cell r="F22753">
            <v>0</v>
          </cell>
          <cell r="DN22753">
            <v>0</v>
          </cell>
        </row>
        <row r="22754">
          <cell r="E22754">
            <v>0</v>
          </cell>
          <cell r="F22754">
            <v>0</v>
          </cell>
          <cell r="DN22754">
            <v>0</v>
          </cell>
        </row>
        <row r="22755">
          <cell r="E22755">
            <v>0</v>
          </cell>
          <cell r="F22755">
            <v>0</v>
          </cell>
          <cell r="DN22755">
            <v>0</v>
          </cell>
        </row>
        <row r="22756">
          <cell r="E22756">
            <v>0</v>
          </cell>
          <cell r="F22756">
            <v>0</v>
          </cell>
          <cell r="DN22756">
            <v>0</v>
          </cell>
        </row>
        <row r="22757">
          <cell r="E22757">
            <v>0</v>
          </cell>
          <cell r="F22757">
            <v>0</v>
          </cell>
          <cell r="DN22757">
            <v>0</v>
          </cell>
        </row>
        <row r="22758">
          <cell r="E22758">
            <v>0</v>
          </cell>
          <cell r="F22758">
            <v>0</v>
          </cell>
          <cell r="DN22758">
            <v>0</v>
          </cell>
        </row>
        <row r="22759">
          <cell r="E22759">
            <v>0</v>
          </cell>
          <cell r="F22759">
            <v>0</v>
          </cell>
          <cell r="DN22759">
            <v>0</v>
          </cell>
        </row>
        <row r="22760">
          <cell r="E22760">
            <v>0</v>
          </cell>
          <cell r="F22760">
            <v>0</v>
          </cell>
          <cell r="DN22760">
            <v>0</v>
          </cell>
        </row>
        <row r="22761">
          <cell r="E22761">
            <v>0</v>
          </cell>
          <cell r="F22761">
            <v>0</v>
          </cell>
          <cell r="DN22761">
            <v>0</v>
          </cell>
        </row>
        <row r="22762">
          <cell r="E22762">
            <v>0</v>
          </cell>
          <cell r="F22762">
            <v>0</v>
          </cell>
          <cell r="DN22762">
            <v>0</v>
          </cell>
        </row>
        <row r="22763">
          <cell r="E22763">
            <v>0</v>
          </cell>
          <cell r="F22763">
            <v>0</v>
          </cell>
          <cell r="DN22763">
            <v>0</v>
          </cell>
        </row>
        <row r="22764">
          <cell r="E22764">
            <v>0</v>
          </cell>
          <cell r="F22764">
            <v>0</v>
          </cell>
          <cell r="DN22764">
            <v>0</v>
          </cell>
        </row>
        <row r="22765">
          <cell r="E22765">
            <v>0</v>
          </cell>
          <cell r="F22765">
            <v>0</v>
          </cell>
          <cell r="DN22765">
            <v>0</v>
          </cell>
        </row>
        <row r="22766">
          <cell r="E22766">
            <v>0</v>
          </cell>
          <cell r="F22766">
            <v>0</v>
          </cell>
          <cell r="DN22766">
            <v>0</v>
          </cell>
        </row>
        <row r="22767">
          <cell r="E22767">
            <v>0</v>
          </cell>
          <cell r="F22767">
            <v>0</v>
          </cell>
          <cell r="DN22767">
            <v>0</v>
          </cell>
        </row>
        <row r="22768">
          <cell r="E22768">
            <v>0</v>
          </cell>
          <cell r="F22768">
            <v>0</v>
          </cell>
          <cell r="DN22768">
            <v>0</v>
          </cell>
        </row>
        <row r="22769">
          <cell r="E22769">
            <v>0</v>
          </cell>
          <cell r="F22769">
            <v>0</v>
          </cell>
          <cell r="DN22769">
            <v>0</v>
          </cell>
        </row>
        <row r="22770">
          <cell r="E22770">
            <v>0</v>
          </cell>
          <cell r="F22770">
            <v>0</v>
          </cell>
          <cell r="DN22770">
            <v>0</v>
          </cell>
        </row>
        <row r="22771">
          <cell r="E22771">
            <v>0</v>
          </cell>
          <cell r="F22771">
            <v>0</v>
          </cell>
          <cell r="DN22771">
            <v>0</v>
          </cell>
        </row>
        <row r="22772">
          <cell r="E22772">
            <v>0</v>
          </cell>
          <cell r="F22772">
            <v>0</v>
          </cell>
          <cell r="DN22772">
            <v>0</v>
          </cell>
        </row>
        <row r="22773">
          <cell r="E22773">
            <v>0</v>
          </cell>
          <cell r="F22773">
            <v>0</v>
          </cell>
          <cell r="DN22773">
            <v>0</v>
          </cell>
        </row>
        <row r="22774">
          <cell r="E22774">
            <v>0</v>
          </cell>
          <cell r="F22774">
            <v>0</v>
          </cell>
          <cell r="DN22774">
            <v>0</v>
          </cell>
        </row>
        <row r="22775">
          <cell r="E22775">
            <v>0</v>
          </cell>
          <cell r="F22775">
            <v>0</v>
          </cell>
          <cell r="DN22775">
            <v>0</v>
          </cell>
        </row>
        <row r="22776">
          <cell r="E22776">
            <v>0</v>
          </cell>
          <cell r="F22776">
            <v>0</v>
          </cell>
          <cell r="DN22776">
            <v>0</v>
          </cell>
        </row>
        <row r="22777">
          <cell r="E22777">
            <v>0</v>
          </cell>
          <cell r="F22777">
            <v>0</v>
          </cell>
          <cell r="DN22777">
            <v>0</v>
          </cell>
        </row>
        <row r="22778">
          <cell r="E22778">
            <v>0</v>
          </cell>
          <cell r="F22778">
            <v>0</v>
          </cell>
          <cell r="DN22778">
            <v>0</v>
          </cell>
        </row>
        <row r="22779">
          <cell r="E22779">
            <v>0</v>
          </cell>
          <cell r="F22779">
            <v>0</v>
          </cell>
          <cell r="DN22779">
            <v>0</v>
          </cell>
        </row>
        <row r="22780">
          <cell r="E22780">
            <v>0</v>
          </cell>
          <cell r="F22780">
            <v>0</v>
          </cell>
          <cell r="DN22780">
            <v>0</v>
          </cell>
        </row>
        <row r="22781">
          <cell r="E22781">
            <v>0</v>
          </cell>
          <cell r="F22781">
            <v>0</v>
          </cell>
          <cell r="DN22781">
            <v>0</v>
          </cell>
        </row>
        <row r="22782">
          <cell r="E22782">
            <v>0</v>
          </cell>
          <cell r="F22782">
            <v>0</v>
          </cell>
          <cell r="DN22782">
            <v>0</v>
          </cell>
        </row>
        <row r="22783">
          <cell r="E22783">
            <v>0</v>
          </cell>
          <cell r="F22783">
            <v>0</v>
          </cell>
          <cell r="DN22783">
            <v>0</v>
          </cell>
        </row>
        <row r="22784">
          <cell r="E22784">
            <v>0</v>
          </cell>
          <cell r="F22784">
            <v>0</v>
          </cell>
          <cell r="DN22784">
            <v>0</v>
          </cell>
        </row>
        <row r="22785">
          <cell r="E22785">
            <v>0</v>
          </cell>
          <cell r="F22785">
            <v>0</v>
          </cell>
          <cell r="DN22785">
            <v>0</v>
          </cell>
        </row>
        <row r="22786">
          <cell r="E22786">
            <v>0</v>
          </cell>
          <cell r="F22786">
            <v>0</v>
          </cell>
          <cell r="DN22786">
            <v>0</v>
          </cell>
        </row>
        <row r="22787">
          <cell r="E22787">
            <v>0</v>
          </cell>
          <cell r="F22787">
            <v>0</v>
          </cell>
          <cell r="DN22787">
            <v>0</v>
          </cell>
        </row>
        <row r="22788">
          <cell r="E22788">
            <v>0</v>
          </cell>
          <cell r="F22788">
            <v>0</v>
          </cell>
          <cell r="DN22788">
            <v>0</v>
          </cell>
        </row>
        <row r="22789">
          <cell r="E22789">
            <v>0</v>
          </cell>
          <cell r="F22789">
            <v>0</v>
          </cell>
          <cell r="DN22789">
            <v>0</v>
          </cell>
        </row>
        <row r="22790">
          <cell r="E22790">
            <v>0</v>
          </cell>
          <cell r="F22790">
            <v>0</v>
          </cell>
          <cell r="DN22790">
            <v>0</v>
          </cell>
        </row>
        <row r="22791">
          <cell r="E22791">
            <v>0</v>
          </cell>
          <cell r="F22791">
            <v>0</v>
          </cell>
          <cell r="DN22791">
            <v>0</v>
          </cell>
        </row>
        <row r="22792">
          <cell r="E22792">
            <v>0</v>
          </cell>
          <cell r="F22792">
            <v>0</v>
          </cell>
          <cell r="DN22792">
            <v>0</v>
          </cell>
        </row>
        <row r="22793">
          <cell r="E22793">
            <v>0</v>
          </cell>
          <cell r="F22793">
            <v>0</v>
          </cell>
          <cell r="DN22793">
            <v>0</v>
          </cell>
        </row>
        <row r="22794">
          <cell r="E22794">
            <v>0</v>
          </cell>
          <cell r="F22794">
            <v>0</v>
          </cell>
          <cell r="DN22794">
            <v>0</v>
          </cell>
        </row>
        <row r="22795">
          <cell r="E22795">
            <v>0</v>
          </cell>
          <cell r="F22795">
            <v>0</v>
          </cell>
          <cell r="DN22795">
            <v>0</v>
          </cell>
        </row>
        <row r="22796">
          <cell r="E22796">
            <v>0</v>
          </cell>
          <cell r="F22796">
            <v>0</v>
          </cell>
          <cell r="DN22796">
            <v>0</v>
          </cell>
        </row>
        <row r="22797">
          <cell r="E22797">
            <v>0</v>
          </cell>
          <cell r="F22797">
            <v>0</v>
          </cell>
          <cell r="DN22797">
            <v>0</v>
          </cell>
        </row>
        <row r="22798">
          <cell r="E22798">
            <v>0</v>
          </cell>
          <cell r="F22798">
            <v>0</v>
          </cell>
          <cell r="DN22798">
            <v>0</v>
          </cell>
        </row>
        <row r="22799">
          <cell r="E22799">
            <v>0</v>
          </cell>
          <cell r="F22799">
            <v>0</v>
          </cell>
          <cell r="DN22799">
            <v>0</v>
          </cell>
        </row>
        <row r="22800">
          <cell r="E22800">
            <v>0</v>
          </cell>
          <cell r="F22800">
            <v>0</v>
          </cell>
          <cell r="DN22800">
            <v>0</v>
          </cell>
        </row>
        <row r="22801">
          <cell r="E22801">
            <v>0</v>
          </cell>
          <cell r="F22801">
            <v>0</v>
          </cell>
          <cell r="DN22801">
            <v>0</v>
          </cell>
        </row>
        <row r="22802">
          <cell r="E22802">
            <v>0</v>
          </cell>
          <cell r="F22802">
            <v>0</v>
          </cell>
          <cell r="DN22802">
            <v>0</v>
          </cell>
        </row>
        <row r="22803">
          <cell r="E22803">
            <v>0</v>
          </cell>
          <cell r="F22803">
            <v>0</v>
          </cell>
          <cell r="DN22803">
            <v>0</v>
          </cell>
        </row>
        <row r="22804">
          <cell r="E22804">
            <v>0</v>
          </cell>
          <cell r="F22804">
            <v>0</v>
          </cell>
          <cell r="DN22804">
            <v>0</v>
          </cell>
        </row>
        <row r="22805">
          <cell r="E22805">
            <v>0</v>
          </cell>
          <cell r="F22805">
            <v>0</v>
          </cell>
          <cell r="DN22805">
            <v>0</v>
          </cell>
        </row>
        <row r="22806">
          <cell r="E22806">
            <v>0</v>
          </cell>
          <cell r="F22806">
            <v>0</v>
          </cell>
          <cell r="DN22806">
            <v>0</v>
          </cell>
        </row>
        <row r="22807">
          <cell r="E22807">
            <v>0</v>
          </cell>
          <cell r="F22807">
            <v>0</v>
          </cell>
          <cell r="DN22807">
            <v>0</v>
          </cell>
        </row>
        <row r="22808">
          <cell r="E22808">
            <v>0</v>
          </cell>
          <cell r="F22808">
            <v>0</v>
          </cell>
          <cell r="DN22808">
            <v>0</v>
          </cell>
        </row>
        <row r="22809">
          <cell r="E22809">
            <v>0</v>
          </cell>
          <cell r="F22809">
            <v>0</v>
          </cell>
          <cell r="DN22809">
            <v>0</v>
          </cell>
        </row>
        <row r="22810">
          <cell r="E22810">
            <v>0</v>
          </cell>
          <cell r="F22810">
            <v>0</v>
          </cell>
          <cell r="DN22810">
            <v>0</v>
          </cell>
        </row>
        <row r="22811">
          <cell r="E22811">
            <v>0</v>
          </cell>
          <cell r="F22811">
            <v>0</v>
          </cell>
          <cell r="DN22811">
            <v>0</v>
          </cell>
        </row>
        <row r="22812">
          <cell r="E22812">
            <v>0</v>
          </cell>
          <cell r="F22812">
            <v>0</v>
          </cell>
          <cell r="DN22812">
            <v>0</v>
          </cell>
        </row>
        <row r="22813">
          <cell r="E22813">
            <v>0</v>
          </cell>
          <cell r="F22813">
            <v>0</v>
          </cell>
          <cell r="DN22813">
            <v>0</v>
          </cell>
        </row>
        <row r="22814">
          <cell r="E22814">
            <v>0</v>
          </cell>
          <cell r="F22814">
            <v>0</v>
          </cell>
          <cell r="DN22814">
            <v>0</v>
          </cell>
        </row>
        <row r="22815">
          <cell r="E22815">
            <v>0</v>
          </cell>
          <cell r="F22815">
            <v>0</v>
          </cell>
          <cell r="DN22815">
            <v>0</v>
          </cell>
        </row>
        <row r="22816">
          <cell r="E22816">
            <v>0</v>
          </cell>
          <cell r="F22816">
            <v>0</v>
          </cell>
          <cell r="DN22816">
            <v>0</v>
          </cell>
        </row>
        <row r="22817">
          <cell r="E22817">
            <v>0</v>
          </cell>
          <cell r="F22817">
            <v>0</v>
          </cell>
          <cell r="DN22817">
            <v>0</v>
          </cell>
        </row>
        <row r="22818">
          <cell r="E22818">
            <v>0</v>
          </cell>
          <cell r="F22818">
            <v>0</v>
          </cell>
          <cell r="DN22818">
            <v>0</v>
          </cell>
        </row>
        <row r="22819">
          <cell r="E22819">
            <v>0</v>
          </cell>
          <cell r="F22819">
            <v>0</v>
          </cell>
          <cell r="DN22819">
            <v>0</v>
          </cell>
        </row>
        <row r="22820">
          <cell r="E22820">
            <v>0</v>
          </cell>
          <cell r="F22820">
            <v>0</v>
          </cell>
          <cell r="DN22820">
            <v>0</v>
          </cell>
        </row>
        <row r="22821">
          <cell r="E22821">
            <v>0</v>
          </cell>
          <cell r="F22821">
            <v>0</v>
          </cell>
          <cell r="DN22821">
            <v>0</v>
          </cell>
        </row>
        <row r="22822">
          <cell r="E22822">
            <v>0</v>
          </cell>
          <cell r="F22822">
            <v>0</v>
          </cell>
          <cell r="DN22822">
            <v>0</v>
          </cell>
        </row>
        <row r="22823">
          <cell r="E22823">
            <v>0</v>
          </cell>
          <cell r="F22823">
            <v>0</v>
          </cell>
          <cell r="DN22823">
            <v>0</v>
          </cell>
        </row>
        <row r="22824">
          <cell r="E22824">
            <v>0</v>
          </cell>
          <cell r="F22824">
            <v>0</v>
          </cell>
          <cell r="DN22824">
            <v>0</v>
          </cell>
        </row>
        <row r="22825">
          <cell r="E22825">
            <v>0</v>
          </cell>
          <cell r="F22825">
            <v>0</v>
          </cell>
          <cell r="DN22825">
            <v>0</v>
          </cell>
        </row>
        <row r="22826">
          <cell r="E22826">
            <v>0</v>
          </cell>
          <cell r="F22826">
            <v>0</v>
          </cell>
          <cell r="DN22826">
            <v>0</v>
          </cell>
        </row>
        <row r="22827">
          <cell r="E22827">
            <v>0</v>
          </cell>
          <cell r="F22827">
            <v>0</v>
          </cell>
          <cell r="DN22827">
            <v>0</v>
          </cell>
        </row>
        <row r="22828">
          <cell r="E22828">
            <v>0</v>
          </cell>
          <cell r="F22828">
            <v>0</v>
          </cell>
          <cell r="DN22828">
            <v>0</v>
          </cell>
        </row>
        <row r="22829">
          <cell r="E22829">
            <v>0</v>
          </cell>
          <cell r="F22829">
            <v>0</v>
          </cell>
          <cell r="DN22829">
            <v>0</v>
          </cell>
        </row>
        <row r="22830">
          <cell r="E22830">
            <v>0</v>
          </cell>
          <cell r="F22830">
            <v>0</v>
          </cell>
          <cell r="DN22830">
            <v>0</v>
          </cell>
        </row>
        <row r="22831">
          <cell r="E22831">
            <v>0</v>
          </cell>
          <cell r="F22831">
            <v>0</v>
          </cell>
          <cell r="DN22831">
            <v>0</v>
          </cell>
        </row>
        <row r="22832">
          <cell r="E22832">
            <v>0</v>
          </cell>
          <cell r="F22832">
            <v>0</v>
          </cell>
          <cell r="DN22832">
            <v>0</v>
          </cell>
        </row>
        <row r="22833">
          <cell r="E22833">
            <v>0</v>
          </cell>
          <cell r="F22833">
            <v>0</v>
          </cell>
          <cell r="DN22833">
            <v>0</v>
          </cell>
        </row>
        <row r="22834">
          <cell r="E22834">
            <v>0</v>
          </cell>
          <cell r="F22834">
            <v>0</v>
          </cell>
          <cell r="DN22834">
            <v>0</v>
          </cell>
        </row>
        <row r="22835">
          <cell r="E22835">
            <v>0</v>
          </cell>
          <cell r="F22835">
            <v>0</v>
          </cell>
          <cell r="DN22835">
            <v>0</v>
          </cell>
        </row>
        <row r="22836">
          <cell r="E22836">
            <v>0</v>
          </cell>
          <cell r="F22836">
            <v>0</v>
          </cell>
          <cell r="DN22836">
            <v>0</v>
          </cell>
        </row>
        <row r="22837">
          <cell r="E22837">
            <v>0</v>
          </cell>
          <cell r="F22837">
            <v>0</v>
          </cell>
          <cell r="DN22837">
            <v>0</v>
          </cell>
        </row>
        <row r="22838">
          <cell r="E22838">
            <v>0</v>
          </cell>
          <cell r="F22838">
            <v>0</v>
          </cell>
          <cell r="DN22838">
            <v>0</v>
          </cell>
        </row>
        <row r="22839">
          <cell r="E22839">
            <v>0</v>
          </cell>
          <cell r="F22839">
            <v>0</v>
          </cell>
          <cell r="DN22839">
            <v>0</v>
          </cell>
        </row>
        <row r="22840">
          <cell r="E22840">
            <v>0</v>
          </cell>
          <cell r="F22840">
            <v>0</v>
          </cell>
          <cell r="DN22840">
            <v>0</v>
          </cell>
        </row>
        <row r="22841">
          <cell r="E22841">
            <v>0</v>
          </cell>
          <cell r="F22841">
            <v>0</v>
          </cell>
          <cell r="DN22841">
            <v>0</v>
          </cell>
        </row>
        <row r="22842">
          <cell r="E22842">
            <v>0</v>
          </cell>
          <cell r="F22842">
            <v>0</v>
          </cell>
          <cell r="DN22842">
            <v>0</v>
          </cell>
        </row>
        <row r="22843">
          <cell r="E22843">
            <v>0</v>
          </cell>
          <cell r="F22843">
            <v>0</v>
          </cell>
          <cell r="DN22843">
            <v>0</v>
          </cell>
        </row>
        <row r="22844">
          <cell r="E22844">
            <v>0</v>
          </cell>
          <cell r="F22844">
            <v>0</v>
          </cell>
          <cell r="DN22844">
            <v>0</v>
          </cell>
        </row>
        <row r="22845">
          <cell r="E22845">
            <v>0</v>
          </cell>
          <cell r="F22845">
            <v>0</v>
          </cell>
          <cell r="DN22845">
            <v>0</v>
          </cell>
        </row>
        <row r="22846">
          <cell r="E22846">
            <v>0</v>
          </cell>
          <cell r="F22846">
            <v>0</v>
          </cell>
          <cell r="DN22846">
            <v>0</v>
          </cell>
        </row>
        <row r="22847">
          <cell r="E22847">
            <v>0</v>
          </cell>
          <cell r="F22847">
            <v>0</v>
          </cell>
          <cell r="DN22847">
            <v>0</v>
          </cell>
        </row>
        <row r="22848">
          <cell r="E22848">
            <v>0</v>
          </cell>
          <cell r="F22848">
            <v>0</v>
          </cell>
          <cell r="DN22848">
            <v>0</v>
          </cell>
        </row>
        <row r="22849">
          <cell r="E22849">
            <v>0</v>
          </cell>
          <cell r="F22849">
            <v>0</v>
          </cell>
          <cell r="DN22849">
            <v>0</v>
          </cell>
        </row>
        <row r="22850">
          <cell r="E22850">
            <v>0</v>
          </cell>
          <cell r="F22850">
            <v>0</v>
          </cell>
          <cell r="DN22850">
            <v>0</v>
          </cell>
        </row>
        <row r="22851">
          <cell r="E22851">
            <v>0</v>
          </cell>
          <cell r="F22851">
            <v>0</v>
          </cell>
          <cell r="DN22851">
            <v>0</v>
          </cell>
        </row>
        <row r="22852">
          <cell r="E22852">
            <v>0</v>
          </cell>
          <cell r="F22852">
            <v>0</v>
          </cell>
          <cell r="DN22852">
            <v>0</v>
          </cell>
        </row>
        <row r="22853">
          <cell r="E22853">
            <v>0</v>
          </cell>
          <cell r="F22853">
            <v>0</v>
          </cell>
          <cell r="DN22853">
            <v>0</v>
          </cell>
        </row>
        <row r="22854">
          <cell r="E22854">
            <v>0</v>
          </cell>
          <cell r="F22854">
            <v>0</v>
          </cell>
          <cell r="DN22854">
            <v>0</v>
          </cell>
        </row>
        <row r="22855">
          <cell r="E22855">
            <v>0</v>
          </cell>
          <cell r="F22855">
            <v>0</v>
          </cell>
          <cell r="DN22855">
            <v>0</v>
          </cell>
        </row>
        <row r="22856">
          <cell r="E22856">
            <v>0</v>
          </cell>
          <cell r="F22856">
            <v>0</v>
          </cell>
          <cell r="DN22856">
            <v>0</v>
          </cell>
        </row>
        <row r="22857">
          <cell r="E22857">
            <v>0</v>
          </cell>
          <cell r="F22857">
            <v>0</v>
          </cell>
          <cell r="DN22857">
            <v>0</v>
          </cell>
        </row>
        <row r="22858">
          <cell r="E22858">
            <v>0</v>
          </cell>
          <cell r="F22858">
            <v>0</v>
          </cell>
          <cell r="DN22858">
            <v>0</v>
          </cell>
        </row>
        <row r="22859">
          <cell r="E22859">
            <v>0</v>
          </cell>
          <cell r="F22859">
            <v>0</v>
          </cell>
          <cell r="DN22859">
            <v>0</v>
          </cell>
        </row>
        <row r="22860">
          <cell r="E22860">
            <v>0</v>
          </cell>
          <cell r="F22860">
            <v>0</v>
          </cell>
          <cell r="DN22860">
            <v>0</v>
          </cell>
        </row>
        <row r="22861">
          <cell r="E22861">
            <v>0</v>
          </cell>
          <cell r="F22861">
            <v>0</v>
          </cell>
          <cell r="DN22861">
            <v>0</v>
          </cell>
        </row>
        <row r="22862">
          <cell r="E22862">
            <v>0</v>
          </cell>
          <cell r="F22862">
            <v>0</v>
          </cell>
          <cell r="DN22862">
            <v>0</v>
          </cell>
        </row>
        <row r="22863">
          <cell r="E22863">
            <v>0</v>
          </cell>
          <cell r="F22863">
            <v>0</v>
          </cell>
          <cell r="DN22863">
            <v>0</v>
          </cell>
        </row>
        <row r="22864">
          <cell r="E22864">
            <v>0</v>
          </cell>
          <cell r="F22864">
            <v>0</v>
          </cell>
          <cell r="DN22864">
            <v>0</v>
          </cell>
        </row>
        <row r="22865">
          <cell r="E22865">
            <v>0</v>
          </cell>
          <cell r="F22865">
            <v>0</v>
          </cell>
          <cell r="DN22865">
            <v>0</v>
          </cell>
        </row>
        <row r="22866">
          <cell r="E22866">
            <v>0</v>
          </cell>
          <cell r="F22866">
            <v>0</v>
          </cell>
          <cell r="DN22866">
            <v>0</v>
          </cell>
        </row>
        <row r="22867">
          <cell r="E22867">
            <v>0</v>
          </cell>
          <cell r="F22867">
            <v>0</v>
          </cell>
          <cell r="DN22867">
            <v>0</v>
          </cell>
        </row>
        <row r="22868">
          <cell r="E22868">
            <v>0</v>
          </cell>
          <cell r="F22868">
            <v>0</v>
          </cell>
          <cell r="DN22868">
            <v>0</v>
          </cell>
        </row>
        <row r="22869">
          <cell r="E22869">
            <v>0</v>
          </cell>
          <cell r="F22869">
            <v>0</v>
          </cell>
          <cell r="DN22869">
            <v>0</v>
          </cell>
        </row>
        <row r="22870">
          <cell r="E22870">
            <v>0</v>
          </cell>
          <cell r="F22870">
            <v>0</v>
          </cell>
          <cell r="DN22870">
            <v>0</v>
          </cell>
        </row>
        <row r="22871">
          <cell r="E22871">
            <v>0</v>
          </cell>
          <cell r="F22871">
            <v>0</v>
          </cell>
          <cell r="DN22871">
            <v>0</v>
          </cell>
        </row>
        <row r="22872">
          <cell r="E22872">
            <v>0</v>
          </cell>
          <cell r="F22872">
            <v>0</v>
          </cell>
          <cell r="DN22872">
            <v>0</v>
          </cell>
        </row>
        <row r="22873">
          <cell r="E22873">
            <v>0</v>
          </cell>
          <cell r="F22873">
            <v>0</v>
          </cell>
          <cell r="DN22873">
            <v>0</v>
          </cell>
        </row>
        <row r="22874">
          <cell r="E22874">
            <v>0</v>
          </cell>
          <cell r="F22874">
            <v>0</v>
          </cell>
          <cell r="DN22874">
            <v>0</v>
          </cell>
        </row>
        <row r="22875">
          <cell r="E22875">
            <v>0</v>
          </cell>
          <cell r="F22875">
            <v>0</v>
          </cell>
          <cell r="DN22875">
            <v>0</v>
          </cell>
        </row>
        <row r="22876">
          <cell r="E22876">
            <v>0</v>
          </cell>
          <cell r="F22876">
            <v>0</v>
          </cell>
          <cell r="DN22876">
            <v>0</v>
          </cell>
        </row>
        <row r="22877">
          <cell r="E22877">
            <v>0</v>
          </cell>
          <cell r="F22877">
            <v>0</v>
          </cell>
          <cell r="DN22877">
            <v>0</v>
          </cell>
        </row>
        <row r="22878">
          <cell r="E22878">
            <v>0</v>
          </cell>
          <cell r="F22878">
            <v>0</v>
          </cell>
          <cell r="DN22878">
            <v>0</v>
          </cell>
        </row>
        <row r="22879">
          <cell r="E22879">
            <v>0</v>
          </cell>
          <cell r="F22879">
            <v>0</v>
          </cell>
          <cell r="DN22879">
            <v>0</v>
          </cell>
        </row>
        <row r="22880">
          <cell r="E22880">
            <v>0</v>
          </cell>
          <cell r="F22880">
            <v>0</v>
          </cell>
          <cell r="DN22880">
            <v>0</v>
          </cell>
        </row>
        <row r="22881">
          <cell r="E22881">
            <v>0</v>
          </cell>
          <cell r="F22881">
            <v>0</v>
          </cell>
          <cell r="DN22881">
            <v>0</v>
          </cell>
        </row>
        <row r="22882">
          <cell r="E22882">
            <v>0</v>
          </cell>
          <cell r="F22882">
            <v>0</v>
          </cell>
          <cell r="DN22882">
            <v>0</v>
          </cell>
        </row>
        <row r="22883">
          <cell r="E22883">
            <v>0</v>
          </cell>
          <cell r="F22883">
            <v>0</v>
          </cell>
          <cell r="DN22883">
            <v>0</v>
          </cell>
        </row>
        <row r="22884">
          <cell r="E22884">
            <v>0</v>
          </cell>
          <cell r="F22884">
            <v>0</v>
          </cell>
          <cell r="DN22884">
            <v>0</v>
          </cell>
        </row>
        <row r="22885">
          <cell r="E22885">
            <v>0</v>
          </cell>
          <cell r="F22885">
            <v>0</v>
          </cell>
          <cell r="DN22885">
            <v>0</v>
          </cell>
        </row>
        <row r="22886">
          <cell r="E22886">
            <v>0</v>
          </cell>
          <cell r="F22886">
            <v>0</v>
          </cell>
          <cell r="DN22886">
            <v>0</v>
          </cell>
        </row>
        <row r="22887">
          <cell r="E22887">
            <v>0</v>
          </cell>
          <cell r="F22887">
            <v>0</v>
          </cell>
          <cell r="DN22887">
            <v>0</v>
          </cell>
        </row>
        <row r="22888">
          <cell r="E22888">
            <v>0</v>
          </cell>
          <cell r="F22888">
            <v>0</v>
          </cell>
          <cell r="DN22888">
            <v>0</v>
          </cell>
        </row>
        <row r="22889">
          <cell r="E22889">
            <v>0</v>
          </cell>
          <cell r="F22889">
            <v>0</v>
          </cell>
          <cell r="DN22889">
            <v>0</v>
          </cell>
        </row>
        <row r="22890">
          <cell r="E22890">
            <v>0</v>
          </cell>
          <cell r="F22890">
            <v>0</v>
          </cell>
          <cell r="DN22890">
            <v>0</v>
          </cell>
        </row>
        <row r="22891">
          <cell r="E22891">
            <v>0</v>
          </cell>
          <cell r="F22891">
            <v>0</v>
          </cell>
          <cell r="DN22891">
            <v>0</v>
          </cell>
        </row>
        <row r="22892">
          <cell r="E22892">
            <v>0</v>
          </cell>
          <cell r="F22892">
            <v>0</v>
          </cell>
          <cell r="DN22892">
            <v>0</v>
          </cell>
        </row>
        <row r="22893">
          <cell r="E22893">
            <v>0</v>
          </cell>
          <cell r="F22893">
            <v>0</v>
          </cell>
          <cell r="DN22893">
            <v>0</v>
          </cell>
        </row>
        <row r="22894">
          <cell r="E22894">
            <v>0</v>
          </cell>
          <cell r="F22894">
            <v>0</v>
          </cell>
          <cell r="DN22894">
            <v>0</v>
          </cell>
        </row>
        <row r="22895">
          <cell r="E22895">
            <v>0</v>
          </cell>
          <cell r="F22895">
            <v>0</v>
          </cell>
          <cell r="DN22895">
            <v>0</v>
          </cell>
        </row>
        <row r="22896">
          <cell r="E22896">
            <v>0</v>
          </cell>
          <cell r="F22896">
            <v>0</v>
          </cell>
          <cell r="DN22896">
            <v>0</v>
          </cell>
        </row>
        <row r="22897">
          <cell r="E22897">
            <v>0</v>
          </cell>
          <cell r="F22897">
            <v>0</v>
          </cell>
          <cell r="DN22897">
            <v>0</v>
          </cell>
        </row>
        <row r="22898">
          <cell r="E22898">
            <v>0</v>
          </cell>
          <cell r="F22898">
            <v>0</v>
          </cell>
          <cell r="DN22898">
            <v>0</v>
          </cell>
        </row>
        <row r="22899">
          <cell r="E22899">
            <v>0</v>
          </cell>
          <cell r="F22899">
            <v>0</v>
          </cell>
          <cell r="DN22899">
            <v>0</v>
          </cell>
        </row>
        <row r="22900">
          <cell r="E22900">
            <v>0</v>
          </cell>
          <cell r="F22900">
            <v>0</v>
          </cell>
          <cell r="DN22900">
            <v>0</v>
          </cell>
        </row>
        <row r="22901">
          <cell r="E22901">
            <v>0</v>
          </cell>
          <cell r="F22901">
            <v>0</v>
          </cell>
          <cell r="DN22901">
            <v>0</v>
          </cell>
        </row>
        <row r="22902">
          <cell r="E22902">
            <v>0</v>
          </cell>
          <cell r="F22902">
            <v>0</v>
          </cell>
          <cell r="DN22902">
            <v>0</v>
          </cell>
        </row>
        <row r="22903">
          <cell r="E22903">
            <v>0</v>
          </cell>
          <cell r="F22903">
            <v>0</v>
          </cell>
          <cell r="DN22903">
            <v>0</v>
          </cell>
        </row>
        <row r="22904">
          <cell r="E22904">
            <v>0</v>
          </cell>
          <cell r="F22904">
            <v>0</v>
          </cell>
          <cell r="DN22904">
            <v>0</v>
          </cell>
        </row>
        <row r="22905">
          <cell r="E22905">
            <v>0</v>
          </cell>
          <cell r="F22905">
            <v>0</v>
          </cell>
          <cell r="DN22905">
            <v>0</v>
          </cell>
        </row>
        <row r="22906">
          <cell r="E22906">
            <v>0</v>
          </cell>
          <cell r="F22906">
            <v>0</v>
          </cell>
          <cell r="DN22906">
            <v>0</v>
          </cell>
        </row>
        <row r="22907">
          <cell r="E22907">
            <v>0</v>
          </cell>
          <cell r="F22907">
            <v>0</v>
          </cell>
          <cell r="DN22907">
            <v>0</v>
          </cell>
        </row>
        <row r="22908">
          <cell r="E22908">
            <v>0</v>
          </cell>
          <cell r="F22908">
            <v>0</v>
          </cell>
          <cell r="DN22908">
            <v>0</v>
          </cell>
        </row>
        <row r="22909">
          <cell r="E22909">
            <v>0</v>
          </cell>
          <cell r="F22909">
            <v>0</v>
          </cell>
          <cell r="DN22909">
            <v>0</v>
          </cell>
        </row>
        <row r="22910">
          <cell r="E22910">
            <v>0</v>
          </cell>
          <cell r="F22910">
            <v>0</v>
          </cell>
          <cell r="DN22910">
            <v>0</v>
          </cell>
        </row>
        <row r="22911">
          <cell r="E22911">
            <v>0</v>
          </cell>
          <cell r="F22911">
            <v>0</v>
          </cell>
          <cell r="DN22911">
            <v>0</v>
          </cell>
        </row>
        <row r="22912">
          <cell r="E22912">
            <v>0</v>
          </cell>
          <cell r="F22912">
            <v>0</v>
          </cell>
          <cell r="DN22912">
            <v>0</v>
          </cell>
        </row>
        <row r="22913">
          <cell r="E22913">
            <v>0</v>
          </cell>
          <cell r="F22913">
            <v>0</v>
          </cell>
          <cell r="DN22913">
            <v>0</v>
          </cell>
        </row>
        <row r="22914">
          <cell r="E22914">
            <v>0</v>
          </cell>
          <cell r="F22914">
            <v>0</v>
          </cell>
          <cell r="DN22914">
            <v>0</v>
          </cell>
        </row>
        <row r="22915">
          <cell r="E22915">
            <v>0</v>
          </cell>
          <cell r="F22915">
            <v>0</v>
          </cell>
          <cell r="DN22915">
            <v>0</v>
          </cell>
        </row>
        <row r="22916">
          <cell r="E22916">
            <v>0</v>
          </cell>
          <cell r="F22916">
            <v>0</v>
          </cell>
          <cell r="DN22916">
            <v>0</v>
          </cell>
        </row>
        <row r="22917">
          <cell r="E22917">
            <v>0</v>
          </cell>
          <cell r="F22917">
            <v>0</v>
          </cell>
          <cell r="DN22917">
            <v>0</v>
          </cell>
        </row>
        <row r="22918">
          <cell r="E22918">
            <v>0</v>
          </cell>
          <cell r="F22918">
            <v>0</v>
          </cell>
          <cell r="DN22918">
            <v>0</v>
          </cell>
        </row>
        <row r="22919">
          <cell r="E22919">
            <v>0</v>
          </cell>
          <cell r="F22919">
            <v>0</v>
          </cell>
          <cell r="DN22919">
            <v>0</v>
          </cell>
        </row>
        <row r="22920">
          <cell r="E22920">
            <v>0</v>
          </cell>
          <cell r="F22920">
            <v>0</v>
          </cell>
          <cell r="DN22920">
            <v>0</v>
          </cell>
        </row>
        <row r="22921">
          <cell r="E22921">
            <v>0</v>
          </cell>
          <cell r="F22921">
            <v>0</v>
          </cell>
          <cell r="DN22921">
            <v>0</v>
          </cell>
        </row>
        <row r="22922">
          <cell r="E22922">
            <v>0</v>
          </cell>
          <cell r="F22922">
            <v>0</v>
          </cell>
          <cell r="DN22922">
            <v>0</v>
          </cell>
        </row>
        <row r="22923">
          <cell r="E22923">
            <v>0</v>
          </cell>
          <cell r="F22923">
            <v>0</v>
          </cell>
          <cell r="DN22923">
            <v>0</v>
          </cell>
        </row>
        <row r="22924">
          <cell r="E22924">
            <v>0</v>
          </cell>
          <cell r="F22924">
            <v>0</v>
          </cell>
          <cell r="DN22924">
            <v>0</v>
          </cell>
        </row>
        <row r="22925">
          <cell r="E22925">
            <v>0</v>
          </cell>
          <cell r="F22925">
            <v>0</v>
          </cell>
          <cell r="DN22925">
            <v>0</v>
          </cell>
        </row>
        <row r="22926">
          <cell r="E22926">
            <v>0</v>
          </cell>
          <cell r="F22926">
            <v>0</v>
          </cell>
          <cell r="DN22926">
            <v>0</v>
          </cell>
        </row>
        <row r="22927">
          <cell r="E22927">
            <v>0</v>
          </cell>
          <cell r="F22927">
            <v>0</v>
          </cell>
          <cell r="DN22927">
            <v>0</v>
          </cell>
        </row>
        <row r="22928">
          <cell r="E22928">
            <v>0</v>
          </cell>
          <cell r="F22928">
            <v>0</v>
          </cell>
          <cell r="DN22928">
            <v>0</v>
          </cell>
        </row>
        <row r="22929">
          <cell r="E22929">
            <v>0</v>
          </cell>
          <cell r="F22929">
            <v>0</v>
          </cell>
          <cell r="DN22929">
            <v>0</v>
          </cell>
        </row>
        <row r="22930">
          <cell r="E22930">
            <v>0</v>
          </cell>
          <cell r="F22930">
            <v>0</v>
          </cell>
          <cell r="DN22930">
            <v>0</v>
          </cell>
        </row>
        <row r="22931">
          <cell r="E22931">
            <v>0</v>
          </cell>
          <cell r="F22931">
            <v>0</v>
          </cell>
          <cell r="DN22931">
            <v>0</v>
          </cell>
        </row>
        <row r="22932">
          <cell r="E22932">
            <v>0</v>
          </cell>
          <cell r="F22932">
            <v>0</v>
          </cell>
          <cell r="DN22932">
            <v>0</v>
          </cell>
        </row>
        <row r="22933">
          <cell r="E22933">
            <v>0</v>
          </cell>
          <cell r="F22933">
            <v>0</v>
          </cell>
          <cell r="DN22933">
            <v>0</v>
          </cell>
        </row>
        <row r="22934">
          <cell r="E22934">
            <v>0</v>
          </cell>
          <cell r="F22934">
            <v>0</v>
          </cell>
          <cell r="DN22934">
            <v>0</v>
          </cell>
        </row>
        <row r="22935">
          <cell r="E22935">
            <v>0</v>
          </cell>
          <cell r="F22935">
            <v>0</v>
          </cell>
          <cell r="DN22935">
            <v>0</v>
          </cell>
        </row>
        <row r="22936">
          <cell r="E22936">
            <v>0</v>
          </cell>
          <cell r="F22936">
            <v>0</v>
          </cell>
          <cell r="DN22936">
            <v>0</v>
          </cell>
        </row>
        <row r="22937">
          <cell r="E22937">
            <v>0</v>
          </cell>
          <cell r="F22937">
            <v>0</v>
          </cell>
          <cell r="DN22937">
            <v>0</v>
          </cell>
        </row>
        <row r="22938">
          <cell r="E22938">
            <v>0</v>
          </cell>
          <cell r="F22938">
            <v>0</v>
          </cell>
          <cell r="DN22938">
            <v>0</v>
          </cell>
        </row>
        <row r="22939">
          <cell r="E22939">
            <v>0</v>
          </cell>
          <cell r="F22939">
            <v>0</v>
          </cell>
          <cell r="DN22939">
            <v>0</v>
          </cell>
        </row>
        <row r="22940">
          <cell r="E22940">
            <v>0</v>
          </cell>
          <cell r="F22940">
            <v>0</v>
          </cell>
          <cell r="DN22940">
            <v>0</v>
          </cell>
        </row>
        <row r="22941">
          <cell r="E22941">
            <v>0</v>
          </cell>
          <cell r="F22941">
            <v>0</v>
          </cell>
          <cell r="DN22941">
            <v>0</v>
          </cell>
        </row>
        <row r="22942">
          <cell r="E22942">
            <v>0</v>
          </cell>
          <cell r="F22942">
            <v>0</v>
          </cell>
          <cell r="DN22942">
            <v>0</v>
          </cell>
        </row>
        <row r="22943">
          <cell r="E22943">
            <v>0</v>
          </cell>
          <cell r="F22943">
            <v>0</v>
          </cell>
          <cell r="DN22943">
            <v>0</v>
          </cell>
        </row>
        <row r="22944">
          <cell r="E22944">
            <v>0</v>
          </cell>
          <cell r="F22944">
            <v>0</v>
          </cell>
          <cell r="DN22944">
            <v>0</v>
          </cell>
        </row>
        <row r="22945">
          <cell r="E22945">
            <v>0</v>
          </cell>
          <cell r="F22945">
            <v>0</v>
          </cell>
          <cell r="DN22945">
            <v>0</v>
          </cell>
        </row>
        <row r="22946">
          <cell r="E22946">
            <v>0</v>
          </cell>
          <cell r="F22946">
            <v>0</v>
          </cell>
          <cell r="DN22946">
            <v>0</v>
          </cell>
        </row>
        <row r="22947">
          <cell r="E22947">
            <v>0</v>
          </cell>
          <cell r="F22947">
            <v>0</v>
          </cell>
          <cell r="DN22947">
            <v>0</v>
          </cell>
        </row>
        <row r="22948">
          <cell r="E22948">
            <v>0</v>
          </cell>
          <cell r="F22948">
            <v>0</v>
          </cell>
          <cell r="DN22948">
            <v>0</v>
          </cell>
        </row>
        <row r="22949">
          <cell r="E22949">
            <v>0</v>
          </cell>
          <cell r="F22949">
            <v>0</v>
          </cell>
          <cell r="DN22949">
            <v>0</v>
          </cell>
        </row>
        <row r="22950">
          <cell r="E22950">
            <v>0</v>
          </cell>
          <cell r="F22950">
            <v>0</v>
          </cell>
          <cell r="DN22950">
            <v>0</v>
          </cell>
        </row>
        <row r="22951">
          <cell r="E22951">
            <v>0</v>
          </cell>
          <cell r="F22951">
            <v>0</v>
          </cell>
          <cell r="DN22951">
            <v>0</v>
          </cell>
        </row>
        <row r="22952">
          <cell r="E22952">
            <v>0</v>
          </cell>
          <cell r="F22952">
            <v>0</v>
          </cell>
          <cell r="DN22952">
            <v>0</v>
          </cell>
        </row>
        <row r="22953">
          <cell r="E22953">
            <v>0</v>
          </cell>
          <cell r="F22953">
            <v>0</v>
          </cell>
          <cell r="DN22953">
            <v>0</v>
          </cell>
        </row>
        <row r="22954">
          <cell r="E22954">
            <v>0</v>
          </cell>
          <cell r="F22954">
            <v>0</v>
          </cell>
          <cell r="DN22954">
            <v>0</v>
          </cell>
        </row>
        <row r="22955">
          <cell r="E22955">
            <v>0</v>
          </cell>
          <cell r="F22955">
            <v>0</v>
          </cell>
          <cell r="DN22955">
            <v>0</v>
          </cell>
        </row>
        <row r="22956">
          <cell r="E22956">
            <v>0</v>
          </cell>
          <cell r="F22956">
            <v>0</v>
          </cell>
          <cell r="DN22956">
            <v>0</v>
          </cell>
        </row>
        <row r="22957">
          <cell r="E22957">
            <v>0</v>
          </cell>
          <cell r="F22957">
            <v>0</v>
          </cell>
          <cell r="DN22957">
            <v>0</v>
          </cell>
        </row>
        <row r="22958">
          <cell r="E22958">
            <v>0</v>
          </cell>
          <cell r="F22958">
            <v>0</v>
          </cell>
          <cell r="DN22958">
            <v>0</v>
          </cell>
        </row>
        <row r="22959">
          <cell r="E22959">
            <v>0</v>
          </cell>
          <cell r="F22959">
            <v>0</v>
          </cell>
          <cell r="DN22959">
            <v>0</v>
          </cell>
        </row>
        <row r="22960">
          <cell r="E22960">
            <v>0</v>
          </cell>
          <cell r="F22960">
            <v>0</v>
          </cell>
          <cell r="DN22960">
            <v>0</v>
          </cell>
        </row>
        <row r="22961">
          <cell r="E22961">
            <v>0</v>
          </cell>
          <cell r="F22961">
            <v>0</v>
          </cell>
          <cell r="DN22961">
            <v>0</v>
          </cell>
        </row>
        <row r="22962">
          <cell r="E22962">
            <v>0</v>
          </cell>
          <cell r="F22962">
            <v>0</v>
          </cell>
          <cell r="DN22962">
            <v>0</v>
          </cell>
        </row>
        <row r="22963">
          <cell r="E22963">
            <v>0</v>
          </cell>
          <cell r="F22963">
            <v>0</v>
          </cell>
          <cell r="DN22963">
            <v>0</v>
          </cell>
        </row>
        <row r="22964">
          <cell r="E22964">
            <v>0</v>
          </cell>
          <cell r="F22964">
            <v>0</v>
          </cell>
          <cell r="DN22964">
            <v>0</v>
          </cell>
        </row>
        <row r="22965">
          <cell r="E22965">
            <v>0</v>
          </cell>
          <cell r="F22965">
            <v>0</v>
          </cell>
          <cell r="DN22965">
            <v>0</v>
          </cell>
        </row>
        <row r="22966">
          <cell r="E22966">
            <v>0</v>
          </cell>
          <cell r="F22966">
            <v>0</v>
          </cell>
          <cell r="DN22966">
            <v>0</v>
          </cell>
        </row>
        <row r="22967">
          <cell r="E22967">
            <v>0</v>
          </cell>
          <cell r="F22967">
            <v>0</v>
          </cell>
          <cell r="DN22967">
            <v>0</v>
          </cell>
        </row>
        <row r="22968">
          <cell r="E22968">
            <v>0</v>
          </cell>
          <cell r="F22968">
            <v>0</v>
          </cell>
          <cell r="DN22968">
            <v>0</v>
          </cell>
        </row>
        <row r="22969">
          <cell r="E22969">
            <v>0</v>
          </cell>
          <cell r="F22969">
            <v>0</v>
          </cell>
          <cell r="DN22969">
            <v>0</v>
          </cell>
        </row>
        <row r="22970">
          <cell r="E22970">
            <v>0</v>
          </cell>
          <cell r="F22970">
            <v>0</v>
          </cell>
          <cell r="DN22970">
            <v>0</v>
          </cell>
        </row>
        <row r="22971">
          <cell r="E22971">
            <v>0</v>
          </cell>
          <cell r="F22971">
            <v>0</v>
          </cell>
          <cell r="DN22971">
            <v>0</v>
          </cell>
        </row>
        <row r="22972">
          <cell r="E22972">
            <v>0</v>
          </cell>
          <cell r="F22972">
            <v>0</v>
          </cell>
          <cell r="DN22972">
            <v>0</v>
          </cell>
        </row>
        <row r="22973">
          <cell r="E22973">
            <v>0</v>
          </cell>
          <cell r="F22973">
            <v>0</v>
          </cell>
          <cell r="DN22973">
            <v>0</v>
          </cell>
        </row>
        <row r="22974">
          <cell r="E22974">
            <v>0</v>
          </cell>
          <cell r="F22974">
            <v>0</v>
          </cell>
          <cell r="DN22974">
            <v>0</v>
          </cell>
        </row>
        <row r="22975">
          <cell r="E22975">
            <v>0</v>
          </cell>
          <cell r="F22975">
            <v>0</v>
          </cell>
          <cell r="DN22975">
            <v>0</v>
          </cell>
        </row>
        <row r="22976">
          <cell r="E22976">
            <v>0</v>
          </cell>
          <cell r="F22976">
            <v>0</v>
          </cell>
          <cell r="DN22976">
            <v>0</v>
          </cell>
        </row>
        <row r="22977">
          <cell r="E22977">
            <v>0</v>
          </cell>
          <cell r="F22977">
            <v>0</v>
          </cell>
          <cell r="DN22977">
            <v>0</v>
          </cell>
        </row>
        <row r="22978">
          <cell r="E22978">
            <v>0</v>
          </cell>
          <cell r="F22978">
            <v>0</v>
          </cell>
          <cell r="DN22978">
            <v>0</v>
          </cell>
        </row>
        <row r="22979">
          <cell r="E22979">
            <v>0</v>
          </cell>
          <cell r="F22979">
            <v>0</v>
          </cell>
          <cell r="DN22979">
            <v>0</v>
          </cell>
        </row>
        <row r="22980">
          <cell r="E22980">
            <v>0</v>
          </cell>
          <cell r="F22980">
            <v>0</v>
          </cell>
          <cell r="DN22980">
            <v>0</v>
          </cell>
        </row>
        <row r="22981">
          <cell r="E22981">
            <v>0</v>
          </cell>
          <cell r="F22981">
            <v>0</v>
          </cell>
          <cell r="DN22981">
            <v>0</v>
          </cell>
        </row>
        <row r="22982">
          <cell r="E22982">
            <v>0</v>
          </cell>
          <cell r="F22982">
            <v>0</v>
          </cell>
          <cell r="DN22982">
            <v>0</v>
          </cell>
        </row>
        <row r="22983">
          <cell r="E22983">
            <v>0</v>
          </cell>
          <cell r="F22983">
            <v>0</v>
          </cell>
          <cell r="DN22983">
            <v>0</v>
          </cell>
        </row>
        <row r="22984">
          <cell r="E22984">
            <v>0</v>
          </cell>
          <cell r="F22984">
            <v>0</v>
          </cell>
          <cell r="DN22984">
            <v>0</v>
          </cell>
        </row>
        <row r="22985">
          <cell r="E22985">
            <v>0</v>
          </cell>
          <cell r="F22985">
            <v>0</v>
          </cell>
          <cell r="DN22985">
            <v>0</v>
          </cell>
        </row>
        <row r="22986">
          <cell r="E22986">
            <v>0</v>
          </cell>
          <cell r="F22986">
            <v>0</v>
          </cell>
          <cell r="DN22986">
            <v>0</v>
          </cell>
        </row>
        <row r="22987">
          <cell r="E22987">
            <v>0</v>
          </cell>
          <cell r="F22987">
            <v>0</v>
          </cell>
          <cell r="DN22987">
            <v>0</v>
          </cell>
        </row>
        <row r="22988">
          <cell r="E22988">
            <v>0</v>
          </cell>
          <cell r="F22988">
            <v>0</v>
          </cell>
          <cell r="DN22988">
            <v>0</v>
          </cell>
        </row>
        <row r="22989">
          <cell r="E22989">
            <v>0</v>
          </cell>
          <cell r="F22989">
            <v>0</v>
          </cell>
          <cell r="DN22989">
            <v>0</v>
          </cell>
        </row>
        <row r="22990">
          <cell r="E22990">
            <v>0</v>
          </cell>
          <cell r="F22990">
            <v>0</v>
          </cell>
          <cell r="DN22990">
            <v>0</v>
          </cell>
        </row>
        <row r="22991">
          <cell r="E22991">
            <v>0</v>
          </cell>
          <cell r="F22991">
            <v>0</v>
          </cell>
          <cell r="DN22991">
            <v>0</v>
          </cell>
        </row>
        <row r="22992">
          <cell r="E22992">
            <v>0</v>
          </cell>
          <cell r="F22992">
            <v>0</v>
          </cell>
          <cell r="DN22992">
            <v>0</v>
          </cell>
        </row>
        <row r="22993">
          <cell r="E22993">
            <v>0</v>
          </cell>
          <cell r="F22993">
            <v>0</v>
          </cell>
          <cell r="DN22993">
            <v>0</v>
          </cell>
        </row>
        <row r="22994">
          <cell r="E22994">
            <v>0</v>
          </cell>
          <cell r="F22994">
            <v>0</v>
          </cell>
          <cell r="DN22994">
            <v>0</v>
          </cell>
        </row>
        <row r="22995">
          <cell r="E22995">
            <v>0</v>
          </cell>
          <cell r="F22995">
            <v>0</v>
          </cell>
          <cell r="DN22995">
            <v>0</v>
          </cell>
        </row>
        <row r="22996">
          <cell r="E22996">
            <v>0</v>
          </cell>
          <cell r="F22996">
            <v>0</v>
          </cell>
          <cell r="DN22996">
            <v>0</v>
          </cell>
        </row>
        <row r="22997">
          <cell r="E22997">
            <v>0</v>
          </cell>
          <cell r="F22997">
            <v>0</v>
          </cell>
          <cell r="DN22997">
            <v>0</v>
          </cell>
        </row>
        <row r="22998">
          <cell r="E22998">
            <v>0</v>
          </cell>
          <cell r="F22998">
            <v>0</v>
          </cell>
          <cell r="DN22998">
            <v>0</v>
          </cell>
        </row>
        <row r="22999">
          <cell r="E22999">
            <v>0</v>
          </cell>
          <cell r="F22999">
            <v>0</v>
          </cell>
          <cell r="DN22999">
            <v>0</v>
          </cell>
        </row>
        <row r="23000">
          <cell r="E23000">
            <v>0</v>
          </cell>
          <cell r="F23000">
            <v>0</v>
          </cell>
          <cell r="DN23000">
            <v>0</v>
          </cell>
        </row>
        <row r="23001">
          <cell r="E23001">
            <v>0</v>
          </cell>
          <cell r="F23001">
            <v>0</v>
          </cell>
          <cell r="DN23001">
            <v>0</v>
          </cell>
        </row>
        <row r="23002">
          <cell r="E23002">
            <v>0</v>
          </cell>
          <cell r="F23002">
            <v>0</v>
          </cell>
          <cell r="DN23002">
            <v>0</v>
          </cell>
        </row>
        <row r="23003">
          <cell r="E23003">
            <v>0</v>
          </cell>
          <cell r="F23003">
            <v>0</v>
          </cell>
          <cell r="DN23003">
            <v>0</v>
          </cell>
        </row>
        <row r="23004">
          <cell r="E23004">
            <v>0</v>
          </cell>
          <cell r="F23004">
            <v>0</v>
          </cell>
          <cell r="DN23004">
            <v>0</v>
          </cell>
        </row>
        <row r="23005">
          <cell r="E23005">
            <v>0</v>
          </cell>
          <cell r="F23005">
            <v>0</v>
          </cell>
          <cell r="DN23005">
            <v>0</v>
          </cell>
        </row>
        <row r="23006">
          <cell r="E23006">
            <v>0</v>
          </cell>
          <cell r="F23006">
            <v>0</v>
          </cell>
          <cell r="DN23006">
            <v>0</v>
          </cell>
        </row>
        <row r="23007">
          <cell r="E23007">
            <v>0</v>
          </cell>
          <cell r="F23007">
            <v>0</v>
          </cell>
          <cell r="DN23007">
            <v>0</v>
          </cell>
        </row>
        <row r="23008">
          <cell r="E23008">
            <v>0</v>
          </cell>
          <cell r="F23008">
            <v>0</v>
          </cell>
          <cell r="DN23008">
            <v>0</v>
          </cell>
        </row>
        <row r="23009">
          <cell r="E23009">
            <v>0</v>
          </cell>
          <cell r="F23009">
            <v>0</v>
          </cell>
          <cell r="DN23009">
            <v>0</v>
          </cell>
        </row>
        <row r="23010">
          <cell r="E23010">
            <v>0</v>
          </cell>
          <cell r="F23010">
            <v>0</v>
          </cell>
          <cell r="DN23010">
            <v>0</v>
          </cell>
        </row>
        <row r="23011">
          <cell r="E23011">
            <v>0</v>
          </cell>
          <cell r="F23011">
            <v>0</v>
          </cell>
          <cell r="DN23011">
            <v>0</v>
          </cell>
        </row>
        <row r="23012">
          <cell r="E23012">
            <v>0</v>
          </cell>
          <cell r="F23012">
            <v>0</v>
          </cell>
          <cell r="DN23012">
            <v>0</v>
          </cell>
        </row>
        <row r="23013">
          <cell r="E23013">
            <v>0</v>
          </cell>
          <cell r="F23013">
            <v>0</v>
          </cell>
          <cell r="DN23013">
            <v>0</v>
          </cell>
        </row>
        <row r="23014">
          <cell r="E23014">
            <v>0</v>
          </cell>
          <cell r="F23014">
            <v>0</v>
          </cell>
          <cell r="DN23014">
            <v>0</v>
          </cell>
        </row>
        <row r="23015">
          <cell r="E23015">
            <v>0</v>
          </cell>
          <cell r="F23015">
            <v>0</v>
          </cell>
          <cell r="DN23015">
            <v>0</v>
          </cell>
        </row>
        <row r="23016">
          <cell r="E23016">
            <v>0</v>
          </cell>
          <cell r="F23016">
            <v>0</v>
          </cell>
          <cell r="DN23016">
            <v>0</v>
          </cell>
        </row>
        <row r="23017">
          <cell r="E23017">
            <v>0</v>
          </cell>
          <cell r="F23017">
            <v>0</v>
          </cell>
          <cell r="DN23017">
            <v>0</v>
          </cell>
        </row>
        <row r="23018">
          <cell r="E23018">
            <v>0</v>
          </cell>
          <cell r="F23018">
            <v>0</v>
          </cell>
          <cell r="DN23018">
            <v>0</v>
          </cell>
        </row>
        <row r="23019">
          <cell r="E23019">
            <v>0</v>
          </cell>
          <cell r="F23019">
            <v>0</v>
          </cell>
          <cell r="DN23019">
            <v>0</v>
          </cell>
        </row>
        <row r="23020">
          <cell r="E23020">
            <v>0</v>
          </cell>
          <cell r="F23020">
            <v>0</v>
          </cell>
          <cell r="DN23020">
            <v>0</v>
          </cell>
        </row>
        <row r="23021">
          <cell r="E23021">
            <v>0</v>
          </cell>
          <cell r="F23021">
            <v>0</v>
          </cell>
          <cell r="DN23021">
            <v>0</v>
          </cell>
        </row>
        <row r="23022">
          <cell r="E23022">
            <v>0</v>
          </cell>
          <cell r="F23022">
            <v>0</v>
          </cell>
          <cell r="DN23022">
            <v>0</v>
          </cell>
        </row>
        <row r="23023">
          <cell r="E23023">
            <v>0</v>
          </cell>
          <cell r="F23023">
            <v>0</v>
          </cell>
          <cell r="DN23023">
            <v>0</v>
          </cell>
        </row>
        <row r="23024">
          <cell r="E23024">
            <v>0</v>
          </cell>
          <cell r="F23024">
            <v>0</v>
          </cell>
          <cell r="DN23024">
            <v>0</v>
          </cell>
        </row>
        <row r="23025">
          <cell r="E23025">
            <v>0</v>
          </cell>
          <cell r="F23025">
            <v>0</v>
          </cell>
          <cell r="DN23025">
            <v>0</v>
          </cell>
        </row>
        <row r="23026">
          <cell r="E23026">
            <v>0</v>
          </cell>
          <cell r="F23026">
            <v>0</v>
          </cell>
          <cell r="DN23026">
            <v>0</v>
          </cell>
        </row>
        <row r="23027">
          <cell r="E23027">
            <v>0</v>
          </cell>
          <cell r="F23027">
            <v>0</v>
          </cell>
          <cell r="DN23027">
            <v>0</v>
          </cell>
        </row>
        <row r="23028">
          <cell r="E23028">
            <v>0</v>
          </cell>
          <cell r="F23028">
            <v>0</v>
          </cell>
          <cell r="DN23028">
            <v>0</v>
          </cell>
        </row>
        <row r="23029">
          <cell r="E23029">
            <v>0</v>
          </cell>
          <cell r="F23029">
            <v>0</v>
          </cell>
          <cell r="DN23029">
            <v>0</v>
          </cell>
        </row>
        <row r="23030">
          <cell r="E23030">
            <v>0</v>
          </cell>
          <cell r="F23030">
            <v>0</v>
          </cell>
          <cell r="DN23030">
            <v>0</v>
          </cell>
        </row>
        <row r="23031">
          <cell r="E23031">
            <v>0</v>
          </cell>
          <cell r="F23031">
            <v>0</v>
          </cell>
          <cell r="DN23031">
            <v>0</v>
          </cell>
        </row>
        <row r="23032">
          <cell r="E23032">
            <v>0</v>
          </cell>
          <cell r="F23032">
            <v>0</v>
          </cell>
          <cell r="DN23032">
            <v>0</v>
          </cell>
        </row>
        <row r="23033">
          <cell r="E23033">
            <v>0</v>
          </cell>
          <cell r="F23033">
            <v>0</v>
          </cell>
          <cell r="DN23033">
            <v>0</v>
          </cell>
        </row>
        <row r="23034">
          <cell r="E23034">
            <v>0</v>
          </cell>
          <cell r="F23034">
            <v>0</v>
          </cell>
          <cell r="DN23034">
            <v>0</v>
          </cell>
        </row>
        <row r="23035">
          <cell r="E23035">
            <v>0</v>
          </cell>
          <cell r="F23035">
            <v>0</v>
          </cell>
          <cell r="DN23035">
            <v>0</v>
          </cell>
        </row>
        <row r="23036">
          <cell r="E23036">
            <v>0</v>
          </cell>
          <cell r="F23036">
            <v>0</v>
          </cell>
          <cell r="DN23036">
            <v>0</v>
          </cell>
        </row>
        <row r="23037">
          <cell r="E23037">
            <v>0</v>
          </cell>
          <cell r="F23037">
            <v>0</v>
          </cell>
          <cell r="DN23037">
            <v>0</v>
          </cell>
        </row>
        <row r="23038">
          <cell r="E23038">
            <v>0</v>
          </cell>
          <cell r="F23038">
            <v>0</v>
          </cell>
          <cell r="DN23038">
            <v>0</v>
          </cell>
        </row>
        <row r="23039">
          <cell r="E23039">
            <v>0</v>
          </cell>
          <cell r="F23039">
            <v>0</v>
          </cell>
          <cell r="DN23039">
            <v>0</v>
          </cell>
        </row>
        <row r="23040">
          <cell r="E23040">
            <v>0</v>
          </cell>
          <cell r="F23040">
            <v>0</v>
          </cell>
          <cell r="DN23040">
            <v>0</v>
          </cell>
        </row>
        <row r="23041">
          <cell r="E23041">
            <v>0</v>
          </cell>
          <cell r="F23041">
            <v>0</v>
          </cell>
          <cell r="DN23041">
            <v>0</v>
          </cell>
        </row>
        <row r="23042">
          <cell r="E23042">
            <v>0</v>
          </cell>
          <cell r="F23042">
            <v>0</v>
          </cell>
          <cell r="DN23042">
            <v>0</v>
          </cell>
        </row>
        <row r="23043">
          <cell r="E23043">
            <v>0</v>
          </cell>
          <cell r="F23043">
            <v>0</v>
          </cell>
          <cell r="DN23043">
            <v>0</v>
          </cell>
        </row>
        <row r="23044">
          <cell r="E23044">
            <v>0</v>
          </cell>
          <cell r="F23044">
            <v>0</v>
          </cell>
          <cell r="DN23044">
            <v>0</v>
          </cell>
        </row>
        <row r="23045">
          <cell r="E23045">
            <v>0</v>
          </cell>
          <cell r="F23045">
            <v>0</v>
          </cell>
          <cell r="DN23045">
            <v>0</v>
          </cell>
        </row>
        <row r="23046">
          <cell r="E23046">
            <v>0</v>
          </cell>
          <cell r="F23046">
            <v>0</v>
          </cell>
          <cell r="DN23046">
            <v>0</v>
          </cell>
        </row>
        <row r="23047">
          <cell r="E23047">
            <v>0</v>
          </cell>
          <cell r="F23047">
            <v>0</v>
          </cell>
          <cell r="DN23047">
            <v>0</v>
          </cell>
        </row>
        <row r="23048">
          <cell r="E23048">
            <v>0</v>
          </cell>
          <cell r="F23048">
            <v>0</v>
          </cell>
          <cell r="DN23048">
            <v>0</v>
          </cell>
        </row>
        <row r="23049">
          <cell r="E23049">
            <v>0</v>
          </cell>
          <cell r="F23049">
            <v>0</v>
          </cell>
          <cell r="DN23049">
            <v>0</v>
          </cell>
        </row>
        <row r="23050">
          <cell r="E23050">
            <v>0</v>
          </cell>
          <cell r="F23050">
            <v>0</v>
          </cell>
          <cell r="DN23050">
            <v>0</v>
          </cell>
        </row>
        <row r="23051">
          <cell r="E23051">
            <v>0</v>
          </cell>
          <cell r="F23051">
            <v>0</v>
          </cell>
          <cell r="DN23051">
            <v>0</v>
          </cell>
        </row>
        <row r="23052">
          <cell r="E23052">
            <v>0</v>
          </cell>
          <cell r="F23052">
            <v>0</v>
          </cell>
          <cell r="DN23052">
            <v>0</v>
          </cell>
        </row>
        <row r="23053">
          <cell r="E23053">
            <v>0</v>
          </cell>
          <cell r="F23053">
            <v>0</v>
          </cell>
          <cell r="DN23053">
            <v>0</v>
          </cell>
        </row>
        <row r="23054">
          <cell r="E23054">
            <v>0</v>
          </cell>
          <cell r="F23054">
            <v>0</v>
          </cell>
          <cell r="DN23054">
            <v>0</v>
          </cell>
        </row>
        <row r="23055">
          <cell r="E23055">
            <v>0</v>
          </cell>
          <cell r="F23055">
            <v>0</v>
          </cell>
          <cell r="DN23055">
            <v>0</v>
          </cell>
        </row>
        <row r="23056">
          <cell r="E23056">
            <v>0</v>
          </cell>
          <cell r="F23056">
            <v>0</v>
          </cell>
          <cell r="DN23056">
            <v>0</v>
          </cell>
        </row>
        <row r="23057">
          <cell r="E23057">
            <v>0</v>
          </cell>
          <cell r="F23057">
            <v>0</v>
          </cell>
          <cell r="DN23057">
            <v>0</v>
          </cell>
        </row>
        <row r="23058">
          <cell r="E23058">
            <v>0</v>
          </cell>
          <cell r="F23058">
            <v>0</v>
          </cell>
          <cell r="DN23058">
            <v>0</v>
          </cell>
        </row>
        <row r="23059">
          <cell r="E23059">
            <v>0</v>
          </cell>
          <cell r="F23059">
            <v>0</v>
          </cell>
          <cell r="DN23059">
            <v>0</v>
          </cell>
        </row>
        <row r="23060">
          <cell r="E23060">
            <v>0</v>
          </cell>
          <cell r="F23060">
            <v>0</v>
          </cell>
          <cell r="DN23060">
            <v>0</v>
          </cell>
        </row>
        <row r="23061">
          <cell r="E23061">
            <v>0</v>
          </cell>
          <cell r="F23061">
            <v>0</v>
          </cell>
          <cell r="DN23061">
            <v>0</v>
          </cell>
        </row>
        <row r="23062">
          <cell r="E23062">
            <v>0</v>
          </cell>
          <cell r="F23062">
            <v>0</v>
          </cell>
          <cell r="DN23062">
            <v>0</v>
          </cell>
        </row>
        <row r="23063">
          <cell r="E23063">
            <v>0</v>
          </cell>
          <cell r="F23063">
            <v>0</v>
          </cell>
          <cell r="DN23063">
            <v>0</v>
          </cell>
        </row>
        <row r="23064">
          <cell r="E23064">
            <v>0</v>
          </cell>
          <cell r="F23064">
            <v>0</v>
          </cell>
          <cell r="DN23064">
            <v>0</v>
          </cell>
        </row>
        <row r="23065">
          <cell r="E23065">
            <v>0</v>
          </cell>
          <cell r="F23065">
            <v>0</v>
          </cell>
          <cell r="DN23065">
            <v>0</v>
          </cell>
        </row>
        <row r="23066">
          <cell r="E23066">
            <v>0</v>
          </cell>
          <cell r="F23066">
            <v>0</v>
          </cell>
          <cell r="DN23066">
            <v>0</v>
          </cell>
        </row>
        <row r="23067">
          <cell r="E23067">
            <v>0</v>
          </cell>
          <cell r="F23067">
            <v>0</v>
          </cell>
          <cell r="DN23067">
            <v>0</v>
          </cell>
        </row>
        <row r="23068">
          <cell r="E23068">
            <v>0</v>
          </cell>
          <cell r="F23068">
            <v>0</v>
          </cell>
          <cell r="DN23068">
            <v>0</v>
          </cell>
        </row>
        <row r="23069">
          <cell r="E23069">
            <v>0</v>
          </cell>
          <cell r="F23069">
            <v>0</v>
          </cell>
          <cell r="DN23069">
            <v>0</v>
          </cell>
        </row>
        <row r="23070">
          <cell r="E23070">
            <v>0</v>
          </cell>
          <cell r="F23070">
            <v>0</v>
          </cell>
          <cell r="DN23070">
            <v>0</v>
          </cell>
        </row>
        <row r="23071">
          <cell r="E23071">
            <v>0</v>
          </cell>
          <cell r="F23071">
            <v>0</v>
          </cell>
          <cell r="DN23071">
            <v>0</v>
          </cell>
        </row>
        <row r="23072">
          <cell r="E23072">
            <v>0</v>
          </cell>
          <cell r="F23072">
            <v>0</v>
          </cell>
          <cell r="DN23072">
            <v>0</v>
          </cell>
        </row>
        <row r="23073">
          <cell r="E23073">
            <v>0</v>
          </cell>
          <cell r="F23073">
            <v>0</v>
          </cell>
          <cell r="DN23073">
            <v>0</v>
          </cell>
        </row>
        <row r="23074">
          <cell r="E23074">
            <v>0</v>
          </cell>
          <cell r="F23074">
            <v>0</v>
          </cell>
          <cell r="DN23074">
            <v>0</v>
          </cell>
        </row>
        <row r="23075">
          <cell r="E23075">
            <v>0</v>
          </cell>
          <cell r="F23075">
            <v>0</v>
          </cell>
          <cell r="DN23075">
            <v>0</v>
          </cell>
        </row>
        <row r="23076">
          <cell r="E23076">
            <v>0</v>
          </cell>
          <cell r="F23076">
            <v>0</v>
          </cell>
          <cell r="DN23076">
            <v>0</v>
          </cell>
        </row>
        <row r="23077">
          <cell r="E23077">
            <v>0</v>
          </cell>
          <cell r="F23077">
            <v>0</v>
          </cell>
          <cell r="DN23077">
            <v>0</v>
          </cell>
        </row>
        <row r="23078">
          <cell r="E23078">
            <v>0</v>
          </cell>
          <cell r="F23078">
            <v>0</v>
          </cell>
          <cell r="DN23078">
            <v>0</v>
          </cell>
        </row>
        <row r="23079">
          <cell r="E23079">
            <v>0</v>
          </cell>
          <cell r="F23079">
            <v>0</v>
          </cell>
          <cell r="DN23079">
            <v>0</v>
          </cell>
        </row>
        <row r="23080">
          <cell r="E23080">
            <v>0</v>
          </cell>
          <cell r="F23080">
            <v>0</v>
          </cell>
          <cell r="DN23080">
            <v>0</v>
          </cell>
        </row>
        <row r="23081">
          <cell r="E23081">
            <v>0</v>
          </cell>
          <cell r="F23081">
            <v>0</v>
          </cell>
          <cell r="DN23081">
            <v>0</v>
          </cell>
        </row>
        <row r="23082">
          <cell r="E23082">
            <v>0</v>
          </cell>
          <cell r="F23082">
            <v>0</v>
          </cell>
          <cell r="DN23082">
            <v>0</v>
          </cell>
        </row>
        <row r="23083">
          <cell r="E23083">
            <v>0</v>
          </cell>
          <cell r="F23083">
            <v>0</v>
          </cell>
          <cell r="DN23083">
            <v>0</v>
          </cell>
        </row>
        <row r="23084">
          <cell r="E23084">
            <v>0</v>
          </cell>
          <cell r="F23084">
            <v>0</v>
          </cell>
          <cell r="DN23084">
            <v>0</v>
          </cell>
        </row>
        <row r="23085">
          <cell r="E23085">
            <v>0</v>
          </cell>
          <cell r="F23085">
            <v>0</v>
          </cell>
          <cell r="DN23085">
            <v>0</v>
          </cell>
        </row>
        <row r="23086">
          <cell r="E23086">
            <v>0</v>
          </cell>
          <cell r="F23086">
            <v>0</v>
          </cell>
          <cell r="DN23086">
            <v>0</v>
          </cell>
        </row>
        <row r="23087">
          <cell r="E23087">
            <v>0</v>
          </cell>
          <cell r="F23087">
            <v>0</v>
          </cell>
          <cell r="DN23087">
            <v>0</v>
          </cell>
        </row>
        <row r="23088">
          <cell r="E23088">
            <v>0</v>
          </cell>
          <cell r="F23088">
            <v>0</v>
          </cell>
          <cell r="DN23088">
            <v>0</v>
          </cell>
        </row>
        <row r="23089">
          <cell r="E23089">
            <v>0</v>
          </cell>
          <cell r="F23089">
            <v>0</v>
          </cell>
          <cell r="DN23089">
            <v>0</v>
          </cell>
        </row>
        <row r="23090">
          <cell r="E23090">
            <v>0</v>
          </cell>
          <cell r="F23090">
            <v>0</v>
          </cell>
          <cell r="DN23090">
            <v>0</v>
          </cell>
        </row>
        <row r="23091">
          <cell r="E23091">
            <v>0</v>
          </cell>
          <cell r="F23091">
            <v>0</v>
          </cell>
          <cell r="DN23091">
            <v>0</v>
          </cell>
        </row>
        <row r="23092">
          <cell r="E23092">
            <v>0</v>
          </cell>
          <cell r="F23092">
            <v>0</v>
          </cell>
          <cell r="DN23092">
            <v>0</v>
          </cell>
        </row>
        <row r="23093">
          <cell r="E23093">
            <v>0</v>
          </cell>
          <cell r="F23093">
            <v>0</v>
          </cell>
          <cell r="DN23093">
            <v>0</v>
          </cell>
        </row>
        <row r="23094">
          <cell r="E23094">
            <v>0</v>
          </cell>
          <cell r="F23094">
            <v>0</v>
          </cell>
          <cell r="DN23094">
            <v>0</v>
          </cell>
        </row>
        <row r="23095">
          <cell r="E23095">
            <v>0</v>
          </cell>
          <cell r="F23095">
            <v>0</v>
          </cell>
          <cell r="DN23095">
            <v>0</v>
          </cell>
        </row>
        <row r="23096">
          <cell r="E23096">
            <v>0</v>
          </cell>
          <cell r="F23096">
            <v>0</v>
          </cell>
          <cell r="DN23096">
            <v>0</v>
          </cell>
        </row>
        <row r="23097">
          <cell r="E23097">
            <v>0</v>
          </cell>
          <cell r="F23097">
            <v>0</v>
          </cell>
          <cell r="DN23097">
            <v>0</v>
          </cell>
        </row>
        <row r="23098">
          <cell r="E23098">
            <v>0</v>
          </cell>
          <cell r="F23098">
            <v>0</v>
          </cell>
          <cell r="DN23098">
            <v>0</v>
          </cell>
        </row>
        <row r="23099">
          <cell r="E23099">
            <v>0</v>
          </cell>
          <cell r="F23099">
            <v>0</v>
          </cell>
          <cell r="DN23099">
            <v>0</v>
          </cell>
        </row>
        <row r="23100">
          <cell r="E23100">
            <v>0</v>
          </cell>
          <cell r="F23100">
            <v>0</v>
          </cell>
          <cell r="DN23100">
            <v>0</v>
          </cell>
        </row>
        <row r="23101">
          <cell r="E23101">
            <v>0</v>
          </cell>
          <cell r="F23101">
            <v>0</v>
          </cell>
          <cell r="DN23101">
            <v>0</v>
          </cell>
        </row>
        <row r="23102">
          <cell r="E23102">
            <v>0</v>
          </cell>
          <cell r="F23102">
            <v>0</v>
          </cell>
          <cell r="DN23102">
            <v>0</v>
          </cell>
        </row>
        <row r="23103">
          <cell r="E23103">
            <v>0</v>
          </cell>
          <cell r="F23103">
            <v>0</v>
          </cell>
          <cell r="DN23103">
            <v>0</v>
          </cell>
        </row>
        <row r="23104">
          <cell r="E23104">
            <v>0</v>
          </cell>
          <cell r="F23104">
            <v>0</v>
          </cell>
          <cell r="DN23104">
            <v>0</v>
          </cell>
        </row>
        <row r="23105">
          <cell r="E23105">
            <v>0</v>
          </cell>
          <cell r="F23105">
            <v>0</v>
          </cell>
          <cell r="DN23105">
            <v>0</v>
          </cell>
        </row>
        <row r="23106">
          <cell r="E23106">
            <v>0</v>
          </cell>
          <cell r="F23106">
            <v>0</v>
          </cell>
          <cell r="DN23106">
            <v>0</v>
          </cell>
        </row>
        <row r="23107">
          <cell r="E23107">
            <v>0</v>
          </cell>
          <cell r="F23107">
            <v>0</v>
          </cell>
          <cell r="DN23107">
            <v>0</v>
          </cell>
        </row>
        <row r="23108">
          <cell r="E23108">
            <v>0</v>
          </cell>
          <cell r="F23108">
            <v>0</v>
          </cell>
          <cell r="DN23108">
            <v>0</v>
          </cell>
        </row>
        <row r="23109">
          <cell r="E23109">
            <v>0</v>
          </cell>
          <cell r="F23109">
            <v>0</v>
          </cell>
          <cell r="DN23109">
            <v>0</v>
          </cell>
        </row>
        <row r="23110">
          <cell r="E23110">
            <v>0</v>
          </cell>
          <cell r="F23110">
            <v>0</v>
          </cell>
          <cell r="DN23110">
            <v>0</v>
          </cell>
        </row>
        <row r="23111">
          <cell r="E23111">
            <v>0</v>
          </cell>
          <cell r="F23111">
            <v>0</v>
          </cell>
          <cell r="DN23111">
            <v>0</v>
          </cell>
        </row>
        <row r="23112">
          <cell r="E23112">
            <v>0</v>
          </cell>
          <cell r="F23112">
            <v>0</v>
          </cell>
          <cell r="DN23112">
            <v>0</v>
          </cell>
        </row>
        <row r="23113">
          <cell r="E23113">
            <v>0</v>
          </cell>
          <cell r="F23113">
            <v>0</v>
          </cell>
          <cell r="DN23113">
            <v>0</v>
          </cell>
        </row>
        <row r="23114">
          <cell r="E23114">
            <v>0</v>
          </cell>
          <cell r="F23114">
            <v>0</v>
          </cell>
          <cell r="DN23114">
            <v>0</v>
          </cell>
        </row>
        <row r="23115">
          <cell r="E23115">
            <v>0</v>
          </cell>
          <cell r="F23115">
            <v>0</v>
          </cell>
          <cell r="DN23115">
            <v>0</v>
          </cell>
        </row>
        <row r="23116">
          <cell r="E23116">
            <v>0</v>
          </cell>
          <cell r="F23116">
            <v>0</v>
          </cell>
          <cell r="DN23116">
            <v>0</v>
          </cell>
        </row>
        <row r="23117">
          <cell r="E23117">
            <v>0</v>
          </cell>
          <cell r="F23117">
            <v>0</v>
          </cell>
          <cell r="DN23117">
            <v>0</v>
          </cell>
        </row>
        <row r="23118">
          <cell r="E23118">
            <v>0</v>
          </cell>
          <cell r="F23118">
            <v>0</v>
          </cell>
          <cell r="DN23118">
            <v>0</v>
          </cell>
        </row>
        <row r="23119">
          <cell r="E23119">
            <v>0</v>
          </cell>
          <cell r="F23119">
            <v>0</v>
          </cell>
          <cell r="DN23119">
            <v>0</v>
          </cell>
        </row>
        <row r="23120">
          <cell r="E23120">
            <v>0</v>
          </cell>
          <cell r="F23120">
            <v>0</v>
          </cell>
          <cell r="DN23120">
            <v>0</v>
          </cell>
        </row>
        <row r="23121">
          <cell r="E23121">
            <v>0</v>
          </cell>
          <cell r="F23121">
            <v>0</v>
          </cell>
          <cell r="DN23121">
            <v>0</v>
          </cell>
        </row>
        <row r="23122">
          <cell r="E23122">
            <v>0</v>
          </cell>
          <cell r="F23122">
            <v>0</v>
          </cell>
          <cell r="DN23122">
            <v>0</v>
          </cell>
        </row>
        <row r="23123">
          <cell r="E23123">
            <v>0</v>
          </cell>
          <cell r="F23123">
            <v>0</v>
          </cell>
          <cell r="DN23123">
            <v>0</v>
          </cell>
        </row>
        <row r="23124">
          <cell r="E23124">
            <v>0</v>
          </cell>
          <cell r="F23124">
            <v>0</v>
          </cell>
          <cell r="DN23124">
            <v>0</v>
          </cell>
        </row>
        <row r="23125">
          <cell r="E23125">
            <v>0</v>
          </cell>
          <cell r="F23125">
            <v>0</v>
          </cell>
          <cell r="DN23125">
            <v>0</v>
          </cell>
        </row>
        <row r="23126">
          <cell r="E23126">
            <v>0</v>
          </cell>
          <cell r="F23126">
            <v>0</v>
          </cell>
          <cell r="DN23126">
            <v>0</v>
          </cell>
        </row>
        <row r="23127">
          <cell r="E23127">
            <v>0</v>
          </cell>
          <cell r="F23127">
            <v>0</v>
          </cell>
          <cell r="DN23127">
            <v>0</v>
          </cell>
        </row>
        <row r="23128">
          <cell r="E23128">
            <v>0</v>
          </cell>
          <cell r="F23128">
            <v>0</v>
          </cell>
          <cell r="DN23128">
            <v>0</v>
          </cell>
        </row>
        <row r="23129">
          <cell r="E23129">
            <v>0</v>
          </cell>
          <cell r="F23129">
            <v>0</v>
          </cell>
          <cell r="DN23129">
            <v>0</v>
          </cell>
        </row>
        <row r="23130">
          <cell r="E23130">
            <v>0</v>
          </cell>
          <cell r="F23130">
            <v>0</v>
          </cell>
          <cell r="DN23130">
            <v>0</v>
          </cell>
        </row>
        <row r="23131">
          <cell r="E23131">
            <v>0</v>
          </cell>
          <cell r="F23131">
            <v>0</v>
          </cell>
          <cell r="DN23131">
            <v>0</v>
          </cell>
        </row>
        <row r="23132">
          <cell r="E23132">
            <v>0</v>
          </cell>
          <cell r="F23132">
            <v>0</v>
          </cell>
          <cell r="DN23132">
            <v>0</v>
          </cell>
        </row>
        <row r="23133">
          <cell r="E23133">
            <v>0</v>
          </cell>
          <cell r="F23133">
            <v>0</v>
          </cell>
          <cell r="DN23133">
            <v>0</v>
          </cell>
        </row>
        <row r="23134">
          <cell r="E23134">
            <v>0</v>
          </cell>
          <cell r="F23134">
            <v>0</v>
          </cell>
          <cell r="DN23134">
            <v>0</v>
          </cell>
        </row>
        <row r="23135">
          <cell r="E23135">
            <v>0</v>
          </cell>
          <cell r="F23135">
            <v>0</v>
          </cell>
          <cell r="DN23135">
            <v>0</v>
          </cell>
        </row>
        <row r="23136">
          <cell r="E23136">
            <v>0</v>
          </cell>
          <cell r="F23136">
            <v>0</v>
          </cell>
          <cell r="DN23136">
            <v>0</v>
          </cell>
        </row>
        <row r="23137">
          <cell r="E23137">
            <v>0</v>
          </cell>
          <cell r="F23137">
            <v>0</v>
          </cell>
          <cell r="DN23137">
            <v>0</v>
          </cell>
        </row>
        <row r="23138">
          <cell r="E23138">
            <v>0</v>
          </cell>
          <cell r="F23138">
            <v>0</v>
          </cell>
          <cell r="DN23138">
            <v>0</v>
          </cell>
        </row>
        <row r="23139">
          <cell r="E23139">
            <v>0</v>
          </cell>
          <cell r="F23139">
            <v>0</v>
          </cell>
          <cell r="DN23139">
            <v>0</v>
          </cell>
        </row>
        <row r="23140">
          <cell r="E23140">
            <v>0</v>
          </cell>
          <cell r="F23140">
            <v>0</v>
          </cell>
          <cell r="DN23140">
            <v>0</v>
          </cell>
        </row>
        <row r="23141">
          <cell r="E23141">
            <v>0</v>
          </cell>
          <cell r="F23141">
            <v>0</v>
          </cell>
          <cell r="DN23141">
            <v>0</v>
          </cell>
        </row>
        <row r="23142">
          <cell r="E23142">
            <v>0</v>
          </cell>
          <cell r="F23142">
            <v>0</v>
          </cell>
          <cell r="DN23142">
            <v>0</v>
          </cell>
        </row>
        <row r="23143">
          <cell r="E23143">
            <v>0</v>
          </cell>
          <cell r="F23143">
            <v>0</v>
          </cell>
          <cell r="DN23143">
            <v>0</v>
          </cell>
        </row>
        <row r="23144">
          <cell r="E23144">
            <v>0</v>
          </cell>
          <cell r="F23144">
            <v>0</v>
          </cell>
          <cell r="DN23144">
            <v>0</v>
          </cell>
        </row>
        <row r="23145">
          <cell r="E23145">
            <v>0</v>
          </cell>
          <cell r="F23145">
            <v>0</v>
          </cell>
          <cell r="DN23145">
            <v>0</v>
          </cell>
        </row>
        <row r="23146">
          <cell r="E23146">
            <v>0</v>
          </cell>
          <cell r="F23146">
            <v>0</v>
          </cell>
          <cell r="DN23146">
            <v>0</v>
          </cell>
        </row>
        <row r="23147">
          <cell r="E23147">
            <v>0</v>
          </cell>
          <cell r="F23147">
            <v>0</v>
          </cell>
          <cell r="DN23147">
            <v>0</v>
          </cell>
        </row>
        <row r="23148">
          <cell r="E23148">
            <v>0</v>
          </cell>
          <cell r="F23148">
            <v>0</v>
          </cell>
          <cell r="DN23148">
            <v>0</v>
          </cell>
        </row>
        <row r="23149">
          <cell r="E23149">
            <v>0</v>
          </cell>
          <cell r="F23149">
            <v>0</v>
          </cell>
          <cell r="DN23149">
            <v>0</v>
          </cell>
        </row>
        <row r="23150">
          <cell r="E23150">
            <v>0</v>
          </cell>
          <cell r="F23150">
            <v>0</v>
          </cell>
          <cell r="DN23150">
            <v>0</v>
          </cell>
        </row>
        <row r="23151">
          <cell r="E23151">
            <v>0</v>
          </cell>
          <cell r="F23151">
            <v>0</v>
          </cell>
          <cell r="DN23151">
            <v>0</v>
          </cell>
        </row>
        <row r="23152">
          <cell r="E23152">
            <v>0</v>
          </cell>
          <cell r="F23152">
            <v>0</v>
          </cell>
          <cell r="DN23152">
            <v>0</v>
          </cell>
        </row>
        <row r="23153">
          <cell r="E23153">
            <v>0</v>
          </cell>
          <cell r="F23153">
            <v>0</v>
          </cell>
          <cell r="DN23153">
            <v>0</v>
          </cell>
        </row>
        <row r="23154">
          <cell r="E23154">
            <v>0</v>
          </cell>
          <cell r="F23154">
            <v>0</v>
          </cell>
          <cell r="DN23154">
            <v>0</v>
          </cell>
        </row>
        <row r="23155">
          <cell r="E23155">
            <v>0</v>
          </cell>
          <cell r="F23155">
            <v>0</v>
          </cell>
          <cell r="DN23155">
            <v>0</v>
          </cell>
        </row>
        <row r="23156">
          <cell r="E23156">
            <v>0</v>
          </cell>
          <cell r="F23156">
            <v>0</v>
          </cell>
          <cell r="DN23156">
            <v>0</v>
          </cell>
        </row>
        <row r="23157">
          <cell r="E23157">
            <v>0</v>
          </cell>
          <cell r="F23157">
            <v>0</v>
          </cell>
          <cell r="DN23157">
            <v>0</v>
          </cell>
        </row>
        <row r="23158">
          <cell r="E23158">
            <v>0</v>
          </cell>
          <cell r="F23158">
            <v>0</v>
          </cell>
          <cell r="DN23158">
            <v>0</v>
          </cell>
        </row>
        <row r="23159">
          <cell r="E23159">
            <v>0</v>
          </cell>
          <cell r="F23159">
            <v>0</v>
          </cell>
          <cell r="DN23159">
            <v>0</v>
          </cell>
        </row>
        <row r="23160">
          <cell r="E23160">
            <v>0</v>
          </cell>
          <cell r="F23160">
            <v>0</v>
          </cell>
          <cell r="DN23160">
            <v>0</v>
          </cell>
        </row>
        <row r="23161">
          <cell r="E23161">
            <v>0</v>
          </cell>
          <cell r="F23161">
            <v>0</v>
          </cell>
          <cell r="DN23161">
            <v>0</v>
          </cell>
        </row>
        <row r="23162">
          <cell r="E23162">
            <v>0</v>
          </cell>
          <cell r="F23162">
            <v>0</v>
          </cell>
          <cell r="DN23162">
            <v>0</v>
          </cell>
        </row>
        <row r="23163">
          <cell r="E23163">
            <v>0</v>
          </cell>
          <cell r="F23163">
            <v>0</v>
          </cell>
          <cell r="DN23163">
            <v>0</v>
          </cell>
        </row>
        <row r="23164">
          <cell r="E23164">
            <v>0</v>
          </cell>
          <cell r="F23164">
            <v>0</v>
          </cell>
          <cell r="DN23164">
            <v>0</v>
          </cell>
        </row>
        <row r="23165">
          <cell r="E23165">
            <v>0</v>
          </cell>
          <cell r="F23165">
            <v>0</v>
          </cell>
          <cell r="DN23165">
            <v>0</v>
          </cell>
        </row>
        <row r="23166">
          <cell r="E23166">
            <v>0</v>
          </cell>
          <cell r="F23166">
            <v>0</v>
          </cell>
          <cell r="DN23166">
            <v>0</v>
          </cell>
        </row>
        <row r="23167">
          <cell r="E23167">
            <v>0</v>
          </cell>
          <cell r="F23167">
            <v>0</v>
          </cell>
          <cell r="DN23167">
            <v>0</v>
          </cell>
        </row>
        <row r="23168">
          <cell r="E23168">
            <v>0</v>
          </cell>
          <cell r="F23168">
            <v>0</v>
          </cell>
          <cell r="DN23168">
            <v>0</v>
          </cell>
        </row>
        <row r="23169">
          <cell r="E23169">
            <v>0</v>
          </cell>
          <cell r="F23169">
            <v>0</v>
          </cell>
          <cell r="DN23169">
            <v>0</v>
          </cell>
        </row>
        <row r="23170">
          <cell r="E23170">
            <v>0</v>
          </cell>
          <cell r="F23170">
            <v>0</v>
          </cell>
          <cell r="DN23170">
            <v>0</v>
          </cell>
        </row>
        <row r="23171">
          <cell r="E23171">
            <v>0</v>
          </cell>
          <cell r="F23171">
            <v>0</v>
          </cell>
          <cell r="DN23171">
            <v>0</v>
          </cell>
        </row>
        <row r="23172">
          <cell r="E23172">
            <v>0</v>
          </cell>
          <cell r="F23172">
            <v>0</v>
          </cell>
          <cell r="DN23172">
            <v>0</v>
          </cell>
        </row>
        <row r="23173">
          <cell r="E23173">
            <v>0</v>
          </cell>
          <cell r="F23173">
            <v>0</v>
          </cell>
          <cell r="DN23173">
            <v>0</v>
          </cell>
        </row>
        <row r="23174">
          <cell r="E23174">
            <v>0</v>
          </cell>
          <cell r="F23174">
            <v>0</v>
          </cell>
          <cell r="DN23174">
            <v>0</v>
          </cell>
        </row>
        <row r="23175">
          <cell r="E23175">
            <v>0</v>
          </cell>
          <cell r="F23175">
            <v>0</v>
          </cell>
          <cell r="DN23175">
            <v>0</v>
          </cell>
        </row>
        <row r="23176">
          <cell r="E23176">
            <v>0</v>
          </cell>
          <cell r="F23176">
            <v>0</v>
          </cell>
          <cell r="DN23176">
            <v>0</v>
          </cell>
        </row>
        <row r="23177">
          <cell r="E23177">
            <v>0</v>
          </cell>
          <cell r="F23177">
            <v>0</v>
          </cell>
          <cell r="DN23177">
            <v>0</v>
          </cell>
        </row>
        <row r="23178">
          <cell r="E23178">
            <v>0</v>
          </cell>
          <cell r="F23178">
            <v>0</v>
          </cell>
          <cell r="DN23178">
            <v>0</v>
          </cell>
        </row>
        <row r="23179">
          <cell r="E23179">
            <v>0</v>
          </cell>
          <cell r="F23179">
            <v>0</v>
          </cell>
          <cell r="DN23179">
            <v>0</v>
          </cell>
        </row>
        <row r="23180">
          <cell r="E23180">
            <v>0</v>
          </cell>
          <cell r="F23180">
            <v>0</v>
          </cell>
          <cell r="DN23180">
            <v>0</v>
          </cell>
        </row>
        <row r="23181">
          <cell r="E23181">
            <v>0</v>
          </cell>
          <cell r="F23181">
            <v>0</v>
          </cell>
          <cell r="DN23181">
            <v>0</v>
          </cell>
        </row>
        <row r="23182">
          <cell r="E23182">
            <v>0</v>
          </cell>
          <cell r="F23182">
            <v>0</v>
          </cell>
          <cell r="DN23182">
            <v>0</v>
          </cell>
        </row>
        <row r="23183">
          <cell r="E23183">
            <v>0</v>
          </cell>
          <cell r="F23183">
            <v>0</v>
          </cell>
          <cell r="DN23183">
            <v>0</v>
          </cell>
        </row>
        <row r="23184">
          <cell r="E23184">
            <v>0</v>
          </cell>
          <cell r="F23184">
            <v>0</v>
          </cell>
          <cell r="DN23184">
            <v>0</v>
          </cell>
        </row>
        <row r="23185">
          <cell r="E23185">
            <v>0</v>
          </cell>
          <cell r="F23185">
            <v>0</v>
          </cell>
          <cell r="DN23185">
            <v>0</v>
          </cell>
        </row>
        <row r="23186">
          <cell r="E23186">
            <v>0</v>
          </cell>
          <cell r="F23186">
            <v>0</v>
          </cell>
          <cell r="DN23186">
            <v>0</v>
          </cell>
        </row>
        <row r="23187">
          <cell r="E23187">
            <v>0</v>
          </cell>
          <cell r="F23187">
            <v>0</v>
          </cell>
          <cell r="DN23187">
            <v>0</v>
          </cell>
        </row>
        <row r="23188">
          <cell r="E23188">
            <v>0</v>
          </cell>
          <cell r="F23188">
            <v>0</v>
          </cell>
          <cell r="DN23188">
            <v>0</v>
          </cell>
        </row>
        <row r="23189">
          <cell r="E23189">
            <v>0</v>
          </cell>
          <cell r="F23189">
            <v>0</v>
          </cell>
          <cell r="DN23189">
            <v>0</v>
          </cell>
        </row>
        <row r="23190">
          <cell r="E23190">
            <v>0</v>
          </cell>
          <cell r="F23190">
            <v>0</v>
          </cell>
          <cell r="DN23190">
            <v>0</v>
          </cell>
        </row>
        <row r="23191">
          <cell r="E23191">
            <v>0</v>
          </cell>
          <cell r="F23191">
            <v>0</v>
          </cell>
          <cell r="DN23191">
            <v>0</v>
          </cell>
        </row>
        <row r="23192">
          <cell r="E23192">
            <v>0</v>
          </cell>
          <cell r="F23192">
            <v>0</v>
          </cell>
          <cell r="DN23192">
            <v>0</v>
          </cell>
        </row>
        <row r="23193">
          <cell r="E23193">
            <v>0</v>
          </cell>
          <cell r="F23193">
            <v>0</v>
          </cell>
          <cell r="DN23193">
            <v>0</v>
          </cell>
        </row>
        <row r="23194">
          <cell r="E23194">
            <v>0</v>
          </cell>
          <cell r="F23194">
            <v>0</v>
          </cell>
          <cell r="DN23194">
            <v>0</v>
          </cell>
        </row>
        <row r="23195">
          <cell r="E23195">
            <v>0</v>
          </cell>
          <cell r="F23195">
            <v>0</v>
          </cell>
          <cell r="DN23195">
            <v>0</v>
          </cell>
        </row>
        <row r="23196">
          <cell r="E23196">
            <v>0</v>
          </cell>
          <cell r="F23196">
            <v>0</v>
          </cell>
          <cell r="DN23196">
            <v>0</v>
          </cell>
        </row>
        <row r="23197">
          <cell r="E23197">
            <v>0</v>
          </cell>
          <cell r="F23197">
            <v>0</v>
          </cell>
          <cell r="DN23197">
            <v>0</v>
          </cell>
        </row>
        <row r="23198">
          <cell r="E23198">
            <v>0</v>
          </cell>
          <cell r="F23198">
            <v>0</v>
          </cell>
          <cell r="DN23198">
            <v>0</v>
          </cell>
        </row>
        <row r="23199">
          <cell r="E23199">
            <v>0</v>
          </cell>
          <cell r="F23199">
            <v>0</v>
          </cell>
          <cell r="DN23199">
            <v>0</v>
          </cell>
        </row>
        <row r="23200">
          <cell r="E23200">
            <v>0</v>
          </cell>
          <cell r="F23200">
            <v>0</v>
          </cell>
          <cell r="DN23200">
            <v>0</v>
          </cell>
        </row>
        <row r="23201">
          <cell r="E23201">
            <v>0</v>
          </cell>
          <cell r="F23201">
            <v>0</v>
          </cell>
          <cell r="DN23201">
            <v>0</v>
          </cell>
        </row>
        <row r="23202">
          <cell r="E23202">
            <v>0</v>
          </cell>
          <cell r="F23202">
            <v>0</v>
          </cell>
          <cell r="DN23202">
            <v>0</v>
          </cell>
        </row>
        <row r="23203">
          <cell r="E23203">
            <v>0</v>
          </cell>
          <cell r="F23203">
            <v>0</v>
          </cell>
          <cell r="DN23203">
            <v>0</v>
          </cell>
        </row>
        <row r="23204">
          <cell r="E23204">
            <v>0</v>
          </cell>
          <cell r="F23204">
            <v>0</v>
          </cell>
          <cell r="DN23204">
            <v>0</v>
          </cell>
        </row>
        <row r="23205">
          <cell r="E23205">
            <v>0</v>
          </cell>
          <cell r="F23205">
            <v>0</v>
          </cell>
          <cell r="DN23205">
            <v>0</v>
          </cell>
        </row>
        <row r="23206">
          <cell r="E23206">
            <v>0</v>
          </cell>
          <cell r="F23206">
            <v>0</v>
          </cell>
          <cell r="DN23206">
            <v>0</v>
          </cell>
        </row>
        <row r="23207">
          <cell r="E23207">
            <v>0</v>
          </cell>
          <cell r="F23207">
            <v>0</v>
          </cell>
          <cell r="DN23207">
            <v>0</v>
          </cell>
        </row>
        <row r="23208">
          <cell r="E23208">
            <v>0</v>
          </cell>
          <cell r="F23208">
            <v>0</v>
          </cell>
          <cell r="DN23208">
            <v>0</v>
          </cell>
        </row>
        <row r="23209">
          <cell r="E23209">
            <v>0</v>
          </cell>
          <cell r="F23209">
            <v>0</v>
          </cell>
          <cell r="DN23209">
            <v>0</v>
          </cell>
        </row>
        <row r="23210">
          <cell r="E23210">
            <v>0</v>
          </cell>
          <cell r="F23210">
            <v>0</v>
          </cell>
          <cell r="DN23210">
            <v>0</v>
          </cell>
        </row>
        <row r="23211">
          <cell r="E23211">
            <v>0</v>
          </cell>
          <cell r="F23211">
            <v>0</v>
          </cell>
          <cell r="DN23211">
            <v>0</v>
          </cell>
        </row>
        <row r="23212">
          <cell r="E23212">
            <v>0</v>
          </cell>
          <cell r="F23212">
            <v>0</v>
          </cell>
          <cell r="DN23212">
            <v>0</v>
          </cell>
        </row>
        <row r="23213">
          <cell r="E23213">
            <v>0</v>
          </cell>
          <cell r="F23213">
            <v>0</v>
          </cell>
          <cell r="DN23213">
            <v>0</v>
          </cell>
        </row>
        <row r="23214">
          <cell r="E23214">
            <v>0</v>
          </cell>
          <cell r="F23214">
            <v>0</v>
          </cell>
          <cell r="DN23214">
            <v>0</v>
          </cell>
        </row>
        <row r="23215">
          <cell r="E23215">
            <v>0</v>
          </cell>
          <cell r="F23215">
            <v>0</v>
          </cell>
          <cell r="DN23215">
            <v>0</v>
          </cell>
        </row>
        <row r="23216">
          <cell r="E23216">
            <v>0</v>
          </cell>
          <cell r="F23216">
            <v>0</v>
          </cell>
          <cell r="DN23216">
            <v>0</v>
          </cell>
        </row>
        <row r="23217">
          <cell r="E23217">
            <v>0</v>
          </cell>
          <cell r="F23217">
            <v>0</v>
          </cell>
          <cell r="DN23217">
            <v>0</v>
          </cell>
        </row>
        <row r="23218">
          <cell r="E23218">
            <v>0</v>
          </cell>
          <cell r="F23218">
            <v>0</v>
          </cell>
          <cell r="DN23218">
            <v>0</v>
          </cell>
        </row>
        <row r="23219">
          <cell r="E23219">
            <v>0</v>
          </cell>
          <cell r="F23219">
            <v>0</v>
          </cell>
          <cell r="DN23219">
            <v>0</v>
          </cell>
        </row>
        <row r="23220">
          <cell r="E23220">
            <v>0</v>
          </cell>
          <cell r="F23220">
            <v>0</v>
          </cell>
          <cell r="DN23220">
            <v>0</v>
          </cell>
        </row>
        <row r="23221">
          <cell r="E23221">
            <v>0</v>
          </cell>
          <cell r="F23221">
            <v>0</v>
          </cell>
          <cell r="DN23221">
            <v>0</v>
          </cell>
        </row>
        <row r="23222">
          <cell r="E23222">
            <v>0</v>
          </cell>
          <cell r="F23222">
            <v>0</v>
          </cell>
          <cell r="DN23222">
            <v>0</v>
          </cell>
        </row>
        <row r="23223">
          <cell r="E23223">
            <v>0</v>
          </cell>
          <cell r="F23223">
            <v>0</v>
          </cell>
          <cell r="DN23223">
            <v>0</v>
          </cell>
        </row>
        <row r="23224">
          <cell r="E23224">
            <v>0</v>
          </cell>
          <cell r="F23224">
            <v>0</v>
          </cell>
          <cell r="DN23224">
            <v>0</v>
          </cell>
        </row>
        <row r="23225">
          <cell r="E23225">
            <v>0</v>
          </cell>
          <cell r="F23225">
            <v>0</v>
          </cell>
          <cell r="DN23225">
            <v>0</v>
          </cell>
        </row>
        <row r="23226">
          <cell r="E23226">
            <v>0</v>
          </cell>
          <cell r="F23226">
            <v>0</v>
          </cell>
          <cell r="DN23226">
            <v>0</v>
          </cell>
        </row>
        <row r="23227">
          <cell r="E23227">
            <v>0</v>
          </cell>
          <cell r="F23227">
            <v>0</v>
          </cell>
          <cell r="DN23227">
            <v>0</v>
          </cell>
        </row>
        <row r="23228">
          <cell r="E23228">
            <v>0</v>
          </cell>
          <cell r="F23228">
            <v>0</v>
          </cell>
          <cell r="DN23228">
            <v>0</v>
          </cell>
        </row>
        <row r="23229">
          <cell r="E23229">
            <v>0</v>
          </cell>
          <cell r="F23229">
            <v>0</v>
          </cell>
          <cell r="DN23229">
            <v>0</v>
          </cell>
        </row>
        <row r="23230">
          <cell r="E23230">
            <v>0</v>
          </cell>
          <cell r="F23230">
            <v>0</v>
          </cell>
          <cell r="DN23230">
            <v>0</v>
          </cell>
        </row>
        <row r="23231">
          <cell r="E23231">
            <v>0</v>
          </cell>
          <cell r="F23231">
            <v>0</v>
          </cell>
          <cell r="DN23231">
            <v>0</v>
          </cell>
        </row>
        <row r="23232">
          <cell r="E23232">
            <v>0</v>
          </cell>
          <cell r="F23232">
            <v>0</v>
          </cell>
          <cell r="DN23232">
            <v>0</v>
          </cell>
        </row>
        <row r="23233">
          <cell r="E23233">
            <v>0</v>
          </cell>
          <cell r="F23233">
            <v>0</v>
          </cell>
          <cell r="DN23233">
            <v>0</v>
          </cell>
        </row>
        <row r="23234">
          <cell r="E23234">
            <v>0</v>
          </cell>
          <cell r="F23234">
            <v>0</v>
          </cell>
          <cell r="DN23234">
            <v>0</v>
          </cell>
        </row>
        <row r="23235">
          <cell r="E23235">
            <v>0</v>
          </cell>
          <cell r="F23235">
            <v>0</v>
          </cell>
          <cell r="DN23235">
            <v>0</v>
          </cell>
        </row>
        <row r="23236">
          <cell r="E23236">
            <v>0</v>
          </cell>
          <cell r="F23236">
            <v>0</v>
          </cell>
          <cell r="DN23236">
            <v>0</v>
          </cell>
        </row>
        <row r="23237">
          <cell r="E23237">
            <v>0</v>
          </cell>
          <cell r="F23237">
            <v>0</v>
          </cell>
          <cell r="DN23237">
            <v>0</v>
          </cell>
        </row>
        <row r="23238">
          <cell r="E23238">
            <v>0</v>
          </cell>
          <cell r="F23238">
            <v>0</v>
          </cell>
          <cell r="DN23238">
            <v>0</v>
          </cell>
        </row>
        <row r="23239">
          <cell r="E23239">
            <v>0</v>
          </cell>
          <cell r="F23239">
            <v>0</v>
          </cell>
          <cell r="DN23239">
            <v>0</v>
          </cell>
        </row>
        <row r="23240">
          <cell r="E23240">
            <v>0</v>
          </cell>
          <cell r="F23240">
            <v>0</v>
          </cell>
          <cell r="DN23240">
            <v>0</v>
          </cell>
        </row>
        <row r="23241">
          <cell r="E23241">
            <v>0</v>
          </cell>
          <cell r="F23241">
            <v>0</v>
          </cell>
          <cell r="DN23241">
            <v>0</v>
          </cell>
        </row>
        <row r="23242">
          <cell r="E23242">
            <v>0</v>
          </cell>
          <cell r="F23242">
            <v>0</v>
          </cell>
          <cell r="DN23242">
            <v>0</v>
          </cell>
        </row>
        <row r="23243">
          <cell r="E23243">
            <v>0</v>
          </cell>
          <cell r="F23243">
            <v>0</v>
          </cell>
          <cell r="DN23243">
            <v>0</v>
          </cell>
        </row>
        <row r="23244">
          <cell r="E23244">
            <v>0</v>
          </cell>
          <cell r="F23244">
            <v>0</v>
          </cell>
          <cell r="DN23244">
            <v>0</v>
          </cell>
        </row>
        <row r="23245">
          <cell r="E23245">
            <v>0</v>
          </cell>
          <cell r="F23245">
            <v>0</v>
          </cell>
          <cell r="DN23245">
            <v>0</v>
          </cell>
        </row>
        <row r="23246">
          <cell r="E23246">
            <v>0</v>
          </cell>
          <cell r="F23246">
            <v>0</v>
          </cell>
          <cell r="DN23246">
            <v>0</v>
          </cell>
        </row>
        <row r="23247">
          <cell r="E23247">
            <v>0</v>
          </cell>
          <cell r="F23247">
            <v>0</v>
          </cell>
          <cell r="DN23247">
            <v>0</v>
          </cell>
        </row>
        <row r="23248">
          <cell r="E23248">
            <v>0</v>
          </cell>
          <cell r="F23248">
            <v>0</v>
          </cell>
          <cell r="DN23248">
            <v>0</v>
          </cell>
        </row>
        <row r="23249">
          <cell r="E23249">
            <v>0</v>
          </cell>
          <cell r="F23249">
            <v>0</v>
          </cell>
          <cell r="DN23249">
            <v>0</v>
          </cell>
        </row>
        <row r="23250">
          <cell r="E23250">
            <v>0</v>
          </cell>
          <cell r="F23250">
            <v>0</v>
          </cell>
          <cell r="DN23250">
            <v>0</v>
          </cell>
        </row>
        <row r="23251">
          <cell r="E23251">
            <v>0</v>
          </cell>
          <cell r="F23251">
            <v>0</v>
          </cell>
          <cell r="DN23251">
            <v>0</v>
          </cell>
        </row>
        <row r="23252">
          <cell r="E23252">
            <v>0</v>
          </cell>
          <cell r="F23252">
            <v>0</v>
          </cell>
          <cell r="DN23252">
            <v>0</v>
          </cell>
        </row>
        <row r="23253">
          <cell r="E23253">
            <v>0</v>
          </cell>
          <cell r="F23253">
            <v>0</v>
          </cell>
          <cell r="DN23253">
            <v>0</v>
          </cell>
        </row>
        <row r="23254">
          <cell r="E23254">
            <v>0</v>
          </cell>
          <cell r="F23254">
            <v>0</v>
          </cell>
          <cell r="DN23254">
            <v>0</v>
          </cell>
        </row>
        <row r="23255">
          <cell r="E23255">
            <v>0</v>
          </cell>
          <cell r="F23255">
            <v>0</v>
          </cell>
          <cell r="DN23255">
            <v>0</v>
          </cell>
        </row>
        <row r="23256">
          <cell r="E23256">
            <v>0</v>
          </cell>
          <cell r="F23256">
            <v>0</v>
          </cell>
          <cell r="DN23256">
            <v>0</v>
          </cell>
        </row>
        <row r="23257">
          <cell r="E23257">
            <v>0</v>
          </cell>
          <cell r="F23257">
            <v>0</v>
          </cell>
          <cell r="DN23257">
            <v>0</v>
          </cell>
        </row>
        <row r="23258">
          <cell r="E23258">
            <v>0</v>
          </cell>
          <cell r="F23258">
            <v>0</v>
          </cell>
          <cell r="DN23258">
            <v>0</v>
          </cell>
        </row>
        <row r="23259">
          <cell r="E23259">
            <v>0</v>
          </cell>
          <cell r="F23259">
            <v>0</v>
          </cell>
          <cell r="DN23259">
            <v>0</v>
          </cell>
        </row>
        <row r="23260">
          <cell r="E23260">
            <v>0</v>
          </cell>
          <cell r="F23260">
            <v>0</v>
          </cell>
          <cell r="DN23260">
            <v>0</v>
          </cell>
        </row>
        <row r="23261">
          <cell r="E23261">
            <v>0</v>
          </cell>
          <cell r="F23261">
            <v>0</v>
          </cell>
          <cell r="DN23261">
            <v>0</v>
          </cell>
        </row>
        <row r="23262">
          <cell r="E23262">
            <v>0</v>
          </cell>
          <cell r="F23262">
            <v>0</v>
          </cell>
          <cell r="DN23262">
            <v>0</v>
          </cell>
        </row>
        <row r="23263">
          <cell r="E23263">
            <v>0</v>
          </cell>
          <cell r="F23263">
            <v>0</v>
          </cell>
          <cell r="DN23263">
            <v>0</v>
          </cell>
        </row>
        <row r="23264">
          <cell r="E23264">
            <v>0</v>
          </cell>
          <cell r="F23264">
            <v>0</v>
          </cell>
          <cell r="DN23264">
            <v>0</v>
          </cell>
        </row>
        <row r="23265">
          <cell r="E23265">
            <v>0</v>
          </cell>
          <cell r="F23265">
            <v>0</v>
          </cell>
          <cell r="DN23265">
            <v>0</v>
          </cell>
        </row>
        <row r="23266">
          <cell r="E23266">
            <v>0</v>
          </cell>
          <cell r="F23266">
            <v>0</v>
          </cell>
          <cell r="DN23266">
            <v>0</v>
          </cell>
        </row>
        <row r="23267">
          <cell r="E23267">
            <v>0</v>
          </cell>
          <cell r="F23267">
            <v>0</v>
          </cell>
          <cell r="DN23267">
            <v>0</v>
          </cell>
        </row>
        <row r="23268">
          <cell r="E23268">
            <v>0</v>
          </cell>
          <cell r="F23268">
            <v>0</v>
          </cell>
          <cell r="DN23268">
            <v>0</v>
          </cell>
        </row>
        <row r="23269">
          <cell r="E23269">
            <v>0</v>
          </cell>
          <cell r="F23269">
            <v>0</v>
          </cell>
          <cell r="DN23269">
            <v>0</v>
          </cell>
        </row>
        <row r="23270">
          <cell r="E23270">
            <v>0</v>
          </cell>
          <cell r="F23270">
            <v>0</v>
          </cell>
          <cell r="DN23270">
            <v>0</v>
          </cell>
        </row>
        <row r="23271">
          <cell r="E23271">
            <v>0</v>
          </cell>
          <cell r="F23271">
            <v>0</v>
          </cell>
          <cell r="DN23271">
            <v>0</v>
          </cell>
        </row>
        <row r="23272">
          <cell r="E23272">
            <v>0</v>
          </cell>
          <cell r="F23272">
            <v>0</v>
          </cell>
          <cell r="DN23272">
            <v>0</v>
          </cell>
        </row>
        <row r="23273">
          <cell r="E23273">
            <v>0</v>
          </cell>
          <cell r="F23273">
            <v>0</v>
          </cell>
          <cell r="DN23273">
            <v>0</v>
          </cell>
        </row>
        <row r="23274">
          <cell r="E23274">
            <v>0</v>
          </cell>
          <cell r="F23274">
            <v>0</v>
          </cell>
          <cell r="DN23274">
            <v>0</v>
          </cell>
        </row>
        <row r="23275">
          <cell r="E23275">
            <v>0</v>
          </cell>
          <cell r="F23275">
            <v>0</v>
          </cell>
          <cell r="DN23275">
            <v>0</v>
          </cell>
        </row>
        <row r="23276">
          <cell r="E23276">
            <v>0</v>
          </cell>
          <cell r="F23276">
            <v>0</v>
          </cell>
          <cell r="DN23276">
            <v>0</v>
          </cell>
        </row>
        <row r="23277">
          <cell r="E23277">
            <v>0</v>
          </cell>
          <cell r="F23277">
            <v>0</v>
          </cell>
          <cell r="DN23277">
            <v>0</v>
          </cell>
        </row>
        <row r="23278">
          <cell r="E23278">
            <v>0</v>
          </cell>
          <cell r="F23278">
            <v>0</v>
          </cell>
          <cell r="DN23278">
            <v>0</v>
          </cell>
        </row>
        <row r="23279">
          <cell r="E23279">
            <v>0</v>
          </cell>
          <cell r="F23279">
            <v>0</v>
          </cell>
          <cell r="DN23279">
            <v>0</v>
          </cell>
        </row>
        <row r="23280">
          <cell r="E23280">
            <v>0</v>
          </cell>
          <cell r="F23280">
            <v>0</v>
          </cell>
          <cell r="DN23280">
            <v>0</v>
          </cell>
        </row>
        <row r="23281">
          <cell r="E23281">
            <v>0</v>
          </cell>
          <cell r="F23281">
            <v>0</v>
          </cell>
          <cell r="DN23281">
            <v>0</v>
          </cell>
        </row>
        <row r="23282">
          <cell r="E23282">
            <v>0</v>
          </cell>
          <cell r="F23282">
            <v>0</v>
          </cell>
          <cell r="DN23282">
            <v>0</v>
          </cell>
        </row>
        <row r="23283">
          <cell r="E23283">
            <v>0</v>
          </cell>
          <cell r="F23283">
            <v>0</v>
          </cell>
          <cell r="DN23283">
            <v>0</v>
          </cell>
        </row>
        <row r="23284">
          <cell r="E23284">
            <v>0</v>
          </cell>
          <cell r="F23284">
            <v>0</v>
          </cell>
          <cell r="DN23284">
            <v>0</v>
          </cell>
        </row>
        <row r="23285">
          <cell r="E23285">
            <v>0</v>
          </cell>
          <cell r="F23285">
            <v>0</v>
          </cell>
          <cell r="DN23285">
            <v>0</v>
          </cell>
        </row>
        <row r="23286">
          <cell r="E23286">
            <v>0</v>
          </cell>
          <cell r="F23286">
            <v>0</v>
          </cell>
          <cell r="DN23286">
            <v>0</v>
          </cell>
        </row>
        <row r="23287">
          <cell r="E23287">
            <v>0</v>
          </cell>
          <cell r="F23287">
            <v>0</v>
          </cell>
          <cell r="DN23287">
            <v>0</v>
          </cell>
        </row>
        <row r="23288">
          <cell r="E23288">
            <v>0</v>
          </cell>
          <cell r="F23288">
            <v>0</v>
          </cell>
          <cell r="DN23288">
            <v>0</v>
          </cell>
        </row>
        <row r="23289">
          <cell r="E23289">
            <v>0</v>
          </cell>
          <cell r="F23289">
            <v>0</v>
          </cell>
          <cell r="DN23289">
            <v>0</v>
          </cell>
        </row>
        <row r="23290">
          <cell r="E23290">
            <v>0</v>
          </cell>
          <cell r="F23290">
            <v>0</v>
          </cell>
          <cell r="DN23290">
            <v>0</v>
          </cell>
        </row>
        <row r="23291">
          <cell r="E23291">
            <v>0</v>
          </cell>
          <cell r="F23291">
            <v>0</v>
          </cell>
          <cell r="DN23291">
            <v>0</v>
          </cell>
        </row>
        <row r="23292">
          <cell r="E23292">
            <v>0</v>
          </cell>
          <cell r="F23292">
            <v>0</v>
          </cell>
          <cell r="DN23292">
            <v>0</v>
          </cell>
        </row>
        <row r="23293">
          <cell r="E23293">
            <v>0</v>
          </cell>
          <cell r="F23293">
            <v>0</v>
          </cell>
          <cell r="DN23293">
            <v>0</v>
          </cell>
        </row>
        <row r="23294">
          <cell r="E23294">
            <v>0</v>
          </cell>
          <cell r="F23294">
            <v>0</v>
          </cell>
          <cell r="DN23294">
            <v>0</v>
          </cell>
        </row>
        <row r="23295">
          <cell r="E23295">
            <v>0</v>
          </cell>
          <cell r="F23295">
            <v>0</v>
          </cell>
          <cell r="DN23295">
            <v>0</v>
          </cell>
        </row>
        <row r="23296">
          <cell r="E23296">
            <v>0</v>
          </cell>
          <cell r="F23296">
            <v>0</v>
          </cell>
          <cell r="DN23296">
            <v>0</v>
          </cell>
        </row>
        <row r="23297">
          <cell r="E23297">
            <v>0</v>
          </cell>
          <cell r="F23297">
            <v>0</v>
          </cell>
          <cell r="DN23297">
            <v>0</v>
          </cell>
        </row>
        <row r="23298">
          <cell r="E23298">
            <v>0</v>
          </cell>
          <cell r="F23298">
            <v>0</v>
          </cell>
          <cell r="DN23298">
            <v>0</v>
          </cell>
        </row>
        <row r="23299">
          <cell r="E23299">
            <v>0</v>
          </cell>
          <cell r="F23299">
            <v>0</v>
          </cell>
          <cell r="DN23299">
            <v>0</v>
          </cell>
        </row>
        <row r="23300">
          <cell r="E23300">
            <v>0</v>
          </cell>
          <cell r="F23300">
            <v>0</v>
          </cell>
          <cell r="DN23300">
            <v>0</v>
          </cell>
        </row>
        <row r="23301">
          <cell r="E23301">
            <v>0</v>
          </cell>
          <cell r="F23301">
            <v>0</v>
          </cell>
          <cell r="DN23301">
            <v>0</v>
          </cell>
        </row>
        <row r="23302">
          <cell r="E23302">
            <v>0</v>
          </cell>
          <cell r="F23302">
            <v>0</v>
          </cell>
          <cell r="DN23302">
            <v>0</v>
          </cell>
        </row>
        <row r="23303">
          <cell r="E23303">
            <v>0</v>
          </cell>
          <cell r="F23303">
            <v>0</v>
          </cell>
          <cell r="DN23303">
            <v>0</v>
          </cell>
        </row>
        <row r="23304">
          <cell r="E23304">
            <v>0</v>
          </cell>
          <cell r="F23304">
            <v>0</v>
          </cell>
          <cell r="DN23304">
            <v>0</v>
          </cell>
        </row>
        <row r="23305">
          <cell r="E23305">
            <v>0</v>
          </cell>
          <cell r="F23305">
            <v>0</v>
          </cell>
          <cell r="DN23305">
            <v>0</v>
          </cell>
        </row>
        <row r="23306">
          <cell r="E23306">
            <v>0</v>
          </cell>
          <cell r="F23306">
            <v>0</v>
          </cell>
          <cell r="DN23306">
            <v>0</v>
          </cell>
        </row>
        <row r="23307">
          <cell r="E23307">
            <v>0</v>
          </cell>
          <cell r="F23307">
            <v>0</v>
          </cell>
          <cell r="DN23307">
            <v>0</v>
          </cell>
        </row>
        <row r="23308">
          <cell r="E23308">
            <v>0</v>
          </cell>
          <cell r="F23308">
            <v>0</v>
          </cell>
          <cell r="DN23308">
            <v>0</v>
          </cell>
        </row>
        <row r="23309">
          <cell r="E23309">
            <v>0</v>
          </cell>
          <cell r="F23309">
            <v>0</v>
          </cell>
          <cell r="DN23309">
            <v>0</v>
          </cell>
        </row>
        <row r="23310">
          <cell r="E23310">
            <v>0</v>
          </cell>
          <cell r="F23310">
            <v>0</v>
          </cell>
          <cell r="DN23310">
            <v>0</v>
          </cell>
        </row>
        <row r="23311">
          <cell r="E23311">
            <v>0</v>
          </cell>
          <cell r="F23311">
            <v>0</v>
          </cell>
          <cell r="DN23311">
            <v>0</v>
          </cell>
        </row>
        <row r="23312">
          <cell r="E23312">
            <v>0</v>
          </cell>
          <cell r="F23312">
            <v>0</v>
          </cell>
          <cell r="DN23312">
            <v>0</v>
          </cell>
        </row>
        <row r="23313">
          <cell r="E23313">
            <v>0</v>
          </cell>
          <cell r="F23313">
            <v>0</v>
          </cell>
          <cell r="DN23313">
            <v>0</v>
          </cell>
        </row>
        <row r="23314">
          <cell r="E23314">
            <v>0</v>
          </cell>
          <cell r="F23314">
            <v>0</v>
          </cell>
          <cell r="DN23314">
            <v>0</v>
          </cell>
        </row>
        <row r="23315">
          <cell r="E23315">
            <v>0</v>
          </cell>
          <cell r="F23315">
            <v>0</v>
          </cell>
          <cell r="DN23315">
            <v>0</v>
          </cell>
        </row>
        <row r="23316">
          <cell r="E23316">
            <v>0</v>
          </cell>
          <cell r="F23316">
            <v>0</v>
          </cell>
          <cell r="DN23316">
            <v>0</v>
          </cell>
        </row>
        <row r="23317">
          <cell r="E23317">
            <v>0</v>
          </cell>
          <cell r="F23317">
            <v>0</v>
          </cell>
          <cell r="DN23317">
            <v>0</v>
          </cell>
        </row>
        <row r="23318">
          <cell r="E23318">
            <v>0</v>
          </cell>
          <cell r="F23318">
            <v>0</v>
          </cell>
          <cell r="DN23318">
            <v>0</v>
          </cell>
        </row>
        <row r="23319">
          <cell r="E23319">
            <v>0</v>
          </cell>
          <cell r="F23319">
            <v>0</v>
          </cell>
          <cell r="DN23319">
            <v>0</v>
          </cell>
        </row>
        <row r="23320">
          <cell r="E23320">
            <v>0</v>
          </cell>
          <cell r="F23320">
            <v>0</v>
          </cell>
          <cell r="DN23320">
            <v>0</v>
          </cell>
        </row>
        <row r="23321">
          <cell r="E23321">
            <v>0</v>
          </cell>
          <cell r="F23321">
            <v>0</v>
          </cell>
          <cell r="DN23321">
            <v>0</v>
          </cell>
        </row>
        <row r="23322">
          <cell r="E23322">
            <v>0</v>
          </cell>
          <cell r="F23322">
            <v>0</v>
          </cell>
          <cell r="DN23322">
            <v>0</v>
          </cell>
        </row>
        <row r="23323">
          <cell r="E23323">
            <v>0</v>
          </cell>
          <cell r="F23323">
            <v>0</v>
          </cell>
          <cell r="DN23323">
            <v>0</v>
          </cell>
        </row>
        <row r="23324">
          <cell r="E23324">
            <v>0</v>
          </cell>
          <cell r="F23324">
            <v>0</v>
          </cell>
          <cell r="DN23324">
            <v>0</v>
          </cell>
        </row>
        <row r="23325">
          <cell r="E23325">
            <v>0</v>
          </cell>
          <cell r="F23325">
            <v>0</v>
          </cell>
          <cell r="DN23325">
            <v>0</v>
          </cell>
        </row>
        <row r="23326">
          <cell r="E23326">
            <v>0</v>
          </cell>
          <cell r="F23326">
            <v>0</v>
          </cell>
          <cell r="DN23326">
            <v>0</v>
          </cell>
        </row>
        <row r="23327">
          <cell r="E23327">
            <v>0</v>
          </cell>
          <cell r="F23327">
            <v>0</v>
          </cell>
          <cell r="DN23327">
            <v>0</v>
          </cell>
        </row>
        <row r="23328">
          <cell r="E23328">
            <v>0</v>
          </cell>
          <cell r="F23328">
            <v>0</v>
          </cell>
          <cell r="DN23328">
            <v>0</v>
          </cell>
        </row>
        <row r="23329">
          <cell r="E23329">
            <v>0</v>
          </cell>
          <cell r="F23329">
            <v>0</v>
          </cell>
          <cell r="DN23329">
            <v>0</v>
          </cell>
        </row>
        <row r="23330">
          <cell r="E23330">
            <v>0</v>
          </cell>
          <cell r="F23330">
            <v>0</v>
          </cell>
          <cell r="DN23330">
            <v>0</v>
          </cell>
        </row>
        <row r="23331">
          <cell r="E23331">
            <v>0</v>
          </cell>
          <cell r="F23331">
            <v>0</v>
          </cell>
          <cell r="DN23331">
            <v>0</v>
          </cell>
        </row>
        <row r="23332">
          <cell r="E23332">
            <v>0</v>
          </cell>
          <cell r="F23332">
            <v>0</v>
          </cell>
          <cell r="DN23332">
            <v>0</v>
          </cell>
        </row>
        <row r="23333">
          <cell r="E23333">
            <v>0</v>
          </cell>
          <cell r="F23333">
            <v>0</v>
          </cell>
          <cell r="DN23333">
            <v>0</v>
          </cell>
        </row>
        <row r="23334">
          <cell r="E23334">
            <v>0</v>
          </cell>
          <cell r="F23334">
            <v>0</v>
          </cell>
          <cell r="DN23334">
            <v>0</v>
          </cell>
        </row>
        <row r="23335">
          <cell r="E23335">
            <v>0</v>
          </cell>
          <cell r="F23335">
            <v>0</v>
          </cell>
          <cell r="DN23335">
            <v>0</v>
          </cell>
        </row>
        <row r="23336">
          <cell r="E23336">
            <v>0</v>
          </cell>
          <cell r="F23336">
            <v>0</v>
          </cell>
          <cell r="DN23336">
            <v>0</v>
          </cell>
        </row>
        <row r="23337">
          <cell r="E23337">
            <v>0</v>
          </cell>
          <cell r="F23337">
            <v>0</v>
          </cell>
          <cell r="DN23337">
            <v>0</v>
          </cell>
        </row>
        <row r="23338">
          <cell r="E23338">
            <v>0</v>
          </cell>
          <cell r="F23338">
            <v>0</v>
          </cell>
          <cell r="DN23338">
            <v>0</v>
          </cell>
        </row>
        <row r="23339">
          <cell r="E23339">
            <v>0</v>
          </cell>
          <cell r="F23339">
            <v>0</v>
          </cell>
          <cell r="DN23339">
            <v>0</v>
          </cell>
        </row>
        <row r="23340">
          <cell r="E23340">
            <v>0</v>
          </cell>
          <cell r="F23340">
            <v>0</v>
          </cell>
          <cell r="DN23340">
            <v>0</v>
          </cell>
        </row>
        <row r="23341">
          <cell r="E23341">
            <v>0</v>
          </cell>
          <cell r="F23341">
            <v>0</v>
          </cell>
          <cell r="DN23341">
            <v>0</v>
          </cell>
        </row>
        <row r="23342">
          <cell r="E23342">
            <v>0</v>
          </cell>
          <cell r="F23342">
            <v>0</v>
          </cell>
          <cell r="DN23342">
            <v>0</v>
          </cell>
        </row>
        <row r="23343">
          <cell r="E23343">
            <v>0</v>
          </cell>
          <cell r="F23343">
            <v>0</v>
          </cell>
          <cell r="DN23343">
            <v>0</v>
          </cell>
        </row>
        <row r="23344">
          <cell r="E23344">
            <v>0</v>
          </cell>
          <cell r="F23344">
            <v>0</v>
          </cell>
          <cell r="DN23344">
            <v>0</v>
          </cell>
        </row>
        <row r="23345">
          <cell r="E23345">
            <v>0</v>
          </cell>
          <cell r="F23345">
            <v>0</v>
          </cell>
          <cell r="DN23345">
            <v>0</v>
          </cell>
        </row>
        <row r="23346">
          <cell r="E23346">
            <v>0</v>
          </cell>
          <cell r="F23346">
            <v>0</v>
          </cell>
          <cell r="DN23346">
            <v>0</v>
          </cell>
        </row>
        <row r="23347">
          <cell r="E23347">
            <v>0</v>
          </cell>
          <cell r="F23347">
            <v>0</v>
          </cell>
          <cell r="DN23347">
            <v>0</v>
          </cell>
        </row>
        <row r="23348">
          <cell r="E23348">
            <v>0</v>
          </cell>
          <cell r="F23348">
            <v>0</v>
          </cell>
          <cell r="DN23348">
            <v>0</v>
          </cell>
        </row>
        <row r="23349">
          <cell r="E23349">
            <v>0</v>
          </cell>
          <cell r="F23349">
            <v>0</v>
          </cell>
          <cell r="DN23349">
            <v>0</v>
          </cell>
        </row>
        <row r="23350">
          <cell r="E23350">
            <v>0</v>
          </cell>
          <cell r="F23350">
            <v>0</v>
          </cell>
          <cell r="DN23350">
            <v>0</v>
          </cell>
        </row>
        <row r="23351">
          <cell r="E23351">
            <v>0</v>
          </cell>
          <cell r="F23351">
            <v>0</v>
          </cell>
          <cell r="DN23351">
            <v>0</v>
          </cell>
        </row>
        <row r="23352">
          <cell r="E23352">
            <v>0</v>
          </cell>
          <cell r="F23352">
            <v>0</v>
          </cell>
          <cell r="DN23352">
            <v>0</v>
          </cell>
        </row>
        <row r="23353">
          <cell r="E23353">
            <v>0</v>
          </cell>
          <cell r="F23353">
            <v>0</v>
          </cell>
          <cell r="DN23353">
            <v>0</v>
          </cell>
        </row>
        <row r="23354">
          <cell r="E23354">
            <v>0</v>
          </cell>
          <cell r="F23354">
            <v>0</v>
          </cell>
          <cell r="DN23354">
            <v>0</v>
          </cell>
        </row>
        <row r="23355">
          <cell r="E23355">
            <v>0</v>
          </cell>
          <cell r="F23355">
            <v>0</v>
          </cell>
          <cell r="DN23355">
            <v>0</v>
          </cell>
        </row>
        <row r="23356">
          <cell r="E23356">
            <v>0</v>
          </cell>
          <cell r="F23356">
            <v>0</v>
          </cell>
          <cell r="DN23356">
            <v>0</v>
          </cell>
        </row>
        <row r="23357">
          <cell r="E23357">
            <v>0</v>
          </cell>
          <cell r="F23357">
            <v>0</v>
          </cell>
          <cell r="DN23357">
            <v>0</v>
          </cell>
        </row>
        <row r="23358">
          <cell r="E23358">
            <v>0</v>
          </cell>
          <cell r="F23358">
            <v>0</v>
          </cell>
          <cell r="DN23358">
            <v>0</v>
          </cell>
        </row>
        <row r="23359">
          <cell r="E23359">
            <v>0</v>
          </cell>
          <cell r="F23359">
            <v>0</v>
          </cell>
          <cell r="DN23359">
            <v>0</v>
          </cell>
        </row>
        <row r="23360">
          <cell r="E23360">
            <v>0</v>
          </cell>
          <cell r="F23360">
            <v>0</v>
          </cell>
          <cell r="DN23360">
            <v>0</v>
          </cell>
        </row>
        <row r="23361">
          <cell r="E23361">
            <v>0</v>
          </cell>
          <cell r="F23361">
            <v>0</v>
          </cell>
          <cell r="DN23361">
            <v>0</v>
          </cell>
        </row>
        <row r="23362">
          <cell r="E23362">
            <v>0</v>
          </cell>
          <cell r="F23362">
            <v>0</v>
          </cell>
          <cell r="DN23362">
            <v>0</v>
          </cell>
        </row>
        <row r="23363">
          <cell r="E23363">
            <v>0</v>
          </cell>
          <cell r="F23363">
            <v>0</v>
          </cell>
          <cell r="DN23363">
            <v>0</v>
          </cell>
        </row>
        <row r="23364">
          <cell r="E23364">
            <v>0</v>
          </cell>
          <cell r="F23364">
            <v>0</v>
          </cell>
          <cell r="DN23364">
            <v>0</v>
          </cell>
        </row>
        <row r="23365">
          <cell r="E23365">
            <v>0</v>
          </cell>
          <cell r="F23365">
            <v>0</v>
          </cell>
          <cell r="DN23365">
            <v>0</v>
          </cell>
        </row>
        <row r="23366">
          <cell r="E23366">
            <v>0</v>
          </cell>
          <cell r="F23366">
            <v>0</v>
          </cell>
          <cell r="DN23366">
            <v>0</v>
          </cell>
        </row>
        <row r="23367">
          <cell r="E23367">
            <v>0</v>
          </cell>
          <cell r="F23367">
            <v>0</v>
          </cell>
          <cell r="DN23367">
            <v>0</v>
          </cell>
        </row>
        <row r="23368">
          <cell r="E23368">
            <v>0</v>
          </cell>
          <cell r="F23368">
            <v>0</v>
          </cell>
          <cell r="DN23368">
            <v>0</v>
          </cell>
        </row>
        <row r="23369">
          <cell r="E23369">
            <v>0</v>
          </cell>
          <cell r="F23369">
            <v>0</v>
          </cell>
          <cell r="DN23369">
            <v>0</v>
          </cell>
        </row>
        <row r="23370">
          <cell r="E23370">
            <v>0</v>
          </cell>
          <cell r="F23370">
            <v>0</v>
          </cell>
          <cell r="DN23370">
            <v>0</v>
          </cell>
        </row>
        <row r="23371">
          <cell r="E23371">
            <v>0</v>
          </cell>
          <cell r="F23371">
            <v>0</v>
          </cell>
          <cell r="DN23371">
            <v>0</v>
          </cell>
        </row>
        <row r="23372">
          <cell r="E23372">
            <v>0</v>
          </cell>
          <cell r="F23372">
            <v>0</v>
          </cell>
          <cell r="DN23372">
            <v>0</v>
          </cell>
        </row>
        <row r="23373">
          <cell r="E23373">
            <v>0</v>
          </cell>
          <cell r="F23373">
            <v>0</v>
          </cell>
          <cell r="DN23373">
            <v>0</v>
          </cell>
        </row>
        <row r="23374">
          <cell r="E23374">
            <v>0</v>
          </cell>
          <cell r="F23374">
            <v>0</v>
          </cell>
          <cell r="DN23374">
            <v>0</v>
          </cell>
        </row>
        <row r="23375">
          <cell r="E23375">
            <v>0</v>
          </cell>
          <cell r="F23375">
            <v>0</v>
          </cell>
          <cell r="DN23375">
            <v>0</v>
          </cell>
        </row>
        <row r="23376">
          <cell r="E23376">
            <v>0</v>
          </cell>
          <cell r="F23376">
            <v>0</v>
          </cell>
          <cell r="DN23376">
            <v>0</v>
          </cell>
        </row>
        <row r="23377">
          <cell r="E23377">
            <v>0</v>
          </cell>
          <cell r="F23377">
            <v>0</v>
          </cell>
          <cell r="DN23377">
            <v>0</v>
          </cell>
        </row>
        <row r="23378">
          <cell r="E23378">
            <v>0</v>
          </cell>
          <cell r="F23378">
            <v>0</v>
          </cell>
          <cell r="DN23378">
            <v>0</v>
          </cell>
        </row>
        <row r="23379">
          <cell r="E23379">
            <v>0</v>
          </cell>
          <cell r="F23379">
            <v>0</v>
          </cell>
          <cell r="DN23379">
            <v>0</v>
          </cell>
        </row>
        <row r="23380">
          <cell r="E23380">
            <v>0</v>
          </cell>
          <cell r="F23380">
            <v>0</v>
          </cell>
          <cell r="DN23380">
            <v>0</v>
          </cell>
        </row>
        <row r="23381">
          <cell r="E23381">
            <v>0</v>
          </cell>
          <cell r="F23381">
            <v>0</v>
          </cell>
          <cell r="DN23381">
            <v>0</v>
          </cell>
        </row>
        <row r="23382">
          <cell r="E23382">
            <v>0</v>
          </cell>
          <cell r="F23382">
            <v>0</v>
          </cell>
          <cell r="DN23382">
            <v>0</v>
          </cell>
        </row>
        <row r="23383">
          <cell r="E23383">
            <v>0</v>
          </cell>
          <cell r="F23383">
            <v>0</v>
          </cell>
          <cell r="DN23383">
            <v>0</v>
          </cell>
        </row>
        <row r="23384">
          <cell r="E23384">
            <v>0</v>
          </cell>
          <cell r="F23384">
            <v>0</v>
          </cell>
          <cell r="DN23384">
            <v>0</v>
          </cell>
        </row>
        <row r="23385">
          <cell r="E23385">
            <v>0</v>
          </cell>
          <cell r="F23385">
            <v>0</v>
          </cell>
          <cell r="DN23385">
            <v>0</v>
          </cell>
        </row>
        <row r="23386">
          <cell r="E23386">
            <v>0</v>
          </cell>
          <cell r="F23386">
            <v>0</v>
          </cell>
          <cell r="DN23386">
            <v>0</v>
          </cell>
        </row>
        <row r="23387">
          <cell r="E23387">
            <v>0</v>
          </cell>
          <cell r="F23387">
            <v>0</v>
          </cell>
          <cell r="DN23387">
            <v>0</v>
          </cell>
        </row>
        <row r="23388">
          <cell r="E23388">
            <v>0</v>
          </cell>
          <cell r="F23388">
            <v>0</v>
          </cell>
          <cell r="DN23388">
            <v>0</v>
          </cell>
        </row>
        <row r="23389">
          <cell r="E23389">
            <v>0</v>
          </cell>
          <cell r="F23389">
            <v>0</v>
          </cell>
          <cell r="DN23389">
            <v>0</v>
          </cell>
        </row>
        <row r="23390">
          <cell r="E23390">
            <v>0</v>
          </cell>
          <cell r="F23390">
            <v>0</v>
          </cell>
          <cell r="DN23390">
            <v>0</v>
          </cell>
        </row>
        <row r="23391">
          <cell r="E23391">
            <v>0</v>
          </cell>
          <cell r="F23391">
            <v>0</v>
          </cell>
          <cell r="DN23391">
            <v>0</v>
          </cell>
        </row>
        <row r="23392">
          <cell r="E23392">
            <v>0</v>
          </cell>
          <cell r="F23392">
            <v>0</v>
          </cell>
          <cell r="DN23392">
            <v>0</v>
          </cell>
        </row>
        <row r="23393">
          <cell r="E23393">
            <v>0</v>
          </cell>
          <cell r="F23393">
            <v>0</v>
          </cell>
          <cell r="DN23393">
            <v>0</v>
          </cell>
        </row>
        <row r="23394">
          <cell r="E23394">
            <v>0</v>
          </cell>
          <cell r="F23394">
            <v>0</v>
          </cell>
          <cell r="DN23394">
            <v>0</v>
          </cell>
        </row>
        <row r="23395">
          <cell r="E23395">
            <v>0</v>
          </cell>
          <cell r="F23395">
            <v>0</v>
          </cell>
          <cell r="DN23395">
            <v>0</v>
          </cell>
        </row>
        <row r="23396">
          <cell r="E23396">
            <v>0</v>
          </cell>
          <cell r="F23396">
            <v>0</v>
          </cell>
          <cell r="DN23396">
            <v>0</v>
          </cell>
        </row>
        <row r="23397">
          <cell r="E23397">
            <v>0</v>
          </cell>
          <cell r="F23397">
            <v>0</v>
          </cell>
          <cell r="DN23397">
            <v>0</v>
          </cell>
        </row>
        <row r="23398">
          <cell r="E23398">
            <v>0</v>
          </cell>
          <cell r="F23398">
            <v>0</v>
          </cell>
          <cell r="DN23398">
            <v>0</v>
          </cell>
        </row>
        <row r="23399">
          <cell r="E23399">
            <v>0</v>
          </cell>
          <cell r="F23399">
            <v>0</v>
          </cell>
          <cell r="DN23399">
            <v>0</v>
          </cell>
        </row>
        <row r="23400">
          <cell r="E23400">
            <v>0</v>
          </cell>
          <cell r="F23400">
            <v>0</v>
          </cell>
          <cell r="DN23400">
            <v>0</v>
          </cell>
        </row>
        <row r="23401">
          <cell r="E23401">
            <v>0</v>
          </cell>
          <cell r="F23401">
            <v>0</v>
          </cell>
          <cell r="DN23401">
            <v>0</v>
          </cell>
        </row>
        <row r="23402">
          <cell r="E23402">
            <v>0</v>
          </cell>
          <cell r="F23402">
            <v>0</v>
          </cell>
          <cell r="DN23402">
            <v>0</v>
          </cell>
        </row>
        <row r="23403">
          <cell r="E23403">
            <v>0</v>
          </cell>
          <cell r="F23403">
            <v>0</v>
          </cell>
          <cell r="DN23403">
            <v>0</v>
          </cell>
        </row>
        <row r="23404">
          <cell r="E23404">
            <v>0</v>
          </cell>
          <cell r="F23404">
            <v>0</v>
          </cell>
          <cell r="DN23404">
            <v>0</v>
          </cell>
        </row>
        <row r="23405">
          <cell r="E23405">
            <v>0</v>
          </cell>
          <cell r="F23405">
            <v>0</v>
          </cell>
          <cell r="DN23405">
            <v>0</v>
          </cell>
        </row>
        <row r="23406">
          <cell r="E23406">
            <v>0</v>
          </cell>
          <cell r="F23406">
            <v>0</v>
          </cell>
          <cell r="DN23406">
            <v>0</v>
          </cell>
        </row>
        <row r="23407">
          <cell r="E23407">
            <v>0</v>
          </cell>
          <cell r="F23407">
            <v>0</v>
          </cell>
          <cell r="DN23407">
            <v>0</v>
          </cell>
        </row>
        <row r="23408">
          <cell r="E23408">
            <v>0</v>
          </cell>
          <cell r="F23408">
            <v>0</v>
          </cell>
          <cell r="DN23408">
            <v>0</v>
          </cell>
        </row>
        <row r="23409">
          <cell r="E23409">
            <v>0</v>
          </cell>
          <cell r="F23409">
            <v>0</v>
          </cell>
          <cell r="DN23409">
            <v>0</v>
          </cell>
        </row>
        <row r="23410">
          <cell r="E23410">
            <v>0</v>
          </cell>
          <cell r="F23410">
            <v>0</v>
          </cell>
          <cell r="DN23410">
            <v>0</v>
          </cell>
        </row>
        <row r="23411">
          <cell r="E23411">
            <v>0</v>
          </cell>
          <cell r="F23411">
            <v>0</v>
          </cell>
          <cell r="DN23411">
            <v>0</v>
          </cell>
        </row>
        <row r="23412">
          <cell r="E23412">
            <v>0</v>
          </cell>
          <cell r="F23412">
            <v>0</v>
          </cell>
          <cell r="DN23412">
            <v>0</v>
          </cell>
        </row>
        <row r="23413">
          <cell r="E23413">
            <v>0</v>
          </cell>
          <cell r="F23413">
            <v>0</v>
          </cell>
          <cell r="DN23413">
            <v>0</v>
          </cell>
        </row>
        <row r="23414">
          <cell r="E23414">
            <v>0</v>
          </cell>
          <cell r="F23414">
            <v>0</v>
          </cell>
          <cell r="DN23414">
            <v>0</v>
          </cell>
        </row>
        <row r="23415">
          <cell r="E23415">
            <v>0</v>
          </cell>
          <cell r="F23415">
            <v>0</v>
          </cell>
          <cell r="DN23415">
            <v>0</v>
          </cell>
        </row>
        <row r="23416">
          <cell r="E23416">
            <v>0</v>
          </cell>
          <cell r="F23416">
            <v>0</v>
          </cell>
          <cell r="DN23416">
            <v>0</v>
          </cell>
        </row>
        <row r="23417">
          <cell r="E23417">
            <v>0</v>
          </cell>
          <cell r="F23417">
            <v>0</v>
          </cell>
          <cell r="DN23417">
            <v>0</v>
          </cell>
        </row>
        <row r="23418">
          <cell r="E23418">
            <v>0</v>
          </cell>
          <cell r="F23418">
            <v>0</v>
          </cell>
          <cell r="DN23418">
            <v>0</v>
          </cell>
        </row>
        <row r="23419">
          <cell r="E23419">
            <v>0</v>
          </cell>
          <cell r="F23419">
            <v>0</v>
          </cell>
          <cell r="DN23419">
            <v>0</v>
          </cell>
        </row>
        <row r="23420">
          <cell r="E23420">
            <v>0</v>
          </cell>
          <cell r="F23420">
            <v>0</v>
          </cell>
          <cell r="DN23420">
            <v>0</v>
          </cell>
        </row>
        <row r="23421">
          <cell r="E23421">
            <v>0</v>
          </cell>
          <cell r="F23421">
            <v>0</v>
          </cell>
          <cell r="DN23421">
            <v>0</v>
          </cell>
        </row>
        <row r="23422">
          <cell r="E23422">
            <v>0</v>
          </cell>
          <cell r="F23422">
            <v>0</v>
          </cell>
          <cell r="DN23422">
            <v>0</v>
          </cell>
        </row>
        <row r="23423">
          <cell r="E23423">
            <v>0</v>
          </cell>
          <cell r="F23423">
            <v>0</v>
          </cell>
          <cell r="DN23423">
            <v>0</v>
          </cell>
        </row>
        <row r="23424">
          <cell r="E23424">
            <v>0</v>
          </cell>
          <cell r="F23424">
            <v>0</v>
          </cell>
          <cell r="DN23424">
            <v>0</v>
          </cell>
        </row>
        <row r="23425">
          <cell r="E23425">
            <v>0</v>
          </cell>
          <cell r="F23425">
            <v>0</v>
          </cell>
          <cell r="DN23425">
            <v>0</v>
          </cell>
        </row>
        <row r="23426">
          <cell r="E23426">
            <v>0</v>
          </cell>
          <cell r="F23426">
            <v>0</v>
          </cell>
          <cell r="DN23426">
            <v>0</v>
          </cell>
        </row>
        <row r="23427">
          <cell r="E23427">
            <v>0</v>
          </cell>
          <cell r="F23427">
            <v>0</v>
          </cell>
          <cell r="DN23427">
            <v>0</v>
          </cell>
        </row>
        <row r="23428">
          <cell r="E23428">
            <v>0</v>
          </cell>
          <cell r="F23428">
            <v>0</v>
          </cell>
          <cell r="DN23428">
            <v>0</v>
          </cell>
        </row>
        <row r="23429">
          <cell r="E23429">
            <v>0</v>
          </cell>
          <cell r="F23429">
            <v>0</v>
          </cell>
          <cell r="DN23429">
            <v>0</v>
          </cell>
        </row>
        <row r="23430">
          <cell r="E23430">
            <v>0</v>
          </cell>
          <cell r="F23430">
            <v>0</v>
          </cell>
          <cell r="DN23430">
            <v>0</v>
          </cell>
        </row>
        <row r="23431">
          <cell r="E23431">
            <v>0</v>
          </cell>
          <cell r="F23431">
            <v>0</v>
          </cell>
          <cell r="DN23431">
            <v>0</v>
          </cell>
        </row>
        <row r="23432">
          <cell r="E23432">
            <v>0</v>
          </cell>
          <cell r="F23432">
            <v>0</v>
          </cell>
          <cell r="DN23432">
            <v>0</v>
          </cell>
        </row>
        <row r="23433">
          <cell r="E23433">
            <v>0</v>
          </cell>
          <cell r="F23433">
            <v>0</v>
          </cell>
          <cell r="DN23433">
            <v>0</v>
          </cell>
        </row>
        <row r="23434">
          <cell r="E23434">
            <v>0</v>
          </cell>
          <cell r="F23434">
            <v>0</v>
          </cell>
          <cell r="DN23434">
            <v>0</v>
          </cell>
        </row>
        <row r="23435">
          <cell r="E23435">
            <v>0</v>
          </cell>
          <cell r="F23435">
            <v>0</v>
          </cell>
          <cell r="DN23435">
            <v>0</v>
          </cell>
        </row>
        <row r="23436">
          <cell r="E23436">
            <v>0</v>
          </cell>
          <cell r="F23436">
            <v>0</v>
          </cell>
          <cell r="DN23436">
            <v>0</v>
          </cell>
        </row>
        <row r="23437">
          <cell r="E23437">
            <v>0</v>
          </cell>
          <cell r="F23437">
            <v>0</v>
          </cell>
          <cell r="DN23437">
            <v>0</v>
          </cell>
        </row>
        <row r="23438">
          <cell r="E23438">
            <v>0</v>
          </cell>
          <cell r="F23438">
            <v>0</v>
          </cell>
          <cell r="DN23438">
            <v>0</v>
          </cell>
        </row>
        <row r="23439">
          <cell r="E23439">
            <v>0</v>
          </cell>
          <cell r="F23439">
            <v>0</v>
          </cell>
          <cell r="DN23439">
            <v>0</v>
          </cell>
        </row>
        <row r="23440">
          <cell r="E23440">
            <v>0</v>
          </cell>
          <cell r="F23440">
            <v>0</v>
          </cell>
          <cell r="DN23440">
            <v>0</v>
          </cell>
        </row>
        <row r="23441">
          <cell r="E23441">
            <v>0</v>
          </cell>
          <cell r="F23441">
            <v>0</v>
          </cell>
          <cell r="DN23441">
            <v>0</v>
          </cell>
        </row>
        <row r="23442">
          <cell r="E23442">
            <v>0</v>
          </cell>
          <cell r="F23442">
            <v>0</v>
          </cell>
          <cell r="DN23442">
            <v>0</v>
          </cell>
        </row>
        <row r="23443">
          <cell r="E23443">
            <v>0</v>
          </cell>
          <cell r="F23443">
            <v>0</v>
          </cell>
          <cell r="DN23443">
            <v>0</v>
          </cell>
        </row>
        <row r="23444">
          <cell r="E23444">
            <v>0</v>
          </cell>
          <cell r="F23444">
            <v>0</v>
          </cell>
          <cell r="DN23444">
            <v>0</v>
          </cell>
        </row>
        <row r="23445">
          <cell r="E23445">
            <v>0</v>
          </cell>
          <cell r="F23445">
            <v>0</v>
          </cell>
          <cell r="DN23445">
            <v>0</v>
          </cell>
        </row>
        <row r="23446">
          <cell r="E23446">
            <v>0</v>
          </cell>
          <cell r="F23446">
            <v>0</v>
          </cell>
          <cell r="DN23446">
            <v>0</v>
          </cell>
        </row>
        <row r="23447">
          <cell r="E23447">
            <v>0</v>
          </cell>
          <cell r="F23447">
            <v>0</v>
          </cell>
          <cell r="DN23447">
            <v>0</v>
          </cell>
        </row>
        <row r="23448">
          <cell r="E23448">
            <v>0</v>
          </cell>
          <cell r="F23448">
            <v>0</v>
          </cell>
          <cell r="DN23448">
            <v>0</v>
          </cell>
        </row>
        <row r="23449">
          <cell r="E23449">
            <v>0</v>
          </cell>
          <cell r="F23449">
            <v>0</v>
          </cell>
          <cell r="DN23449">
            <v>0</v>
          </cell>
        </row>
        <row r="23450">
          <cell r="E23450">
            <v>0</v>
          </cell>
          <cell r="F23450">
            <v>0</v>
          </cell>
          <cell r="DN23450">
            <v>0</v>
          </cell>
        </row>
        <row r="23451">
          <cell r="E23451">
            <v>0</v>
          </cell>
          <cell r="F23451">
            <v>0</v>
          </cell>
          <cell r="DN23451">
            <v>0</v>
          </cell>
        </row>
        <row r="23452">
          <cell r="E23452">
            <v>0</v>
          </cell>
          <cell r="F23452">
            <v>0</v>
          </cell>
          <cell r="DN23452">
            <v>0</v>
          </cell>
        </row>
        <row r="23453">
          <cell r="E23453">
            <v>0</v>
          </cell>
          <cell r="F23453">
            <v>0</v>
          </cell>
          <cell r="DN23453">
            <v>0</v>
          </cell>
        </row>
        <row r="23454">
          <cell r="E23454">
            <v>0</v>
          </cell>
          <cell r="F23454">
            <v>0</v>
          </cell>
          <cell r="DN23454">
            <v>0</v>
          </cell>
        </row>
        <row r="23455">
          <cell r="E23455">
            <v>0</v>
          </cell>
          <cell r="F23455">
            <v>0</v>
          </cell>
          <cell r="DN23455">
            <v>0</v>
          </cell>
        </row>
        <row r="23456">
          <cell r="E23456">
            <v>0</v>
          </cell>
          <cell r="F23456">
            <v>0</v>
          </cell>
          <cell r="DN23456">
            <v>0</v>
          </cell>
        </row>
        <row r="23457">
          <cell r="E23457">
            <v>0</v>
          </cell>
          <cell r="F23457">
            <v>0</v>
          </cell>
          <cell r="DN23457">
            <v>0</v>
          </cell>
        </row>
        <row r="23458">
          <cell r="E23458">
            <v>0</v>
          </cell>
          <cell r="F23458">
            <v>0</v>
          </cell>
          <cell r="DN23458">
            <v>0</v>
          </cell>
        </row>
        <row r="23459">
          <cell r="E23459">
            <v>0</v>
          </cell>
          <cell r="F23459">
            <v>0</v>
          </cell>
          <cell r="DN23459">
            <v>0</v>
          </cell>
        </row>
        <row r="23460">
          <cell r="E23460">
            <v>0</v>
          </cell>
          <cell r="F23460">
            <v>0</v>
          </cell>
          <cell r="DN23460">
            <v>0</v>
          </cell>
        </row>
        <row r="23461">
          <cell r="E23461">
            <v>0</v>
          </cell>
          <cell r="F23461">
            <v>0</v>
          </cell>
          <cell r="DN23461">
            <v>0</v>
          </cell>
        </row>
        <row r="23462">
          <cell r="E23462">
            <v>0</v>
          </cell>
          <cell r="F23462">
            <v>0</v>
          </cell>
          <cell r="DN23462">
            <v>0</v>
          </cell>
        </row>
        <row r="23463">
          <cell r="E23463">
            <v>0</v>
          </cell>
          <cell r="F23463">
            <v>0</v>
          </cell>
          <cell r="DN23463">
            <v>0</v>
          </cell>
        </row>
        <row r="23464">
          <cell r="E23464">
            <v>0</v>
          </cell>
          <cell r="F23464">
            <v>0</v>
          </cell>
          <cell r="DN23464">
            <v>0</v>
          </cell>
        </row>
        <row r="23465">
          <cell r="E23465">
            <v>0</v>
          </cell>
          <cell r="F23465">
            <v>0</v>
          </cell>
          <cell r="DN23465">
            <v>0</v>
          </cell>
        </row>
        <row r="23466">
          <cell r="E23466">
            <v>0</v>
          </cell>
          <cell r="F23466">
            <v>0</v>
          </cell>
          <cell r="DN23466">
            <v>0</v>
          </cell>
        </row>
        <row r="23467">
          <cell r="E23467">
            <v>0</v>
          </cell>
          <cell r="F23467">
            <v>0</v>
          </cell>
          <cell r="DN23467">
            <v>0</v>
          </cell>
        </row>
        <row r="23468">
          <cell r="E23468">
            <v>0</v>
          </cell>
          <cell r="F23468">
            <v>0</v>
          </cell>
          <cell r="DN23468">
            <v>0</v>
          </cell>
        </row>
        <row r="23469">
          <cell r="E23469">
            <v>0</v>
          </cell>
          <cell r="F23469">
            <v>0</v>
          </cell>
          <cell r="DN23469">
            <v>0</v>
          </cell>
        </row>
        <row r="23470">
          <cell r="E23470">
            <v>0</v>
          </cell>
          <cell r="F23470">
            <v>0</v>
          </cell>
          <cell r="DN23470">
            <v>0</v>
          </cell>
        </row>
        <row r="23471">
          <cell r="E23471">
            <v>0</v>
          </cell>
          <cell r="F23471">
            <v>0</v>
          </cell>
          <cell r="DN23471">
            <v>0</v>
          </cell>
        </row>
        <row r="23472">
          <cell r="E23472">
            <v>0</v>
          </cell>
          <cell r="F23472">
            <v>0</v>
          </cell>
          <cell r="DN23472">
            <v>0</v>
          </cell>
        </row>
        <row r="23473">
          <cell r="E23473">
            <v>0</v>
          </cell>
          <cell r="F23473">
            <v>0</v>
          </cell>
          <cell r="DN23473">
            <v>0</v>
          </cell>
        </row>
        <row r="23474">
          <cell r="E23474">
            <v>0</v>
          </cell>
          <cell r="F23474">
            <v>0</v>
          </cell>
          <cell r="DN23474">
            <v>0</v>
          </cell>
        </row>
        <row r="23475">
          <cell r="E23475">
            <v>0</v>
          </cell>
          <cell r="F23475">
            <v>0</v>
          </cell>
          <cell r="DN23475">
            <v>0</v>
          </cell>
        </row>
        <row r="23476">
          <cell r="E23476">
            <v>0</v>
          </cell>
          <cell r="F23476">
            <v>0</v>
          </cell>
          <cell r="DN23476">
            <v>0</v>
          </cell>
        </row>
        <row r="23477">
          <cell r="E23477">
            <v>0</v>
          </cell>
          <cell r="F23477">
            <v>0</v>
          </cell>
          <cell r="DN23477">
            <v>0</v>
          </cell>
        </row>
        <row r="23478">
          <cell r="E23478">
            <v>0</v>
          </cell>
          <cell r="F23478">
            <v>0</v>
          </cell>
          <cell r="DN23478">
            <v>0</v>
          </cell>
        </row>
        <row r="23479">
          <cell r="E23479">
            <v>0</v>
          </cell>
          <cell r="F23479">
            <v>0</v>
          </cell>
          <cell r="DN23479">
            <v>0</v>
          </cell>
        </row>
        <row r="23480">
          <cell r="E23480">
            <v>0</v>
          </cell>
          <cell r="F23480">
            <v>0</v>
          </cell>
          <cell r="DN23480">
            <v>0</v>
          </cell>
        </row>
        <row r="23481">
          <cell r="E23481">
            <v>0</v>
          </cell>
          <cell r="F23481">
            <v>0</v>
          </cell>
          <cell r="DN23481">
            <v>0</v>
          </cell>
        </row>
        <row r="23482">
          <cell r="E23482">
            <v>0</v>
          </cell>
          <cell r="F23482">
            <v>0</v>
          </cell>
          <cell r="DN23482">
            <v>0</v>
          </cell>
        </row>
        <row r="23483">
          <cell r="E23483">
            <v>0</v>
          </cell>
          <cell r="F23483">
            <v>0</v>
          </cell>
          <cell r="DN23483">
            <v>0</v>
          </cell>
        </row>
        <row r="23484">
          <cell r="E23484">
            <v>0</v>
          </cell>
          <cell r="F23484">
            <v>0</v>
          </cell>
          <cell r="DN23484">
            <v>0</v>
          </cell>
        </row>
        <row r="23485">
          <cell r="E23485">
            <v>0</v>
          </cell>
          <cell r="F23485">
            <v>0</v>
          </cell>
          <cell r="DN23485">
            <v>0</v>
          </cell>
        </row>
        <row r="23486">
          <cell r="E23486">
            <v>0</v>
          </cell>
          <cell r="F23486">
            <v>0</v>
          </cell>
          <cell r="DN23486">
            <v>0</v>
          </cell>
        </row>
        <row r="23487">
          <cell r="E23487">
            <v>0</v>
          </cell>
          <cell r="F23487">
            <v>0</v>
          </cell>
          <cell r="DN23487">
            <v>0</v>
          </cell>
        </row>
        <row r="23488">
          <cell r="E23488">
            <v>0</v>
          </cell>
          <cell r="F23488">
            <v>0</v>
          </cell>
          <cell r="DN23488">
            <v>0</v>
          </cell>
        </row>
        <row r="23489">
          <cell r="E23489">
            <v>0</v>
          </cell>
          <cell r="F23489">
            <v>0</v>
          </cell>
          <cell r="DN23489">
            <v>0</v>
          </cell>
        </row>
        <row r="23490">
          <cell r="E23490">
            <v>0</v>
          </cell>
          <cell r="F23490">
            <v>0</v>
          </cell>
          <cell r="DN23490">
            <v>0</v>
          </cell>
        </row>
        <row r="23491">
          <cell r="E23491">
            <v>0</v>
          </cell>
          <cell r="F23491">
            <v>0</v>
          </cell>
          <cell r="DN23491">
            <v>0</v>
          </cell>
        </row>
        <row r="23492">
          <cell r="E23492">
            <v>0</v>
          </cell>
          <cell r="F23492">
            <v>0</v>
          </cell>
          <cell r="DN23492">
            <v>0</v>
          </cell>
        </row>
        <row r="23493">
          <cell r="E23493">
            <v>0</v>
          </cell>
          <cell r="F23493">
            <v>0</v>
          </cell>
          <cell r="DN23493">
            <v>0</v>
          </cell>
        </row>
        <row r="23494">
          <cell r="E23494">
            <v>0</v>
          </cell>
          <cell r="F23494">
            <v>0</v>
          </cell>
          <cell r="DN23494">
            <v>0</v>
          </cell>
        </row>
        <row r="23495">
          <cell r="E23495">
            <v>0</v>
          </cell>
          <cell r="F23495">
            <v>0</v>
          </cell>
          <cell r="DN23495">
            <v>0</v>
          </cell>
        </row>
        <row r="23496">
          <cell r="E23496">
            <v>0</v>
          </cell>
          <cell r="F23496">
            <v>0</v>
          </cell>
          <cell r="DN23496">
            <v>0</v>
          </cell>
        </row>
        <row r="23497">
          <cell r="E23497">
            <v>0</v>
          </cell>
          <cell r="F23497">
            <v>0</v>
          </cell>
          <cell r="DN23497">
            <v>0</v>
          </cell>
        </row>
        <row r="23498">
          <cell r="E23498">
            <v>0</v>
          </cell>
          <cell r="F23498">
            <v>0</v>
          </cell>
          <cell r="DN23498">
            <v>0</v>
          </cell>
        </row>
        <row r="23499">
          <cell r="E23499">
            <v>0</v>
          </cell>
          <cell r="F23499">
            <v>0</v>
          </cell>
          <cell r="DN23499">
            <v>0</v>
          </cell>
        </row>
        <row r="23500">
          <cell r="E23500">
            <v>0</v>
          </cell>
          <cell r="F23500">
            <v>0</v>
          </cell>
          <cell r="DN23500">
            <v>0</v>
          </cell>
        </row>
        <row r="23501">
          <cell r="E23501">
            <v>0</v>
          </cell>
          <cell r="F23501">
            <v>0</v>
          </cell>
          <cell r="DN23501">
            <v>0</v>
          </cell>
        </row>
        <row r="23502">
          <cell r="E23502">
            <v>0</v>
          </cell>
          <cell r="F23502">
            <v>0</v>
          </cell>
          <cell r="DN23502">
            <v>0</v>
          </cell>
        </row>
        <row r="23503">
          <cell r="E23503">
            <v>0</v>
          </cell>
          <cell r="F23503">
            <v>0</v>
          </cell>
          <cell r="DN23503">
            <v>0</v>
          </cell>
        </row>
        <row r="23504">
          <cell r="E23504">
            <v>0</v>
          </cell>
          <cell r="F23504">
            <v>0</v>
          </cell>
          <cell r="DN23504">
            <v>0</v>
          </cell>
        </row>
        <row r="23505">
          <cell r="E23505">
            <v>0</v>
          </cell>
          <cell r="F23505">
            <v>0</v>
          </cell>
          <cell r="DN23505">
            <v>0</v>
          </cell>
        </row>
        <row r="23506">
          <cell r="E23506">
            <v>0</v>
          </cell>
          <cell r="F23506">
            <v>0</v>
          </cell>
          <cell r="DN23506">
            <v>0</v>
          </cell>
        </row>
        <row r="23507">
          <cell r="E23507">
            <v>0</v>
          </cell>
          <cell r="F23507">
            <v>0</v>
          </cell>
          <cell r="DN23507">
            <v>0</v>
          </cell>
        </row>
        <row r="23508">
          <cell r="E23508">
            <v>0</v>
          </cell>
          <cell r="F23508">
            <v>0</v>
          </cell>
          <cell r="DN23508">
            <v>0</v>
          </cell>
        </row>
        <row r="23509">
          <cell r="E23509">
            <v>0</v>
          </cell>
          <cell r="F23509">
            <v>0</v>
          </cell>
          <cell r="DN23509">
            <v>0</v>
          </cell>
        </row>
        <row r="23510">
          <cell r="E23510">
            <v>0</v>
          </cell>
          <cell r="F23510">
            <v>0</v>
          </cell>
          <cell r="DN23510">
            <v>0</v>
          </cell>
        </row>
        <row r="23511">
          <cell r="E23511">
            <v>0</v>
          </cell>
          <cell r="F23511">
            <v>0</v>
          </cell>
          <cell r="DN23511">
            <v>0</v>
          </cell>
        </row>
        <row r="23512">
          <cell r="E23512">
            <v>0</v>
          </cell>
          <cell r="F23512">
            <v>0</v>
          </cell>
          <cell r="DN23512">
            <v>0</v>
          </cell>
        </row>
        <row r="23513">
          <cell r="E23513">
            <v>0</v>
          </cell>
          <cell r="F23513">
            <v>0</v>
          </cell>
          <cell r="DN23513">
            <v>0</v>
          </cell>
        </row>
        <row r="23514">
          <cell r="E23514">
            <v>0</v>
          </cell>
          <cell r="F23514">
            <v>0</v>
          </cell>
          <cell r="DN23514">
            <v>0</v>
          </cell>
        </row>
        <row r="23515">
          <cell r="E23515">
            <v>0</v>
          </cell>
          <cell r="F23515">
            <v>0</v>
          </cell>
          <cell r="DN23515">
            <v>0</v>
          </cell>
        </row>
        <row r="23516">
          <cell r="E23516">
            <v>0</v>
          </cell>
          <cell r="F23516">
            <v>0</v>
          </cell>
          <cell r="DN23516">
            <v>0</v>
          </cell>
        </row>
        <row r="23517">
          <cell r="E23517">
            <v>0</v>
          </cell>
          <cell r="F23517">
            <v>0</v>
          </cell>
          <cell r="DN23517">
            <v>0</v>
          </cell>
        </row>
        <row r="23518">
          <cell r="E23518">
            <v>0</v>
          </cell>
          <cell r="F23518">
            <v>0</v>
          </cell>
          <cell r="DN23518">
            <v>0</v>
          </cell>
        </row>
        <row r="23519">
          <cell r="E23519">
            <v>0</v>
          </cell>
          <cell r="F23519">
            <v>0</v>
          </cell>
          <cell r="DN23519">
            <v>0</v>
          </cell>
        </row>
        <row r="23520">
          <cell r="E23520">
            <v>0</v>
          </cell>
          <cell r="F23520">
            <v>0</v>
          </cell>
          <cell r="DN23520">
            <v>0</v>
          </cell>
        </row>
        <row r="23521">
          <cell r="E23521">
            <v>0</v>
          </cell>
          <cell r="F23521">
            <v>0</v>
          </cell>
          <cell r="DN23521">
            <v>0</v>
          </cell>
        </row>
        <row r="23522">
          <cell r="E23522">
            <v>0</v>
          </cell>
          <cell r="F23522">
            <v>0</v>
          </cell>
          <cell r="DN23522">
            <v>0</v>
          </cell>
        </row>
        <row r="23523">
          <cell r="E23523">
            <v>0</v>
          </cell>
          <cell r="F23523">
            <v>0</v>
          </cell>
          <cell r="DN23523">
            <v>0</v>
          </cell>
        </row>
        <row r="23524">
          <cell r="E23524">
            <v>0</v>
          </cell>
          <cell r="F23524">
            <v>0</v>
          </cell>
          <cell r="DN23524">
            <v>0</v>
          </cell>
        </row>
        <row r="23525">
          <cell r="E23525">
            <v>0</v>
          </cell>
          <cell r="F23525">
            <v>0</v>
          </cell>
          <cell r="DN23525">
            <v>0</v>
          </cell>
        </row>
        <row r="23526">
          <cell r="E23526">
            <v>0</v>
          </cell>
          <cell r="F23526">
            <v>0</v>
          </cell>
          <cell r="DN23526">
            <v>0</v>
          </cell>
        </row>
        <row r="23527">
          <cell r="E23527">
            <v>0</v>
          </cell>
          <cell r="F23527">
            <v>0</v>
          </cell>
          <cell r="DN23527">
            <v>0</v>
          </cell>
        </row>
        <row r="23528">
          <cell r="E23528">
            <v>0</v>
          </cell>
          <cell r="F23528">
            <v>0</v>
          </cell>
          <cell r="DN23528">
            <v>0</v>
          </cell>
        </row>
        <row r="23529">
          <cell r="E23529">
            <v>0</v>
          </cell>
          <cell r="F23529">
            <v>0</v>
          </cell>
          <cell r="DN23529">
            <v>0</v>
          </cell>
        </row>
        <row r="23530">
          <cell r="E23530">
            <v>0</v>
          </cell>
          <cell r="F23530">
            <v>0</v>
          </cell>
          <cell r="DN23530">
            <v>0</v>
          </cell>
        </row>
        <row r="23531">
          <cell r="E23531">
            <v>0</v>
          </cell>
          <cell r="F23531">
            <v>0</v>
          </cell>
          <cell r="DN23531">
            <v>0</v>
          </cell>
        </row>
        <row r="23532">
          <cell r="E23532">
            <v>0</v>
          </cell>
          <cell r="F23532">
            <v>0</v>
          </cell>
          <cell r="DN23532">
            <v>0</v>
          </cell>
        </row>
        <row r="23533">
          <cell r="E23533">
            <v>0</v>
          </cell>
          <cell r="F23533">
            <v>0</v>
          </cell>
          <cell r="DN23533">
            <v>0</v>
          </cell>
        </row>
        <row r="23534">
          <cell r="E23534">
            <v>0</v>
          </cell>
          <cell r="F23534">
            <v>0</v>
          </cell>
          <cell r="DN23534">
            <v>0</v>
          </cell>
        </row>
        <row r="23535">
          <cell r="E23535">
            <v>0</v>
          </cell>
          <cell r="F23535">
            <v>0</v>
          </cell>
          <cell r="DN23535">
            <v>0</v>
          </cell>
        </row>
        <row r="23536">
          <cell r="E23536">
            <v>0</v>
          </cell>
          <cell r="F23536">
            <v>0</v>
          </cell>
          <cell r="DN23536">
            <v>0</v>
          </cell>
        </row>
        <row r="23537">
          <cell r="E23537">
            <v>0</v>
          </cell>
          <cell r="F23537">
            <v>0</v>
          </cell>
          <cell r="DN23537">
            <v>0</v>
          </cell>
        </row>
        <row r="23538">
          <cell r="E23538">
            <v>0</v>
          </cell>
          <cell r="F23538">
            <v>0</v>
          </cell>
          <cell r="DN23538">
            <v>0</v>
          </cell>
        </row>
        <row r="23539">
          <cell r="E23539">
            <v>0</v>
          </cell>
          <cell r="F23539">
            <v>0</v>
          </cell>
          <cell r="DN23539">
            <v>0</v>
          </cell>
        </row>
        <row r="23540">
          <cell r="E23540">
            <v>0</v>
          </cell>
          <cell r="F23540">
            <v>0</v>
          </cell>
          <cell r="DN23540">
            <v>0</v>
          </cell>
        </row>
        <row r="23541">
          <cell r="E23541">
            <v>0</v>
          </cell>
          <cell r="F23541">
            <v>0</v>
          </cell>
          <cell r="DN23541">
            <v>0</v>
          </cell>
        </row>
        <row r="23542">
          <cell r="E23542">
            <v>0</v>
          </cell>
          <cell r="F23542">
            <v>0</v>
          </cell>
          <cell r="DN23542">
            <v>0</v>
          </cell>
        </row>
        <row r="23543">
          <cell r="E23543">
            <v>0</v>
          </cell>
          <cell r="F23543">
            <v>0</v>
          </cell>
          <cell r="DN23543">
            <v>0</v>
          </cell>
        </row>
        <row r="23544">
          <cell r="E23544">
            <v>0</v>
          </cell>
          <cell r="F23544">
            <v>0</v>
          </cell>
          <cell r="DN23544">
            <v>0</v>
          </cell>
        </row>
        <row r="23545">
          <cell r="E23545">
            <v>0</v>
          </cell>
          <cell r="F23545">
            <v>0</v>
          </cell>
          <cell r="DN23545">
            <v>0</v>
          </cell>
        </row>
        <row r="23546">
          <cell r="E23546">
            <v>0</v>
          </cell>
          <cell r="F23546">
            <v>0</v>
          </cell>
          <cell r="DN23546">
            <v>0</v>
          </cell>
        </row>
        <row r="23547">
          <cell r="E23547">
            <v>0</v>
          </cell>
          <cell r="F23547">
            <v>0</v>
          </cell>
          <cell r="DN23547">
            <v>0</v>
          </cell>
        </row>
        <row r="23548">
          <cell r="E23548">
            <v>0</v>
          </cell>
          <cell r="F23548">
            <v>0</v>
          </cell>
          <cell r="DN23548">
            <v>0</v>
          </cell>
        </row>
        <row r="23549">
          <cell r="E23549">
            <v>0</v>
          </cell>
          <cell r="F23549">
            <v>0</v>
          </cell>
          <cell r="DN23549">
            <v>0</v>
          </cell>
        </row>
        <row r="23550">
          <cell r="E23550">
            <v>0</v>
          </cell>
          <cell r="F23550">
            <v>0</v>
          </cell>
          <cell r="DN23550">
            <v>0</v>
          </cell>
        </row>
        <row r="23551">
          <cell r="E23551">
            <v>0</v>
          </cell>
          <cell r="F23551">
            <v>0</v>
          </cell>
          <cell r="DN23551">
            <v>0</v>
          </cell>
        </row>
        <row r="23552">
          <cell r="E23552">
            <v>0</v>
          </cell>
          <cell r="F23552">
            <v>0</v>
          </cell>
          <cell r="DN23552">
            <v>0</v>
          </cell>
        </row>
        <row r="23553">
          <cell r="E23553">
            <v>0</v>
          </cell>
          <cell r="F23553">
            <v>0</v>
          </cell>
          <cell r="DN23553">
            <v>0</v>
          </cell>
        </row>
        <row r="23554">
          <cell r="E23554">
            <v>0</v>
          </cell>
          <cell r="F23554">
            <v>0</v>
          </cell>
          <cell r="DN23554">
            <v>0</v>
          </cell>
        </row>
        <row r="23555">
          <cell r="E23555">
            <v>0</v>
          </cell>
          <cell r="F23555">
            <v>0</v>
          </cell>
          <cell r="DN23555">
            <v>0</v>
          </cell>
        </row>
        <row r="23556">
          <cell r="E23556">
            <v>0</v>
          </cell>
          <cell r="F23556">
            <v>0</v>
          </cell>
          <cell r="DN23556">
            <v>0</v>
          </cell>
        </row>
        <row r="23557">
          <cell r="E23557">
            <v>0</v>
          </cell>
          <cell r="F23557">
            <v>0</v>
          </cell>
          <cell r="DN23557">
            <v>0</v>
          </cell>
        </row>
        <row r="23558">
          <cell r="E23558">
            <v>0</v>
          </cell>
          <cell r="F23558">
            <v>0</v>
          </cell>
          <cell r="DN23558">
            <v>0</v>
          </cell>
        </row>
        <row r="23559">
          <cell r="E23559">
            <v>0</v>
          </cell>
          <cell r="F23559">
            <v>0</v>
          </cell>
          <cell r="DN23559">
            <v>0</v>
          </cell>
        </row>
        <row r="23560">
          <cell r="E23560">
            <v>0</v>
          </cell>
          <cell r="F23560">
            <v>0</v>
          </cell>
          <cell r="DN23560">
            <v>0</v>
          </cell>
        </row>
        <row r="23561">
          <cell r="E23561">
            <v>0</v>
          </cell>
          <cell r="F23561">
            <v>0</v>
          </cell>
          <cell r="DN23561">
            <v>0</v>
          </cell>
        </row>
        <row r="23562">
          <cell r="E23562">
            <v>0</v>
          </cell>
          <cell r="F23562">
            <v>0</v>
          </cell>
          <cell r="DN23562">
            <v>0</v>
          </cell>
        </row>
        <row r="23563">
          <cell r="E23563">
            <v>0</v>
          </cell>
          <cell r="F23563">
            <v>0</v>
          </cell>
          <cell r="DN23563">
            <v>0</v>
          </cell>
        </row>
        <row r="23564">
          <cell r="E23564">
            <v>0</v>
          </cell>
          <cell r="F23564">
            <v>0</v>
          </cell>
          <cell r="DN23564">
            <v>0</v>
          </cell>
        </row>
        <row r="23565">
          <cell r="E23565">
            <v>0</v>
          </cell>
          <cell r="F23565">
            <v>0</v>
          </cell>
          <cell r="DN23565">
            <v>0</v>
          </cell>
        </row>
        <row r="23566">
          <cell r="E23566">
            <v>0</v>
          </cell>
          <cell r="F23566">
            <v>0</v>
          </cell>
          <cell r="DN23566">
            <v>0</v>
          </cell>
        </row>
        <row r="23567">
          <cell r="E23567">
            <v>0</v>
          </cell>
          <cell r="F23567">
            <v>0</v>
          </cell>
          <cell r="DN23567">
            <v>0</v>
          </cell>
        </row>
        <row r="23568">
          <cell r="E23568">
            <v>0</v>
          </cell>
          <cell r="F23568">
            <v>0</v>
          </cell>
          <cell r="DN23568">
            <v>0</v>
          </cell>
        </row>
        <row r="23569">
          <cell r="E23569">
            <v>0</v>
          </cell>
          <cell r="F23569">
            <v>0</v>
          </cell>
          <cell r="DN23569">
            <v>0</v>
          </cell>
        </row>
        <row r="23570">
          <cell r="E23570">
            <v>0</v>
          </cell>
          <cell r="F23570">
            <v>0</v>
          </cell>
          <cell r="DN23570">
            <v>0</v>
          </cell>
        </row>
        <row r="23571">
          <cell r="E23571">
            <v>0</v>
          </cell>
          <cell r="F23571">
            <v>0</v>
          </cell>
          <cell r="DN23571">
            <v>0</v>
          </cell>
        </row>
        <row r="23572">
          <cell r="E23572">
            <v>0</v>
          </cell>
          <cell r="F23572">
            <v>0</v>
          </cell>
          <cell r="DN23572">
            <v>0</v>
          </cell>
        </row>
        <row r="23573">
          <cell r="E23573">
            <v>0</v>
          </cell>
          <cell r="F23573">
            <v>0</v>
          </cell>
          <cell r="DN23573">
            <v>0</v>
          </cell>
        </row>
        <row r="23574">
          <cell r="E23574">
            <v>0</v>
          </cell>
          <cell r="F23574">
            <v>0</v>
          </cell>
          <cell r="DN23574">
            <v>0</v>
          </cell>
        </row>
        <row r="23575">
          <cell r="E23575">
            <v>0</v>
          </cell>
          <cell r="F23575">
            <v>0</v>
          </cell>
          <cell r="DN23575">
            <v>0</v>
          </cell>
        </row>
        <row r="23576">
          <cell r="E23576">
            <v>0</v>
          </cell>
          <cell r="F23576">
            <v>0</v>
          </cell>
          <cell r="DN23576">
            <v>0</v>
          </cell>
        </row>
        <row r="23577">
          <cell r="E23577">
            <v>0</v>
          </cell>
          <cell r="F23577">
            <v>0</v>
          </cell>
          <cell r="DN23577">
            <v>0</v>
          </cell>
        </row>
        <row r="23578">
          <cell r="E23578">
            <v>0</v>
          </cell>
          <cell r="F23578">
            <v>0</v>
          </cell>
          <cell r="DN23578">
            <v>0</v>
          </cell>
        </row>
        <row r="23579">
          <cell r="E23579">
            <v>0</v>
          </cell>
          <cell r="F23579">
            <v>0</v>
          </cell>
          <cell r="DN23579">
            <v>0</v>
          </cell>
        </row>
        <row r="23580">
          <cell r="E23580">
            <v>0</v>
          </cell>
          <cell r="F23580">
            <v>0</v>
          </cell>
          <cell r="DN23580">
            <v>0</v>
          </cell>
        </row>
        <row r="23581">
          <cell r="E23581">
            <v>0</v>
          </cell>
          <cell r="F23581">
            <v>0</v>
          </cell>
          <cell r="DN23581">
            <v>0</v>
          </cell>
        </row>
        <row r="23582">
          <cell r="E23582">
            <v>0</v>
          </cell>
          <cell r="F23582">
            <v>0</v>
          </cell>
          <cell r="DN23582">
            <v>0</v>
          </cell>
        </row>
        <row r="23583">
          <cell r="E23583">
            <v>0</v>
          </cell>
          <cell r="F23583">
            <v>0</v>
          </cell>
          <cell r="DN23583">
            <v>0</v>
          </cell>
        </row>
        <row r="23584">
          <cell r="E23584">
            <v>0</v>
          </cell>
          <cell r="F23584">
            <v>0</v>
          </cell>
          <cell r="DN23584">
            <v>0</v>
          </cell>
        </row>
        <row r="23585">
          <cell r="E23585">
            <v>0</v>
          </cell>
          <cell r="F23585">
            <v>0</v>
          </cell>
          <cell r="DN23585">
            <v>0</v>
          </cell>
        </row>
        <row r="23586">
          <cell r="E23586">
            <v>0</v>
          </cell>
          <cell r="F23586">
            <v>0</v>
          </cell>
          <cell r="DN23586">
            <v>0</v>
          </cell>
        </row>
        <row r="23587">
          <cell r="E23587">
            <v>0</v>
          </cell>
          <cell r="F23587">
            <v>0</v>
          </cell>
          <cell r="DN23587">
            <v>0</v>
          </cell>
        </row>
        <row r="23588">
          <cell r="E23588">
            <v>0</v>
          </cell>
          <cell r="F23588">
            <v>0</v>
          </cell>
          <cell r="DN23588">
            <v>0</v>
          </cell>
        </row>
        <row r="23589">
          <cell r="E23589">
            <v>0</v>
          </cell>
          <cell r="F23589">
            <v>0</v>
          </cell>
          <cell r="DN23589">
            <v>0</v>
          </cell>
        </row>
        <row r="23590">
          <cell r="E23590">
            <v>0</v>
          </cell>
          <cell r="F23590">
            <v>0</v>
          </cell>
          <cell r="DN23590">
            <v>0</v>
          </cell>
        </row>
        <row r="23591">
          <cell r="E23591">
            <v>0</v>
          </cell>
          <cell r="F23591">
            <v>0</v>
          </cell>
          <cell r="DN23591">
            <v>0</v>
          </cell>
        </row>
        <row r="23592">
          <cell r="E23592">
            <v>0</v>
          </cell>
          <cell r="F23592">
            <v>0</v>
          </cell>
          <cell r="DN23592">
            <v>0</v>
          </cell>
        </row>
        <row r="23593">
          <cell r="E23593">
            <v>0</v>
          </cell>
          <cell r="F23593">
            <v>0</v>
          </cell>
          <cell r="DN23593">
            <v>0</v>
          </cell>
        </row>
        <row r="23594">
          <cell r="E23594">
            <v>0</v>
          </cell>
          <cell r="F23594">
            <v>0</v>
          </cell>
          <cell r="DN23594">
            <v>0</v>
          </cell>
        </row>
        <row r="23595">
          <cell r="E23595">
            <v>0</v>
          </cell>
          <cell r="F23595">
            <v>0</v>
          </cell>
          <cell r="DN23595">
            <v>0</v>
          </cell>
        </row>
        <row r="23596">
          <cell r="E23596">
            <v>0</v>
          </cell>
          <cell r="F23596">
            <v>0</v>
          </cell>
          <cell r="DN23596">
            <v>0</v>
          </cell>
        </row>
        <row r="23597">
          <cell r="E23597">
            <v>0</v>
          </cell>
          <cell r="F23597">
            <v>0</v>
          </cell>
          <cell r="DN23597">
            <v>0</v>
          </cell>
        </row>
        <row r="23598">
          <cell r="E23598">
            <v>0</v>
          </cell>
          <cell r="F23598">
            <v>0</v>
          </cell>
          <cell r="DN23598">
            <v>0</v>
          </cell>
        </row>
        <row r="23599">
          <cell r="E23599">
            <v>0</v>
          </cell>
          <cell r="F23599">
            <v>0</v>
          </cell>
          <cell r="DN23599">
            <v>0</v>
          </cell>
        </row>
        <row r="23600">
          <cell r="E23600">
            <v>0</v>
          </cell>
          <cell r="F23600">
            <v>0</v>
          </cell>
          <cell r="DN23600">
            <v>0</v>
          </cell>
        </row>
        <row r="23601">
          <cell r="E23601">
            <v>0</v>
          </cell>
          <cell r="F23601">
            <v>0</v>
          </cell>
          <cell r="DN23601">
            <v>0</v>
          </cell>
        </row>
        <row r="23602">
          <cell r="E23602">
            <v>0</v>
          </cell>
          <cell r="F23602">
            <v>0</v>
          </cell>
          <cell r="DN23602">
            <v>0</v>
          </cell>
        </row>
        <row r="23603">
          <cell r="E23603">
            <v>0</v>
          </cell>
          <cell r="F23603">
            <v>0</v>
          </cell>
          <cell r="DN23603">
            <v>0</v>
          </cell>
        </row>
        <row r="23604">
          <cell r="E23604">
            <v>0</v>
          </cell>
          <cell r="F23604">
            <v>0</v>
          </cell>
          <cell r="DN23604">
            <v>0</v>
          </cell>
        </row>
        <row r="23605">
          <cell r="E23605">
            <v>0</v>
          </cell>
          <cell r="F23605">
            <v>0</v>
          </cell>
          <cell r="DN23605">
            <v>0</v>
          </cell>
        </row>
        <row r="23606">
          <cell r="E23606">
            <v>0</v>
          </cell>
          <cell r="F23606">
            <v>0</v>
          </cell>
          <cell r="DN23606">
            <v>0</v>
          </cell>
        </row>
        <row r="23607">
          <cell r="E23607">
            <v>0</v>
          </cell>
          <cell r="F23607">
            <v>0</v>
          </cell>
          <cell r="DN23607">
            <v>0</v>
          </cell>
        </row>
        <row r="23608">
          <cell r="E23608">
            <v>0</v>
          </cell>
          <cell r="F23608">
            <v>0</v>
          </cell>
          <cell r="DN23608">
            <v>0</v>
          </cell>
        </row>
        <row r="23609">
          <cell r="E23609">
            <v>0</v>
          </cell>
          <cell r="F23609">
            <v>0</v>
          </cell>
          <cell r="DN23609">
            <v>0</v>
          </cell>
        </row>
        <row r="23610">
          <cell r="E23610">
            <v>0</v>
          </cell>
          <cell r="F23610">
            <v>0</v>
          </cell>
          <cell r="DN23610">
            <v>0</v>
          </cell>
        </row>
        <row r="23611">
          <cell r="E23611">
            <v>0</v>
          </cell>
          <cell r="F23611">
            <v>0</v>
          </cell>
          <cell r="DN23611">
            <v>0</v>
          </cell>
        </row>
        <row r="23612">
          <cell r="E23612">
            <v>0</v>
          </cell>
          <cell r="F23612">
            <v>0</v>
          </cell>
          <cell r="DN23612">
            <v>0</v>
          </cell>
        </row>
        <row r="23613">
          <cell r="E23613">
            <v>0</v>
          </cell>
          <cell r="F23613">
            <v>0</v>
          </cell>
          <cell r="DN23613">
            <v>0</v>
          </cell>
        </row>
        <row r="23614">
          <cell r="E23614">
            <v>0</v>
          </cell>
          <cell r="F23614">
            <v>0</v>
          </cell>
          <cell r="DN23614">
            <v>0</v>
          </cell>
        </row>
        <row r="23615">
          <cell r="E23615">
            <v>0</v>
          </cell>
          <cell r="F23615">
            <v>0</v>
          </cell>
          <cell r="DN23615">
            <v>0</v>
          </cell>
        </row>
        <row r="23616">
          <cell r="E23616">
            <v>0</v>
          </cell>
          <cell r="F23616">
            <v>0</v>
          </cell>
          <cell r="DN23616">
            <v>0</v>
          </cell>
        </row>
        <row r="23617">
          <cell r="E23617">
            <v>0</v>
          </cell>
          <cell r="F23617">
            <v>0</v>
          </cell>
          <cell r="DN23617">
            <v>0</v>
          </cell>
        </row>
        <row r="23618">
          <cell r="E23618">
            <v>0</v>
          </cell>
          <cell r="F23618">
            <v>0</v>
          </cell>
          <cell r="DN23618">
            <v>0</v>
          </cell>
        </row>
        <row r="23619">
          <cell r="E23619">
            <v>0</v>
          </cell>
          <cell r="F23619">
            <v>0</v>
          </cell>
          <cell r="DN23619">
            <v>0</v>
          </cell>
        </row>
        <row r="23620">
          <cell r="E23620">
            <v>0</v>
          </cell>
          <cell r="F23620">
            <v>0</v>
          </cell>
          <cell r="DN23620">
            <v>0</v>
          </cell>
        </row>
        <row r="23621">
          <cell r="E23621">
            <v>0</v>
          </cell>
          <cell r="F23621">
            <v>0</v>
          </cell>
          <cell r="DN23621">
            <v>0</v>
          </cell>
        </row>
        <row r="23622">
          <cell r="E23622">
            <v>0</v>
          </cell>
          <cell r="F23622">
            <v>0</v>
          </cell>
          <cell r="DN23622">
            <v>0</v>
          </cell>
        </row>
        <row r="23623">
          <cell r="E23623">
            <v>0</v>
          </cell>
          <cell r="F23623">
            <v>0</v>
          </cell>
          <cell r="DN23623">
            <v>0</v>
          </cell>
        </row>
        <row r="23624">
          <cell r="E23624">
            <v>0</v>
          </cell>
          <cell r="F23624">
            <v>0</v>
          </cell>
          <cell r="DN23624">
            <v>0</v>
          </cell>
        </row>
        <row r="23625">
          <cell r="E23625">
            <v>0</v>
          </cell>
          <cell r="F23625">
            <v>0</v>
          </cell>
          <cell r="DN23625">
            <v>0</v>
          </cell>
        </row>
        <row r="23626">
          <cell r="E23626">
            <v>0</v>
          </cell>
          <cell r="F23626">
            <v>0</v>
          </cell>
          <cell r="DN23626">
            <v>0</v>
          </cell>
        </row>
        <row r="23627">
          <cell r="E23627">
            <v>0</v>
          </cell>
          <cell r="F23627">
            <v>0</v>
          </cell>
          <cell r="DN23627">
            <v>0</v>
          </cell>
        </row>
        <row r="23628">
          <cell r="E23628">
            <v>0</v>
          </cell>
          <cell r="F23628">
            <v>0</v>
          </cell>
          <cell r="DN23628">
            <v>0</v>
          </cell>
        </row>
        <row r="23629">
          <cell r="E23629">
            <v>0</v>
          </cell>
          <cell r="F23629">
            <v>0</v>
          </cell>
          <cell r="DN23629">
            <v>0</v>
          </cell>
        </row>
        <row r="23630">
          <cell r="E23630">
            <v>0</v>
          </cell>
          <cell r="F23630">
            <v>0</v>
          </cell>
          <cell r="DN23630">
            <v>0</v>
          </cell>
        </row>
        <row r="23631">
          <cell r="E23631">
            <v>0</v>
          </cell>
          <cell r="F23631">
            <v>0</v>
          </cell>
          <cell r="DN23631">
            <v>0</v>
          </cell>
        </row>
        <row r="23632">
          <cell r="E23632">
            <v>0</v>
          </cell>
          <cell r="F23632">
            <v>0</v>
          </cell>
          <cell r="DN23632">
            <v>0</v>
          </cell>
        </row>
        <row r="23633">
          <cell r="E23633">
            <v>0</v>
          </cell>
          <cell r="F23633">
            <v>0</v>
          </cell>
          <cell r="DN23633">
            <v>0</v>
          </cell>
        </row>
        <row r="23634">
          <cell r="E23634">
            <v>0</v>
          </cell>
          <cell r="F23634">
            <v>0</v>
          </cell>
          <cell r="DN23634">
            <v>0</v>
          </cell>
        </row>
        <row r="23635">
          <cell r="E23635">
            <v>0</v>
          </cell>
          <cell r="F23635">
            <v>0</v>
          </cell>
          <cell r="DN23635">
            <v>0</v>
          </cell>
        </row>
        <row r="23636">
          <cell r="E23636">
            <v>0</v>
          </cell>
          <cell r="F23636">
            <v>0</v>
          </cell>
          <cell r="DN23636">
            <v>0</v>
          </cell>
        </row>
        <row r="23637">
          <cell r="E23637">
            <v>0</v>
          </cell>
          <cell r="F23637">
            <v>0</v>
          </cell>
          <cell r="DN23637">
            <v>0</v>
          </cell>
        </row>
        <row r="23638">
          <cell r="E23638">
            <v>0</v>
          </cell>
          <cell r="F23638">
            <v>0</v>
          </cell>
          <cell r="DN23638">
            <v>0</v>
          </cell>
        </row>
        <row r="23639">
          <cell r="E23639">
            <v>0</v>
          </cell>
          <cell r="F23639">
            <v>0</v>
          </cell>
          <cell r="DN23639">
            <v>0</v>
          </cell>
        </row>
        <row r="23640">
          <cell r="E23640">
            <v>0</v>
          </cell>
          <cell r="F23640">
            <v>0</v>
          </cell>
          <cell r="DN23640">
            <v>0</v>
          </cell>
        </row>
        <row r="23641">
          <cell r="E23641">
            <v>0</v>
          </cell>
          <cell r="F23641">
            <v>0</v>
          </cell>
          <cell r="DN23641">
            <v>0</v>
          </cell>
        </row>
        <row r="23642">
          <cell r="E23642">
            <v>0</v>
          </cell>
          <cell r="F23642">
            <v>0</v>
          </cell>
          <cell r="DN23642">
            <v>0</v>
          </cell>
        </row>
        <row r="23643">
          <cell r="E23643">
            <v>0</v>
          </cell>
          <cell r="F23643">
            <v>0</v>
          </cell>
          <cell r="DN23643">
            <v>0</v>
          </cell>
        </row>
        <row r="23644">
          <cell r="E23644">
            <v>0</v>
          </cell>
          <cell r="F23644">
            <v>0</v>
          </cell>
          <cell r="DN23644">
            <v>0</v>
          </cell>
        </row>
        <row r="23645">
          <cell r="E23645">
            <v>0</v>
          </cell>
          <cell r="F23645">
            <v>0</v>
          </cell>
          <cell r="DN23645">
            <v>0</v>
          </cell>
        </row>
        <row r="23646">
          <cell r="E23646">
            <v>0</v>
          </cell>
          <cell r="F23646">
            <v>0</v>
          </cell>
          <cell r="DN23646">
            <v>0</v>
          </cell>
        </row>
        <row r="23647">
          <cell r="E23647">
            <v>0</v>
          </cell>
          <cell r="F23647">
            <v>0</v>
          </cell>
          <cell r="DN23647">
            <v>0</v>
          </cell>
        </row>
        <row r="23648">
          <cell r="E23648">
            <v>0</v>
          </cell>
          <cell r="F23648">
            <v>0</v>
          </cell>
          <cell r="DN23648">
            <v>0</v>
          </cell>
        </row>
        <row r="23649">
          <cell r="E23649">
            <v>0</v>
          </cell>
          <cell r="F23649">
            <v>0</v>
          </cell>
          <cell r="DN23649">
            <v>0</v>
          </cell>
        </row>
        <row r="23650">
          <cell r="E23650">
            <v>0</v>
          </cell>
          <cell r="F23650">
            <v>0</v>
          </cell>
          <cell r="DN23650">
            <v>0</v>
          </cell>
        </row>
        <row r="23651">
          <cell r="E23651">
            <v>0</v>
          </cell>
          <cell r="F23651">
            <v>0</v>
          </cell>
          <cell r="DN23651">
            <v>0</v>
          </cell>
        </row>
        <row r="23652">
          <cell r="E23652">
            <v>0</v>
          </cell>
          <cell r="F23652">
            <v>0</v>
          </cell>
          <cell r="DN23652">
            <v>0</v>
          </cell>
        </row>
        <row r="23653">
          <cell r="E23653">
            <v>0</v>
          </cell>
          <cell r="F23653">
            <v>0</v>
          </cell>
          <cell r="DN23653">
            <v>0</v>
          </cell>
        </row>
        <row r="23654">
          <cell r="E23654">
            <v>0</v>
          </cell>
          <cell r="F23654">
            <v>0</v>
          </cell>
          <cell r="DN23654">
            <v>0</v>
          </cell>
        </row>
        <row r="23655">
          <cell r="E23655">
            <v>0</v>
          </cell>
          <cell r="F23655">
            <v>0</v>
          </cell>
          <cell r="DN23655">
            <v>0</v>
          </cell>
        </row>
        <row r="23656">
          <cell r="E23656">
            <v>0</v>
          </cell>
          <cell r="F23656">
            <v>0</v>
          </cell>
          <cell r="DN23656">
            <v>0</v>
          </cell>
        </row>
        <row r="23657">
          <cell r="E23657">
            <v>0</v>
          </cell>
          <cell r="F23657">
            <v>0</v>
          </cell>
          <cell r="DN23657">
            <v>0</v>
          </cell>
        </row>
        <row r="23658">
          <cell r="E23658">
            <v>0</v>
          </cell>
          <cell r="F23658">
            <v>0</v>
          </cell>
          <cell r="DN23658">
            <v>0</v>
          </cell>
        </row>
        <row r="23659">
          <cell r="E23659">
            <v>0</v>
          </cell>
          <cell r="F23659">
            <v>0</v>
          </cell>
          <cell r="DN23659">
            <v>0</v>
          </cell>
        </row>
        <row r="23660">
          <cell r="E23660">
            <v>0</v>
          </cell>
          <cell r="F23660">
            <v>0</v>
          </cell>
          <cell r="DN23660">
            <v>0</v>
          </cell>
        </row>
        <row r="23661">
          <cell r="E23661">
            <v>0</v>
          </cell>
          <cell r="F23661">
            <v>0</v>
          </cell>
          <cell r="DN23661">
            <v>0</v>
          </cell>
        </row>
        <row r="23662">
          <cell r="E23662">
            <v>0</v>
          </cell>
          <cell r="F23662">
            <v>0</v>
          </cell>
          <cell r="DN23662">
            <v>0</v>
          </cell>
        </row>
        <row r="23663">
          <cell r="E23663">
            <v>0</v>
          </cell>
          <cell r="F23663">
            <v>0</v>
          </cell>
          <cell r="DN23663">
            <v>0</v>
          </cell>
        </row>
        <row r="23664">
          <cell r="E23664">
            <v>0</v>
          </cell>
          <cell r="F23664">
            <v>0</v>
          </cell>
          <cell r="DN23664">
            <v>0</v>
          </cell>
        </row>
        <row r="23665">
          <cell r="E23665">
            <v>0</v>
          </cell>
          <cell r="F23665">
            <v>0</v>
          </cell>
          <cell r="DN23665">
            <v>0</v>
          </cell>
        </row>
        <row r="23666">
          <cell r="E23666">
            <v>0</v>
          </cell>
          <cell r="F23666">
            <v>0</v>
          </cell>
          <cell r="DN23666">
            <v>0</v>
          </cell>
        </row>
        <row r="23667">
          <cell r="E23667">
            <v>0</v>
          </cell>
          <cell r="F23667">
            <v>0</v>
          </cell>
          <cell r="DN23667">
            <v>0</v>
          </cell>
        </row>
        <row r="23668">
          <cell r="E23668">
            <v>0</v>
          </cell>
          <cell r="F23668">
            <v>0</v>
          </cell>
          <cell r="DN23668">
            <v>0</v>
          </cell>
        </row>
        <row r="23669">
          <cell r="E23669">
            <v>0</v>
          </cell>
          <cell r="F23669">
            <v>0</v>
          </cell>
          <cell r="DN23669">
            <v>0</v>
          </cell>
        </row>
        <row r="23670">
          <cell r="E23670">
            <v>0</v>
          </cell>
          <cell r="F23670">
            <v>0</v>
          </cell>
          <cell r="DN23670">
            <v>0</v>
          </cell>
        </row>
        <row r="23671">
          <cell r="E23671">
            <v>0</v>
          </cell>
          <cell r="F23671">
            <v>0</v>
          </cell>
          <cell r="DN23671">
            <v>0</v>
          </cell>
        </row>
        <row r="23672">
          <cell r="E23672">
            <v>0</v>
          </cell>
          <cell r="F23672">
            <v>0</v>
          </cell>
          <cell r="DN23672">
            <v>0</v>
          </cell>
        </row>
        <row r="23673">
          <cell r="E23673">
            <v>0</v>
          </cell>
          <cell r="F23673">
            <v>0</v>
          </cell>
          <cell r="DN23673">
            <v>0</v>
          </cell>
        </row>
        <row r="23674">
          <cell r="E23674">
            <v>0</v>
          </cell>
          <cell r="F23674">
            <v>0</v>
          </cell>
          <cell r="DN23674">
            <v>0</v>
          </cell>
        </row>
        <row r="23675">
          <cell r="E23675">
            <v>0</v>
          </cell>
          <cell r="F23675">
            <v>0</v>
          </cell>
          <cell r="DN23675">
            <v>0</v>
          </cell>
        </row>
        <row r="23676">
          <cell r="E23676">
            <v>0</v>
          </cell>
          <cell r="F23676">
            <v>0</v>
          </cell>
          <cell r="DN23676">
            <v>0</v>
          </cell>
        </row>
        <row r="23677">
          <cell r="E23677">
            <v>0</v>
          </cell>
          <cell r="F23677">
            <v>0</v>
          </cell>
          <cell r="DN23677">
            <v>0</v>
          </cell>
        </row>
        <row r="23678">
          <cell r="E23678">
            <v>0</v>
          </cell>
          <cell r="F23678">
            <v>0</v>
          </cell>
          <cell r="DN23678">
            <v>0</v>
          </cell>
        </row>
        <row r="23679">
          <cell r="E23679">
            <v>0</v>
          </cell>
          <cell r="F23679">
            <v>0</v>
          </cell>
          <cell r="DN23679">
            <v>0</v>
          </cell>
        </row>
        <row r="23680">
          <cell r="E23680">
            <v>0</v>
          </cell>
          <cell r="F23680">
            <v>0</v>
          </cell>
          <cell r="DN23680">
            <v>0</v>
          </cell>
        </row>
        <row r="23681">
          <cell r="E23681">
            <v>0</v>
          </cell>
          <cell r="F23681">
            <v>0</v>
          </cell>
          <cell r="DN23681">
            <v>0</v>
          </cell>
        </row>
        <row r="23682">
          <cell r="E23682">
            <v>0</v>
          </cell>
          <cell r="F23682">
            <v>0</v>
          </cell>
          <cell r="DN23682">
            <v>0</v>
          </cell>
        </row>
        <row r="23683">
          <cell r="E23683">
            <v>0</v>
          </cell>
          <cell r="F23683">
            <v>0</v>
          </cell>
          <cell r="DN23683">
            <v>0</v>
          </cell>
        </row>
        <row r="23684">
          <cell r="E23684">
            <v>0</v>
          </cell>
          <cell r="F23684">
            <v>0</v>
          </cell>
          <cell r="DN23684">
            <v>0</v>
          </cell>
        </row>
        <row r="23685">
          <cell r="E23685">
            <v>0</v>
          </cell>
          <cell r="F23685">
            <v>0</v>
          </cell>
          <cell r="DN23685">
            <v>0</v>
          </cell>
        </row>
        <row r="23686">
          <cell r="E23686">
            <v>0</v>
          </cell>
          <cell r="F23686">
            <v>0</v>
          </cell>
          <cell r="DN23686">
            <v>0</v>
          </cell>
        </row>
        <row r="23687">
          <cell r="E23687">
            <v>0</v>
          </cell>
          <cell r="F23687">
            <v>0</v>
          </cell>
          <cell r="DN23687">
            <v>0</v>
          </cell>
        </row>
        <row r="23688">
          <cell r="E23688">
            <v>0</v>
          </cell>
          <cell r="F23688">
            <v>0</v>
          </cell>
          <cell r="DN23688">
            <v>0</v>
          </cell>
        </row>
        <row r="23689">
          <cell r="E23689">
            <v>0</v>
          </cell>
          <cell r="F23689">
            <v>0</v>
          </cell>
          <cell r="DN23689">
            <v>0</v>
          </cell>
        </row>
        <row r="23690">
          <cell r="E23690">
            <v>0</v>
          </cell>
          <cell r="F23690">
            <v>0</v>
          </cell>
          <cell r="DN23690">
            <v>0</v>
          </cell>
        </row>
        <row r="23691">
          <cell r="E23691">
            <v>0</v>
          </cell>
          <cell r="F23691">
            <v>0</v>
          </cell>
          <cell r="DN23691">
            <v>0</v>
          </cell>
        </row>
        <row r="23692">
          <cell r="E23692">
            <v>0</v>
          </cell>
          <cell r="F23692">
            <v>0</v>
          </cell>
          <cell r="DN23692">
            <v>0</v>
          </cell>
        </row>
        <row r="23693">
          <cell r="E23693">
            <v>0</v>
          </cell>
          <cell r="F23693">
            <v>0</v>
          </cell>
          <cell r="DN23693">
            <v>0</v>
          </cell>
        </row>
        <row r="23694">
          <cell r="E23694">
            <v>0</v>
          </cell>
          <cell r="F23694">
            <v>0</v>
          </cell>
          <cell r="DN23694">
            <v>0</v>
          </cell>
        </row>
        <row r="23695">
          <cell r="E23695">
            <v>0</v>
          </cell>
          <cell r="F23695">
            <v>0</v>
          </cell>
          <cell r="DN23695">
            <v>0</v>
          </cell>
        </row>
        <row r="23696">
          <cell r="E23696">
            <v>0</v>
          </cell>
          <cell r="F23696">
            <v>0</v>
          </cell>
          <cell r="DN23696">
            <v>0</v>
          </cell>
        </row>
        <row r="23697">
          <cell r="E23697">
            <v>0</v>
          </cell>
          <cell r="F23697">
            <v>0</v>
          </cell>
          <cell r="DN23697">
            <v>0</v>
          </cell>
        </row>
        <row r="23698">
          <cell r="E23698">
            <v>0</v>
          </cell>
          <cell r="F23698">
            <v>0</v>
          </cell>
          <cell r="DN23698">
            <v>0</v>
          </cell>
        </row>
        <row r="23699">
          <cell r="E23699">
            <v>0</v>
          </cell>
          <cell r="F23699">
            <v>0</v>
          </cell>
          <cell r="DN23699">
            <v>0</v>
          </cell>
        </row>
        <row r="23700">
          <cell r="E23700">
            <v>0</v>
          </cell>
          <cell r="F23700">
            <v>0</v>
          </cell>
          <cell r="DN23700">
            <v>0</v>
          </cell>
        </row>
        <row r="23701">
          <cell r="E23701">
            <v>0</v>
          </cell>
          <cell r="F23701">
            <v>0</v>
          </cell>
          <cell r="DN23701">
            <v>0</v>
          </cell>
        </row>
        <row r="23702">
          <cell r="E23702">
            <v>0</v>
          </cell>
          <cell r="F23702">
            <v>0</v>
          </cell>
          <cell r="DN23702">
            <v>0</v>
          </cell>
        </row>
        <row r="23703">
          <cell r="E23703">
            <v>0</v>
          </cell>
          <cell r="F23703">
            <v>0</v>
          </cell>
          <cell r="DN23703">
            <v>0</v>
          </cell>
        </row>
        <row r="23704">
          <cell r="E23704">
            <v>0</v>
          </cell>
          <cell r="F23704">
            <v>0</v>
          </cell>
          <cell r="DN23704">
            <v>0</v>
          </cell>
        </row>
        <row r="23705">
          <cell r="E23705">
            <v>0</v>
          </cell>
          <cell r="F23705">
            <v>0</v>
          </cell>
          <cell r="DN23705">
            <v>0</v>
          </cell>
        </row>
        <row r="23706">
          <cell r="E23706">
            <v>0</v>
          </cell>
          <cell r="F23706">
            <v>0</v>
          </cell>
          <cell r="DN23706">
            <v>0</v>
          </cell>
        </row>
        <row r="23707">
          <cell r="E23707">
            <v>0</v>
          </cell>
          <cell r="F23707">
            <v>0</v>
          </cell>
          <cell r="DN23707">
            <v>0</v>
          </cell>
        </row>
        <row r="23708">
          <cell r="E23708">
            <v>0</v>
          </cell>
          <cell r="F23708">
            <v>0</v>
          </cell>
          <cell r="DN23708">
            <v>0</v>
          </cell>
        </row>
        <row r="23709">
          <cell r="E23709">
            <v>0</v>
          </cell>
          <cell r="F23709">
            <v>0</v>
          </cell>
          <cell r="DN23709">
            <v>0</v>
          </cell>
        </row>
        <row r="23710">
          <cell r="E23710">
            <v>0</v>
          </cell>
          <cell r="F23710">
            <v>0</v>
          </cell>
          <cell r="DN23710">
            <v>0</v>
          </cell>
        </row>
        <row r="23711">
          <cell r="E23711">
            <v>0</v>
          </cell>
          <cell r="F23711">
            <v>0</v>
          </cell>
          <cell r="DN23711">
            <v>0</v>
          </cell>
        </row>
        <row r="23712">
          <cell r="E23712">
            <v>0</v>
          </cell>
          <cell r="F23712">
            <v>0</v>
          </cell>
          <cell r="DN23712">
            <v>0</v>
          </cell>
        </row>
        <row r="23713">
          <cell r="E23713">
            <v>0</v>
          </cell>
          <cell r="F23713">
            <v>0</v>
          </cell>
          <cell r="DN23713">
            <v>0</v>
          </cell>
        </row>
        <row r="23714">
          <cell r="E23714">
            <v>0</v>
          </cell>
          <cell r="F23714">
            <v>0</v>
          </cell>
          <cell r="DN23714">
            <v>0</v>
          </cell>
        </row>
        <row r="23715">
          <cell r="E23715">
            <v>0</v>
          </cell>
          <cell r="F23715">
            <v>0</v>
          </cell>
          <cell r="DN23715">
            <v>0</v>
          </cell>
        </row>
        <row r="23716">
          <cell r="E23716">
            <v>0</v>
          </cell>
          <cell r="F23716">
            <v>0</v>
          </cell>
          <cell r="DN23716">
            <v>0</v>
          </cell>
        </row>
        <row r="23717">
          <cell r="E23717">
            <v>0</v>
          </cell>
          <cell r="F23717">
            <v>0</v>
          </cell>
          <cell r="DN23717">
            <v>0</v>
          </cell>
        </row>
        <row r="23718">
          <cell r="E23718">
            <v>0</v>
          </cell>
          <cell r="F23718">
            <v>0</v>
          </cell>
          <cell r="DN23718">
            <v>0</v>
          </cell>
        </row>
        <row r="23719">
          <cell r="E23719">
            <v>0</v>
          </cell>
          <cell r="F23719">
            <v>0</v>
          </cell>
          <cell r="DN23719">
            <v>0</v>
          </cell>
        </row>
        <row r="23720">
          <cell r="E23720">
            <v>0</v>
          </cell>
          <cell r="F23720">
            <v>0</v>
          </cell>
          <cell r="DN23720">
            <v>0</v>
          </cell>
        </row>
        <row r="23721">
          <cell r="E23721">
            <v>0</v>
          </cell>
          <cell r="F23721">
            <v>0</v>
          </cell>
          <cell r="DN23721">
            <v>0</v>
          </cell>
        </row>
        <row r="23722">
          <cell r="E23722">
            <v>0</v>
          </cell>
          <cell r="F23722">
            <v>0</v>
          </cell>
          <cell r="DN23722">
            <v>0</v>
          </cell>
        </row>
        <row r="23723">
          <cell r="E23723">
            <v>0</v>
          </cell>
          <cell r="F23723">
            <v>0</v>
          </cell>
          <cell r="DN23723">
            <v>0</v>
          </cell>
        </row>
        <row r="23724">
          <cell r="E23724">
            <v>0</v>
          </cell>
          <cell r="F23724">
            <v>0</v>
          </cell>
          <cell r="DN23724">
            <v>0</v>
          </cell>
        </row>
        <row r="23725">
          <cell r="E23725">
            <v>0</v>
          </cell>
          <cell r="F23725">
            <v>0</v>
          </cell>
          <cell r="DN23725">
            <v>0</v>
          </cell>
        </row>
        <row r="23726">
          <cell r="E23726">
            <v>0</v>
          </cell>
          <cell r="F23726">
            <v>0</v>
          </cell>
          <cell r="DN23726">
            <v>0</v>
          </cell>
        </row>
        <row r="23727">
          <cell r="E23727">
            <v>0</v>
          </cell>
          <cell r="F23727">
            <v>0</v>
          </cell>
          <cell r="DN23727">
            <v>0</v>
          </cell>
        </row>
        <row r="23728">
          <cell r="E23728">
            <v>0</v>
          </cell>
          <cell r="F23728">
            <v>0</v>
          </cell>
          <cell r="DN23728">
            <v>0</v>
          </cell>
        </row>
        <row r="23729">
          <cell r="E23729">
            <v>0</v>
          </cell>
          <cell r="F23729">
            <v>0</v>
          </cell>
          <cell r="DN23729">
            <v>0</v>
          </cell>
        </row>
        <row r="23730">
          <cell r="E23730">
            <v>0</v>
          </cell>
          <cell r="F23730">
            <v>0</v>
          </cell>
          <cell r="DN23730">
            <v>0</v>
          </cell>
        </row>
        <row r="23731">
          <cell r="E23731">
            <v>0</v>
          </cell>
          <cell r="F23731">
            <v>0</v>
          </cell>
          <cell r="DN23731">
            <v>0</v>
          </cell>
        </row>
        <row r="23732">
          <cell r="E23732">
            <v>0</v>
          </cell>
          <cell r="F23732">
            <v>0</v>
          </cell>
          <cell r="DN23732">
            <v>0</v>
          </cell>
        </row>
        <row r="23733">
          <cell r="E23733">
            <v>0</v>
          </cell>
          <cell r="F23733">
            <v>0</v>
          </cell>
          <cell r="DN23733">
            <v>0</v>
          </cell>
        </row>
        <row r="23734">
          <cell r="E23734">
            <v>0</v>
          </cell>
          <cell r="F23734">
            <v>0</v>
          </cell>
          <cell r="DN23734">
            <v>0</v>
          </cell>
        </row>
        <row r="23735">
          <cell r="E23735">
            <v>0</v>
          </cell>
          <cell r="F23735">
            <v>0</v>
          </cell>
          <cell r="DN23735">
            <v>0</v>
          </cell>
        </row>
        <row r="23736">
          <cell r="E23736">
            <v>0</v>
          </cell>
          <cell r="F23736">
            <v>0</v>
          </cell>
          <cell r="DN23736">
            <v>0</v>
          </cell>
        </row>
        <row r="23737">
          <cell r="E23737">
            <v>0</v>
          </cell>
          <cell r="F23737">
            <v>0</v>
          </cell>
          <cell r="DN23737">
            <v>0</v>
          </cell>
        </row>
        <row r="23738">
          <cell r="E23738">
            <v>0</v>
          </cell>
          <cell r="F23738">
            <v>0</v>
          </cell>
          <cell r="DN23738">
            <v>0</v>
          </cell>
        </row>
        <row r="23739">
          <cell r="E23739">
            <v>0</v>
          </cell>
          <cell r="F23739">
            <v>0</v>
          </cell>
          <cell r="DN23739">
            <v>0</v>
          </cell>
        </row>
        <row r="23740">
          <cell r="E23740">
            <v>0</v>
          </cell>
          <cell r="F23740">
            <v>0</v>
          </cell>
          <cell r="DN23740">
            <v>0</v>
          </cell>
        </row>
        <row r="23741">
          <cell r="E23741">
            <v>0</v>
          </cell>
          <cell r="F23741">
            <v>0</v>
          </cell>
          <cell r="DN23741">
            <v>0</v>
          </cell>
        </row>
        <row r="23742">
          <cell r="E23742">
            <v>0</v>
          </cell>
          <cell r="F23742">
            <v>0</v>
          </cell>
          <cell r="DN23742">
            <v>0</v>
          </cell>
        </row>
        <row r="23743">
          <cell r="E23743">
            <v>0</v>
          </cell>
          <cell r="F23743">
            <v>0</v>
          </cell>
          <cell r="DN23743">
            <v>0</v>
          </cell>
        </row>
        <row r="23744">
          <cell r="E23744">
            <v>0</v>
          </cell>
          <cell r="F23744">
            <v>0</v>
          </cell>
          <cell r="DN23744">
            <v>0</v>
          </cell>
        </row>
        <row r="23745">
          <cell r="E23745">
            <v>0</v>
          </cell>
          <cell r="F23745">
            <v>0</v>
          </cell>
          <cell r="DN23745">
            <v>0</v>
          </cell>
        </row>
        <row r="23746">
          <cell r="E23746">
            <v>0</v>
          </cell>
          <cell r="F23746">
            <v>0</v>
          </cell>
          <cell r="DN23746">
            <v>0</v>
          </cell>
        </row>
        <row r="23747">
          <cell r="E23747">
            <v>0</v>
          </cell>
          <cell r="F23747">
            <v>0</v>
          </cell>
          <cell r="DN23747">
            <v>0</v>
          </cell>
        </row>
        <row r="23748">
          <cell r="E23748">
            <v>0</v>
          </cell>
          <cell r="F23748">
            <v>0</v>
          </cell>
          <cell r="DN23748">
            <v>0</v>
          </cell>
        </row>
        <row r="23749">
          <cell r="E23749">
            <v>0</v>
          </cell>
          <cell r="F23749">
            <v>0</v>
          </cell>
          <cell r="DN23749">
            <v>0</v>
          </cell>
        </row>
        <row r="23750">
          <cell r="E23750">
            <v>0</v>
          </cell>
          <cell r="F23750">
            <v>0</v>
          </cell>
          <cell r="DN23750">
            <v>0</v>
          </cell>
        </row>
        <row r="23751">
          <cell r="E23751">
            <v>0</v>
          </cell>
          <cell r="F23751">
            <v>0</v>
          </cell>
          <cell r="DN23751">
            <v>0</v>
          </cell>
        </row>
        <row r="23752">
          <cell r="E23752">
            <v>0</v>
          </cell>
          <cell r="F23752">
            <v>0</v>
          </cell>
          <cell r="DN23752">
            <v>0</v>
          </cell>
        </row>
        <row r="23753">
          <cell r="E23753">
            <v>0</v>
          </cell>
          <cell r="F23753">
            <v>0</v>
          </cell>
          <cell r="DN23753">
            <v>0</v>
          </cell>
        </row>
        <row r="23754">
          <cell r="E23754">
            <v>0</v>
          </cell>
          <cell r="F23754">
            <v>0</v>
          </cell>
          <cell r="DN23754">
            <v>0</v>
          </cell>
        </row>
        <row r="23755">
          <cell r="E23755">
            <v>0</v>
          </cell>
          <cell r="F23755">
            <v>0</v>
          </cell>
          <cell r="DN23755">
            <v>0</v>
          </cell>
        </row>
        <row r="23756">
          <cell r="E23756">
            <v>0</v>
          </cell>
          <cell r="F23756">
            <v>0</v>
          </cell>
          <cell r="DN23756">
            <v>0</v>
          </cell>
        </row>
        <row r="23757">
          <cell r="E23757">
            <v>0</v>
          </cell>
          <cell r="F23757">
            <v>0</v>
          </cell>
          <cell r="DN23757">
            <v>0</v>
          </cell>
        </row>
        <row r="23758">
          <cell r="E23758">
            <v>0</v>
          </cell>
          <cell r="F23758">
            <v>0</v>
          </cell>
          <cell r="DN23758">
            <v>0</v>
          </cell>
        </row>
        <row r="23759">
          <cell r="E23759">
            <v>0</v>
          </cell>
          <cell r="F23759">
            <v>0</v>
          </cell>
          <cell r="DN23759">
            <v>0</v>
          </cell>
        </row>
        <row r="23760">
          <cell r="E23760">
            <v>0</v>
          </cell>
          <cell r="F23760">
            <v>0</v>
          </cell>
          <cell r="DN23760">
            <v>0</v>
          </cell>
        </row>
        <row r="23761">
          <cell r="E23761">
            <v>0</v>
          </cell>
          <cell r="F23761">
            <v>0</v>
          </cell>
          <cell r="DN23761">
            <v>0</v>
          </cell>
        </row>
        <row r="23762">
          <cell r="E23762">
            <v>0</v>
          </cell>
          <cell r="F23762">
            <v>0</v>
          </cell>
          <cell r="DN23762">
            <v>0</v>
          </cell>
        </row>
        <row r="23763">
          <cell r="E23763">
            <v>0</v>
          </cell>
          <cell r="F23763">
            <v>0</v>
          </cell>
          <cell r="DN23763">
            <v>0</v>
          </cell>
        </row>
        <row r="23764">
          <cell r="E23764">
            <v>0</v>
          </cell>
          <cell r="F23764">
            <v>0</v>
          </cell>
          <cell r="DN23764">
            <v>0</v>
          </cell>
        </row>
        <row r="23765">
          <cell r="E23765">
            <v>0</v>
          </cell>
          <cell r="F23765">
            <v>0</v>
          </cell>
          <cell r="DN23765">
            <v>0</v>
          </cell>
        </row>
        <row r="23766">
          <cell r="E23766">
            <v>0</v>
          </cell>
          <cell r="F23766">
            <v>0</v>
          </cell>
          <cell r="DN23766">
            <v>0</v>
          </cell>
        </row>
        <row r="23767">
          <cell r="E23767">
            <v>0</v>
          </cell>
          <cell r="F23767">
            <v>0</v>
          </cell>
          <cell r="DN23767">
            <v>0</v>
          </cell>
        </row>
        <row r="23768">
          <cell r="E23768">
            <v>0</v>
          </cell>
          <cell r="F23768">
            <v>0</v>
          </cell>
          <cell r="DN23768">
            <v>0</v>
          </cell>
        </row>
        <row r="23769">
          <cell r="E23769">
            <v>0</v>
          </cell>
          <cell r="F23769">
            <v>0</v>
          </cell>
          <cell r="DN23769">
            <v>0</v>
          </cell>
        </row>
        <row r="23770">
          <cell r="E23770">
            <v>0</v>
          </cell>
          <cell r="F23770">
            <v>0</v>
          </cell>
          <cell r="DN23770">
            <v>0</v>
          </cell>
        </row>
        <row r="23771">
          <cell r="E23771">
            <v>0</v>
          </cell>
          <cell r="F23771">
            <v>0</v>
          </cell>
          <cell r="DN23771">
            <v>0</v>
          </cell>
        </row>
        <row r="23772">
          <cell r="E23772">
            <v>0</v>
          </cell>
          <cell r="F23772">
            <v>0</v>
          </cell>
          <cell r="DN23772">
            <v>0</v>
          </cell>
        </row>
        <row r="23773">
          <cell r="E23773">
            <v>0</v>
          </cell>
          <cell r="F23773">
            <v>0</v>
          </cell>
          <cell r="DN23773">
            <v>0</v>
          </cell>
        </row>
        <row r="23774">
          <cell r="E23774">
            <v>0</v>
          </cell>
          <cell r="F23774">
            <v>0</v>
          </cell>
          <cell r="DN23774">
            <v>0</v>
          </cell>
        </row>
        <row r="23775">
          <cell r="E23775">
            <v>0</v>
          </cell>
          <cell r="F23775">
            <v>0</v>
          </cell>
          <cell r="DN23775">
            <v>0</v>
          </cell>
        </row>
        <row r="23776">
          <cell r="E23776">
            <v>0</v>
          </cell>
          <cell r="F23776">
            <v>0</v>
          </cell>
          <cell r="DN23776">
            <v>0</v>
          </cell>
        </row>
        <row r="23777">
          <cell r="E23777">
            <v>0</v>
          </cell>
          <cell r="F23777">
            <v>0</v>
          </cell>
          <cell r="DN23777">
            <v>0</v>
          </cell>
        </row>
        <row r="23778">
          <cell r="E23778">
            <v>0</v>
          </cell>
          <cell r="F23778">
            <v>0</v>
          </cell>
          <cell r="DN23778">
            <v>0</v>
          </cell>
        </row>
        <row r="23779">
          <cell r="E23779">
            <v>0</v>
          </cell>
          <cell r="F23779">
            <v>0</v>
          </cell>
          <cell r="DN23779">
            <v>0</v>
          </cell>
        </row>
        <row r="23780">
          <cell r="E23780">
            <v>0</v>
          </cell>
          <cell r="F23780">
            <v>0</v>
          </cell>
          <cell r="DN23780">
            <v>0</v>
          </cell>
        </row>
        <row r="23781">
          <cell r="E23781">
            <v>0</v>
          </cell>
          <cell r="F23781">
            <v>0</v>
          </cell>
          <cell r="DN23781">
            <v>0</v>
          </cell>
        </row>
        <row r="23782">
          <cell r="E23782">
            <v>0</v>
          </cell>
          <cell r="F23782">
            <v>0</v>
          </cell>
          <cell r="DN23782">
            <v>0</v>
          </cell>
        </row>
        <row r="23783">
          <cell r="E23783">
            <v>0</v>
          </cell>
          <cell r="F23783">
            <v>0</v>
          </cell>
          <cell r="DN23783">
            <v>0</v>
          </cell>
        </row>
        <row r="23784">
          <cell r="E23784">
            <v>0</v>
          </cell>
          <cell r="F23784">
            <v>0</v>
          </cell>
          <cell r="DN23784">
            <v>0</v>
          </cell>
        </row>
        <row r="23785">
          <cell r="E23785">
            <v>0</v>
          </cell>
          <cell r="F23785">
            <v>0</v>
          </cell>
          <cell r="DN23785">
            <v>0</v>
          </cell>
        </row>
        <row r="23786">
          <cell r="E23786">
            <v>0</v>
          </cell>
          <cell r="F23786">
            <v>0</v>
          </cell>
          <cell r="DN23786">
            <v>0</v>
          </cell>
        </row>
        <row r="23787">
          <cell r="E23787">
            <v>0</v>
          </cell>
          <cell r="F23787">
            <v>0</v>
          </cell>
          <cell r="DN23787">
            <v>0</v>
          </cell>
        </row>
        <row r="23788">
          <cell r="E23788">
            <v>0</v>
          </cell>
          <cell r="F23788">
            <v>0</v>
          </cell>
          <cell r="DN23788">
            <v>0</v>
          </cell>
        </row>
        <row r="23789">
          <cell r="E23789">
            <v>0</v>
          </cell>
          <cell r="F23789">
            <v>0</v>
          </cell>
          <cell r="DN23789">
            <v>0</v>
          </cell>
        </row>
        <row r="23790">
          <cell r="E23790">
            <v>0</v>
          </cell>
          <cell r="F23790">
            <v>0</v>
          </cell>
          <cell r="DN23790">
            <v>0</v>
          </cell>
        </row>
        <row r="23791">
          <cell r="E23791">
            <v>0</v>
          </cell>
          <cell r="F23791">
            <v>0</v>
          </cell>
          <cell r="DN23791">
            <v>0</v>
          </cell>
        </row>
        <row r="23792">
          <cell r="E23792">
            <v>0</v>
          </cell>
          <cell r="F23792">
            <v>0</v>
          </cell>
          <cell r="DN23792">
            <v>0</v>
          </cell>
        </row>
        <row r="23793">
          <cell r="E23793">
            <v>0</v>
          </cell>
          <cell r="F23793">
            <v>0</v>
          </cell>
          <cell r="DN23793">
            <v>0</v>
          </cell>
        </row>
        <row r="23794">
          <cell r="E23794">
            <v>0</v>
          </cell>
          <cell r="F23794">
            <v>0</v>
          </cell>
          <cell r="DN23794">
            <v>0</v>
          </cell>
        </row>
        <row r="23795">
          <cell r="E23795">
            <v>0</v>
          </cell>
          <cell r="F23795">
            <v>0</v>
          </cell>
          <cell r="DN23795">
            <v>0</v>
          </cell>
        </row>
        <row r="23796">
          <cell r="E23796">
            <v>0</v>
          </cell>
          <cell r="F23796">
            <v>0</v>
          </cell>
          <cell r="DN23796">
            <v>0</v>
          </cell>
        </row>
        <row r="23797">
          <cell r="E23797">
            <v>0</v>
          </cell>
          <cell r="F23797">
            <v>0</v>
          </cell>
          <cell r="DN23797">
            <v>0</v>
          </cell>
        </row>
        <row r="23798">
          <cell r="E23798">
            <v>0</v>
          </cell>
          <cell r="F23798">
            <v>0</v>
          </cell>
          <cell r="DN23798">
            <v>0</v>
          </cell>
        </row>
        <row r="23799">
          <cell r="E23799">
            <v>0</v>
          </cell>
          <cell r="F23799">
            <v>0</v>
          </cell>
          <cell r="DN23799">
            <v>0</v>
          </cell>
        </row>
        <row r="23800">
          <cell r="E23800">
            <v>0</v>
          </cell>
          <cell r="F23800">
            <v>0</v>
          </cell>
          <cell r="DN23800">
            <v>0</v>
          </cell>
        </row>
        <row r="23801">
          <cell r="E23801">
            <v>0</v>
          </cell>
          <cell r="F23801">
            <v>0</v>
          </cell>
          <cell r="DN23801">
            <v>0</v>
          </cell>
        </row>
        <row r="23802">
          <cell r="E23802">
            <v>0</v>
          </cell>
          <cell r="F23802">
            <v>0</v>
          </cell>
          <cell r="DN23802">
            <v>0</v>
          </cell>
        </row>
        <row r="23803">
          <cell r="E23803">
            <v>0</v>
          </cell>
          <cell r="F23803">
            <v>0</v>
          </cell>
          <cell r="DN23803">
            <v>0</v>
          </cell>
        </row>
        <row r="23804">
          <cell r="E23804">
            <v>0</v>
          </cell>
          <cell r="F23804">
            <v>0</v>
          </cell>
          <cell r="DN23804">
            <v>0</v>
          </cell>
        </row>
        <row r="23805">
          <cell r="E23805">
            <v>0</v>
          </cell>
          <cell r="F23805">
            <v>0</v>
          </cell>
          <cell r="DN23805">
            <v>0</v>
          </cell>
        </row>
        <row r="23806">
          <cell r="E23806">
            <v>0</v>
          </cell>
          <cell r="F23806">
            <v>0</v>
          </cell>
          <cell r="DN23806">
            <v>0</v>
          </cell>
        </row>
        <row r="23807">
          <cell r="E23807">
            <v>0</v>
          </cell>
          <cell r="F23807">
            <v>0</v>
          </cell>
          <cell r="DN23807">
            <v>0</v>
          </cell>
        </row>
        <row r="23808">
          <cell r="E23808">
            <v>0</v>
          </cell>
          <cell r="F23808">
            <v>0</v>
          </cell>
          <cell r="DN23808">
            <v>0</v>
          </cell>
        </row>
        <row r="23809">
          <cell r="E23809">
            <v>0</v>
          </cell>
          <cell r="F23809">
            <v>0</v>
          </cell>
          <cell r="DN23809">
            <v>0</v>
          </cell>
        </row>
        <row r="23810">
          <cell r="E23810">
            <v>0</v>
          </cell>
          <cell r="F23810">
            <v>0</v>
          </cell>
          <cell r="DN23810">
            <v>0</v>
          </cell>
        </row>
        <row r="23811">
          <cell r="E23811">
            <v>0</v>
          </cell>
          <cell r="F23811">
            <v>0</v>
          </cell>
          <cell r="DN23811">
            <v>0</v>
          </cell>
        </row>
        <row r="23812">
          <cell r="E23812">
            <v>0</v>
          </cell>
          <cell r="F23812">
            <v>0</v>
          </cell>
          <cell r="DN23812">
            <v>0</v>
          </cell>
        </row>
        <row r="23813">
          <cell r="E23813">
            <v>0</v>
          </cell>
          <cell r="F23813">
            <v>0</v>
          </cell>
          <cell r="DN23813">
            <v>0</v>
          </cell>
        </row>
        <row r="23814">
          <cell r="E23814">
            <v>0</v>
          </cell>
          <cell r="F23814">
            <v>0</v>
          </cell>
          <cell r="DN23814">
            <v>0</v>
          </cell>
        </row>
        <row r="23815">
          <cell r="E23815">
            <v>0</v>
          </cell>
          <cell r="F23815">
            <v>0</v>
          </cell>
          <cell r="DN23815">
            <v>0</v>
          </cell>
        </row>
        <row r="23816">
          <cell r="E23816">
            <v>0</v>
          </cell>
          <cell r="F23816">
            <v>0</v>
          </cell>
          <cell r="DN23816">
            <v>0</v>
          </cell>
        </row>
        <row r="23817">
          <cell r="E23817">
            <v>0</v>
          </cell>
          <cell r="F23817">
            <v>0</v>
          </cell>
          <cell r="DN23817">
            <v>0</v>
          </cell>
        </row>
        <row r="23818">
          <cell r="E23818">
            <v>0</v>
          </cell>
          <cell r="F23818">
            <v>0</v>
          </cell>
          <cell r="DN23818">
            <v>0</v>
          </cell>
        </row>
        <row r="23819">
          <cell r="E23819">
            <v>0</v>
          </cell>
          <cell r="F23819">
            <v>0</v>
          </cell>
          <cell r="DN23819">
            <v>0</v>
          </cell>
        </row>
        <row r="23820">
          <cell r="E23820">
            <v>0</v>
          </cell>
          <cell r="F23820">
            <v>0</v>
          </cell>
          <cell r="DN23820">
            <v>0</v>
          </cell>
        </row>
        <row r="23821">
          <cell r="E23821">
            <v>0</v>
          </cell>
          <cell r="F23821">
            <v>0</v>
          </cell>
          <cell r="DN23821">
            <v>0</v>
          </cell>
        </row>
        <row r="23822">
          <cell r="E23822">
            <v>0</v>
          </cell>
          <cell r="F23822">
            <v>0</v>
          </cell>
          <cell r="DN23822">
            <v>0</v>
          </cell>
        </row>
        <row r="23823">
          <cell r="E23823">
            <v>0</v>
          </cell>
          <cell r="F23823">
            <v>0</v>
          </cell>
          <cell r="DN23823">
            <v>0</v>
          </cell>
        </row>
        <row r="23824">
          <cell r="E23824">
            <v>0</v>
          </cell>
          <cell r="F23824">
            <v>0</v>
          </cell>
          <cell r="DN23824">
            <v>0</v>
          </cell>
        </row>
        <row r="23825">
          <cell r="E23825">
            <v>0</v>
          </cell>
          <cell r="F23825">
            <v>0</v>
          </cell>
          <cell r="DN23825">
            <v>0</v>
          </cell>
        </row>
        <row r="23826">
          <cell r="E23826">
            <v>0</v>
          </cell>
          <cell r="F23826">
            <v>0</v>
          </cell>
          <cell r="DN23826">
            <v>0</v>
          </cell>
        </row>
        <row r="23827">
          <cell r="E23827">
            <v>0</v>
          </cell>
          <cell r="F23827">
            <v>0</v>
          </cell>
          <cell r="DN23827">
            <v>0</v>
          </cell>
        </row>
        <row r="23828">
          <cell r="E23828">
            <v>0</v>
          </cell>
          <cell r="F23828">
            <v>0</v>
          </cell>
          <cell r="DN23828">
            <v>0</v>
          </cell>
        </row>
        <row r="23829">
          <cell r="E23829">
            <v>0</v>
          </cell>
          <cell r="F23829">
            <v>0</v>
          </cell>
          <cell r="DN23829">
            <v>0</v>
          </cell>
        </row>
        <row r="23830">
          <cell r="E23830">
            <v>0</v>
          </cell>
          <cell r="F23830">
            <v>0</v>
          </cell>
          <cell r="DN23830">
            <v>0</v>
          </cell>
        </row>
        <row r="23831">
          <cell r="E23831">
            <v>0</v>
          </cell>
          <cell r="F23831">
            <v>0</v>
          </cell>
          <cell r="DN23831">
            <v>0</v>
          </cell>
        </row>
        <row r="23832">
          <cell r="E23832">
            <v>0</v>
          </cell>
          <cell r="F23832">
            <v>0</v>
          </cell>
          <cell r="DN23832">
            <v>0</v>
          </cell>
        </row>
        <row r="23833">
          <cell r="E23833">
            <v>0</v>
          </cell>
          <cell r="F23833">
            <v>0</v>
          </cell>
          <cell r="DN23833">
            <v>0</v>
          </cell>
        </row>
        <row r="23834">
          <cell r="E23834">
            <v>0</v>
          </cell>
          <cell r="F23834">
            <v>0</v>
          </cell>
          <cell r="DN23834">
            <v>0</v>
          </cell>
        </row>
        <row r="23835">
          <cell r="E23835">
            <v>0</v>
          </cell>
          <cell r="F23835">
            <v>0</v>
          </cell>
          <cell r="DN23835">
            <v>0</v>
          </cell>
        </row>
        <row r="23836">
          <cell r="E23836">
            <v>0</v>
          </cell>
          <cell r="F23836">
            <v>0</v>
          </cell>
          <cell r="DN23836">
            <v>0</v>
          </cell>
        </row>
        <row r="23837">
          <cell r="E23837">
            <v>0</v>
          </cell>
          <cell r="F23837">
            <v>0</v>
          </cell>
          <cell r="DN23837">
            <v>0</v>
          </cell>
        </row>
        <row r="23838">
          <cell r="E23838">
            <v>0</v>
          </cell>
          <cell r="F23838">
            <v>0</v>
          </cell>
          <cell r="DN23838">
            <v>0</v>
          </cell>
        </row>
        <row r="23839">
          <cell r="E23839">
            <v>0</v>
          </cell>
          <cell r="F23839">
            <v>0</v>
          </cell>
          <cell r="DN23839">
            <v>0</v>
          </cell>
        </row>
        <row r="23840">
          <cell r="E23840">
            <v>0</v>
          </cell>
          <cell r="F23840">
            <v>0</v>
          </cell>
          <cell r="DN23840">
            <v>0</v>
          </cell>
        </row>
        <row r="23841">
          <cell r="E23841">
            <v>0</v>
          </cell>
          <cell r="F23841">
            <v>0</v>
          </cell>
          <cell r="DN23841">
            <v>0</v>
          </cell>
        </row>
        <row r="23842">
          <cell r="E23842">
            <v>0</v>
          </cell>
          <cell r="F23842">
            <v>0</v>
          </cell>
          <cell r="DN23842">
            <v>0</v>
          </cell>
        </row>
        <row r="23843">
          <cell r="E23843">
            <v>0</v>
          </cell>
          <cell r="F23843">
            <v>0</v>
          </cell>
          <cell r="DN23843">
            <v>0</v>
          </cell>
        </row>
        <row r="23844">
          <cell r="E23844">
            <v>0</v>
          </cell>
          <cell r="F23844">
            <v>0</v>
          </cell>
          <cell r="DN23844">
            <v>0</v>
          </cell>
        </row>
        <row r="23845">
          <cell r="E23845">
            <v>0</v>
          </cell>
          <cell r="F23845">
            <v>0</v>
          </cell>
          <cell r="DN23845">
            <v>0</v>
          </cell>
        </row>
        <row r="23846">
          <cell r="E23846">
            <v>0</v>
          </cell>
          <cell r="F23846">
            <v>0</v>
          </cell>
          <cell r="DN23846">
            <v>0</v>
          </cell>
        </row>
        <row r="23847">
          <cell r="E23847">
            <v>0</v>
          </cell>
          <cell r="F23847">
            <v>0</v>
          </cell>
          <cell r="DN23847">
            <v>0</v>
          </cell>
        </row>
        <row r="23848">
          <cell r="E23848">
            <v>0</v>
          </cell>
          <cell r="F23848">
            <v>0</v>
          </cell>
          <cell r="DN23848">
            <v>0</v>
          </cell>
        </row>
        <row r="23849">
          <cell r="E23849">
            <v>0</v>
          </cell>
          <cell r="F23849">
            <v>0</v>
          </cell>
          <cell r="DN23849">
            <v>0</v>
          </cell>
        </row>
        <row r="23850">
          <cell r="E23850">
            <v>0</v>
          </cell>
          <cell r="F23850">
            <v>0</v>
          </cell>
          <cell r="DN23850">
            <v>0</v>
          </cell>
        </row>
        <row r="23851">
          <cell r="E23851">
            <v>0</v>
          </cell>
          <cell r="F23851">
            <v>0</v>
          </cell>
          <cell r="DN23851">
            <v>0</v>
          </cell>
        </row>
        <row r="23852">
          <cell r="E23852">
            <v>0</v>
          </cell>
          <cell r="F23852">
            <v>0</v>
          </cell>
          <cell r="DN23852">
            <v>0</v>
          </cell>
        </row>
        <row r="23853">
          <cell r="E23853">
            <v>0</v>
          </cell>
          <cell r="F23853">
            <v>0</v>
          </cell>
          <cell r="DN23853">
            <v>0</v>
          </cell>
        </row>
        <row r="23854">
          <cell r="E23854">
            <v>0</v>
          </cell>
          <cell r="F23854">
            <v>0</v>
          </cell>
          <cell r="DN23854">
            <v>0</v>
          </cell>
        </row>
        <row r="23855">
          <cell r="E23855">
            <v>0</v>
          </cell>
          <cell r="F23855">
            <v>0</v>
          </cell>
          <cell r="DN23855">
            <v>0</v>
          </cell>
        </row>
        <row r="23856">
          <cell r="E23856">
            <v>0</v>
          </cell>
          <cell r="F23856">
            <v>0</v>
          </cell>
          <cell r="DN23856">
            <v>0</v>
          </cell>
        </row>
        <row r="23857">
          <cell r="E23857">
            <v>0</v>
          </cell>
          <cell r="F23857">
            <v>0</v>
          </cell>
          <cell r="DN23857">
            <v>0</v>
          </cell>
        </row>
        <row r="23858">
          <cell r="E23858">
            <v>0</v>
          </cell>
          <cell r="F23858">
            <v>0</v>
          </cell>
          <cell r="DN23858">
            <v>0</v>
          </cell>
        </row>
        <row r="23859">
          <cell r="E23859">
            <v>0</v>
          </cell>
          <cell r="F23859">
            <v>0</v>
          </cell>
          <cell r="DN23859">
            <v>0</v>
          </cell>
        </row>
        <row r="23860">
          <cell r="E23860">
            <v>0</v>
          </cell>
          <cell r="F23860">
            <v>0</v>
          </cell>
          <cell r="DN23860">
            <v>0</v>
          </cell>
        </row>
        <row r="23861">
          <cell r="E23861">
            <v>0</v>
          </cell>
          <cell r="F23861">
            <v>0</v>
          </cell>
          <cell r="DN23861">
            <v>0</v>
          </cell>
        </row>
        <row r="23862">
          <cell r="E23862">
            <v>0</v>
          </cell>
          <cell r="F23862">
            <v>0</v>
          </cell>
          <cell r="DN23862">
            <v>0</v>
          </cell>
        </row>
        <row r="23863">
          <cell r="E23863">
            <v>0</v>
          </cell>
          <cell r="F23863">
            <v>0</v>
          </cell>
          <cell r="DN23863">
            <v>0</v>
          </cell>
        </row>
        <row r="23864">
          <cell r="E23864">
            <v>0</v>
          </cell>
          <cell r="F23864">
            <v>0</v>
          </cell>
          <cell r="DN23864">
            <v>0</v>
          </cell>
        </row>
        <row r="23865">
          <cell r="E23865">
            <v>0</v>
          </cell>
          <cell r="F23865">
            <v>0</v>
          </cell>
          <cell r="DN23865">
            <v>0</v>
          </cell>
        </row>
        <row r="23866">
          <cell r="E23866">
            <v>0</v>
          </cell>
          <cell r="F23866">
            <v>0</v>
          </cell>
          <cell r="DN23866">
            <v>0</v>
          </cell>
        </row>
        <row r="23867">
          <cell r="E23867">
            <v>0</v>
          </cell>
          <cell r="F23867">
            <v>0</v>
          </cell>
          <cell r="DN23867">
            <v>0</v>
          </cell>
        </row>
        <row r="23868">
          <cell r="E23868">
            <v>0</v>
          </cell>
          <cell r="F23868">
            <v>0</v>
          </cell>
          <cell r="DN23868">
            <v>0</v>
          </cell>
        </row>
        <row r="23869">
          <cell r="E23869">
            <v>0</v>
          </cell>
          <cell r="F23869">
            <v>0</v>
          </cell>
          <cell r="DN23869">
            <v>0</v>
          </cell>
        </row>
        <row r="23870">
          <cell r="E23870">
            <v>0</v>
          </cell>
          <cell r="F23870">
            <v>0</v>
          </cell>
          <cell r="DN23870">
            <v>0</v>
          </cell>
        </row>
        <row r="23871">
          <cell r="E23871">
            <v>0</v>
          </cell>
          <cell r="F23871">
            <v>0</v>
          </cell>
          <cell r="DN23871">
            <v>0</v>
          </cell>
        </row>
        <row r="23872">
          <cell r="E23872">
            <v>0</v>
          </cell>
          <cell r="F23872">
            <v>0</v>
          </cell>
          <cell r="DN23872">
            <v>0</v>
          </cell>
        </row>
        <row r="23873">
          <cell r="E23873">
            <v>0</v>
          </cell>
          <cell r="F23873">
            <v>0</v>
          </cell>
          <cell r="DN23873">
            <v>0</v>
          </cell>
        </row>
        <row r="23874">
          <cell r="E23874">
            <v>0</v>
          </cell>
          <cell r="F23874">
            <v>0</v>
          </cell>
          <cell r="DN23874">
            <v>0</v>
          </cell>
        </row>
        <row r="23875">
          <cell r="E23875">
            <v>0</v>
          </cell>
          <cell r="F23875">
            <v>0</v>
          </cell>
          <cell r="DN23875">
            <v>0</v>
          </cell>
        </row>
        <row r="23876">
          <cell r="E23876">
            <v>0</v>
          </cell>
          <cell r="F23876">
            <v>0</v>
          </cell>
          <cell r="DN23876">
            <v>0</v>
          </cell>
        </row>
        <row r="23877">
          <cell r="E23877">
            <v>0</v>
          </cell>
          <cell r="F23877">
            <v>0</v>
          </cell>
          <cell r="DN23877">
            <v>0</v>
          </cell>
        </row>
        <row r="23878">
          <cell r="E23878">
            <v>0</v>
          </cell>
          <cell r="F23878">
            <v>0</v>
          </cell>
          <cell r="DN23878">
            <v>0</v>
          </cell>
        </row>
        <row r="23879">
          <cell r="E23879">
            <v>0</v>
          </cell>
          <cell r="F23879">
            <v>0</v>
          </cell>
          <cell r="DN23879">
            <v>0</v>
          </cell>
        </row>
        <row r="23880">
          <cell r="E23880">
            <v>0</v>
          </cell>
          <cell r="F23880">
            <v>0</v>
          </cell>
          <cell r="DN23880">
            <v>0</v>
          </cell>
        </row>
        <row r="23881">
          <cell r="E23881">
            <v>0</v>
          </cell>
          <cell r="F23881">
            <v>0</v>
          </cell>
          <cell r="DN23881">
            <v>0</v>
          </cell>
        </row>
        <row r="23882">
          <cell r="E23882">
            <v>0</v>
          </cell>
          <cell r="F23882">
            <v>0</v>
          </cell>
          <cell r="DN23882">
            <v>0</v>
          </cell>
        </row>
        <row r="23883">
          <cell r="E23883">
            <v>0</v>
          </cell>
          <cell r="F23883">
            <v>0</v>
          </cell>
          <cell r="DN23883">
            <v>0</v>
          </cell>
        </row>
        <row r="23884">
          <cell r="E23884">
            <v>0</v>
          </cell>
          <cell r="F23884">
            <v>0</v>
          </cell>
          <cell r="DN23884">
            <v>0</v>
          </cell>
        </row>
        <row r="23885">
          <cell r="E23885">
            <v>0</v>
          </cell>
          <cell r="F23885">
            <v>0</v>
          </cell>
          <cell r="DN23885">
            <v>0</v>
          </cell>
        </row>
        <row r="23886">
          <cell r="E23886">
            <v>0</v>
          </cell>
          <cell r="F23886">
            <v>0</v>
          </cell>
          <cell r="DN23886">
            <v>0</v>
          </cell>
        </row>
        <row r="23887">
          <cell r="E23887">
            <v>0</v>
          </cell>
          <cell r="F23887">
            <v>0</v>
          </cell>
          <cell r="DN23887">
            <v>0</v>
          </cell>
        </row>
        <row r="23888">
          <cell r="E23888">
            <v>0</v>
          </cell>
          <cell r="F23888">
            <v>0</v>
          </cell>
          <cell r="DN23888">
            <v>0</v>
          </cell>
        </row>
        <row r="23889">
          <cell r="E23889">
            <v>0</v>
          </cell>
          <cell r="F23889">
            <v>0</v>
          </cell>
          <cell r="DN23889">
            <v>0</v>
          </cell>
        </row>
        <row r="23890">
          <cell r="E23890">
            <v>0</v>
          </cell>
          <cell r="F23890">
            <v>0</v>
          </cell>
          <cell r="DN23890">
            <v>0</v>
          </cell>
        </row>
        <row r="23891">
          <cell r="E23891">
            <v>0</v>
          </cell>
          <cell r="F23891">
            <v>0</v>
          </cell>
          <cell r="DN23891">
            <v>0</v>
          </cell>
        </row>
        <row r="23892">
          <cell r="E23892">
            <v>0</v>
          </cell>
          <cell r="F23892">
            <v>0</v>
          </cell>
          <cell r="DN23892">
            <v>0</v>
          </cell>
        </row>
        <row r="23893">
          <cell r="E23893">
            <v>0</v>
          </cell>
          <cell r="F23893">
            <v>0</v>
          </cell>
          <cell r="DN23893">
            <v>0</v>
          </cell>
        </row>
        <row r="23894">
          <cell r="E23894">
            <v>0</v>
          </cell>
          <cell r="F23894">
            <v>0</v>
          </cell>
          <cell r="DN23894">
            <v>0</v>
          </cell>
        </row>
        <row r="23895">
          <cell r="E23895">
            <v>0</v>
          </cell>
          <cell r="F23895">
            <v>0</v>
          </cell>
          <cell r="DN23895">
            <v>0</v>
          </cell>
        </row>
        <row r="23896">
          <cell r="E23896">
            <v>0</v>
          </cell>
          <cell r="F23896">
            <v>0</v>
          </cell>
          <cell r="DN23896">
            <v>0</v>
          </cell>
        </row>
        <row r="23897">
          <cell r="E23897">
            <v>0</v>
          </cell>
          <cell r="F23897">
            <v>0</v>
          </cell>
          <cell r="DN23897">
            <v>0</v>
          </cell>
        </row>
        <row r="23898">
          <cell r="E23898">
            <v>0</v>
          </cell>
          <cell r="F23898">
            <v>0</v>
          </cell>
          <cell r="DN23898">
            <v>0</v>
          </cell>
        </row>
        <row r="23899">
          <cell r="E23899">
            <v>0</v>
          </cell>
          <cell r="F23899">
            <v>0</v>
          </cell>
          <cell r="DN23899">
            <v>0</v>
          </cell>
        </row>
        <row r="23900">
          <cell r="E23900">
            <v>0</v>
          </cell>
          <cell r="F23900">
            <v>0</v>
          </cell>
          <cell r="DN23900">
            <v>0</v>
          </cell>
        </row>
        <row r="23901">
          <cell r="E23901">
            <v>0</v>
          </cell>
          <cell r="F23901">
            <v>0</v>
          </cell>
          <cell r="DN23901">
            <v>0</v>
          </cell>
        </row>
        <row r="23902">
          <cell r="E23902">
            <v>0</v>
          </cell>
          <cell r="F23902">
            <v>0</v>
          </cell>
          <cell r="DN23902">
            <v>0</v>
          </cell>
        </row>
        <row r="23903">
          <cell r="E23903">
            <v>0</v>
          </cell>
          <cell r="F23903">
            <v>0</v>
          </cell>
          <cell r="DN23903">
            <v>0</v>
          </cell>
        </row>
        <row r="23904">
          <cell r="E23904">
            <v>0</v>
          </cell>
          <cell r="F23904">
            <v>0</v>
          </cell>
          <cell r="DN23904">
            <v>0</v>
          </cell>
        </row>
        <row r="23905">
          <cell r="E23905">
            <v>0</v>
          </cell>
          <cell r="F23905">
            <v>0</v>
          </cell>
          <cell r="DN23905">
            <v>0</v>
          </cell>
        </row>
        <row r="23906">
          <cell r="E23906">
            <v>0</v>
          </cell>
          <cell r="F23906">
            <v>0</v>
          </cell>
          <cell r="DN23906">
            <v>0</v>
          </cell>
        </row>
        <row r="23907">
          <cell r="E23907">
            <v>0</v>
          </cell>
          <cell r="F23907">
            <v>0</v>
          </cell>
          <cell r="DN23907">
            <v>0</v>
          </cell>
        </row>
        <row r="23908">
          <cell r="E23908">
            <v>0</v>
          </cell>
          <cell r="F23908">
            <v>0</v>
          </cell>
          <cell r="DN23908">
            <v>0</v>
          </cell>
        </row>
        <row r="23909">
          <cell r="E23909">
            <v>0</v>
          </cell>
          <cell r="F23909">
            <v>0</v>
          </cell>
          <cell r="DN23909">
            <v>0</v>
          </cell>
        </row>
        <row r="23910">
          <cell r="E23910">
            <v>0</v>
          </cell>
          <cell r="F23910">
            <v>0</v>
          </cell>
          <cell r="DN23910">
            <v>0</v>
          </cell>
        </row>
        <row r="23911">
          <cell r="E23911">
            <v>0</v>
          </cell>
          <cell r="F23911">
            <v>0</v>
          </cell>
          <cell r="DN23911">
            <v>0</v>
          </cell>
        </row>
        <row r="23912">
          <cell r="E23912">
            <v>0</v>
          </cell>
          <cell r="F23912">
            <v>0</v>
          </cell>
          <cell r="DN23912">
            <v>0</v>
          </cell>
        </row>
        <row r="23913">
          <cell r="E23913">
            <v>0</v>
          </cell>
          <cell r="F23913">
            <v>0</v>
          </cell>
          <cell r="DN23913">
            <v>0</v>
          </cell>
        </row>
        <row r="23914">
          <cell r="E23914">
            <v>0</v>
          </cell>
          <cell r="F23914">
            <v>0</v>
          </cell>
          <cell r="DN23914">
            <v>0</v>
          </cell>
        </row>
        <row r="23915">
          <cell r="E23915">
            <v>0</v>
          </cell>
          <cell r="F23915">
            <v>0</v>
          </cell>
          <cell r="DN23915">
            <v>0</v>
          </cell>
        </row>
        <row r="23916">
          <cell r="E23916">
            <v>0</v>
          </cell>
          <cell r="F23916">
            <v>0</v>
          </cell>
          <cell r="DN23916">
            <v>0</v>
          </cell>
        </row>
        <row r="23917">
          <cell r="E23917">
            <v>0</v>
          </cell>
          <cell r="F23917">
            <v>0</v>
          </cell>
          <cell r="DN23917">
            <v>0</v>
          </cell>
        </row>
        <row r="23918">
          <cell r="E23918">
            <v>0</v>
          </cell>
          <cell r="F23918">
            <v>0</v>
          </cell>
          <cell r="DN23918">
            <v>0</v>
          </cell>
        </row>
        <row r="23919">
          <cell r="E23919">
            <v>0</v>
          </cell>
          <cell r="F23919">
            <v>0</v>
          </cell>
          <cell r="DN23919">
            <v>0</v>
          </cell>
        </row>
        <row r="23920">
          <cell r="E23920">
            <v>0</v>
          </cell>
          <cell r="F23920">
            <v>0</v>
          </cell>
          <cell r="DN23920">
            <v>0</v>
          </cell>
        </row>
        <row r="23921">
          <cell r="E23921">
            <v>0</v>
          </cell>
          <cell r="F23921">
            <v>0</v>
          </cell>
          <cell r="DN23921">
            <v>0</v>
          </cell>
        </row>
        <row r="23922">
          <cell r="E23922">
            <v>0</v>
          </cell>
          <cell r="F23922">
            <v>0</v>
          </cell>
          <cell r="DN23922">
            <v>0</v>
          </cell>
        </row>
        <row r="23923">
          <cell r="E23923">
            <v>0</v>
          </cell>
          <cell r="F23923">
            <v>0</v>
          </cell>
          <cell r="DN23923">
            <v>0</v>
          </cell>
        </row>
        <row r="23924">
          <cell r="E23924">
            <v>0</v>
          </cell>
          <cell r="F23924">
            <v>0</v>
          </cell>
          <cell r="DN23924">
            <v>0</v>
          </cell>
        </row>
        <row r="23925">
          <cell r="E23925">
            <v>0</v>
          </cell>
          <cell r="F23925">
            <v>0</v>
          </cell>
          <cell r="DN23925">
            <v>0</v>
          </cell>
        </row>
        <row r="23926">
          <cell r="E23926">
            <v>0</v>
          </cell>
          <cell r="F23926">
            <v>0</v>
          </cell>
          <cell r="DN23926">
            <v>0</v>
          </cell>
        </row>
        <row r="23927">
          <cell r="E23927">
            <v>0</v>
          </cell>
          <cell r="F23927">
            <v>0</v>
          </cell>
          <cell r="DN23927">
            <v>0</v>
          </cell>
        </row>
        <row r="23928">
          <cell r="E23928">
            <v>0</v>
          </cell>
          <cell r="F23928">
            <v>0</v>
          </cell>
          <cell r="DN23928">
            <v>0</v>
          </cell>
        </row>
        <row r="23929">
          <cell r="E23929">
            <v>0</v>
          </cell>
          <cell r="F23929">
            <v>0</v>
          </cell>
          <cell r="DN23929">
            <v>0</v>
          </cell>
        </row>
        <row r="23930">
          <cell r="E23930">
            <v>0</v>
          </cell>
          <cell r="F23930">
            <v>0</v>
          </cell>
          <cell r="DN23930">
            <v>0</v>
          </cell>
        </row>
        <row r="23931">
          <cell r="E23931">
            <v>0</v>
          </cell>
          <cell r="F23931">
            <v>0</v>
          </cell>
          <cell r="DN23931">
            <v>0</v>
          </cell>
        </row>
        <row r="23932">
          <cell r="E23932">
            <v>0</v>
          </cell>
          <cell r="F23932">
            <v>0</v>
          </cell>
          <cell r="DN23932">
            <v>0</v>
          </cell>
        </row>
        <row r="23933">
          <cell r="E23933">
            <v>0</v>
          </cell>
          <cell r="F23933">
            <v>0</v>
          </cell>
          <cell r="DN23933">
            <v>0</v>
          </cell>
        </row>
        <row r="23934">
          <cell r="E23934">
            <v>0</v>
          </cell>
          <cell r="F23934">
            <v>0</v>
          </cell>
          <cell r="DN23934">
            <v>0</v>
          </cell>
        </row>
        <row r="23935">
          <cell r="E23935">
            <v>0</v>
          </cell>
          <cell r="F23935">
            <v>0</v>
          </cell>
          <cell r="DN23935">
            <v>0</v>
          </cell>
        </row>
        <row r="23936">
          <cell r="E23936">
            <v>0</v>
          </cell>
          <cell r="F23936">
            <v>0</v>
          </cell>
          <cell r="DN23936">
            <v>0</v>
          </cell>
        </row>
        <row r="23937">
          <cell r="E23937">
            <v>0</v>
          </cell>
          <cell r="F23937">
            <v>0</v>
          </cell>
          <cell r="DN23937">
            <v>0</v>
          </cell>
        </row>
        <row r="23938">
          <cell r="E23938">
            <v>0</v>
          </cell>
          <cell r="F23938">
            <v>0</v>
          </cell>
          <cell r="DN23938">
            <v>0</v>
          </cell>
        </row>
        <row r="23939">
          <cell r="E23939">
            <v>0</v>
          </cell>
          <cell r="F23939">
            <v>0</v>
          </cell>
          <cell r="DN23939">
            <v>0</v>
          </cell>
        </row>
        <row r="23940">
          <cell r="E23940">
            <v>0</v>
          </cell>
          <cell r="F23940">
            <v>0</v>
          </cell>
          <cell r="DN23940">
            <v>0</v>
          </cell>
        </row>
        <row r="23941">
          <cell r="E23941">
            <v>0</v>
          </cell>
          <cell r="F23941">
            <v>0</v>
          </cell>
          <cell r="DN23941">
            <v>0</v>
          </cell>
        </row>
        <row r="23942">
          <cell r="E23942">
            <v>0</v>
          </cell>
          <cell r="F23942">
            <v>0</v>
          </cell>
          <cell r="DN23942">
            <v>0</v>
          </cell>
        </row>
        <row r="23943">
          <cell r="E23943">
            <v>0</v>
          </cell>
          <cell r="F23943">
            <v>0</v>
          </cell>
          <cell r="DN23943">
            <v>0</v>
          </cell>
        </row>
        <row r="23944">
          <cell r="E23944">
            <v>0</v>
          </cell>
          <cell r="F23944">
            <v>0</v>
          </cell>
          <cell r="DN23944">
            <v>0</v>
          </cell>
        </row>
        <row r="23945">
          <cell r="E23945">
            <v>0</v>
          </cell>
          <cell r="F23945">
            <v>0</v>
          </cell>
          <cell r="DN23945">
            <v>0</v>
          </cell>
        </row>
        <row r="23946">
          <cell r="E23946">
            <v>0</v>
          </cell>
          <cell r="F23946">
            <v>0</v>
          </cell>
          <cell r="DN23946">
            <v>0</v>
          </cell>
        </row>
        <row r="23947">
          <cell r="E23947">
            <v>0</v>
          </cell>
          <cell r="F23947">
            <v>0</v>
          </cell>
          <cell r="DN23947">
            <v>0</v>
          </cell>
        </row>
        <row r="23948">
          <cell r="E23948">
            <v>0</v>
          </cell>
          <cell r="F23948">
            <v>0</v>
          </cell>
          <cell r="DN23948">
            <v>0</v>
          </cell>
        </row>
        <row r="23949">
          <cell r="E23949">
            <v>0</v>
          </cell>
          <cell r="F23949">
            <v>0</v>
          </cell>
          <cell r="DN23949">
            <v>0</v>
          </cell>
        </row>
        <row r="23950">
          <cell r="E23950">
            <v>0</v>
          </cell>
          <cell r="F23950">
            <v>0</v>
          </cell>
          <cell r="DN23950">
            <v>0</v>
          </cell>
        </row>
        <row r="23951">
          <cell r="E23951">
            <v>0</v>
          </cell>
          <cell r="F23951">
            <v>0</v>
          </cell>
          <cell r="DN23951">
            <v>0</v>
          </cell>
        </row>
        <row r="23952">
          <cell r="E23952">
            <v>0</v>
          </cell>
          <cell r="F23952">
            <v>0</v>
          </cell>
          <cell r="DN23952">
            <v>0</v>
          </cell>
        </row>
        <row r="23953">
          <cell r="E23953">
            <v>0</v>
          </cell>
          <cell r="F23953">
            <v>0</v>
          </cell>
          <cell r="DN23953">
            <v>0</v>
          </cell>
        </row>
        <row r="23954">
          <cell r="E23954">
            <v>0</v>
          </cell>
          <cell r="F23954">
            <v>0</v>
          </cell>
          <cell r="DN23954">
            <v>0</v>
          </cell>
        </row>
        <row r="23955">
          <cell r="E23955">
            <v>0</v>
          </cell>
          <cell r="F23955">
            <v>0</v>
          </cell>
          <cell r="DN23955">
            <v>0</v>
          </cell>
        </row>
        <row r="23956">
          <cell r="E23956">
            <v>0</v>
          </cell>
          <cell r="F23956">
            <v>0</v>
          </cell>
          <cell r="DN23956">
            <v>0</v>
          </cell>
        </row>
        <row r="23957">
          <cell r="E23957">
            <v>0</v>
          </cell>
          <cell r="F23957">
            <v>0</v>
          </cell>
          <cell r="DN23957">
            <v>0</v>
          </cell>
        </row>
        <row r="23958">
          <cell r="E23958">
            <v>0</v>
          </cell>
          <cell r="F23958">
            <v>0</v>
          </cell>
          <cell r="DN23958">
            <v>0</v>
          </cell>
        </row>
        <row r="23959">
          <cell r="E23959">
            <v>0</v>
          </cell>
          <cell r="F23959">
            <v>0</v>
          </cell>
          <cell r="DN23959">
            <v>0</v>
          </cell>
        </row>
        <row r="23960">
          <cell r="E23960">
            <v>0</v>
          </cell>
          <cell r="F23960">
            <v>0</v>
          </cell>
          <cell r="DN23960">
            <v>0</v>
          </cell>
        </row>
        <row r="23961">
          <cell r="E23961">
            <v>0</v>
          </cell>
          <cell r="F23961">
            <v>0</v>
          </cell>
          <cell r="DN23961">
            <v>0</v>
          </cell>
        </row>
        <row r="23962">
          <cell r="E23962">
            <v>0</v>
          </cell>
          <cell r="F23962">
            <v>0</v>
          </cell>
          <cell r="DN23962">
            <v>0</v>
          </cell>
        </row>
        <row r="23963">
          <cell r="E23963">
            <v>0</v>
          </cell>
          <cell r="F23963">
            <v>0</v>
          </cell>
          <cell r="DN23963">
            <v>0</v>
          </cell>
        </row>
        <row r="23964">
          <cell r="E23964">
            <v>0</v>
          </cell>
          <cell r="F23964">
            <v>0</v>
          </cell>
          <cell r="DN23964">
            <v>0</v>
          </cell>
        </row>
        <row r="23965">
          <cell r="E23965">
            <v>0</v>
          </cell>
          <cell r="F23965">
            <v>0</v>
          </cell>
          <cell r="DN23965">
            <v>0</v>
          </cell>
        </row>
        <row r="23966">
          <cell r="E23966">
            <v>0</v>
          </cell>
          <cell r="F23966">
            <v>0</v>
          </cell>
          <cell r="DN23966">
            <v>0</v>
          </cell>
        </row>
        <row r="23967">
          <cell r="E23967">
            <v>0</v>
          </cell>
          <cell r="F23967">
            <v>0</v>
          </cell>
          <cell r="DN23967">
            <v>0</v>
          </cell>
        </row>
        <row r="23968">
          <cell r="E23968">
            <v>0</v>
          </cell>
          <cell r="F23968">
            <v>0</v>
          </cell>
          <cell r="DN23968">
            <v>0</v>
          </cell>
        </row>
        <row r="23969">
          <cell r="E23969">
            <v>0</v>
          </cell>
          <cell r="F23969">
            <v>0</v>
          </cell>
          <cell r="DN23969">
            <v>0</v>
          </cell>
        </row>
        <row r="23970">
          <cell r="E23970">
            <v>0</v>
          </cell>
          <cell r="F23970">
            <v>0</v>
          </cell>
          <cell r="DN23970">
            <v>0</v>
          </cell>
        </row>
        <row r="23971">
          <cell r="E23971">
            <v>0</v>
          </cell>
          <cell r="F23971">
            <v>0</v>
          </cell>
          <cell r="DN23971">
            <v>0</v>
          </cell>
        </row>
        <row r="23972">
          <cell r="E23972">
            <v>0</v>
          </cell>
          <cell r="F23972">
            <v>0</v>
          </cell>
          <cell r="DN23972">
            <v>0</v>
          </cell>
        </row>
        <row r="23973">
          <cell r="E23973">
            <v>0</v>
          </cell>
          <cell r="F23973">
            <v>0</v>
          </cell>
          <cell r="DN23973">
            <v>0</v>
          </cell>
        </row>
        <row r="23974">
          <cell r="E23974">
            <v>0</v>
          </cell>
          <cell r="F23974">
            <v>0</v>
          </cell>
          <cell r="DN23974">
            <v>0</v>
          </cell>
        </row>
        <row r="23975">
          <cell r="E23975">
            <v>0</v>
          </cell>
          <cell r="F23975">
            <v>0</v>
          </cell>
          <cell r="DN23975">
            <v>0</v>
          </cell>
        </row>
        <row r="23976">
          <cell r="E23976">
            <v>0</v>
          </cell>
          <cell r="F23976">
            <v>0</v>
          </cell>
          <cell r="DN23976">
            <v>0</v>
          </cell>
        </row>
        <row r="23977">
          <cell r="E23977">
            <v>0</v>
          </cell>
          <cell r="F23977">
            <v>0</v>
          </cell>
          <cell r="DN23977">
            <v>0</v>
          </cell>
        </row>
        <row r="23978">
          <cell r="E23978">
            <v>0</v>
          </cell>
          <cell r="F23978">
            <v>0</v>
          </cell>
          <cell r="DN23978">
            <v>0</v>
          </cell>
        </row>
        <row r="23979">
          <cell r="E23979">
            <v>0</v>
          </cell>
          <cell r="F23979">
            <v>0</v>
          </cell>
          <cell r="DN23979">
            <v>0</v>
          </cell>
        </row>
        <row r="23980">
          <cell r="E23980">
            <v>0</v>
          </cell>
          <cell r="F23980">
            <v>0</v>
          </cell>
          <cell r="DN23980">
            <v>0</v>
          </cell>
        </row>
        <row r="23981">
          <cell r="E23981">
            <v>0</v>
          </cell>
          <cell r="F23981">
            <v>0</v>
          </cell>
          <cell r="DN23981">
            <v>0</v>
          </cell>
        </row>
        <row r="23982">
          <cell r="E23982">
            <v>0</v>
          </cell>
          <cell r="F23982">
            <v>0</v>
          </cell>
          <cell r="DN23982">
            <v>0</v>
          </cell>
        </row>
        <row r="23983">
          <cell r="E23983">
            <v>0</v>
          </cell>
          <cell r="F23983">
            <v>0</v>
          </cell>
          <cell r="DN23983">
            <v>0</v>
          </cell>
        </row>
        <row r="23984">
          <cell r="E23984">
            <v>0</v>
          </cell>
          <cell r="F23984">
            <v>0</v>
          </cell>
          <cell r="DN23984">
            <v>0</v>
          </cell>
        </row>
        <row r="23985">
          <cell r="E23985">
            <v>0</v>
          </cell>
          <cell r="F23985">
            <v>0</v>
          </cell>
          <cell r="DN23985">
            <v>0</v>
          </cell>
        </row>
        <row r="23986">
          <cell r="E23986">
            <v>0</v>
          </cell>
          <cell r="F23986">
            <v>0</v>
          </cell>
          <cell r="DN23986">
            <v>0</v>
          </cell>
        </row>
        <row r="23987">
          <cell r="E23987">
            <v>0</v>
          </cell>
          <cell r="F23987">
            <v>0</v>
          </cell>
          <cell r="DN23987">
            <v>0</v>
          </cell>
        </row>
        <row r="23988">
          <cell r="E23988">
            <v>0</v>
          </cell>
          <cell r="F23988">
            <v>0</v>
          </cell>
          <cell r="DN23988">
            <v>0</v>
          </cell>
        </row>
        <row r="23989">
          <cell r="E23989">
            <v>0</v>
          </cell>
          <cell r="F23989">
            <v>0</v>
          </cell>
          <cell r="DN23989">
            <v>0</v>
          </cell>
        </row>
        <row r="23990">
          <cell r="E23990">
            <v>0</v>
          </cell>
          <cell r="F23990">
            <v>0</v>
          </cell>
          <cell r="DN23990">
            <v>0</v>
          </cell>
        </row>
        <row r="23991">
          <cell r="E23991">
            <v>0</v>
          </cell>
          <cell r="F23991">
            <v>0</v>
          </cell>
          <cell r="DN23991">
            <v>0</v>
          </cell>
        </row>
        <row r="23992">
          <cell r="E23992">
            <v>0</v>
          </cell>
          <cell r="F23992">
            <v>0</v>
          </cell>
          <cell r="DN23992">
            <v>0</v>
          </cell>
        </row>
        <row r="23993">
          <cell r="E23993">
            <v>0</v>
          </cell>
          <cell r="F23993">
            <v>0</v>
          </cell>
          <cell r="DN23993">
            <v>0</v>
          </cell>
        </row>
        <row r="23994">
          <cell r="E23994">
            <v>0</v>
          </cell>
          <cell r="F23994">
            <v>0</v>
          </cell>
          <cell r="DN23994">
            <v>0</v>
          </cell>
        </row>
        <row r="23995">
          <cell r="E23995">
            <v>0</v>
          </cell>
          <cell r="F23995">
            <v>0</v>
          </cell>
          <cell r="DN23995">
            <v>0</v>
          </cell>
        </row>
        <row r="23996">
          <cell r="E23996">
            <v>0</v>
          </cell>
          <cell r="F23996">
            <v>0</v>
          </cell>
          <cell r="DN23996">
            <v>0</v>
          </cell>
        </row>
        <row r="23997">
          <cell r="E23997">
            <v>0</v>
          </cell>
          <cell r="F23997">
            <v>0</v>
          </cell>
          <cell r="DN23997">
            <v>0</v>
          </cell>
        </row>
        <row r="23998">
          <cell r="E23998">
            <v>0</v>
          </cell>
          <cell r="F23998">
            <v>0</v>
          </cell>
          <cell r="DN23998">
            <v>0</v>
          </cell>
        </row>
        <row r="23999">
          <cell r="E23999">
            <v>0</v>
          </cell>
          <cell r="F23999">
            <v>0</v>
          </cell>
          <cell r="DN23999">
            <v>0</v>
          </cell>
        </row>
        <row r="24000">
          <cell r="E24000">
            <v>0</v>
          </cell>
          <cell r="F24000">
            <v>0</v>
          </cell>
          <cell r="DN24000">
            <v>0</v>
          </cell>
        </row>
        <row r="24001">
          <cell r="E24001">
            <v>0</v>
          </cell>
          <cell r="F24001">
            <v>0</v>
          </cell>
          <cell r="DN24001">
            <v>0</v>
          </cell>
        </row>
        <row r="24002">
          <cell r="E24002">
            <v>0</v>
          </cell>
          <cell r="F24002">
            <v>0</v>
          </cell>
          <cell r="DN24002">
            <v>0</v>
          </cell>
        </row>
        <row r="24003">
          <cell r="E24003">
            <v>0</v>
          </cell>
          <cell r="F24003">
            <v>0</v>
          </cell>
          <cell r="DN24003">
            <v>0</v>
          </cell>
        </row>
        <row r="24004">
          <cell r="E24004">
            <v>0</v>
          </cell>
          <cell r="F24004">
            <v>0</v>
          </cell>
          <cell r="DN24004">
            <v>0</v>
          </cell>
        </row>
        <row r="24005">
          <cell r="E24005">
            <v>0</v>
          </cell>
          <cell r="F24005">
            <v>0</v>
          </cell>
          <cell r="DN24005">
            <v>0</v>
          </cell>
        </row>
        <row r="24006">
          <cell r="E24006">
            <v>0</v>
          </cell>
          <cell r="F24006">
            <v>0</v>
          </cell>
          <cell r="DN24006">
            <v>0</v>
          </cell>
        </row>
        <row r="24007">
          <cell r="E24007">
            <v>0</v>
          </cell>
          <cell r="F24007">
            <v>0</v>
          </cell>
          <cell r="DN24007">
            <v>0</v>
          </cell>
        </row>
        <row r="24008">
          <cell r="E24008">
            <v>0</v>
          </cell>
          <cell r="F24008">
            <v>0</v>
          </cell>
          <cell r="DN24008">
            <v>0</v>
          </cell>
        </row>
        <row r="24009">
          <cell r="E24009">
            <v>0</v>
          </cell>
          <cell r="F24009">
            <v>0</v>
          </cell>
          <cell r="DN24009">
            <v>0</v>
          </cell>
        </row>
        <row r="24010">
          <cell r="E24010">
            <v>0</v>
          </cell>
          <cell r="F24010">
            <v>0</v>
          </cell>
          <cell r="DN24010">
            <v>0</v>
          </cell>
        </row>
        <row r="24011">
          <cell r="E24011">
            <v>0</v>
          </cell>
          <cell r="F24011">
            <v>0</v>
          </cell>
          <cell r="DN24011">
            <v>0</v>
          </cell>
        </row>
        <row r="24012">
          <cell r="E24012">
            <v>0</v>
          </cell>
          <cell r="F24012">
            <v>0</v>
          </cell>
          <cell r="DN24012">
            <v>0</v>
          </cell>
        </row>
        <row r="24013">
          <cell r="E24013">
            <v>0</v>
          </cell>
          <cell r="F24013">
            <v>0</v>
          </cell>
          <cell r="DN24013">
            <v>0</v>
          </cell>
        </row>
        <row r="24014">
          <cell r="E24014">
            <v>0</v>
          </cell>
          <cell r="F24014">
            <v>0</v>
          </cell>
          <cell r="DN24014">
            <v>0</v>
          </cell>
        </row>
        <row r="24015">
          <cell r="E24015">
            <v>0</v>
          </cell>
          <cell r="F24015">
            <v>0</v>
          </cell>
          <cell r="DN24015">
            <v>0</v>
          </cell>
        </row>
        <row r="24016">
          <cell r="E24016">
            <v>0</v>
          </cell>
          <cell r="F24016">
            <v>0</v>
          </cell>
          <cell r="DN24016">
            <v>0</v>
          </cell>
        </row>
        <row r="24017">
          <cell r="E24017">
            <v>0</v>
          </cell>
          <cell r="F24017">
            <v>0</v>
          </cell>
          <cell r="DN24017">
            <v>0</v>
          </cell>
        </row>
        <row r="24018">
          <cell r="E24018">
            <v>0</v>
          </cell>
          <cell r="F24018">
            <v>0</v>
          </cell>
          <cell r="DN24018">
            <v>0</v>
          </cell>
        </row>
        <row r="24019">
          <cell r="E24019">
            <v>0</v>
          </cell>
          <cell r="F24019">
            <v>0</v>
          </cell>
          <cell r="DN24019">
            <v>0</v>
          </cell>
        </row>
        <row r="24020">
          <cell r="E24020">
            <v>0</v>
          </cell>
          <cell r="F24020">
            <v>0</v>
          </cell>
          <cell r="DN24020">
            <v>0</v>
          </cell>
        </row>
        <row r="24021">
          <cell r="E24021">
            <v>0</v>
          </cell>
          <cell r="F24021">
            <v>0</v>
          </cell>
          <cell r="DN24021">
            <v>0</v>
          </cell>
        </row>
        <row r="24022">
          <cell r="E24022">
            <v>0</v>
          </cell>
          <cell r="F24022">
            <v>0</v>
          </cell>
          <cell r="DN24022">
            <v>0</v>
          </cell>
        </row>
        <row r="24023">
          <cell r="E24023">
            <v>0</v>
          </cell>
          <cell r="F24023">
            <v>0</v>
          </cell>
          <cell r="DN24023">
            <v>0</v>
          </cell>
        </row>
        <row r="24024">
          <cell r="E24024">
            <v>0</v>
          </cell>
          <cell r="F24024">
            <v>0</v>
          </cell>
          <cell r="DN24024">
            <v>0</v>
          </cell>
        </row>
        <row r="24025">
          <cell r="E24025">
            <v>0</v>
          </cell>
          <cell r="F24025">
            <v>0</v>
          </cell>
          <cell r="DN24025">
            <v>0</v>
          </cell>
        </row>
        <row r="24026">
          <cell r="E24026">
            <v>0</v>
          </cell>
          <cell r="F24026">
            <v>0</v>
          </cell>
          <cell r="DN24026">
            <v>0</v>
          </cell>
        </row>
        <row r="24027">
          <cell r="E24027">
            <v>0</v>
          </cell>
          <cell r="F24027">
            <v>0</v>
          </cell>
          <cell r="DN24027">
            <v>0</v>
          </cell>
        </row>
        <row r="24028">
          <cell r="E24028">
            <v>0</v>
          </cell>
          <cell r="F24028">
            <v>0</v>
          </cell>
          <cell r="DN24028">
            <v>0</v>
          </cell>
        </row>
        <row r="24029">
          <cell r="E24029">
            <v>0</v>
          </cell>
          <cell r="F24029">
            <v>0</v>
          </cell>
          <cell r="DN24029">
            <v>0</v>
          </cell>
        </row>
        <row r="24030">
          <cell r="E24030">
            <v>0</v>
          </cell>
          <cell r="F24030">
            <v>0</v>
          </cell>
          <cell r="DN24030">
            <v>0</v>
          </cell>
        </row>
        <row r="24031">
          <cell r="E24031">
            <v>0</v>
          </cell>
          <cell r="F24031">
            <v>0</v>
          </cell>
          <cell r="DN24031">
            <v>0</v>
          </cell>
        </row>
        <row r="24032">
          <cell r="E24032">
            <v>0</v>
          </cell>
          <cell r="F24032">
            <v>0</v>
          </cell>
          <cell r="DN24032">
            <v>0</v>
          </cell>
        </row>
        <row r="24033">
          <cell r="E24033">
            <v>0</v>
          </cell>
          <cell r="F24033">
            <v>0</v>
          </cell>
          <cell r="DN24033">
            <v>0</v>
          </cell>
        </row>
        <row r="24034">
          <cell r="E24034">
            <v>0</v>
          </cell>
          <cell r="F24034">
            <v>0</v>
          </cell>
          <cell r="DN24034">
            <v>0</v>
          </cell>
        </row>
        <row r="24035">
          <cell r="E24035">
            <v>0</v>
          </cell>
          <cell r="F24035">
            <v>0</v>
          </cell>
          <cell r="DN24035">
            <v>0</v>
          </cell>
        </row>
        <row r="24036">
          <cell r="E24036">
            <v>0</v>
          </cell>
          <cell r="F24036">
            <v>0</v>
          </cell>
          <cell r="DN24036">
            <v>0</v>
          </cell>
        </row>
        <row r="24037">
          <cell r="E24037">
            <v>0</v>
          </cell>
          <cell r="F24037">
            <v>0</v>
          </cell>
          <cell r="DN24037">
            <v>0</v>
          </cell>
        </row>
        <row r="24038">
          <cell r="E24038">
            <v>0</v>
          </cell>
          <cell r="F24038">
            <v>0</v>
          </cell>
          <cell r="DN24038">
            <v>0</v>
          </cell>
        </row>
        <row r="24039">
          <cell r="E24039">
            <v>0</v>
          </cell>
          <cell r="F24039">
            <v>0</v>
          </cell>
          <cell r="DN24039">
            <v>0</v>
          </cell>
        </row>
        <row r="24040">
          <cell r="E24040">
            <v>0</v>
          </cell>
          <cell r="F24040">
            <v>0</v>
          </cell>
          <cell r="DN24040">
            <v>0</v>
          </cell>
        </row>
        <row r="24041">
          <cell r="E24041">
            <v>0</v>
          </cell>
          <cell r="F24041">
            <v>0</v>
          </cell>
          <cell r="DN24041">
            <v>0</v>
          </cell>
        </row>
        <row r="24042">
          <cell r="E24042">
            <v>0</v>
          </cell>
          <cell r="F24042">
            <v>0</v>
          </cell>
          <cell r="DN24042">
            <v>0</v>
          </cell>
        </row>
        <row r="24043">
          <cell r="E24043">
            <v>0</v>
          </cell>
          <cell r="F24043">
            <v>0</v>
          </cell>
          <cell r="DN24043">
            <v>0</v>
          </cell>
        </row>
        <row r="24044">
          <cell r="E24044">
            <v>0</v>
          </cell>
          <cell r="F24044">
            <v>0</v>
          </cell>
          <cell r="DN24044">
            <v>0</v>
          </cell>
        </row>
        <row r="24045">
          <cell r="E24045">
            <v>0</v>
          </cell>
          <cell r="F24045">
            <v>0</v>
          </cell>
          <cell r="DN24045">
            <v>0</v>
          </cell>
        </row>
        <row r="24046">
          <cell r="E24046">
            <v>0</v>
          </cell>
          <cell r="F24046">
            <v>0</v>
          </cell>
          <cell r="DN24046">
            <v>0</v>
          </cell>
        </row>
        <row r="24047">
          <cell r="E24047">
            <v>0</v>
          </cell>
          <cell r="F24047">
            <v>0</v>
          </cell>
          <cell r="DN24047">
            <v>0</v>
          </cell>
        </row>
        <row r="24048">
          <cell r="E24048">
            <v>0</v>
          </cell>
          <cell r="F24048">
            <v>0</v>
          </cell>
          <cell r="DN24048">
            <v>0</v>
          </cell>
        </row>
        <row r="24049">
          <cell r="E24049">
            <v>0</v>
          </cell>
          <cell r="F24049">
            <v>0</v>
          </cell>
          <cell r="DN24049">
            <v>0</v>
          </cell>
        </row>
        <row r="24050">
          <cell r="E24050">
            <v>0</v>
          </cell>
          <cell r="F24050">
            <v>0</v>
          </cell>
          <cell r="DN24050">
            <v>0</v>
          </cell>
        </row>
        <row r="24051">
          <cell r="E24051">
            <v>0</v>
          </cell>
          <cell r="F24051">
            <v>0</v>
          </cell>
          <cell r="DN24051">
            <v>0</v>
          </cell>
        </row>
        <row r="24052">
          <cell r="E24052">
            <v>0</v>
          </cell>
          <cell r="F24052">
            <v>0</v>
          </cell>
          <cell r="DN24052">
            <v>0</v>
          </cell>
        </row>
        <row r="24053">
          <cell r="E24053">
            <v>0</v>
          </cell>
          <cell r="F24053">
            <v>0</v>
          </cell>
          <cell r="DN24053">
            <v>0</v>
          </cell>
        </row>
        <row r="24054">
          <cell r="E24054">
            <v>0</v>
          </cell>
          <cell r="F24054">
            <v>0</v>
          </cell>
          <cell r="DN24054">
            <v>0</v>
          </cell>
        </row>
        <row r="24055">
          <cell r="E24055">
            <v>0</v>
          </cell>
          <cell r="F24055">
            <v>0</v>
          </cell>
          <cell r="DN24055">
            <v>0</v>
          </cell>
        </row>
        <row r="24056">
          <cell r="E24056">
            <v>0</v>
          </cell>
          <cell r="F24056">
            <v>0</v>
          </cell>
          <cell r="DN24056">
            <v>0</v>
          </cell>
        </row>
        <row r="24057">
          <cell r="E24057">
            <v>0</v>
          </cell>
          <cell r="F24057">
            <v>0</v>
          </cell>
          <cell r="DN24057">
            <v>0</v>
          </cell>
        </row>
        <row r="24058">
          <cell r="E24058">
            <v>0</v>
          </cell>
          <cell r="F24058">
            <v>0</v>
          </cell>
          <cell r="DN24058">
            <v>0</v>
          </cell>
        </row>
        <row r="24059">
          <cell r="E24059">
            <v>0</v>
          </cell>
          <cell r="F24059">
            <v>0</v>
          </cell>
          <cell r="DN24059">
            <v>0</v>
          </cell>
        </row>
        <row r="24060">
          <cell r="E24060">
            <v>0</v>
          </cell>
          <cell r="F24060">
            <v>0</v>
          </cell>
          <cell r="DN24060">
            <v>0</v>
          </cell>
        </row>
        <row r="24061">
          <cell r="E24061">
            <v>0</v>
          </cell>
          <cell r="F24061">
            <v>0</v>
          </cell>
          <cell r="DN24061">
            <v>0</v>
          </cell>
        </row>
        <row r="24062">
          <cell r="E24062">
            <v>0</v>
          </cell>
          <cell r="F24062">
            <v>0</v>
          </cell>
          <cell r="DN24062">
            <v>0</v>
          </cell>
        </row>
        <row r="24063">
          <cell r="E24063">
            <v>0</v>
          </cell>
          <cell r="F24063">
            <v>0</v>
          </cell>
          <cell r="DN24063">
            <v>0</v>
          </cell>
        </row>
        <row r="24064">
          <cell r="E24064">
            <v>0</v>
          </cell>
          <cell r="F24064">
            <v>0</v>
          </cell>
          <cell r="DN24064">
            <v>0</v>
          </cell>
        </row>
        <row r="24065">
          <cell r="E24065">
            <v>0</v>
          </cell>
          <cell r="F24065">
            <v>0</v>
          </cell>
          <cell r="DN24065">
            <v>0</v>
          </cell>
        </row>
        <row r="24066">
          <cell r="E24066">
            <v>0</v>
          </cell>
          <cell r="F24066">
            <v>0</v>
          </cell>
          <cell r="DN24066">
            <v>0</v>
          </cell>
        </row>
        <row r="24067">
          <cell r="E24067">
            <v>0</v>
          </cell>
          <cell r="F24067">
            <v>0</v>
          </cell>
          <cell r="DN24067">
            <v>0</v>
          </cell>
        </row>
        <row r="24068">
          <cell r="E24068">
            <v>0</v>
          </cell>
          <cell r="F24068">
            <v>0</v>
          </cell>
          <cell r="DN24068">
            <v>0</v>
          </cell>
        </row>
        <row r="24069">
          <cell r="E24069">
            <v>0</v>
          </cell>
          <cell r="F24069">
            <v>0</v>
          </cell>
          <cell r="DN24069">
            <v>0</v>
          </cell>
        </row>
        <row r="24070">
          <cell r="E24070">
            <v>0</v>
          </cell>
          <cell r="F24070">
            <v>0</v>
          </cell>
          <cell r="DN24070">
            <v>0</v>
          </cell>
        </row>
        <row r="24071">
          <cell r="E24071">
            <v>0</v>
          </cell>
          <cell r="F24071">
            <v>0</v>
          </cell>
          <cell r="DN24071">
            <v>0</v>
          </cell>
        </row>
        <row r="24072">
          <cell r="E24072">
            <v>0</v>
          </cell>
          <cell r="F24072">
            <v>0</v>
          </cell>
          <cell r="DN24072">
            <v>0</v>
          </cell>
        </row>
        <row r="24073">
          <cell r="E24073">
            <v>0</v>
          </cell>
          <cell r="F24073">
            <v>0</v>
          </cell>
          <cell r="DN24073">
            <v>0</v>
          </cell>
        </row>
        <row r="24074">
          <cell r="E24074">
            <v>0</v>
          </cell>
          <cell r="F24074">
            <v>0</v>
          </cell>
          <cell r="DN24074">
            <v>0</v>
          </cell>
        </row>
        <row r="24075">
          <cell r="E24075">
            <v>0</v>
          </cell>
          <cell r="F24075">
            <v>0</v>
          </cell>
          <cell r="DN24075">
            <v>0</v>
          </cell>
        </row>
        <row r="24076">
          <cell r="E24076">
            <v>0</v>
          </cell>
          <cell r="F24076">
            <v>0</v>
          </cell>
          <cell r="DN24076">
            <v>0</v>
          </cell>
        </row>
        <row r="24077">
          <cell r="E24077">
            <v>0</v>
          </cell>
          <cell r="F24077">
            <v>0</v>
          </cell>
          <cell r="DN24077">
            <v>0</v>
          </cell>
        </row>
        <row r="24078">
          <cell r="E24078">
            <v>0</v>
          </cell>
          <cell r="F24078">
            <v>0</v>
          </cell>
          <cell r="DN24078">
            <v>0</v>
          </cell>
        </row>
        <row r="24079">
          <cell r="E24079">
            <v>0</v>
          </cell>
          <cell r="F24079">
            <v>0</v>
          </cell>
          <cell r="DN24079">
            <v>0</v>
          </cell>
        </row>
        <row r="24080">
          <cell r="E24080">
            <v>0</v>
          </cell>
          <cell r="F24080">
            <v>0</v>
          </cell>
          <cell r="DN24080">
            <v>0</v>
          </cell>
        </row>
        <row r="24081">
          <cell r="E24081">
            <v>0</v>
          </cell>
          <cell r="F24081">
            <v>0</v>
          </cell>
          <cell r="DN24081">
            <v>0</v>
          </cell>
        </row>
        <row r="24082">
          <cell r="E24082">
            <v>0</v>
          </cell>
          <cell r="F24082">
            <v>0</v>
          </cell>
          <cell r="DN24082">
            <v>0</v>
          </cell>
        </row>
        <row r="24083">
          <cell r="E24083">
            <v>0</v>
          </cell>
          <cell r="F24083">
            <v>0</v>
          </cell>
          <cell r="DN24083">
            <v>0</v>
          </cell>
        </row>
        <row r="24084">
          <cell r="E24084">
            <v>0</v>
          </cell>
          <cell r="F24084">
            <v>0</v>
          </cell>
          <cell r="DN24084">
            <v>0</v>
          </cell>
        </row>
        <row r="24085">
          <cell r="E24085">
            <v>0</v>
          </cell>
          <cell r="F24085">
            <v>0</v>
          </cell>
          <cell r="DN24085">
            <v>0</v>
          </cell>
        </row>
        <row r="24086">
          <cell r="E24086">
            <v>0</v>
          </cell>
          <cell r="F24086">
            <v>0</v>
          </cell>
          <cell r="DN24086">
            <v>0</v>
          </cell>
        </row>
        <row r="24087">
          <cell r="E24087">
            <v>0</v>
          </cell>
          <cell r="F24087">
            <v>0</v>
          </cell>
          <cell r="DN24087">
            <v>0</v>
          </cell>
        </row>
        <row r="24088">
          <cell r="E24088">
            <v>0</v>
          </cell>
          <cell r="F24088">
            <v>0</v>
          </cell>
          <cell r="DN24088">
            <v>0</v>
          </cell>
        </row>
        <row r="24089">
          <cell r="E24089">
            <v>0</v>
          </cell>
          <cell r="F24089">
            <v>0</v>
          </cell>
          <cell r="DN24089">
            <v>0</v>
          </cell>
        </row>
        <row r="24090">
          <cell r="E24090">
            <v>0</v>
          </cell>
          <cell r="F24090">
            <v>0</v>
          </cell>
          <cell r="DN24090">
            <v>0</v>
          </cell>
        </row>
        <row r="24091">
          <cell r="E24091">
            <v>0</v>
          </cell>
          <cell r="F24091">
            <v>0</v>
          </cell>
          <cell r="DN24091">
            <v>0</v>
          </cell>
        </row>
        <row r="24092">
          <cell r="E24092">
            <v>0</v>
          </cell>
          <cell r="F24092">
            <v>0</v>
          </cell>
          <cell r="DN24092">
            <v>0</v>
          </cell>
        </row>
        <row r="24093">
          <cell r="E24093">
            <v>0</v>
          </cell>
          <cell r="F24093">
            <v>0</v>
          </cell>
          <cell r="DN24093">
            <v>0</v>
          </cell>
        </row>
        <row r="24094">
          <cell r="E24094">
            <v>0</v>
          </cell>
          <cell r="F24094">
            <v>0</v>
          </cell>
          <cell r="DN24094">
            <v>0</v>
          </cell>
        </row>
        <row r="24095">
          <cell r="E24095">
            <v>0</v>
          </cell>
          <cell r="F24095">
            <v>0</v>
          </cell>
          <cell r="DN24095">
            <v>0</v>
          </cell>
        </row>
        <row r="24096">
          <cell r="E24096">
            <v>0</v>
          </cell>
          <cell r="F24096">
            <v>0</v>
          </cell>
          <cell r="DN24096">
            <v>0</v>
          </cell>
        </row>
        <row r="24097">
          <cell r="E24097">
            <v>0</v>
          </cell>
          <cell r="F24097">
            <v>0</v>
          </cell>
          <cell r="DN24097">
            <v>0</v>
          </cell>
        </row>
        <row r="24098">
          <cell r="E24098">
            <v>0</v>
          </cell>
          <cell r="F24098">
            <v>0</v>
          </cell>
          <cell r="DN24098">
            <v>0</v>
          </cell>
        </row>
        <row r="24099">
          <cell r="E24099">
            <v>0</v>
          </cell>
          <cell r="F24099">
            <v>0</v>
          </cell>
          <cell r="DN24099">
            <v>0</v>
          </cell>
        </row>
        <row r="24100">
          <cell r="E24100">
            <v>0</v>
          </cell>
          <cell r="F24100">
            <v>0</v>
          </cell>
          <cell r="DN24100">
            <v>0</v>
          </cell>
        </row>
        <row r="24101">
          <cell r="E24101">
            <v>0</v>
          </cell>
          <cell r="F24101">
            <v>0</v>
          </cell>
          <cell r="DN24101">
            <v>0</v>
          </cell>
        </row>
        <row r="24102">
          <cell r="E24102">
            <v>0</v>
          </cell>
          <cell r="F24102">
            <v>0</v>
          </cell>
          <cell r="DN24102">
            <v>0</v>
          </cell>
        </row>
        <row r="24103">
          <cell r="E24103">
            <v>0</v>
          </cell>
          <cell r="F24103">
            <v>0</v>
          </cell>
          <cell r="DN24103">
            <v>0</v>
          </cell>
        </row>
        <row r="24104">
          <cell r="E24104">
            <v>0</v>
          </cell>
          <cell r="F24104">
            <v>0</v>
          </cell>
          <cell r="DN24104">
            <v>0</v>
          </cell>
        </row>
        <row r="24105">
          <cell r="E24105">
            <v>0</v>
          </cell>
          <cell r="F24105">
            <v>0</v>
          </cell>
          <cell r="DN24105">
            <v>0</v>
          </cell>
        </row>
        <row r="24106">
          <cell r="E24106">
            <v>0</v>
          </cell>
          <cell r="F24106">
            <v>0</v>
          </cell>
          <cell r="DN24106">
            <v>0</v>
          </cell>
        </row>
        <row r="24107">
          <cell r="E24107">
            <v>0</v>
          </cell>
          <cell r="F24107">
            <v>0</v>
          </cell>
          <cell r="DN24107">
            <v>0</v>
          </cell>
        </row>
        <row r="24108">
          <cell r="E24108">
            <v>0</v>
          </cell>
          <cell r="F24108">
            <v>0</v>
          </cell>
          <cell r="DN24108">
            <v>0</v>
          </cell>
        </row>
        <row r="24109">
          <cell r="E24109">
            <v>0</v>
          </cell>
          <cell r="F24109">
            <v>0</v>
          </cell>
          <cell r="DN24109">
            <v>0</v>
          </cell>
        </row>
        <row r="24110">
          <cell r="E24110">
            <v>0</v>
          </cell>
          <cell r="F24110">
            <v>0</v>
          </cell>
          <cell r="DN24110">
            <v>0</v>
          </cell>
        </row>
        <row r="24111">
          <cell r="E24111">
            <v>0</v>
          </cell>
          <cell r="F24111">
            <v>0</v>
          </cell>
          <cell r="DN24111">
            <v>0</v>
          </cell>
        </row>
        <row r="24112">
          <cell r="E24112">
            <v>0</v>
          </cell>
          <cell r="F24112">
            <v>0</v>
          </cell>
          <cell r="DN24112">
            <v>0</v>
          </cell>
        </row>
        <row r="24113">
          <cell r="E24113">
            <v>0</v>
          </cell>
          <cell r="F24113">
            <v>0</v>
          </cell>
          <cell r="DN24113">
            <v>0</v>
          </cell>
        </row>
        <row r="24114">
          <cell r="E24114">
            <v>0</v>
          </cell>
          <cell r="F24114">
            <v>0</v>
          </cell>
          <cell r="DN24114">
            <v>0</v>
          </cell>
        </row>
        <row r="24115">
          <cell r="E24115">
            <v>0</v>
          </cell>
          <cell r="F24115">
            <v>0</v>
          </cell>
          <cell r="DN24115">
            <v>0</v>
          </cell>
        </row>
        <row r="24116">
          <cell r="E24116">
            <v>0</v>
          </cell>
          <cell r="F24116">
            <v>0</v>
          </cell>
          <cell r="DN24116">
            <v>0</v>
          </cell>
        </row>
        <row r="24117">
          <cell r="E24117">
            <v>0</v>
          </cell>
          <cell r="F24117">
            <v>0</v>
          </cell>
          <cell r="DN24117">
            <v>0</v>
          </cell>
        </row>
        <row r="24118">
          <cell r="E24118">
            <v>0</v>
          </cell>
          <cell r="F24118">
            <v>0</v>
          </cell>
          <cell r="DN24118">
            <v>0</v>
          </cell>
        </row>
        <row r="24119">
          <cell r="E24119">
            <v>0</v>
          </cell>
          <cell r="F24119">
            <v>0</v>
          </cell>
          <cell r="DN24119">
            <v>0</v>
          </cell>
        </row>
        <row r="24120">
          <cell r="E24120">
            <v>0</v>
          </cell>
          <cell r="F24120">
            <v>0</v>
          </cell>
          <cell r="DN24120">
            <v>0</v>
          </cell>
        </row>
        <row r="24121">
          <cell r="E24121">
            <v>0</v>
          </cell>
          <cell r="F24121">
            <v>0</v>
          </cell>
          <cell r="DN24121">
            <v>0</v>
          </cell>
        </row>
        <row r="24122">
          <cell r="E24122">
            <v>0</v>
          </cell>
          <cell r="F24122">
            <v>0</v>
          </cell>
          <cell r="DN24122">
            <v>0</v>
          </cell>
        </row>
        <row r="24123">
          <cell r="E24123">
            <v>0</v>
          </cell>
          <cell r="F24123">
            <v>0</v>
          </cell>
          <cell r="DN24123">
            <v>0</v>
          </cell>
        </row>
        <row r="24124">
          <cell r="E24124">
            <v>0</v>
          </cell>
          <cell r="F24124">
            <v>0</v>
          </cell>
          <cell r="DN24124">
            <v>0</v>
          </cell>
        </row>
        <row r="24125">
          <cell r="E24125">
            <v>0</v>
          </cell>
          <cell r="F24125">
            <v>0</v>
          </cell>
          <cell r="DN24125">
            <v>0</v>
          </cell>
        </row>
        <row r="24126">
          <cell r="E24126">
            <v>0</v>
          </cell>
          <cell r="F24126">
            <v>0</v>
          </cell>
          <cell r="DN24126">
            <v>0</v>
          </cell>
        </row>
        <row r="24127">
          <cell r="E24127">
            <v>0</v>
          </cell>
          <cell r="F24127">
            <v>0</v>
          </cell>
          <cell r="DN24127">
            <v>0</v>
          </cell>
        </row>
        <row r="24128">
          <cell r="E24128">
            <v>0</v>
          </cell>
          <cell r="F24128">
            <v>0</v>
          </cell>
          <cell r="DN24128">
            <v>0</v>
          </cell>
        </row>
        <row r="24129">
          <cell r="E24129">
            <v>0</v>
          </cell>
          <cell r="F24129">
            <v>0</v>
          </cell>
          <cell r="DN24129">
            <v>0</v>
          </cell>
        </row>
        <row r="24130">
          <cell r="E24130">
            <v>0</v>
          </cell>
          <cell r="F24130">
            <v>0</v>
          </cell>
          <cell r="DN24130">
            <v>0</v>
          </cell>
        </row>
        <row r="24131">
          <cell r="E24131">
            <v>0</v>
          </cell>
          <cell r="F24131">
            <v>0</v>
          </cell>
          <cell r="DN24131">
            <v>0</v>
          </cell>
        </row>
        <row r="24132">
          <cell r="E24132">
            <v>0</v>
          </cell>
          <cell r="F24132">
            <v>0</v>
          </cell>
          <cell r="DN24132">
            <v>0</v>
          </cell>
        </row>
        <row r="24133">
          <cell r="E24133">
            <v>0</v>
          </cell>
          <cell r="F24133">
            <v>0</v>
          </cell>
          <cell r="DN24133">
            <v>0</v>
          </cell>
        </row>
        <row r="24134">
          <cell r="E24134">
            <v>0</v>
          </cell>
          <cell r="F24134">
            <v>0</v>
          </cell>
          <cell r="DN24134">
            <v>0</v>
          </cell>
        </row>
        <row r="24135">
          <cell r="E24135">
            <v>0</v>
          </cell>
          <cell r="F24135">
            <v>0</v>
          </cell>
          <cell r="DN24135">
            <v>0</v>
          </cell>
        </row>
        <row r="24136">
          <cell r="E24136">
            <v>0</v>
          </cell>
          <cell r="F24136">
            <v>0</v>
          </cell>
          <cell r="DN24136">
            <v>0</v>
          </cell>
        </row>
        <row r="24137">
          <cell r="E24137">
            <v>0</v>
          </cell>
          <cell r="F24137">
            <v>0</v>
          </cell>
          <cell r="DN24137">
            <v>0</v>
          </cell>
        </row>
        <row r="24138">
          <cell r="E24138">
            <v>0</v>
          </cell>
          <cell r="F24138">
            <v>0</v>
          </cell>
          <cell r="DN24138">
            <v>0</v>
          </cell>
        </row>
        <row r="24139">
          <cell r="E24139">
            <v>0</v>
          </cell>
          <cell r="F24139">
            <v>0</v>
          </cell>
          <cell r="DN24139">
            <v>0</v>
          </cell>
        </row>
        <row r="24140">
          <cell r="E24140">
            <v>0</v>
          </cell>
          <cell r="F24140">
            <v>0</v>
          </cell>
          <cell r="DN24140">
            <v>0</v>
          </cell>
        </row>
        <row r="24141">
          <cell r="E24141">
            <v>0</v>
          </cell>
          <cell r="F24141">
            <v>0</v>
          </cell>
          <cell r="DN24141">
            <v>0</v>
          </cell>
        </row>
        <row r="24142">
          <cell r="E24142">
            <v>0</v>
          </cell>
          <cell r="F24142">
            <v>0</v>
          </cell>
          <cell r="DN24142">
            <v>0</v>
          </cell>
        </row>
        <row r="24143">
          <cell r="E24143">
            <v>0</v>
          </cell>
          <cell r="F24143">
            <v>0</v>
          </cell>
          <cell r="DN24143">
            <v>0</v>
          </cell>
        </row>
        <row r="24144">
          <cell r="E24144">
            <v>0</v>
          </cell>
          <cell r="F24144">
            <v>0</v>
          </cell>
          <cell r="DN24144">
            <v>0</v>
          </cell>
        </row>
        <row r="24145">
          <cell r="E24145">
            <v>0</v>
          </cell>
          <cell r="F24145">
            <v>0</v>
          </cell>
          <cell r="DN24145">
            <v>0</v>
          </cell>
        </row>
        <row r="24146">
          <cell r="E24146">
            <v>0</v>
          </cell>
          <cell r="F24146">
            <v>0</v>
          </cell>
          <cell r="DN24146">
            <v>0</v>
          </cell>
        </row>
        <row r="24147">
          <cell r="E24147">
            <v>0</v>
          </cell>
          <cell r="F24147">
            <v>0</v>
          </cell>
          <cell r="DN24147">
            <v>0</v>
          </cell>
        </row>
        <row r="24148">
          <cell r="E24148">
            <v>0</v>
          </cell>
          <cell r="F24148">
            <v>0</v>
          </cell>
          <cell r="DN24148">
            <v>0</v>
          </cell>
        </row>
        <row r="24149">
          <cell r="E24149">
            <v>0</v>
          </cell>
          <cell r="F24149">
            <v>0</v>
          </cell>
          <cell r="DN24149">
            <v>0</v>
          </cell>
        </row>
        <row r="24150">
          <cell r="E24150">
            <v>0</v>
          </cell>
          <cell r="F24150">
            <v>0</v>
          </cell>
          <cell r="DN24150">
            <v>0</v>
          </cell>
        </row>
        <row r="24151">
          <cell r="E24151">
            <v>0</v>
          </cell>
          <cell r="F24151">
            <v>0</v>
          </cell>
          <cell r="DN24151">
            <v>0</v>
          </cell>
        </row>
        <row r="24152">
          <cell r="E24152">
            <v>0</v>
          </cell>
          <cell r="F24152">
            <v>0</v>
          </cell>
          <cell r="DN24152">
            <v>0</v>
          </cell>
        </row>
        <row r="24153">
          <cell r="E24153">
            <v>0</v>
          </cell>
          <cell r="F24153">
            <v>0</v>
          </cell>
          <cell r="DN24153">
            <v>0</v>
          </cell>
        </row>
        <row r="24154">
          <cell r="E24154">
            <v>0</v>
          </cell>
          <cell r="F24154">
            <v>0</v>
          </cell>
          <cell r="DN24154">
            <v>0</v>
          </cell>
        </row>
        <row r="24155">
          <cell r="E24155">
            <v>0</v>
          </cell>
          <cell r="F24155">
            <v>0</v>
          </cell>
          <cell r="DN24155">
            <v>0</v>
          </cell>
        </row>
        <row r="24156">
          <cell r="E24156">
            <v>0</v>
          </cell>
          <cell r="F24156">
            <v>0</v>
          </cell>
          <cell r="DN24156">
            <v>0</v>
          </cell>
        </row>
        <row r="24157">
          <cell r="E24157">
            <v>0</v>
          </cell>
          <cell r="F24157">
            <v>0</v>
          </cell>
          <cell r="DN24157">
            <v>0</v>
          </cell>
        </row>
        <row r="24158">
          <cell r="E24158">
            <v>0</v>
          </cell>
          <cell r="F24158">
            <v>0</v>
          </cell>
          <cell r="DN24158">
            <v>0</v>
          </cell>
        </row>
        <row r="24159">
          <cell r="E24159">
            <v>0</v>
          </cell>
          <cell r="F24159">
            <v>0</v>
          </cell>
          <cell r="DN24159">
            <v>0</v>
          </cell>
        </row>
        <row r="24160">
          <cell r="E24160">
            <v>0</v>
          </cell>
          <cell r="F24160">
            <v>0</v>
          </cell>
          <cell r="DN24160">
            <v>0</v>
          </cell>
        </row>
        <row r="24161">
          <cell r="E24161">
            <v>0</v>
          </cell>
          <cell r="F24161">
            <v>0</v>
          </cell>
          <cell r="DN24161">
            <v>0</v>
          </cell>
        </row>
        <row r="24162">
          <cell r="E24162">
            <v>0</v>
          </cell>
          <cell r="F24162">
            <v>0</v>
          </cell>
          <cell r="DN24162">
            <v>0</v>
          </cell>
        </row>
        <row r="24163">
          <cell r="E24163">
            <v>0</v>
          </cell>
          <cell r="F24163">
            <v>0</v>
          </cell>
          <cell r="DN24163">
            <v>0</v>
          </cell>
        </row>
        <row r="24164">
          <cell r="E24164">
            <v>0</v>
          </cell>
          <cell r="F24164">
            <v>0</v>
          </cell>
          <cell r="DN24164">
            <v>0</v>
          </cell>
        </row>
        <row r="24165">
          <cell r="E24165">
            <v>0</v>
          </cell>
          <cell r="F24165">
            <v>0</v>
          </cell>
          <cell r="DN24165">
            <v>0</v>
          </cell>
        </row>
        <row r="24166">
          <cell r="E24166">
            <v>0</v>
          </cell>
          <cell r="F24166">
            <v>0</v>
          </cell>
          <cell r="DN24166">
            <v>0</v>
          </cell>
        </row>
        <row r="24167">
          <cell r="E24167">
            <v>0</v>
          </cell>
          <cell r="F24167">
            <v>0</v>
          </cell>
          <cell r="DN24167">
            <v>0</v>
          </cell>
        </row>
        <row r="24168">
          <cell r="E24168">
            <v>0</v>
          </cell>
          <cell r="F24168">
            <v>0</v>
          </cell>
          <cell r="DN24168">
            <v>0</v>
          </cell>
        </row>
        <row r="24169">
          <cell r="E24169">
            <v>0</v>
          </cell>
          <cell r="F24169">
            <v>0</v>
          </cell>
          <cell r="DN24169">
            <v>0</v>
          </cell>
        </row>
        <row r="24170">
          <cell r="E24170">
            <v>0</v>
          </cell>
          <cell r="F24170">
            <v>0</v>
          </cell>
          <cell r="DN24170">
            <v>0</v>
          </cell>
        </row>
        <row r="24171">
          <cell r="E24171">
            <v>0</v>
          </cell>
          <cell r="F24171">
            <v>0</v>
          </cell>
          <cell r="DN24171">
            <v>0</v>
          </cell>
        </row>
        <row r="24172">
          <cell r="E24172">
            <v>0</v>
          </cell>
          <cell r="F24172">
            <v>0</v>
          </cell>
          <cell r="DN24172">
            <v>0</v>
          </cell>
        </row>
        <row r="24173">
          <cell r="E24173">
            <v>0</v>
          </cell>
          <cell r="F24173">
            <v>0</v>
          </cell>
          <cell r="DN24173">
            <v>0</v>
          </cell>
        </row>
        <row r="24174">
          <cell r="E24174">
            <v>0</v>
          </cell>
          <cell r="F24174">
            <v>0</v>
          </cell>
          <cell r="DN24174">
            <v>0</v>
          </cell>
        </row>
        <row r="24175">
          <cell r="E24175">
            <v>0</v>
          </cell>
          <cell r="F24175">
            <v>0</v>
          </cell>
          <cell r="DN24175">
            <v>0</v>
          </cell>
        </row>
        <row r="24176">
          <cell r="E24176">
            <v>0</v>
          </cell>
          <cell r="F24176">
            <v>0</v>
          </cell>
          <cell r="DN24176">
            <v>0</v>
          </cell>
        </row>
        <row r="24177">
          <cell r="E24177">
            <v>0</v>
          </cell>
          <cell r="F24177">
            <v>0</v>
          </cell>
          <cell r="DN24177">
            <v>0</v>
          </cell>
        </row>
        <row r="24178">
          <cell r="E24178">
            <v>0</v>
          </cell>
          <cell r="F24178">
            <v>0</v>
          </cell>
          <cell r="DN24178">
            <v>0</v>
          </cell>
        </row>
        <row r="24179">
          <cell r="E24179">
            <v>0</v>
          </cell>
          <cell r="F24179">
            <v>0</v>
          </cell>
          <cell r="DN24179">
            <v>0</v>
          </cell>
        </row>
        <row r="24180">
          <cell r="E24180">
            <v>0</v>
          </cell>
          <cell r="F24180">
            <v>0</v>
          </cell>
          <cell r="DN24180">
            <v>0</v>
          </cell>
        </row>
        <row r="24181">
          <cell r="E24181">
            <v>0</v>
          </cell>
          <cell r="F24181">
            <v>0</v>
          </cell>
          <cell r="DN24181">
            <v>0</v>
          </cell>
        </row>
        <row r="24182">
          <cell r="E24182">
            <v>0</v>
          </cell>
          <cell r="F24182">
            <v>0</v>
          </cell>
          <cell r="DN24182">
            <v>0</v>
          </cell>
        </row>
        <row r="24183">
          <cell r="E24183">
            <v>0</v>
          </cell>
          <cell r="F24183">
            <v>0</v>
          </cell>
          <cell r="DN24183">
            <v>0</v>
          </cell>
        </row>
        <row r="24184">
          <cell r="E24184">
            <v>0</v>
          </cell>
          <cell r="F24184">
            <v>0</v>
          </cell>
          <cell r="DN24184">
            <v>0</v>
          </cell>
        </row>
        <row r="24185">
          <cell r="E24185">
            <v>0</v>
          </cell>
          <cell r="F24185">
            <v>0</v>
          </cell>
          <cell r="DN24185">
            <v>0</v>
          </cell>
        </row>
        <row r="24186">
          <cell r="E24186">
            <v>0</v>
          </cell>
          <cell r="F24186">
            <v>0</v>
          </cell>
          <cell r="DN24186">
            <v>0</v>
          </cell>
        </row>
        <row r="24187">
          <cell r="E24187">
            <v>0</v>
          </cell>
          <cell r="F24187">
            <v>0</v>
          </cell>
          <cell r="DN24187">
            <v>0</v>
          </cell>
        </row>
        <row r="24188">
          <cell r="E24188">
            <v>0</v>
          </cell>
          <cell r="F24188">
            <v>0</v>
          </cell>
          <cell r="DN24188">
            <v>0</v>
          </cell>
        </row>
        <row r="24189">
          <cell r="E24189">
            <v>0</v>
          </cell>
          <cell r="F24189">
            <v>0</v>
          </cell>
          <cell r="DN24189">
            <v>0</v>
          </cell>
        </row>
        <row r="24190">
          <cell r="E24190">
            <v>0</v>
          </cell>
          <cell r="F24190">
            <v>0</v>
          </cell>
          <cell r="DN24190">
            <v>0</v>
          </cell>
        </row>
        <row r="24191">
          <cell r="E24191">
            <v>0</v>
          </cell>
          <cell r="F24191">
            <v>0</v>
          </cell>
          <cell r="DN24191">
            <v>0</v>
          </cell>
        </row>
        <row r="24192">
          <cell r="E24192">
            <v>0</v>
          </cell>
          <cell r="F24192">
            <v>0</v>
          </cell>
          <cell r="DN24192">
            <v>0</v>
          </cell>
        </row>
        <row r="24193">
          <cell r="E24193">
            <v>0</v>
          </cell>
          <cell r="F24193">
            <v>0</v>
          </cell>
          <cell r="DN24193">
            <v>0</v>
          </cell>
        </row>
        <row r="24194">
          <cell r="E24194">
            <v>0</v>
          </cell>
          <cell r="F24194">
            <v>0</v>
          </cell>
          <cell r="DN24194">
            <v>0</v>
          </cell>
        </row>
        <row r="24195">
          <cell r="E24195">
            <v>0</v>
          </cell>
          <cell r="F24195">
            <v>0</v>
          </cell>
          <cell r="DN24195">
            <v>0</v>
          </cell>
        </row>
        <row r="24196">
          <cell r="E24196">
            <v>0</v>
          </cell>
          <cell r="F24196">
            <v>0</v>
          </cell>
          <cell r="DN24196">
            <v>0</v>
          </cell>
        </row>
        <row r="24197">
          <cell r="E24197">
            <v>0</v>
          </cell>
          <cell r="F24197">
            <v>0</v>
          </cell>
          <cell r="DN24197">
            <v>0</v>
          </cell>
        </row>
        <row r="24198">
          <cell r="E24198">
            <v>0</v>
          </cell>
          <cell r="F24198">
            <v>0</v>
          </cell>
          <cell r="DN24198">
            <v>0</v>
          </cell>
        </row>
        <row r="24199">
          <cell r="E24199">
            <v>0</v>
          </cell>
          <cell r="F24199">
            <v>0</v>
          </cell>
          <cell r="DN24199">
            <v>0</v>
          </cell>
        </row>
        <row r="24200">
          <cell r="E24200">
            <v>0</v>
          </cell>
          <cell r="F24200">
            <v>0</v>
          </cell>
          <cell r="DN24200">
            <v>0</v>
          </cell>
        </row>
        <row r="24201">
          <cell r="E24201">
            <v>0</v>
          </cell>
          <cell r="F24201">
            <v>0</v>
          </cell>
          <cell r="DN24201">
            <v>0</v>
          </cell>
        </row>
        <row r="24202">
          <cell r="E24202">
            <v>0</v>
          </cell>
          <cell r="F24202">
            <v>0</v>
          </cell>
          <cell r="DN24202">
            <v>0</v>
          </cell>
        </row>
        <row r="24203">
          <cell r="E24203">
            <v>0</v>
          </cell>
          <cell r="F24203">
            <v>0</v>
          </cell>
          <cell r="DN24203">
            <v>0</v>
          </cell>
        </row>
        <row r="24204">
          <cell r="E24204">
            <v>0</v>
          </cell>
          <cell r="F24204">
            <v>0</v>
          </cell>
          <cell r="DN24204">
            <v>0</v>
          </cell>
        </row>
        <row r="24205">
          <cell r="E24205">
            <v>0</v>
          </cell>
          <cell r="F24205">
            <v>0</v>
          </cell>
          <cell r="DN24205">
            <v>0</v>
          </cell>
        </row>
        <row r="24206">
          <cell r="E24206">
            <v>0</v>
          </cell>
          <cell r="F24206">
            <v>0</v>
          </cell>
          <cell r="DN24206">
            <v>0</v>
          </cell>
        </row>
        <row r="24207">
          <cell r="E24207">
            <v>0</v>
          </cell>
          <cell r="F24207">
            <v>0</v>
          </cell>
          <cell r="DN24207">
            <v>0</v>
          </cell>
        </row>
        <row r="24208">
          <cell r="E24208">
            <v>0</v>
          </cell>
          <cell r="F24208">
            <v>0</v>
          </cell>
          <cell r="DN24208">
            <v>0</v>
          </cell>
        </row>
        <row r="24209">
          <cell r="E24209">
            <v>0</v>
          </cell>
          <cell r="F24209">
            <v>0</v>
          </cell>
          <cell r="DN24209">
            <v>0</v>
          </cell>
        </row>
        <row r="24210">
          <cell r="E24210">
            <v>0</v>
          </cell>
          <cell r="F24210">
            <v>0</v>
          </cell>
          <cell r="DN24210">
            <v>0</v>
          </cell>
        </row>
        <row r="24211">
          <cell r="E24211">
            <v>0</v>
          </cell>
          <cell r="F24211">
            <v>0</v>
          </cell>
          <cell r="DN24211">
            <v>0</v>
          </cell>
        </row>
        <row r="24212">
          <cell r="E24212">
            <v>0</v>
          </cell>
          <cell r="F24212">
            <v>0</v>
          </cell>
          <cell r="DN24212">
            <v>0</v>
          </cell>
        </row>
        <row r="24213">
          <cell r="E24213">
            <v>0</v>
          </cell>
          <cell r="F24213">
            <v>0</v>
          </cell>
          <cell r="DN24213">
            <v>0</v>
          </cell>
        </row>
        <row r="24214">
          <cell r="E24214">
            <v>0</v>
          </cell>
          <cell r="F24214">
            <v>0</v>
          </cell>
          <cell r="DN24214">
            <v>0</v>
          </cell>
        </row>
        <row r="24215">
          <cell r="E24215">
            <v>0</v>
          </cell>
          <cell r="F24215">
            <v>0</v>
          </cell>
          <cell r="DN24215">
            <v>0</v>
          </cell>
        </row>
        <row r="24216">
          <cell r="E24216">
            <v>0</v>
          </cell>
          <cell r="F24216">
            <v>0</v>
          </cell>
          <cell r="DN24216">
            <v>0</v>
          </cell>
        </row>
        <row r="24217">
          <cell r="E24217">
            <v>0</v>
          </cell>
          <cell r="F24217">
            <v>0</v>
          </cell>
          <cell r="DN24217">
            <v>0</v>
          </cell>
        </row>
        <row r="24218">
          <cell r="E24218">
            <v>0</v>
          </cell>
          <cell r="F24218">
            <v>0</v>
          </cell>
          <cell r="DN24218">
            <v>0</v>
          </cell>
        </row>
        <row r="24219">
          <cell r="E24219">
            <v>0</v>
          </cell>
          <cell r="F24219">
            <v>0</v>
          </cell>
          <cell r="DN24219">
            <v>0</v>
          </cell>
        </row>
        <row r="24220">
          <cell r="E24220">
            <v>0</v>
          </cell>
          <cell r="F24220">
            <v>0</v>
          </cell>
          <cell r="DN24220">
            <v>0</v>
          </cell>
        </row>
        <row r="24221">
          <cell r="E24221">
            <v>0</v>
          </cell>
          <cell r="F24221">
            <v>0</v>
          </cell>
          <cell r="DN24221">
            <v>0</v>
          </cell>
        </row>
        <row r="24222">
          <cell r="E24222">
            <v>0</v>
          </cell>
          <cell r="F24222">
            <v>0</v>
          </cell>
          <cell r="DN24222">
            <v>0</v>
          </cell>
        </row>
        <row r="24223">
          <cell r="E24223">
            <v>0</v>
          </cell>
          <cell r="F24223">
            <v>0</v>
          </cell>
          <cell r="DN24223">
            <v>0</v>
          </cell>
        </row>
        <row r="24224">
          <cell r="E24224">
            <v>0</v>
          </cell>
          <cell r="F24224">
            <v>0</v>
          </cell>
          <cell r="DN24224">
            <v>0</v>
          </cell>
        </row>
        <row r="24225">
          <cell r="E24225">
            <v>0</v>
          </cell>
          <cell r="F24225">
            <v>0</v>
          </cell>
          <cell r="DN24225">
            <v>0</v>
          </cell>
        </row>
        <row r="24226">
          <cell r="E24226">
            <v>0</v>
          </cell>
          <cell r="F24226">
            <v>0</v>
          </cell>
          <cell r="DN24226">
            <v>0</v>
          </cell>
        </row>
        <row r="24227">
          <cell r="E24227">
            <v>0</v>
          </cell>
          <cell r="F24227">
            <v>0</v>
          </cell>
          <cell r="DN24227">
            <v>0</v>
          </cell>
        </row>
        <row r="24228">
          <cell r="E24228">
            <v>0</v>
          </cell>
          <cell r="F24228">
            <v>0</v>
          </cell>
          <cell r="DN24228">
            <v>0</v>
          </cell>
        </row>
        <row r="24229">
          <cell r="E24229">
            <v>0</v>
          </cell>
          <cell r="F24229">
            <v>0</v>
          </cell>
          <cell r="DN24229">
            <v>0</v>
          </cell>
        </row>
        <row r="24230">
          <cell r="E24230">
            <v>0</v>
          </cell>
          <cell r="F24230">
            <v>0</v>
          </cell>
          <cell r="DN24230">
            <v>0</v>
          </cell>
        </row>
        <row r="24231">
          <cell r="E24231">
            <v>0</v>
          </cell>
          <cell r="F24231">
            <v>0</v>
          </cell>
          <cell r="DN24231">
            <v>0</v>
          </cell>
        </row>
        <row r="24232">
          <cell r="E24232">
            <v>0</v>
          </cell>
          <cell r="F24232">
            <v>0</v>
          </cell>
          <cell r="DN24232">
            <v>0</v>
          </cell>
        </row>
        <row r="24233">
          <cell r="E24233">
            <v>0</v>
          </cell>
          <cell r="F24233">
            <v>0</v>
          </cell>
          <cell r="DN24233">
            <v>0</v>
          </cell>
        </row>
        <row r="24234">
          <cell r="E24234">
            <v>0</v>
          </cell>
          <cell r="F24234">
            <v>0</v>
          </cell>
          <cell r="DN24234">
            <v>0</v>
          </cell>
        </row>
        <row r="24235">
          <cell r="E24235">
            <v>0</v>
          </cell>
          <cell r="F24235">
            <v>0</v>
          </cell>
          <cell r="DN24235">
            <v>0</v>
          </cell>
        </row>
        <row r="24236">
          <cell r="E24236">
            <v>0</v>
          </cell>
          <cell r="F24236">
            <v>0</v>
          </cell>
          <cell r="DN24236">
            <v>0</v>
          </cell>
        </row>
        <row r="24237">
          <cell r="E24237">
            <v>0</v>
          </cell>
          <cell r="F24237">
            <v>0</v>
          </cell>
          <cell r="DN24237">
            <v>0</v>
          </cell>
        </row>
        <row r="24238">
          <cell r="E24238">
            <v>0</v>
          </cell>
          <cell r="F24238">
            <v>0</v>
          </cell>
          <cell r="DN24238">
            <v>0</v>
          </cell>
        </row>
        <row r="24239">
          <cell r="E24239">
            <v>0</v>
          </cell>
          <cell r="F24239">
            <v>0</v>
          </cell>
          <cell r="DN24239">
            <v>0</v>
          </cell>
        </row>
        <row r="24240">
          <cell r="E24240">
            <v>0</v>
          </cell>
          <cell r="F24240">
            <v>0</v>
          </cell>
          <cell r="DN24240">
            <v>0</v>
          </cell>
        </row>
        <row r="24241">
          <cell r="E24241">
            <v>0</v>
          </cell>
          <cell r="F24241">
            <v>0</v>
          </cell>
          <cell r="DN24241">
            <v>0</v>
          </cell>
        </row>
        <row r="24242">
          <cell r="E24242">
            <v>0</v>
          </cell>
          <cell r="F24242">
            <v>0</v>
          </cell>
          <cell r="DN24242">
            <v>0</v>
          </cell>
        </row>
        <row r="24243">
          <cell r="E24243">
            <v>0</v>
          </cell>
          <cell r="F24243">
            <v>0</v>
          </cell>
          <cell r="DN24243">
            <v>0</v>
          </cell>
        </row>
        <row r="24244">
          <cell r="E24244">
            <v>0</v>
          </cell>
          <cell r="F24244">
            <v>0</v>
          </cell>
          <cell r="DN24244">
            <v>0</v>
          </cell>
        </row>
        <row r="24245">
          <cell r="E24245">
            <v>0</v>
          </cell>
          <cell r="F24245">
            <v>0</v>
          </cell>
          <cell r="DN24245">
            <v>0</v>
          </cell>
        </row>
        <row r="24246">
          <cell r="E24246">
            <v>0</v>
          </cell>
          <cell r="F24246">
            <v>0</v>
          </cell>
          <cell r="DN24246">
            <v>0</v>
          </cell>
        </row>
        <row r="24247">
          <cell r="E24247">
            <v>0</v>
          </cell>
          <cell r="F24247">
            <v>0</v>
          </cell>
          <cell r="DN24247">
            <v>0</v>
          </cell>
        </row>
        <row r="24248">
          <cell r="E24248">
            <v>0</v>
          </cell>
          <cell r="F24248">
            <v>0</v>
          </cell>
          <cell r="DN24248">
            <v>0</v>
          </cell>
        </row>
        <row r="24249">
          <cell r="E24249">
            <v>0</v>
          </cell>
          <cell r="F24249">
            <v>0</v>
          </cell>
          <cell r="DN24249">
            <v>0</v>
          </cell>
        </row>
        <row r="24250">
          <cell r="E24250">
            <v>0</v>
          </cell>
          <cell r="F24250">
            <v>0</v>
          </cell>
          <cell r="DN24250">
            <v>0</v>
          </cell>
        </row>
        <row r="24251">
          <cell r="E24251">
            <v>0</v>
          </cell>
          <cell r="F24251">
            <v>0</v>
          </cell>
          <cell r="DN24251">
            <v>0</v>
          </cell>
        </row>
        <row r="24252">
          <cell r="E24252">
            <v>0</v>
          </cell>
          <cell r="F24252">
            <v>0</v>
          </cell>
          <cell r="DN24252">
            <v>0</v>
          </cell>
        </row>
        <row r="24253">
          <cell r="E24253">
            <v>0</v>
          </cell>
          <cell r="F24253">
            <v>0</v>
          </cell>
          <cell r="DN24253">
            <v>0</v>
          </cell>
        </row>
        <row r="24254">
          <cell r="E24254">
            <v>0</v>
          </cell>
          <cell r="F24254">
            <v>0</v>
          </cell>
          <cell r="DN24254">
            <v>0</v>
          </cell>
        </row>
        <row r="24255">
          <cell r="E24255">
            <v>0</v>
          </cell>
          <cell r="F24255">
            <v>0</v>
          </cell>
          <cell r="DN24255">
            <v>0</v>
          </cell>
        </row>
        <row r="24256">
          <cell r="E24256">
            <v>0</v>
          </cell>
          <cell r="F24256">
            <v>0</v>
          </cell>
          <cell r="DN24256">
            <v>0</v>
          </cell>
        </row>
        <row r="24257">
          <cell r="E24257">
            <v>0</v>
          </cell>
          <cell r="F24257">
            <v>0</v>
          </cell>
          <cell r="DN24257">
            <v>0</v>
          </cell>
        </row>
        <row r="24258">
          <cell r="E24258">
            <v>0</v>
          </cell>
          <cell r="F24258">
            <v>0</v>
          </cell>
          <cell r="DN24258">
            <v>0</v>
          </cell>
        </row>
        <row r="24259">
          <cell r="E24259">
            <v>0</v>
          </cell>
          <cell r="F24259">
            <v>0</v>
          </cell>
          <cell r="DN24259">
            <v>0</v>
          </cell>
        </row>
        <row r="24260">
          <cell r="E24260">
            <v>0</v>
          </cell>
          <cell r="F24260">
            <v>0</v>
          </cell>
          <cell r="DN24260">
            <v>0</v>
          </cell>
        </row>
        <row r="24261">
          <cell r="E24261">
            <v>0</v>
          </cell>
          <cell r="F24261">
            <v>0</v>
          </cell>
          <cell r="DN24261">
            <v>0</v>
          </cell>
        </row>
        <row r="24262">
          <cell r="E24262">
            <v>0</v>
          </cell>
          <cell r="F24262">
            <v>0</v>
          </cell>
          <cell r="DN24262">
            <v>0</v>
          </cell>
        </row>
        <row r="24263">
          <cell r="E24263">
            <v>0</v>
          </cell>
          <cell r="F24263">
            <v>0</v>
          </cell>
          <cell r="DN24263">
            <v>0</v>
          </cell>
        </row>
        <row r="24264">
          <cell r="E24264">
            <v>0</v>
          </cell>
          <cell r="F24264">
            <v>0</v>
          </cell>
          <cell r="DN24264">
            <v>0</v>
          </cell>
        </row>
        <row r="24265">
          <cell r="E24265">
            <v>0</v>
          </cell>
          <cell r="F24265">
            <v>0</v>
          </cell>
          <cell r="DN24265">
            <v>0</v>
          </cell>
        </row>
        <row r="24266">
          <cell r="E24266">
            <v>0</v>
          </cell>
          <cell r="F24266">
            <v>0</v>
          </cell>
          <cell r="DN24266">
            <v>0</v>
          </cell>
        </row>
        <row r="24267">
          <cell r="E24267">
            <v>0</v>
          </cell>
          <cell r="F24267">
            <v>0</v>
          </cell>
          <cell r="DN24267">
            <v>0</v>
          </cell>
        </row>
        <row r="24268">
          <cell r="E24268">
            <v>0</v>
          </cell>
          <cell r="F24268">
            <v>0</v>
          </cell>
          <cell r="DN24268">
            <v>0</v>
          </cell>
        </row>
        <row r="24269">
          <cell r="E24269">
            <v>0</v>
          </cell>
          <cell r="F24269">
            <v>0</v>
          </cell>
          <cell r="DN24269">
            <v>0</v>
          </cell>
        </row>
        <row r="24270">
          <cell r="E24270">
            <v>0</v>
          </cell>
          <cell r="F24270">
            <v>0</v>
          </cell>
          <cell r="DN24270">
            <v>0</v>
          </cell>
        </row>
        <row r="24271">
          <cell r="E24271">
            <v>0</v>
          </cell>
          <cell r="F24271">
            <v>0</v>
          </cell>
          <cell r="DN24271">
            <v>0</v>
          </cell>
        </row>
        <row r="24272">
          <cell r="E24272">
            <v>0</v>
          </cell>
          <cell r="F24272">
            <v>0</v>
          </cell>
          <cell r="DN24272">
            <v>0</v>
          </cell>
        </row>
        <row r="24273">
          <cell r="E24273">
            <v>0</v>
          </cell>
          <cell r="F24273">
            <v>0</v>
          </cell>
          <cell r="DN24273">
            <v>0</v>
          </cell>
        </row>
        <row r="24274">
          <cell r="E24274">
            <v>0</v>
          </cell>
          <cell r="F24274">
            <v>0</v>
          </cell>
          <cell r="DN24274">
            <v>0</v>
          </cell>
        </row>
        <row r="24275">
          <cell r="E24275">
            <v>0</v>
          </cell>
          <cell r="F24275">
            <v>0</v>
          </cell>
          <cell r="DN24275">
            <v>0</v>
          </cell>
        </row>
        <row r="24276">
          <cell r="E24276">
            <v>0</v>
          </cell>
          <cell r="F24276">
            <v>0</v>
          </cell>
          <cell r="DN24276">
            <v>0</v>
          </cell>
        </row>
        <row r="24277">
          <cell r="E24277">
            <v>0</v>
          </cell>
          <cell r="F24277">
            <v>0</v>
          </cell>
          <cell r="DN24277">
            <v>0</v>
          </cell>
        </row>
        <row r="24278">
          <cell r="E24278">
            <v>0</v>
          </cell>
          <cell r="F24278">
            <v>0</v>
          </cell>
          <cell r="DN24278">
            <v>0</v>
          </cell>
        </row>
        <row r="24279">
          <cell r="E24279">
            <v>0</v>
          </cell>
          <cell r="F24279">
            <v>0</v>
          </cell>
          <cell r="DN24279">
            <v>0</v>
          </cell>
        </row>
        <row r="24280">
          <cell r="E24280">
            <v>0</v>
          </cell>
          <cell r="F24280">
            <v>0</v>
          </cell>
          <cell r="DN24280">
            <v>0</v>
          </cell>
        </row>
        <row r="24281">
          <cell r="E24281">
            <v>0</v>
          </cell>
          <cell r="F24281">
            <v>0</v>
          </cell>
          <cell r="DN24281">
            <v>0</v>
          </cell>
        </row>
        <row r="24282">
          <cell r="E24282">
            <v>0</v>
          </cell>
          <cell r="F24282">
            <v>0</v>
          </cell>
          <cell r="DN24282">
            <v>0</v>
          </cell>
        </row>
        <row r="24283">
          <cell r="E24283">
            <v>0</v>
          </cell>
          <cell r="F24283">
            <v>0</v>
          </cell>
          <cell r="DN24283">
            <v>0</v>
          </cell>
        </row>
        <row r="24284">
          <cell r="E24284">
            <v>0</v>
          </cell>
          <cell r="F24284">
            <v>0</v>
          </cell>
          <cell r="DN24284">
            <v>0</v>
          </cell>
        </row>
        <row r="24285">
          <cell r="E24285">
            <v>0</v>
          </cell>
          <cell r="F24285">
            <v>0</v>
          </cell>
          <cell r="DN24285">
            <v>0</v>
          </cell>
        </row>
        <row r="24286">
          <cell r="E24286">
            <v>0</v>
          </cell>
          <cell r="F24286">
            <v>0</v>
          </cell>
          <cell r="DN24286">
            <v>0</v>
          </cell>
        </row>
        <row r="24287">
          <cell r="E24287">
            <v>0</v>
          </cell>
          <cell r="F24287">
            <v>0</v>
          </cell>
          <cell r="DN24287">
            <v>0</v>
          </cell>
        </row>
        <row r="24288">
          <cell r="E24288">
            <v>0</v>
          </cell>
          <cell r="F24288">
            <v>0</v>
          </cell>
          <cell r="DN24288">
            <v>0</v>
          </cell>
        </row>
        <row r="24289">
          <cell r="E24289">
            <v>0</v>
          </cell>
          <cell r="F24289">
            <v>0</v>
          </cell>
          <cell r="DN24289">
            <v>0</v>
          </cell>
        </row>
        <row r="24290">
          <cell r="E24290">
            <v>0</v>
          </cell>
          <cell r="F24290">
            <v>0</v>
          </cell>
          <cell r="DN24290">
            <v>0</v>
          </cell>
        </row>
        <row r="24291">
          <cell r="E24291">
            <v>0</v>
          </cell>
          <cell r="F24291">
            <v>0</v>
          </cell>
          <cell r="DN24291">
            <v>0</v>
          </cell>
        </row>
        <row r="24292">
          <cell r="E24292">
            <v>0</v>
          </cell>
          <cell r="F24292">
            <v>0</v>
          </cell>
          <cell r="DN24292">
            <v>0</v>
          </cell>
        </row>
        <row r="24293">
          <cell r="E24293">
            <v>0</v>
          </cell>
          <cell r="F24293">
            <v>0</v>
          </cell>
          <cell r="DN24293">
            <v>0</v>
          </cell>
        </row>
        <row r="24294">
          <cell r="E24294">
            <v>0</v>
          </cell>
          <cell r="F24294">
            <v>0</v>
          </cell>
          <cell r="DN24294">
            <v>0</v>
          </cell>
        </row>
        <row r="24295">
          <cell r="E24295">
            <v>0</v>
          </cell>
          <cell r="F24295">
            <v>0</v>
          </cell>
          <cell r="DN24295">
            <v>0</v>
          </cell>
        </row>
        <row r="24296">
          <cell r="E24296">
            <v>0</v>
          </cell>
          <cell r="F24296">
            <v>0</v>
          </cell>
          <cell r="DN24296">
            <v>0</v>
          </cell>
        </row>
        <row r="24297">
          <cell r="E24297">
            <v>0</v>
          </cell>
          <cell r="F24297">
            <v>0</v>
          </cell>
          <cell r="DN24297">
            <v>0</v>
          </cell>
        </row>
        <row r="24298">
          <cell r="E24298">
            <v>0</v>
          </cell>
          <cell r="F24298">
            <v>0</v>
          </cell>
          <cell r="DN24298">
            <v>0</v>
          </cell>
        </row>
        <row r="24299">
          <cell r="E24299">
            <v>0</v>
          </cell>
          <cell r="F24299">
            <v>0</v>
          </cell>
          <cell r="DN24299">
            <v>0</v>
          </cell>
        </row>
        <row r="24300">
          <cell r="E24300">
            <v>0</v>
          </cell>
          <cell r="F24300">
            <v>0</v>
          </cell>
          <cell r="DN24300">
            <v>0</v>
          </cell>
        </row>
        <row r="24301">
          <cell r="E24301">
            <v>0</v>
          </cell>
          <cell r="F24301">
            <v>0</v>
          </cell>
          <cell r="DN24301">
            <v>0</v>
          </cell>
        </row>
        <row r="24302">
          <cell r="E24302">
            <v>0</v>
          </cell>
          <cell r="F24302">
            <v>0</v>
          </cell>
          <cell r="DN24302">
            <v>0</v>
          </cell>
        </row>
        <row r="24303">
          <cell r="E24303">
            <v>0</v>
          </cell>
          <cell r="F24303">
            <v>0</v>
          </cell>
          <cell r="DN24303">
            <v>0</v>
          </cell>
        </row>
        <row r="24304">
          <cell r="E24304">
            <v>0</v>
          </cell>
          <cell r="F24304">
            <v>0</v>
          </cell>
          <cell r="DN24304">
            <v>0</v>
          </cell>
        </row>
        <row r="24305">
          <cell r="E24305">
            <v>0</v>
          </cell>
          <cell r="F24305">
            <v>0</v>
          </cell>
          <cell r="DN24305">
            <v>0</v>
          </cell>
        </row>
        <row r="24306">
          <cell r="E24306">
            <v>0</v>
          </cell>
          <cell r="F24306">
            <v>0</v>
          </cell>
          <cell r="DN24306">
            <v>0</v>
          </cell>
        </row>
        <row r="24307">
          <cell r="E24307">
            <v>0</v>
          </cell>
          <cell r="F24307">
            <v>0</v>
          </cell>
          <cell r="DN24307">
            <v>0</v>
          </cell>
        </row>
        <row r="24308">
          <cell r="E24308">
            <v>0</v>
          </cell>
          <cell r="F24308">
            <v>0</v>
          </cell>
          <cell r="DN24308">
            <v>0</v>
          </cell>
        </row>
        <row r="24309">
          <cell r="E24309">
            <v>0</v>
          </cell>
          <cell r="F24309">
            <v>0</v>
          </cell>
          <cell r="DN24309">
            <v>0</v>
          </cell>
        </row>
        <row r="24310">
          <cell r="E24310">
            <v>0</v>
          </cell>
          <cell r="F24310">
            <v>0</v>
          </cell>
          <cell r="DN24310">
            <v>0</v>
          </cell>
        </row>
        <row r="24311">
          <cell r="E24311">
            <v>0</v>
          </cell>
          <cell r="F24311">
            <v>0</v>
          </cell>
          <cell r="DN24311">
            <v>0</v>
          </cell>
        </row>
        <row r="24312">
          <cell r="E24312">
            <v>0</v>
          </cell>
          <cell r="F24312">
            <v>0</v>
          </cell>
          <cell r="DN24312">
            <v>0</v>
          </cell>
        </row>
        <row r="24313">
          <cell r="E24313">
            <v>0</v>
          </cell>
          <cell r="F24313">
            <v>0</v>
          </cell>
          <cell r="DN24313">
            <v>0</v>
          </cell>
        </row>
        <row r="24314">
          <cell r="E24314">
            <v>0</v>
          </cell>
          <cell r="F24314">
            <v>0</v>
          </cell>
          <cell r="DN24314">
            <v>0</v>
          </cell>
        </row>
        <row r="24315">
          <cell r="E24315">
            <v>0</v>
          </cell>
          <cell r="F24315">
            <v>0</v>
          </cell>
          <cell r="DN24315">
            <v>0</v>
          </cell>
        </row>
        <row r="24316">
          <cell r="E24316">
            <v>0</v>
          </cell>
          <cell r="F24316">
            <v>0</v>
          </cell>
          <cell r="DN24316">
            <v>0</v>
          </cell>
        </row>
        <row r="24317">
          <cell r="E24317">
            <v>0</v>
          </cell>
          <cell r="F24317">
            <v>0</v>
          </cell>
          <cell r="DN24317">
            <v>0</v>
          </cell>
        </row>
        <row r="24318">
          <cell r="E24318">
            <v>0</v>
          </cell>
          <cell r="F24318">
            <v>0</v>
          </cell>
          <cell r="DN24318">
            <v>0</v>
          </cell>
        </row>
        <row r="24319">
          <cell r="E24319">
            <v>0</v>
          </cell>
          <cell r="F24319">
            <v>0</v>
          </cell>
          <cell r="DN24319">
            <v>0</v>
          </cell>
        </row>
        <row r="24320">
          <cell r="E24320">
            <v>0</v>
          </cell>
          <cell r="F24320">
            <v>0</v>
          </cell>
          <cell r="DN24320">
            <v>0</v>
          </cell>
        </row>
        <row r="24321">
          <cell r="E24321">
            <v>0</v>
          </cell>
          <cell r="F24321">
            <v>0</v>
          </cell>
          <cell r="DN24321">
            <v>0</v>
          </cell>
        </row>
        <row r="24322">
          <cell r="E24322">
            <v>0</v>
          </cell>
          <cell r="F24322">
            <v>0</v>
          </cell>
          <cell r="DN24322">
            <v>0</v>
          </cell>
        </row>
        <row r="24323">
          <cell r="E24323">
            <v>0</v>
          </cell>
          <cell r="F24323">
            <v>0</v>
          </cell>
          <cell r="DN24323">
            <v>0</v>
          </cell>
        </row>
        <row r="24324">
          <cell r="E24324">
            <v>0</v>
          </cell>
          <cell r="F24324">
            <v>0</v>
          </cell>
          <cell r="DN24324">
            <v>0</v>
          </cell>
        </row>
        <row r="24325">
          <cell r="E24325">
            <v>0</v>
          </cell>
          <cell r="F24325">
            <v>0</v>
          </cell>
          <cell r="DN24325">
            <v>0</v>
          </cell>
        </row>
        <row r="24326">
          <cell r="E24326">
            <v>0</v>
          </cell>
          <cell r="F24326">
            <v>0</v>
          </cell>
          <cell r="DN24326">
            <v>0</v>
          </cell>
        </row>
        <row r="24327">
          <cell r="E24327">
            <v>0</v>
          </cell>
          <cell r="F24327">
            <v>0</v>
          </cell>
          <cell r="DN24327">
            <v>0</v>
          </cell>
        </row>
        <row r="24328">
          <cell r="E24328">
            <v>0</v>
          </cell>
          <cell r="F24328">
            <v>0</v>
          </cell>
          <cell r="DN24328">
            <v>0</v>
          </cell>
        </row>
        <row r="24329">
          <cell r="E24329">
            <v>0</v>
          </cell>
          <cell r="F24329">
            <v>0</v>
          </cell>
          <cell r="DN24329">
            <v>0</v>
          </cell>
        </row>
        <row r="24330">
          <cell r="E24330">
            <v>0</v>
          </cell>
          <cell r="F24330">
            <v>0</v>
          </cell>
          <cell r="DN24330">
            <v>0</v>
          </cell>
        </row>
        <row r="24331">
          <cell r="E24331">
            <v>0</v>
          </cell>
          <cell r="F24331">
            <v>0</v>
          </cell>
          <cell r="DN24331">
            <v>0</v>
          </cell>
        </row>
        <row r="24332">
          <cell r="E24332">
            <v>0</v>
          </cell>
          <cell r="F24332">
            <v>0</v>
          </cell>
          <cell r="DN24332">
            <v>0</v>
          </cell>
        </row>
        <row r="24333">
          <cell r="E24333">
            <v>0</v>
          </cell>
          <cell r="F24333">
            <v>0</v>
          </cell>
          <cell r="DN24333">
            <v>0</v>
          </cell>
        </row>
        <row r="24334">
          <cell r="E24334">
            <v>0</v>
          </cell>
          <cell r="F24334">
            <v>0</v>
          </cell>
          <cell r="DN24334">
            <v>0</v>
          </cell>
        </row>
        <row r="24335">
          <cell r="E24335">
            <v>0</v>
          </cell>
          <cell r="F24335">
            <v>0</v>
          </cell>
          <cell r="DN24335">
            <v>0</v>
          </cell>
        </row>
        <row r="24336">
          <cell r="E24336">
            <v>0</v>
          </cell>
          <cell r="F24336">
            <v>0</v>
          </cell>
          <cell r="DN24336">
            <v>0</v>
          </cell>
        </row>
        <row r="24337">
          <cell r="E24337">
            <v>0</v>
          </cell>
          <cell r="F24337">
            <v>0</v>
          </cell>
          <cell r="DN24337">
            <v>0</v>
          </cell>
        </row>
        <row r="24338">
          <cell r="E24338">
            <v>0</v>
          </cell>
          <cell r="F24338">
            <v>0</v>
          </cell>
          <cell r="DN24338">
            <v>0</v>
          </cell>
        </row>
        <row r="24339">
          <cell r="E24339">
            <v>0</v>
          </cell>
          <cell r="F24339">
            <v>0</v>
          </cell>
          <cell r="DN24339">
            <v>0</v>
          </cell>
        </row>
        <row r="24340">
          <cell r="E24340">
            <v>0</v>
          </cell>
          <cell r="F24340">
            <v>0</v>
          </cell>
          <cell r="DN24340">
            <v>0</v>
          </cell>
        </row>
        <row r="24341">
          <cell r="E24341">
            <v>0</v>
          </cell>
          <cell r="F24341">
            <v>0</v>
          </cell>
          <cell r="DN24341">
            <v>0</v>
          </cell>
        </row>
        <row r="24342">
          <cell r="E24342">
            <v>0</v>
          </cell>
          <cell r="F24342">
            <v>0</v>
          </cell>
          <cell r="DN24342">
            <v>0</v>
          </cell>
        </row>
        <row r="24343">
          <cell r="E24343">
            <v>0</v>
          </cell>
          <cell r="F24343">
            <v>0</v>
          </cell>
          <cell r="DN24343">
            <v>0</v>
          </cell>
        </row>
        <row r="24344">
          <cell r="E24344">
            <v>0</v>
          </cell>
          <cell r="F24344">
            <v>0</v>
          </cell>
          <cell r="DN24344">
            <v>0</v>
          </cell>
        </row>
        <row r="24345">
          <cell r="E24345">
            <v>0</v>
          </cell>
          <cell r="F24345">
            <v>0</v>
          </cell>
          <cell r="DN24345">
            <v>0</v>
          </cell>
        </row>
        <row r="24346">
          <cell r="E24346">
            <v>0</v>
          </cell>
          <cell r="F24346">
            <v>0</v>
          </cell>
          <cell r="DN24346">
            <v>0</v>
          </cell>
        </row>
        <row r="24347">
          <cell r="E24347">
            <v>0</v>
          </cell>
          <cell r="F24347">
            <v>0</v>
          </cell>
          <cell r="DN24347">
            <v>0</v>
          </cell>
        </row>
        <row r="24348">
          <cell r="E24348">
            <v>0</v>
          </cell>
          <cell r="F24348">
            <v>0</v>
          </cell>
          <cell r="DN24348">
            <v>0</v>
          </cell>
        </row>
        <row r="24349">
          <cell r="E24349">
            <v>0</v>
          </cell>
          <cell r="F24349">
            <v>0</v>
          </cell>
          <cell r="DN24349">
            <v>0</v>
          </cell>
        </row>
        <row r="24350">
          <cell r="E24350">
            <v>0</v>
          </cell>
          <cell r="F24350">
            <v>0</v>
          </cell>
          <cell r="DN24350">
            <v>0</v>
          </cell>
        </row>
        <row r="24351">
          <cell r="E24351">
            <v>0</v>
          </cell>
          <cell r="F24351">
            <v>0</v>
          </cell>
          <cell r="DN24351">
            <v>0</v>
          </cell>
        </row>
        <row r="24352">
          <cell r="E24352">
            <v>0</v>
          </cell>
          <cell r="F24352">
            <v>0</v>
          </cell>
          <cell r="DN24352">
            <v>0</v>
          </cell>
        </row>
        <row r="24353">
          <cell r="E24353">
            <v>0</v>
          </cell>
          <cell r="F24353">
            <v>0</v>
          </cell>
          <cell r="DN24353">
            <v>0</v>
          </cell>
        </row>
        <row r="24354">
          <cell r="E24354">
            <v>0</v>
          </cell>
          <cell r="F24354">
            <v>0</v>
          </cell>
          <cell r="DN24354">
            <v>0</v>
          </cell>
        </row>
        <row r="24355">
          <cell r="E24355">
            <v>0</v>
          </cell>
          <cell r="F24355">
            <v>0</v>
          </cell>
          <cell r="DN24355">
            <v>0</v>
          </cell>
        </row>
        <row r="24356">
          <cell r="E24356">
            <v>0</v>
          </cell>
          <cell r="F24356">
            <v>0</v>
          </cell>
          <cell r="DN24356">
            <v>0</v>
          </cell>
        </row>
        <row r="24357">
          <cell r="E24357">
            <v>0</v>
          </cell>
          <cell r="F24357">
            <v>0</v>
          </cell>
          <cell r="DN24357">
            <v>0</v>
          </cell>
        </row>
        <row r="24358">
          <cell r="E24358">
            <v>0</v>
          </cell>
          <cell r="F24358">
            <v>0</v>
          </cell>
          <cell r="DN24358">
            <v>0</v>
          </cell>
        </row>
        <row r="24359">
          <cell r="E24359">
            <v>0</v>
          </cell>
          <cell r="F24359">
            <v>0</v>
          </cell>
          <cell r="DN24359">
            <v>0</v>
          </cell>
        </row>
        <row r="24360">
          <cell r="E24360">
            <v>0</v>
          </cell>
          <cell r="F24360">
            <v>0</v>
          </cell>
          <cell r="DN24360">
            <v>0</v>
          </cell>
        </row>
        <row r="24361">
          <cell r="E24361">
            <v>0</v>
          </cell>
          <cell r="F24361">
            <v>0</v>
          </cell>
          <cell r="DN24361">
            <v>0</v>
          </cell>
        </row>
        <row r="24362">
          <cell r="E24362">
            <v>0</v>
          </cell>
          <cell r="F24362">
            <v>0</v>
          </cell>
          <cell r="DN24362">
            <v>0</v>
          </cell>
        </row>
        <row r="24363">
          <cell r="E24363">
            <v>0</v>
          </cell>
          <cell r="F24363">
            <v>0</v>
          </cell>
          <cell r="DN24363">
            <v>0</v>
          </cell>
        </row>
        <row r="24364">
          <cell r="E24364">
            <v>0</v>
          </cell>
          <cell r="F24364">
            <v>0</v>
          </cell>
          <cell r="DN24364">
            <v>0</v>
          </cell>
        </row>
        <row r="24365">
          <cell r="E24365">
            <v>0</v>
          </cell>
          <cell r="F24365">
            <v>0</v>
          </cell>
          <cell r="DN24365">
            <v>0</v>
          </cell>
        </row>
        <row r="24366">
          <cell r="E24366">
            <v>0</v>
          </cell>
          <cell r="F24366">
            <v>0</v>
          </cell>
          <cell r="DN24366">
            <v>0</v>
          </cell>
        </row>
        <row r="24367">
          <cell r="E24367">
            <v>0</v>
          </cell>
          <cell r="F24367">
            <v>0</v>
          </cell>
          <cell r="DN24367">
            <v>0</v>
          </cell>
        </row>
        <row r="24368">
          <cell r="E24368">
            <v>0</v>
          </cell>
          <cell r="F24368">
            <v>0</v>
          </cell>
          <cell r="DN24368">
            <v>0</v>
          </cell>
        </row>
        <row r="24369">
          <cell r="E24369">
            <v>0</v>
          </cell>
          <cell r="F24369">
            <v>0</v>
          </cell>
          <cell r="DN24369">
            <v>0</v>
          </cell>
        </row>
        <row r="24370">
          <cell r="E24370">
            <v>0</v>
          </cell>
          <cell r="F24370">
            <v>0</v>
          </cell>
          <cell r="DN24370">
            <v>0</v>
          </cell>
        </row>
        <row r="24371">
          <cell r="E24371">
            <v>0</v>
          </cell>
          <cell r="F24371">
            <v>0</v>
          </cell>
          <cell r="DN24371">
            <v>0</v>
          </cell>
        </row>
        <row r="24372">
          <cell r="E24372">
            <v>0</v>
          </cell>
          <cell r="F24372">
            <v>0</v>
          </cell>
          <cell r="DN24372">
            <v>0</v>
          </cell>
        </row>
        <row r="24373">
          <cell r="E24373">
            <v>0</v>
          </cell>
          <cell r="F24373">
            <v>0</v>
          </cell>
          <cell r="DN24373">
            <v>0</v>
          </cell>
        </row>
        <row r="24374">
          <cell r="E24374">
            <v>0</v>
          </cell>
          <cell r="F24374">
            <v>0</v>
          </cell>
          <cell r="DN24374">
            <v>0</v>
          </cell>
        </row>
        <row r="24375">
          <cell r="E24375">
            <v>0</v>
          </cell>
          <cell r="F24375">
            <v>0</v>
          </cell>
          <cell r="DN24375">
            <v>0</v>
          </cell>
        </row>
        <row r="24376">
          <cell r="E24376">
            <v>0</v>
          </cell>
          <cell r="F24376">
            <v>0</v>
          </cell>
          <cell r="DN24376">
            <v>0</v>
          </cell>
        </row>
        <row r="24377">
          <cell r="E24377">
            <v>0</v>
          </cell>
          <cell r="F24377">
            <v>0</v>
          </cell>
          <cell r="DN24377">
            <v>0</v>
          </cell>
        </row>
        <row r="24378">
          <cell r="E24378">
            <v>0</v>
          </cell>
          <cell r="F24378">
            <v>0</v>
          </cell>
          <cell r="DN24378">
            <v>0</v>
          </cell>
        </row>
        <row r="24379">
          <cell r="E24379">
            <v>0</v>
          </cell>
          <cell r="F24379">
            <v>0</v>
          </cell>
          <cell r="DN24379">
            <v>0</v>
          </cell>
        </row>
        <row r="24380">
          <cell r="E24380">
            <v>0</v>
          </cell>
          <cell r="F24380">
            <v>0</v>
          </cell>
          <cell r="DN24380">
            <v>0</v>
          </cell>
        </row>
        <row r="24381">
          <cell r="E24381">
            <v>0</v>
          </cell>
          <cell r="F24381">
            <v>0</v>
          </cell>
          <cell r="DN24381">
            <v>0</v>
          </cell>
        </row>
        <row r="24382">
          <cell r="E24382">
            <v>0</v>
          </cell>
          <cell r="F24382">
            <v>0</v>
          </cell>
          <cell r="DN24382">
            <v>0</v>
          </cell>
        </row>
        <row r="24383">
          <cell r="E24383">
            <v>0</v>
          </cell>
          <cell r="F24383">
            <v>0</v>
          </cell>
          <cell r="DN24383">
            <v>0</v>
          </cell>
        </row>
        <row r="24384">
          <cell r="E24384">
            <v>0</v>
          </cell>
          <cell r="F24384">
            <v>0</v>
          </cell>
          <cell r="DN24384">
            <v>0</v>
          </cell>
        </row>
        <row r="24385">
          <cell r="E24385">
            <v>0</v>
          </cell>
          <cell r="F24385">
            <v>0</v>
          </cell>
          <cell r="DN24385">
            <v>0</v>
          </cell>
        </row>
        <row r="24386">
          <cell r="E24386">
            <v>0</v>
          </cell>
          <cell r="F24386">
            <v>0</v>
          </cell>
          <cell r="DN24386">
            <v>0</v>
          </cell>
        </row>
        <row r="24387">
          <cell r="E24387">
            <v>0</v>
          </cell>
          <cell r="F24387">
            <v>0</v>
          </cell>
          <cell r="DN24387">
            <v>0</v>
          </cell>
        </row>
        <row r="24388">
          <cell r="E24388">
            <v>0</v>
          </cell>
          <cell r="F24388">
            <v>0</v>
          </cell>
          <cell r="DN24388">
            <v>0</v>
          </cell>
        </row>
        <row r="24389">
          <cell r="E24389">
            <v>0</v>
          </cell>
          <cell r="F24389">
            <v>0</v>
          </cell>
          <cell r="DN24389">
            <v>0</v>
          </cell>
        </row>
        <row r="24390">
          <cell r="E24390">
            <v>0</v>
          </cell>
          <cell r="F24390">
            <v>0</v>
          </cell>
          <cell r="DN24390">
            <v>0</v>
          </cell>
        </row>
        <row r="24391">
          <cell r="E24391">
            <v>0</v>
          </cell>
          <cell r="F24391">
            <v>0</v>
          </cell>
          <cell r="DN24391">
            <v>0</v>
          </cell>
        </row>
        <row r="24392">
          <cell r="E24392">
            <v>0</v>
          </cell>
          <cell r="F24392">
            <v>0</v>
          </cell>
          <cell r="DN24392">
            <v>0</v>
          </cell>
        </row>
        <row r="24393">
          <cell r="E24393">
            <v>0</v>
          </cell>
          <cell r="F24393">
            <v>0</v>
          </cell>
          <cell r="DN24393">
            <v>0</v>
          </cell>
        </row>
        <row r="24394">
          <cell r="E24394">
            <v>0</v>
          </cell>
          <cell r="F24394">
            <v>0</v>
          </cell>
          <cell r="DN24394">
            <v>0</v>
          </cell>
        </row>
        <row r="24395">
          <cell r="E24395">
            <v>0</v>
          </cell>
          <cell r="F24395">
            <v>0</v>
          </cell>
          <cell r="DN24395">
            <v>0</v>
          </cell>
        </row>
        <row r="24396">
          <cell r="E24396">
            <v>0</v>
          </cell>
          <cell r="F24396">
            <v>0</v>
          </cell>
          <cell r="DN24396">
            <v>0</v>
          </cell>
        </row>
        <row r="24397">
          <cell r="E24397">
            <v>0</v>
          </cell>
          <cell r="F24397">
            <v>0</v>
          </cell>
          <cell r="DN24397">
            <v>0</v>
          </cell>
        </row>
        <row r="24398">
          <cell r="E24398">
            <v>0</v>
          </cell>
          <cell r="F24398">
            <v>0</v>
          </cell>
          <cell r="DN24398">
            <v>0</v>
          </cell>
        </row>
        <row r="24399">
          <cell r="E24399">
            <v>0</v>
          </cell>
          <cell r="F24399">
            <v>0</v>
          </cell>
          <cell r="DN24399">
            <v>0</v>
          </cell>
        </row>
        <row r="24400">
          <cell r="E24400">
            <v>0</v>
          </cell>
          <cell r="F24400">
            <v>0</v>
          </cell>
          <cell r="DN24400">
            <v>0</v>
          </cell>
        </row>
        <row r="24401">
          <cell r="E24401">
            <v>0</v>
          </cell>
          <cell r="F24401">
            <v>0</v>
          </cell>
          <cell r="DN24401">
            <v>0</v>
          </cell>
        </row>
        <row r="24402">
          <cell r="E24402">
            <v>0</v>
          </cell>
          <cell r="F24402">
            <v>0</v>
          </cell>
          <cell r="DN24402">
            <v>0</v>
          </cell>
        </row>
        <row r="24403">
          <cell r="E24403">
            <v>0</v>
          </cell>
          <cell r="F24403">
            <v>0</v>
          </cell>
          <cell r="DN24403">
            <v>0</v>
          </cell>
        </row>
        <row r="24404">
          <cell r="E24404">
            <v>0</v>
          </cell>
          <cell r="F24404">
            <v>0</v>
          </cell>
          <cell r="DN24404">
            <v>0</v>
          </cell>
        </row>
        <row r="24405">
          <cell r="E24405">
            <v>0</v>
          </cell>
          <cell r="F24405">
            <v>0</v>
          </cell>
          <cell r="DN24405">
            <v>0</v>
          </cell>
        </row>
        <row r="24406">
          <cell r="E24406">
            <v>0</v>
          </cell>
          <cell r="F24406">
            <v>0</v>
          </cell>
          <cell r="DN24406">
            <v>0</v>
          </cell>
        </row>
        <row r="24407">
          <cell r="E24407">
            <v>0</v>
          </cell>
          <cell r="F24407">
            <v>0</v>
          </cell>
          <cell r="DN24407">
            <v>0</v>
          </cell>
        </row>
        <row r="24408">
          <cell r="E24408">
            <v>0</v>
          </cell>
          <cell r="F24408">
            <v>0</v>
          </cell>
          <cell r="DN24408">
            <v>0</v>
          </cell>
        </row>
        <row r="24409">
          <cell r="E24409">
            <v>0</v>
          </cell>
          <cell r="F24409">
            <v>0</v>
          </cell>
          <cell r="DN24409">
            <v>0</v>
          </cell>
        </row>
        <row r="24410">
          <cell r="E24410">
            <v>0</v>
          </cell>
          <cell r="F24410">
            <v>0</v>
          </cell>
          <cell r="DN24410">
            <v>0</v>
          </cell>
        </row>
        <row r="24411">
          <cell r="E24411">
            <v>0</v>
          </cell>
          <cell r="F24411">
            <v>0</v>
          </cell>
          <cell r="DN24411">
            <v>0</v>
          </cell>
        </row>
        <row r="24412">
          <cell r="E24412">
            <v>0</v>
          </cell>
          <cell r="F24412">
            <v>0</v>
          </cell>
          <cell r="DN24412">
            <v>0</v>
          </cell>
        </row>
        <row r="24413">
          <cell r="E24413">
            <v>0</v>
          </cell>
          <cell r="F24413">
            <v>0</v>
          </cell>
          <cell r="DN24413">
            <v>0</v>
          </cell>
        </row>
        <row r="24414">
          <cell r="E24414">
            <v>0</v>
          </cell>
          <cell r="F24414">
            <v>0</v>
          </cell>
          <cell r="DN24414">
            <v>0</v>
          </cell>
        </row>
        <row r="24415">
          <cell r="E24415">
            <v>0</v>
          </cell>
          <cell r="F24415">
            <v>0</v>
          </cell>
          <cell r="DN24415">
            <v>0</v>
          </cell>
        </row>
        <row r="24416">
          <cell r="E24416">
            <v>0</v>
          </cell>
          <cell r="F24416">
            <v>0</v>
          </cell>
          <cell r="DN24416">
            <v>0</v>
          </cell>
        </row>
        <row r="24417">
          <cell r="E24417">
            <v>0</v>
          </cell>
          <cell r="F24417">
            <v>0</v>
          </cell>
          <cell r="DN24417">
            <v>0</v>
          </cell>
        </row>
        <row r="24418">
          <cell r="E24418">
            <v>0</v>
          </cell>
          <cell r="F24418">
            <v>0</v>
          </cell>
          <cell r="DN24418">
            <v>0</v>
          </cell>
        </row>
        <row r="24419">
          <cell r="E24419">
            <v>0</v>
          </cell>
          <cell r="F24419">
            <v>0</v>
          </cell>
          <cell r="DN24419">
            <v>0</v>
          </cell>
        </row>
        <row r="24420">
          <cell r="E24420">
            <v>0</v>
          </cell>
          <cell r="F24420">
            <v>0</v>
          </cell>
          <cell r="DN24420">
            <v>0</v>
          </cell>
        </row>
        <row r="24421">
          <cell r="E24421">
            <v>0</v>
          </cell>
          <cell r="F24421">
            <v>0</v>
          </cell>
          <cell r="DN24421">
            <v>0</v>
          </cell>
        </row>
        <row r="24422">
          <cell r="E24422">
            <v>0</v>
          </cell>
          <cell r="F24422">
            <v>0</v>
          </cell>
          <cell r="DN24422">
            <v>0</v>
          </cell>
        </row>
        <row r="24423">
          <cell r="E24423">
            <v>0</v>
          </cell>
          <cell r="F24423">
            <v>0</v>
          </cell>
          <cell r="DN24423">
            <v>0</v>
          </cell>
        </row>
        <row r="24424">
          <cell r="E24424">
            <v>0</v>
          </cell>
          <cell r="F24424">
            <v>0</v>
          </cell>
          <cell r="DN24424">
            <v>0</v>
          </cell>
        </row>
        <row r="24425">
          <cell r="E24425">
            <v>0</v>
          </cell>
          <cell r="F24425">
            <v>0</v>
          </cell>
          <cell r="DN24425">
            <v>0</v>
          </cell>
        </row>
        <row r="24426">
          <cell r="E24426">
            <v>0</v>
          </cell>
          <cell r="F24426">
            <v>0</v>
          </cell>
          <cell r="DN24426">
            <v>0</v>
          </cell>
        </row>
        <row r="24427">
          <cell r="E24427">
            <v>0</v>
          </cell>
          <cell r="F24427">
            <v>0</v>
          </cell>
          <cell r="DN24427">
            <v>0</v>
          </cell>
        </row>
        <row r="24428">
          <cell r="E24428">
            <v>0</v>
          </cell>
          <cell r="F24428">
            <v>0</v>
          </cell>
          <cell r="DN24428">
            <v>0</v>
          </cell>
        </row>
        <row r="24429">
          <cell r="E24429">
            <v>0</v>
          </cell>
          <cell r="F24429">
            <v>0</v>
          </cell>
          <cell r="DN24429">
            <v>0</v>
          </cell>
        </row>
        <row r="24430">
          <cell r="E24430">
            <v>0</v>
          </cell>
          <cell r="F24430">
            <v>0</v>
          </cell>
          <cell r="DN24430">
            <v>0</v>
          </cell>
        </row>
        <row r="24431">
          <cell r="E24431">
            <v>0</v>
          </cell>
          <cell r="F24431">
            <v>0</v>
          </cell>
          <cell r="DN24431">
            <v>0</v>
          </cell>
        </row>
        <row r="24432">
          <cell r="E24432">
            <v>0</v>
          </cell>
          <cell r="F24432">
            <v>0</v>
          </cell>
          <cell r="DN24432">
            <v>0</v>
          </cell>
        </row>
        <row r="24433">
          <cell r="E24433">
            <v>0</v>
          </cell>
          <cell r="F24433">
            <v>0</v>
          </cell>
          <cell r="DN24433">
            <v>0</v>
          </cell>
        </row>
        <row r="24434">
          <cell r="E24434">
            <v>0</v>
          </cell>
          <cell r="F24434">
            <v>0</v>
          </cell>
          <cell r="DN24434">
            <v>0</v>
          </cell>
        </row>
        <row r="24435">
          <cell r="E24435">
            <v>0</v>
          </cell>
          <cell r="F24435">
            <v>0</v>
          </cell>
          <cell r="DN24435">
            <v>0</v>
          </cell>
        </row>
        <row r="24436">
          <cell r="E24436">
            <v>0</v>
          </cell>
          <cell r="F24436">
            <v>0</v>
          </cell>
          <cell r="DN24436">
            <v>0</v>
          </cell>
        </row>
        <row r="24437">
          <cell r="E24437">
            <v>0</v>
          </cell>
          <cell r="F24437">
            <v>0</v>
          </cell>
          <cell r="DN24437">
            <v>0</v>
          </cell>
        </row>
        <row r="24438">
          <cell r="E24438">
            <v>0</v>
          </cell>
          <cell r="F24438">
            <v>0</v>
          </cell>
          <cell r="DN24438">
            <v>0</v>
          </cell>
        </row>
        <row r="24439">
          <cell r="E24439">
            <v>0</v>
          </cell>
          <cell r="F24439">
            <v>0</v>
          </cell>
          <cell r="DN24439">
            <v>0</v>
          </cell>
        </row>
        <row r="24440">
          <cell r="E24440">
            <v>0</v>
          </cell>
          <cell r="F24440">
            <v>0</v>
          </cell>
          <cell r="DN24440">
            <v>0</v>
          </cell>
        </row>
        <row r="24441">
          <cell r="E24441">
            <v>0</v>
          </cell>
          <cell r="F24441">
            <v>0</v>
          </cell>
          <cell r="DN24441">
            <v>0</v>
          </cell>
        </row>
        <row r="24442">
          <cell r="E24442">
            <v>0</v>
          </cell>
          <cell r="F24442">
            <v>0</v>
          </cell>
          <cell r="DN24442">
            <v>0</v>
          </cell>
        </row>
        <row r="24443">
          <cell r="E24443">
            <v>0</v>
          </cell>
          <cell r="F24443">
            <v>0</v>
          </cell>
          <cell r="DN24443">
            <v>0</v>
          </cell>
        </row>
        <row r="24444">
          <cell r="E24444">
            <v>0</v>
          </cell>
          <cell r="F24444">
            <v>0</v>
          </cell>
          <cell r="DN24444">
            <v>0</v>
          </cell>
        </row>
        <row r="24445">
          <cell r="E24445">
            <v>0</v>
          </cell>
          <cell r="F24445">
            <v>0</v>
          </cell>
          <cell r="DN24445">
            <v>0</v>
          </cell>
        </row>
        <row r="24446">
          <cell r="E24446">
            <v>0</v>
          </cell>
          <cell r="F24446">
            <v>0</v>
          </cell>
          <cell r="DN24446">
            <v>0</v>
          </cell>
        </row>
        <row r="24447">
          <cell r="E24447">
            <v>0</v>
          </cell>
          <cell r="F24447">
            <v>0</v>
          </cell>
          <cell r="DN24447">
            <v>0</v>
          </cell>
        </row>
        <row r="24448">
          <cell r="E24448">
            <v>0</v>
          </cell>
          <cell r="F24448">
            <v>0</v>
          </cell>
          <cell r="DN24448">
            <v>0</v>
          </cell>
        </row>
        <row r="24449">
          <cell r="E24449">
            <v>0</v>
          </cell>
          <cell r="F24449">
            <v>0</v>
          </cell>
          <cell r="DN24449">
            <v>0</v>
          </cell>
        </row>
        <row r="24450">
          <cell r="E24450">
            <v>0</v>
          </cell>
          <cell r="F24450">
            <v>0</v>
          </cell>
          <cell r="DN24450">
            <v>0</v>
          </cell>
        </row>
        <row r="24451">
          <cell r="E24451">
            <v>0</v>
          </cell>
          <cell r="F24451">
            <v>0</v>
          </cell>
          <cell r="DN24451">
            <v>0</v>
          </cell>
        </row>
        <row r="24452">
          <cell r="E24452">
            <v>0</v>
          </cell>
          <cell r="F24452">
            <v>0</v>
          </cell>
          <cell r="DN24452">
            <v>0</v>
          </cell>
        </row>
        <row r="24453">
          <cell r="E24453">
            <v>0</v>
          </cell>
          <cell r="F24453">
            <v>0</v>
          </cell>
          <cell r="DN24453">
            <v>0</v>
          </cell>
        </row>
        <row r="24454">
          <cell r="E24454">
            <v>0</v>
          </cell>
          <cell r="F24454">
            <v>0</v>
          </cell>
          <cell r="DN24454">
            <v>0</v>
          </cell>
        </row>
        <row r="24455">
          <cell r="E24455">
            <v>0</v>
          </cell>
          <cell r="F24455">
            <v>0</v>
          </cell>
          <cell r="DN24455">
            <v>0</v>
          </cell>
        </row>
        <row r="24456">
          <cell r="E24456">
            <v>0</v>
          </cell>
          <cell r="F24456">
            <v>0</v>
          </cell>
          <cell r="DN24456">
            <v>0</v>
          </cell>
        </row>
        <row r="24457">
          <cell r="E24457">
            <v>0</v>
          </cell>
          <cell r="F24457">
            <v>0</v>
          </cell>
          <cell r="DN24457">
            <v>0</v>
          </cell>
        </row>
        <row r="24458">
          <cell r="E24458">
            <v>0</v>
          </cell>
          <cell r="F24458">
            <v>0</v>
          </cell>
          <cell r="DN24458">
            <v>0</v>
          </cell>
        </row>
        <row r="24459">
          <cell r="E24459">
            <v>0</v>
          </cell>
          <cell r="F24459">
            <v>0</v>
          </cell>
          <cell r="DN24459">
            <v>0</v>
          </cell>
        </row>
        <row r="24460">
          <cell r="E24460">
            <v>0</v>
          </cell>
          <cell r="F24460">
            <v>0</v>
          </cell>
          <cell r="DN24460">
            <v>0</v>
          </cell>
        </row>
        <row r="24461">
          <cell r="E24461">
            <v>0</v>
          </cell>
          <cell r="F24461">
            <v>0</v>
          </cell>
          <cell r="DN24461">
            <v>0</v>
          </cell>
        </row>
        <row r="24462">
          <cell r="E24462">
            <v>0</v>
          </cell>
          <cell r="F24462">
            <v>0</v>
          </cell>
          <cell r="DN24462">
            <v>0</v>
          </cell>
        </row>
        <row r="24463">
          <cell r="E24463">
            <v>0</v>
          </cell>
          <cell r="F24463">
            <v>0</v>
          </cell>
          <cell r="DN24463">
            <v>0</v>
          </cell>
        </row>
        <row r="24464">
          <cell r="E24464">
            <v>0</v>
          </cell>
          <cell r="F24464">
            <v>0</v>
          </cell>
          <cell r="DN24464">
            <v>0</v>
          </cell>
        </row>
        <row r="24465">
          <cell r="E24465">
            <v>0</v>
          </cell>
          <cell r="F24465">
            <v>0</v>
          </cell>
          <cell r="DN24465">
            <v>0</v>
          </cell>
        </row>
        <row r="24466">
          <cell r="E24466">
            <v>0</v>
          </cell>
          <cell r="F24466">
            <v>0</v>
          </cell>
          <cell r="DN24466">
            <v>0</v>
          </cell>
        </row>
        <row r="24467">
          <cell r="E24467">
            <v>0</v>
          </cell>
          <cell r="F24467">
            <v>0</v>
          </cell>
          <cell r="DN24467">
            <v>0</v>
          </cell>
        </row>
        <row r="24468">
          <cell r="E24468">
            <v>0</v>
          </cell>
          <cell r="F24468">
            <v>0</v>
          </cell>
          <cell r="DN24468">
            <v>0</v>
          </cell>
        </row>
        <row r="24469">
          <cell r="E24469">
            <v>0</v>
          </cell>
          <cell r="F24469">
            <v>0</v>
          </cell>
          <cell r="DN24469">
            <v>0</v>
          </cell>
        </row>
        <row r="24470">
          <cell r="E24470">
            <v>0</v>
          </cell>
          <cell r="F24470">
            <v>0</v>
          </cell>
          <cell r="DN24470">
            <v>0</v>
          </cell>
        </row>
        <row r="24471">
          <cell r="E24471">
            <v>0</v>
          </cell>
          <cell r="F24471">
            <v>0</v>
          </cell>
          <cell r="DN24471">
            <v>0</v>
          </cell>
        </row>
        <row r="24472">
          <cell r="E24472">
            <v>0</v>
          </cell>
          <cell r="F24472">
            <v>0</v>
          </cell>
          <cell r="DN24472">
            <v>0</v>
          </cell>
        </row>
        <row r="24473">
          <cell r="E24473">
            <v>0</v>
          </cell>
          <cell r="F24473">
            <v>0</v>
          </cell>
          <cell r="DN24473">
            <v>0</v>
          </cell>
        </row>
        <row r="24474">
          <cell r="E24474">
            <v>0</v>
          </cell>
          <cell r="F24474">
            <v>0</v>
          </cell>
          <cell r="DN24474">
            <v>0</v>
          </cell>
        </row>
        <row r="24475">
          <cell r="E24475">
            <v>0</v>
          </cell>
          <cell r="F24475">
            <v>0</v>
          </cell>
          <cell r="DN24475">
            <v>0</v>
          </cell>
        </row>
        <row r="24476">
          <cell r="E24476">
            <v>0</v>
          </cell>
          <cell r="F24476">
            <v>0</v>
          </cell>
          <cell r="DN24476">
            <v>0</v>
          </cell>
        </row>
        <row r="24477">
          <cell r="E24477">
            <v>0</v>
          </cell>
          <cell r="F24477">
            <v>0</v>
          </cell>
          <cell r="DN24477">
            <v>0</v>
          </cell>
        </row>
        <row r="24478">
          <cell r="E24478">
            <v>0</v>
          </cell>
          <cell r="F24478">
            <v>0</v>
          </cell>
          <cell r="DN24478">
            <v>0</v>
          </cell>
        </row>
        <row r="24479">
          <cell r="E24479">
            <v>0</v>
          </cell>
          <cell r="F24479">
            <v>0</v>
          </cell>
          <cell r="DN24479">
            <v>0</v>
          </cell>
        </row>
        <row r="24480">
          <cell r="E24480">
            <v>0</v>
          </cell>
          <cell r="F24480">
            <v>0</v>
          </cell>
          <cell r="DN24480">
            <v>0</v>
          </cell>
        </row>
        <row r="24481">
          <cell r="E24481">
            <v>0</v>
          </cell>
          <cell r="F24481">
            <v>0</v>
          </cell>
          <cell r="DN24481">
            <v>0</v>
          </cell>
        </row>
        <row r="24482">
          <cell r="E24482">
            <v>0</v>
          </cell>
          <cell r="F24482">
            <v>0</v>
          </cell>
          <cell r="DN24482">
            <v>0</v>
          </cell>
        </row>
        <row r="24483">
          <cell r="E24483">
            <v>0</v>
          </cell>
          <cell r="F24483">
            <v>0</v>
          </cell>
          <cell r="DN24483">
            <v>0</v>
          </cell>
        </row>
        <row r="24484">
          <cell r="E24484">
            <v>0</v>
          </cell>
          <cell r="F24484">
            <v>0</v>
          </cell>
          <cell r="DN24484">
            <v>0</v>
          </cell>
        </row>
        <row r="24485">
          <cell r="E24485">
            <v>0</v>
          </cell>
          <cell r="F24485">
            <v>0</v>
          </cell>
          <cell r="DN24485">
            <v>0</v>
          </cell>
        </row>
        <row r="24486">
          <cell r="E24486">
            <v>0</v>
          </cell>
          <cell r="F24486">
            <v>0</v>
          </cell>
          <cell r="DN24486">
            <v>0</v>
          </cell>
        </row>
        <row r="24487">
          <cell r="E24487">
            <v>0</v>
          </cell>
          <cell r="F24487">
            <v>0</v>
          </cell>
          <cell r="DN24487">
            <v>0</v>
          </cell>
        </row>
        <row r="24488">
          <cell r="E24488">
            <v>0</v>
          </cell>
          <cell r="F24488">
            <v>0</v>
          </cell>
          <cell r="DN24488">
            <v>0</v>
          </cell>
        </row>
        <row r="24489">
          <cell r="E24489">
            <v>0</v>
          </cell>
          <cell r="F24489">
            <v>0</v>
          </cell>
          <cell r="DN24489">
            <v>0</v>
          </cell>
        </row>
        <row r="24490">
          <cell r="E24490">
            <v>0</v>
          </cell>
          <cell r="F24490">
            <v>0</v>
          </cell>
          <cell r="DN24490">
            <v>0</v>
          </cell>
        </row>
        <row r="24491">
          <cell r="E24491">
            <v>0</v>
          </cell>
          <cell r="F24491">
            <v>0</v>
          </cell>
          <cell r="DN24491">
            <v>0</v>
          </cell>
        </row>
        <row r="24492">
          <cell r="E24492">
            <v>0</v>
          </cell>
          <cell r="F24492">
            <v>0</v>
          </cell>
          <cell r="DN24492">
            <v>0</v>
          </cell>
        </row>
        <row r="24493">
          <cell r="E24493">
            <v>0</v>
          </cell>
          <cell r="F24493">
            <v>0</v>
          </cell>
          <cell r="DN24493">
            <v>0</v>
          </cell>
        </row>
        <row r="24494">
          <cell r="E24494">
            <v>0</v>
          </cell>
          <cell r="F24494">
            <v>0</v>
          </cell>
          <cell r="DN24494">
            <v>0</v>
          </cell>
        </row>
        <row r="24495">
          <cell r="E24495">
            <v>0</v>
          </cell>
          <cell r="F24495">
            <v>0</v>
          </cell>
          <cell r="DN24495">
            <v>0</v>
          </cell>
        </row>
        <row r="24496">
          <cell r="E24496">
            <v>0</v>
          </cell>
          <cell r="F24496">
            <v>0</v>
          </cell>
          <cell r="DN24496">
            <v>0</v>
          </cell>
        </row>
        <row r="24497">
          <cell r="E24497">
            <v>0</v>
          </cell>
          <cell r="F24497">
            <v>0</v>
          </cell>
          <cell r="DN24497">
            <v>0</v>
          </cell>
        </row>
        <row r="24498">
          <cell r="E24498">
            <v>0</v>
          </cell>
          <cell r="F24498">
            <v>0</v>
          </cell>
          <cell r="DN24498">
            <v>0</v>
          </cell>
        </row>
        <row r="24499">
          <cell r="E24499">
            <v>0</v>
          </cell>
          <cell r="F24499">
            <v>0</v>
          </cell>
          <cell r="DN24499">
            <v>0</v>
          </cell>
        </row>
        <row r="24500">
          <cell r="E24500">
            <v>0</v>
          </cell>
          <cell r="F24500">
            <v>0</v>
          </cell>
          <cell r="DN24500">
            <v>0</v>
          </cell>
        </row>
        <row r="24501">
          <cell r="E24501">
            <v>0</v>
          </cell>
          <cell r="F24501">
            <v>0</v>
          </cell>
          <cell r="DN24501">
            <v>0</v>
          </cell>
        </row>
        <row r="24502">
          <cell r="E24502">
            <v>0</v>
          </cell>
          <cell r="F24502">
            <v>0</v>
          </cell>
          <cell r="DN24502">
            <v>0</v>
          </cell>
        </row>
        <row r="24503">
          <cell r="E24503">
            <v>0</v>
          </cell>
          <cell r="F24503">
            <v>0</v>
          </cell>
          <cell r="DN24503">
            <v>0</v>
          </cell>
        </row>
        <row r="24504">
          <cell r="E24504">
            <v>0</v>
          </cell>
          <cell r="F24504">
            <v>0</v>
          </cell>
          <cell r="DN24504">
            <v>0</v>
          </cell>
        </row>
        <row r="24505">
          <cell r="E24505">
            <v>0</v>
          </cell>
          <cell r="F24505">
            <v>0</v>
          </cell>
          <cell r="DN24505">
            <v>0</v>
          </cell>
        </row>
        <row r="24506">
          <cell r="E24506">
            <v>0</v>
          </cell>
          <cell r="F24506">
            <v>0</v>
          </cell>
          <cell r="DN24506">
            <v>0</v>
          </cell>
        </row>
        <row r="24507">
          <cell r="E24507">
            <v>0</v>
          </cell>
          <cell r="F24507">
            <v>0</v>
          </cell>
          <cell r="DN24507">
            <v>0</v>
          </cell>
        </row>
        <row r="24508">
          <cell r="E24508">
            <v>0</v>
          </cell>
          <cell r="F24508">
            <v>0</v>
          </cell>
          <cell r="DN24508">
            <v>0</v>
          </cell>
        </row>
        <row r="24509">
          <cell r="E24509">
            <v>0</v>
          </cell>
          <cell r="F24509">
            <v>0</v>
          </cell>
          <cell r="DN24509">
            <v>0</v>
          </cell>
        </row>
        <row r="24510">
          <cell r="E24510">
            <v>0</v>
          </cell>
          <cell r="F24510">
            <v>0</v>
          </cell>
          <cell r="DN24510">
            <v>0</v>
          </cell>
        </row>
        <row r="24511">
          <cell r="E24511">
            <v>0</v>
          </cell>
          <cell r="F24511">
            <v>0</v>
          </cell>
          <cell r="DN24511">
            <v>0</v>
          </cell>
        </row>
        <row r="24512">
          <cell r="E24512">
            <v>0</v>
          </cell>
          <cell r="F24512">
            <v>0</v>
          </cell>
          <cell r="DN24512">
            <v>0</v>
          </cell>
        </row>
        <row r="24513">
          <cell r="E24513">
            <v>0</v>
          </cell>
          <cell r="F24513">
            <v>0</v>
          </cell>
          <cell r="DN24513">
            <v>0</v>
          </cell>
        </row>
        <row r="24514">
          <cell r="E24514">
            <v>0</v>
          </cell>
          <cell r="F24514">
            <v>0</v>
          </cell>
          <cell r="DN24514">
            <v>0</v>
          </cell>
        </row>
        <row r="24515">
          <cell r="E24515">
            <v>0</v>
          </cell>
          <cell r="F24515">
            <v>0</v>
          </cell>
          <cell r="DN24515">
            <v>0</v>
          </cell>
        </row>
        <row r="24516">
          <cell r="E24516">
            <v>0</v>
          </cell>
          <cell r="F24516">
            <v>0</v>
          </cell>
          <cell r="DN24516">
            <v>0</v>
          </cell>
        </row>
        <row r="24517">
          <cell r="E24517">
            <v>0</v>
          </cell>
          <cell r="F24517">
            <v>0</v>
          </cell>
          <cell r="DN24517">
            <v>0</v>
          </cell>
        </row>
        <row r="24518">
          <cell r="E24518">
            <v>0</v>
          </cell>
          <cell r="F24518">
            <v>0</v>
          </cell>
          <cell r="DN24518">
            <v>0</v>
          </cell>
        </row>
        <row r="24519">
          <cell r="E24519">
            <v>0</v>
          </cell>
          <cell r="F24519">
            <v>0</v>
          </cell>
          <cell r="DN24519">
            <v>0</v>
          </cell>
        </row>
        <row r="24520">
          <cell r="E24520">
            <v>0</v>
          </cell>
          <cell r="F24520">
            <v>0</v>
          </cell>
          <cell r="DN24520">
            <v>0</v>
          </cell>
        </row>
        <row r="24521">
          <cell r="E24521">
            <v>0</v>
          </cell>
          <cell r="F24521">
            <v>0</v>
          </cell>
          <cell r="DN24521">
            <v>0</v>
          </cell>
        </row>
        <row r="24522">
          <cell r="E24522">
            <v>0</v>
          </cell>
          <cell r="F24522">
            <v>0</v>
          </cell>
          <cell r="DN24522">
            <v>0</v>
          </cell>
        </row>
        <row r="24523">
          <cell r="E24523">
            <v>0</v>
          </cell>
          <cell r="F24523">
            <v>0</v>
          </cell>
          <cell r="DN24523">
            <v>0</v>
          </cell>
        </row>
        <row r="24524">
          <cell r="E24524">
            <v>0</v>
          </cell>
          <cell r="F24524">
            <v>0</v>
          </cell>
          <cell r="DN24524">
            <v>0</v>
          </cell>
        </row>
        <row r="24525">
          <cell r="E24525">
            <v>0</v>
          </cell>
          <cell r="F24525">
            <v>0</v>
          </cell>
          <cell r="DN24525">
            <v>0</v>
          </cell>
        </row>
        <row r="24526">
          <cell r="E24526">
            <v>0</v>
          </cell>
          <cell r="F24526">
            <v>0</v>
          </cell>
          <cell r="DN24526">
            <v>0</v>
          </cell>
        </row>
        <row r="24527">
          <cell r="E24527">
            <v>0</v>
          </cell>
          <cell r="F24527">
            <v>0</v>
          </cell>
          <cell r="DN24527">
            <v>0</v>
          </cell>
        </row>
        <row r="24528">
          <cell r="E24528">
            <v>0</v>
          </cell>
          <cell r="F24528">
            <v>0</v>
          </cell>
          <cell r="DN24528">
            <v>0</v>
          </cell>
        </row>
        <row r="24529">
          <cell r="E24529">
            <v>0</v>
          </cell>
          <cell r="F24529">
            <v>0</v>
          </cell>
          <cell r="DN24529">
            <v>0</v>
          </cell>
        </row>
        <row r="24530">
          <cell r="E24530">
            <v>0</v>
          </cell>
          <cell r="F24530">
            <v>0</v>
          </cell>
          <cell r="DN24530">
            <v>0</v>
          </cell>
        </row>
        <row r="24531">
          <cell r="E24531">
            <v>0</v>
          </cell>
          <cell r="F24531">
            <v>0</v>
          </cell>
          <cell r="DN24531">
            <v>0</v>
          </cell>
        </row>
        <row r="24532">
          <cell r="E24532">
            <v>0</v>
          </cell>
          <cell r="F24532">
            <v>0</v>
          </cell>
          <cell r="DN24532">
            <v>0</v>
          </cell>
        </row>
        <row r="24533">
          <cell r="E24533">
            <v>0</v>
          </cell>
          <cell r="F24533">
            <v>0</v>
          </cell>
          <cell r="DN24533">
            <v>0</v>
          </cell>
        </row>
        <row r="24534">
          <cell r="E24534">
            <v>0</v>
          </cell>
          <cell r="F24534">
            <v>0</v>
          </cell>
          <cell r="DN24534">
            <v>0</v>
          </cell>
        </row>
        <row r="24535">
          <cell r="E24535">
            <v>0</v>
          </cell>
          <cell r="F24535">
            <v>0</v>
          </cell>
          <cell r="DN24535">
            <v>0</v>
          </cell>
        </row>
        <row r="24536">
          <cell r="E24536">
            <v>0</v>
          </cell>
          <cell r="F24536">
            <v>0</v>
          </cell>
          <cell r="DN24536">
            <v>0</v>
          </cell>
        </row>
        <row r="24537">
          <cell r="E24537">
            <v>0</v>
          </cell>
          <cell r="F24537">
            <v>0</v>
          </cell>
          <cell r="DN24537">
            <v>0</v>
          </cell>
        </row>
        <row r="24538">
          <cell r="E24538">
            <v>0</v>
          </cell>
          <cell r="F24538">
            <v>0</v>
          </cell>
          <cell r="DN24538">
            <v>0</v>
          </cell>
        </row>
        <row r="24539">
          <cell r="E24539">
            <v>0</v>
          </cell>
          <cell r="F24539">
            <v>0</v>
          </cell>
          <cell r="DN24539">
            <v>0</v>
          </cell>
        </row>
        <row r="24540">
          <cell r="E24540">
            <v>0</v>
          </cell>
          <cell r="F24540">
            <v>0</v>
          </cell>
          <cell r="DN24540">
            <v>0</v>
          </cell>
        </row>
        <row r="24541">
          <cell r="E24541">
            <v>0</v>
          </cell>
          <cell r="F24541">
            <v>0</v>
          </cell>
          <cell r="DN24541">
            <v>0</v>
          </cell>
        </row>
        <row r="24542">
          <cell r="E24542">
            <v>0</v>
          </cell>
          <cell r="F24542">
            <v>0</v>
          </cell>
          <cell r="DN24542">
            <v>0</v>
          </cell>
        </row>
        <row r="24543">
          <cell r="E24543">
            <v>0</v>
          </cell>
          <cell r="F24543">
            <v>0</v>
          </cell>
          <cell r="DN24543">
            <v>0</v>
          </cell>
        </row>
        <row r="24544">
          <cell r="E24544">
            <v>0</v>
          </cell>
          <cell r="F24544">
            <v>0</v>
          </cell>
          <cell r="DN24544">
            <v>0</v>
          </cell>
        </row>
        <row r="24545">
          <cell r="E24545">
            <v>0</v>
          </cell>
          <cell r="F24545">
            <v>0</v>
          </cell>
          <cell r="DN24545">
            <v>0</v>
          </cell>
        </row>
        <row r="24546">
          <cell r="E24546">
            <v>0</v>
          </cell>
          <cell r="F24546">
            <v>0</v>
          </cell>
          <cell r="DN24546">
            <v>0</v>
          </cell>
        </row>
        <row r="24547">
          <cell r="E24547">
            <v>0</v>
          </cell>
          <cell r="F24547">
            <v>0</v>
          </cell>
          <cell r="DN24547">
            <v>0</v>
          </cell>
        </row>
        <row r="24548">
          <cell r="E24548">
            <v>0</v>
          </cell>
          <cell r="F24548">
            <v>0</v>
          </cell>
          <cell r="DN24548">
            <v>0</v>
          </cell>
        </row>
        <row r="24549">
          <cell r="E24549">
            <v>0</v>
          </cell>
          <cell r="F24549">
            <v>0</v>
          </cell>
          <cell r="DN24549">
            <v>0</v>
          </cell>
        </row>
        <row r="24550">
          <cell r="E24550">
            <v>0</v>
          </cell>
          <cell r="F24550">
            <v>0</v>
          </cell>
          <cell r="DN24550">
            <v>0</v>
          </cell>
        </row>
        <row r="24551">
          <cell r="E24551">
            <v>0</v>
          </cell>
          <cell r="F24551">
            <v>0</v>
          </cell>
          <cell r="DN24551">
            <v>0</v>
          </cell>
        </row>
        <row r="24552">
          <cell r="E24552">
            <v>0</v>
          </cell>
          <cell r="F24552">
            <v>0</v>
          </cell>
          <cell r="DN24552">
            <v>0</v>
          </cell>
        </row>
        <row r="24553">
          <cell r="E24553">
            <v>0</v>
          </cell>
          <cell r="F24553">
            <v>0</v>
          </cell>
          <cell r="DN24553">
            <v>0</v>
          </cell>
        </row>
        <row r="24554">
          <cell r="E24554">
            <v>0</v>
          </cell>
          <cell r="F24554">
            <v>0</v>
          </cell>
          <cell r="DN24554">
            <v>0</v>
          </cell>
        </row>
        <row r="24555">
          <cell r="E24555">
            <v>0</v>
          </cell>
          <cell r="F24555">
            <v>0</v>
          </cell>
          <cell r="DN24555">
            <v>0</v>
          </cell>
        </row>
        <row r="24556">
          <cell r="E24556">
            <v>0</v>
          </cell>
          <cell r="F24556">
            <v>0</v>
          </cell>
          <cell r="DN24556">
            <v>0</v>
          </cell>
        </row>
        <row r="24557">
          <cell r="E24557">
            <v>0</v>
          </cell>
          <cell r="F24557">
            <v>0</v>
          </cell>
          <cell r="DN24557">
            <v>0</v>
          </cell>
        </row>
        <row r="24558">
          <cell r="E24558">
            <v>0</v>
          </cell>
          <cell r="F24558">
            <v>0</v>
          </cell>
          <cell r="DN24558">
            <v>0</v>
          </cell>
        </row>
        <row r="24559">
          <cell r="E24559">
            <v>0</v>
          </cell>
          <cell r="F24559">
            <v>0</v>
          </cell>
          <cell r="DN24559">
            <v>0</v>
          </cell>
        </row>
        <row r="24560">
          <cell r="E24560">
            <v>0</v>
          </cell>
          <cell r="F24560">
            <v>0</v>
          </cell>
          <cell r="DN24560">
            <v>0</v>
          </cell>
        </row>
        <row r="24561">
          <cell r="E24561">
            <v>0</v>
          </cell>
          <cell r="F24561">
            <v>0</v>
          </cell>
          <cell r="DN24561">
            <v>0</v>
          </cell>
        </row>
        <row r="24562">
          <cell r="E24562">
            <v>0</v>
          </cell>
          <cell r="F24562">
            <v>0</v>
          </cell>
          <cell r="DN24562">
            <v>0</v>
          </cell>
        </row>
        <row r="24563">
          <cell r="E24563">
            <v>0</v>
          </cell>
          <cell r="F24563">
            <v>0</v>
          </cell>
          <cell r="DN24563">
            <v>0</v>
          </cell>
        </row>
        <row r="24564">
          <cell r="E24564">
            <v>0</v>
          </cell>
          <cell r="F24564">
            <v>0</v>
          </cell>
          <cell r="DN24564">
            <v>0</v>
          </cell>
        </row>
        <row r="24565">
          <cell r="E24565">
            <v>0</v>
          </cell>
          <cell r="F24565">
            <v>0</v>
          </cell>
          <cell r="DN24565">
            <v>0</v>
          </cell>
        </row>
        <row r="24566">
          <cell r="E24566">
            <v>0</v>
          </cell>
          <cell r="F24566">
            <v>0</v>
          </cell>
          <cell r="DN24566">
            <v>0</v>
          </cell>
        </row>
        <row r="24567">
          <cell r="E24567">
            <v>0</v>
          </cell>
          <cell r="F24567">
            <v>0</v>
          </cell>
          <cell r="DN24567">
            <v>0</v>
          </cell>
        </row>
        <row r="24568">
          <cell r="E24568">
            <v>0</v>
          </cell>
          <cell r="F24568">
            <v>0</v>
          </cell>
          <cell r="DN24568">
            <v>0</v>
          </cell>
        </row>
        <row r="24569">
          <cell r="E24569">
            <v>0</v>
          </cell>
          <cell r="F24569">
            <v>0</v>
          </cell>
          <cell r="DN24569">
            <v>0</v>
          </cell>
        </row>
        <row r="24570">
          <cell r="E24570">
            <v>0</v>
          </cell>
          <cell r="F24570">
            <v>0</v>
          </cell>
          <cell r="DN24570">
            <v>0</v>
          </cell>
        </row>
        <row r="24571">
          <cell r="E24571">
            <v>0</v>
          </cell>
          <cell r="F24571">
            <v>0</v>
          </cell>
          <cell r="DN24571">
            <v>0</v>
          </cell>
        </row>
        <row r="24572">
          <cell r="E24572">
            <v>0</v>
          </cell>
          <cell r="F24572">
            <v>0</v>
          </cell>
          <cell r="DN24572">
            <v>0</v>
          </cell>
        </row>
        <row r="24573">
          <cell r="E24573">
            <v>0</v>
          </cell>
          <cell r="F24573">
            <v>0</v>
          </cell>
          <cell r="DN24573">
            <v>0</v>
          </cell>
        </row>
        <row r="24574">
          <cell r="E24574">
            <v>0</v>
          </cell>
          <cell r="F24574">
            <v>0</v>
          </cell>
          <cell r="DN24574">
            <v>0</v>
          </cell>
        </row>
        <row r="24575">
          <cell r="E24575">
            <v>0</v>
          </cell>
          <cell r="F24575">
            <v>0</v>
          </cell>
          <cell r="DN24575">
            <v>0</v>
          </cell>
        </row>
        <row r="24576">
          <cell r="E24576">
            <v>0</v>
          </cell>
          <cell r="F24576">
            <v>0</v>
          </cell>
          <cell r="DN24576">
            <v>0</v>
          </cell>
        </row>
        <row r="24577">
          <cell r="E24577">
            <v>0</v>
          </cell>
          <cell r="F24577">
            <v>0</v>
          </cell>
          <cell r="DN24577">
            <v>0</v>
          </cell>
        </row>
        <row r="24578">
          <cell r="E24578">
            <v>0</v>
          </cell>
          <cell r="F24578">
            <v>0</v>
          </cell>
          <cell r="DN24578">
            <v>0</v>
          </cell>
        </row>
        <row r="24579">
          <cell r="E24579">
            <v>0</v>
          </cell>
          <cell r="F24579">
            <v>0</v>
          </cell>
          <cell r="DN24579">
            <v>0</v>
          </cell>
        </row>
        <row r="24580">
          <cell r="E24580">
            <v>0</v>
          </cell>
          <cell r="F24580">
            <v>0</v>
          </cell>
          <cell r="DN24580">
            <v>0</v>
          </cell>
        </row>
        <row r="24581">
          <cell r="E24581">
            <v>0</v>
          </cell>
          <cell r="F24581">
            <v>0</v>
          </cell>
          <cell r="DN24581">
            <v>0</v>
          </cell>
        </row>
        <row r="24582">
          <cell r="E24582">
            <v>0</v>
          </cell>
          <cell r="F24582">
            <v>0</v>
          </cell>
          <cell r="DN24582">
            <v>0</v>
          </cell>
        </row>
        <row r="24583">
          <cell r="E24583">
            <v>0</v>
          </cell>
          <cell r="F24583">
            <v>0</v>
          </cell>
          <cell r="DN24583">
            <v>0</v>
          </cell>
        </row>
        <row r="24584">
          <cell r="E24584">
            <v>0</v>
          </cell>
          <cell r="F24584">
            <v>0</v>
          </cell>
          <cell r="DN24584">
            <v>0</v>
          </cell>
        </row>
        <row r="24585">
          <cell r="E24585">
            <v>0</v>
          </cell>
          <cell r="F24585">
            <v>0</v>
          </cell>
          <cell r="DN24585">
            <v>0</v>
          </cell>
        </row>
        <row r="24586">
          <cell r="E24586">
            <v>0</v>
          </cell>
          <cell r="F24586">
            <v>0</v>
          </cell>
          <cell r="DN24586">
            <v>0</v>
          </cell>
        </row>
        <row r="24587">
          <cell r="E24587">
            <v>0</v>
          </cell>
          <cell r="F24587">
            <v>0</v>
          </cell>
          <cell r="DN24587">
            <v>0</v>
          </cell>
        </row>
        <row r="24588">
          <cell r="E24588">
            <v>0</v>
          </cell>
          <cell r="F24588">
            <v>0</v>
          </cell>
          <cell r="DN24588">
            <v>0</v>
          </cell>
        </row>
        <row r="24589">
          <cell r="E24589">
            <v>0</v>
          </cell>
          <cell r="F24589">
            <v>0</v>
          </cell>
          <cell r="DN24589">
            <v>0</v>
          </cell>
        </row>
        <row r="24590">
          <cell r="E24590">
            <v>0</v>
          </cell>
          <cell r="F24590">
            <v>0</v>
          </cell>
          <cell r="DN24590">
            <v>0</v>
          </cell>
        </row>
        <row r="24591">
          <cell r="E24591">
            <v>0</v>
          </cell>
          <cell r="F24591">
            <v>0</v>
          </cell>
          <cell r="DN24591">
            <v>0</v>
          </cell>
        </row>
        <row r="24592">
          <cell r="E24592">
            <v>0</v>
          </cell>
          <cell r="F24592">
            <v>0</v>
          </cell>
          <cell r="DN24592">
            <v>0</v>
          </cell>
        </row>
        <row r="24593">
          <cell r="E24593">
            <v>0</v>
          </cell>
          <cell r="F24593">
            <v>0</v>
          </cell>
          <cell r="DN24593">
            <v>0</v>
          </cell>
        </row>
        <row r="24594">
          <cell r="E24594">
            <v>0</v>
          </cell>
          <cell r="F24594">
            <v>0</v>
          </cell>
          <cell r="DN24594">
            <v>0</v>
          </cell>
        </row>
        <row r="24595">
          <cell r="E24595">
            <v>0</v>
          </cell>
          <cell r="F24595">
            <v>0</v>
          </cell>
          <cell r="DN24595">
            <v>0</v>
          </cell>
        </row>
        <row r="24596">
          <cell r="E24596">
            <v>0</v>
          </cell>
          <cell r="F24596">
            <v>0</v>
          </cell>
          <cell r="DN24596">
            <v>0</v>
          </cell>
        </row>
        <row r="24597">
          <cell r="E24597">
            <v>0</v>
          </cell>
          <cell r="F24597">
            <v>0</v>
          </cell>
          <cell r="DN24597">
            <v>0</v>
          </cell>
        </row>
        <row r="24598">
          <cell r="E24598">
            <v>0</v>
          </cell>
          <cell r="F24598">
            <v>0</v>
          </cell>
          <cell r="DN24598">
            <v>0</v>
          </cell>
        </row>
        <row r="24599">
          <cell r="E24599">
            <v>0</v>
          </cell>
          <cell r="F24599">
            <v>0</v>
          </cell>
          <cell r="DN24599">
            <v>0</v>
          </cell>
        </row>
        <row r="24600">
          <cell r="E24600">
            <v>0</v>
          </cell>
          <cell r="F24600">
            <v>0</v>
          </cell>
          <cell r="DN24600">
            <v>0</v>
          </cell>
        </row>
        <row r="24601">
          <cell r="E24601">
            <v>0</v>
          </cell>
          <cell r="F24601">
            <v>0</v>
          </cell>
          <cell r="DN24601">
            <v>0</v>
          </cell>
        </row>
        <row r="24602">
          <cell r="E24602">
            <v>0</v>
          </cell>
          <cell r="F24602">
            <v>0</v>
          </cell>
          <cell r="DN24602">
            <v>0</v>
          </cell>
        </row>
        <row r="24603">
          <cell r="E24603">
            <v>0</v>
          </cell>
          <cell r="F24603">
            <v>0</v>
          </cell>
          <cell r="DN24603">
            <v>0</v>
          </cell>
        </row>
        <row r="24604">
          <cell r="E24604">
            <v>0</v>
          </cell>
          <cell r="F24604">
            <v>0</v>
          </cell>
          <cell r="DN24604">
            <v>0</v>
          </cell>
        </row>
        <row r="24605">
          <cell r="E24605">
            <v>0</v>
          </cell>
          <cell r="F24605">
            <v>0</v>
          </cell>
          <cell r="DN24605">
            <v>0</v>
          </cell>
        </row>
        <row r="24606">
          <cell r="E24606">
            <v>0</v>
          </cell>
          <cell r="F24606">
            <v>0</v>
          </cell>
          <cell r="DN24606">
            <v>0</v>
          </cell>
        </row>
        <row r="24607">
          <cell r="E24607">
            <v>0</v>
          </cell>
          <cell r="F24607">
            <v>0</v>
          </cell>
          <cell r="DN24607">
            <v>0</v>
          </cell>
        </row>
        <row r="24608">
          <cell r="E24608">
            <v>0</v>
          </cell>
          <cell r="F24608">
            <v>0</v>
          </cell>
          <cell r="DN24608">
            <v>0</v>
          </cell>
        </row>
        <row r="24609">
          <cell r="E24609">
            <v>0</v>
          </cell>
          <cell r="F24609">
            <v>0</v>
          </cell>
          <cell r="DN24609">
            <v>0</v>
          </cell>
        </row>
        <row r="24610">
          <cell r="E24610">
            <v>0</v>
          </cell>
          <cell r="F24610">
            <v>0</v>
          </cell>
          <cell r="DN24610">
            <v>0</v>
          </cell>
        </row>
        <row r="24611">
          <cell r="E24611">
            <v>0</v>
          </cell>
          <cell r="F24611">
            <v>0</v>
          </cell>
          <cell r="DN24611">
            <v>0</v>
          </cell>
        </row>
        <row r="24612">
          <cell r="E24612">
            <v>0</v>
          </cell>
          <cell r="F24612">
            <v>0</v>
          </cell>
          <cell r="DN24612">
            <v>0</v>
          </cell>
        </row>
        <row r="24613">
          <cell r="E24613">
            <v>0</v>
          </cell>
          <cell r="F24613">
            <v>0</v>
          </cell>
          <cell r="DN24613">
            <v>0</v>
          </cell>
        </row>
        <row r="24614">
          <cell r="E24614">
            <v>0</v>
          </cell>
          <cell r="F24614">
            <v>0</v>
          </cell>
          <cell r="DN24614">
            <v>0</v>
          </cell>
        </row>
        <row r="24615">
          <cell r="E24615">
            <v>0</v>
          </cell>
          <cell r="F24615">
            <v>0</v>
          </cell>
          <cell r="DN24615">
            <v>0</v>
          </cell>
        </row>
        <row r="24616">
          <cell r="E24616">
            <v>0</v>
          </cell>
          <cell r="F24616">
            <v>0</v>
          </cell>
          <cell r="DN24616">
            <v>0</v>
          </cell>
        </row>
        <row r="24617">
          <cell r="E24617">
            <v>0</v>
          </cell>
          <cell r="F24617">
            <v>0</v>
          </cell>
          <cell r="DN24617">
            <v>0</v>
          </cell>
        </row>
        <row r="24618">
          <cell r="E24618">
            <v>0</v>
          </cell>
          <cell r="F24618">
            <v>0</v>
          </cell>
          <cell r="DN24618">
            <v>0</v>
          </cell>
        </row>
        <row r="24619">
          <cell r="E24619">
            <v>0</v>
          </cell>
          <cell r="F24619">
            <v>0</v>
          </cell>
          <cell r="DN24619">
            <v>0</v>
          </cell>
        </row>
        <row r="24620">
          <cell r="E24620">
            <v>0</v>
          </cell>
          <cell r="F24620">
            <v>0</v>
          </cell>
          <cell r="DN24620">
            <v>0</v>
          </cell>
        </row>
        <row r="24621">
          <cell r="E24621">
            <v>0</v>
          </cell>
          <cell r="F24621">
            <v>0</v>
          </cell>
          <cell r="DN24621">
            <v>0</v>
          </cell>
        </row>
        <row r="24622">
          <cell r="E24622">
            <v>0</v>
          </cell>
          <cell r="F24622">
            <v>0</v>
          </cell>
          <cell r="DN24622">
            <v>0</v>
          </cell>
        </row>
        <row r="24623">
          <cell r="E24623">
            <v>0</v>
          </cell>
          <cell r="F24623">
            <v>0</v>
          </cell>
          <cell r="DN24623">
            <v>0</v>
          </cell>
        </row>
        <row r="24624">
          <cell r="E24624">
            <v>0</v>
          </cell>
          <cell r="F24624">
            <v>0</v>
          </cell>
          <cell r="DN24624">
            <v>0</v>
          </cell>
        </row>
        <row r="24625">
          <cell r="E24625">
            <v>0</v>
          </cell>
          <cell r="F24625">
            <v>0</v>
          </cell>
          <cell r="DN24625">
            <v>0</v>
          </cell>
        </row>
        <row r="24626">
          <cell r="E24626">
            <v>0</v>
          </cell>
          <cell r="F24626">
            <v>0</v>
          </cell>
          <cell r="DN24626">
            <v>0</v>
          </cell>
        </row>
        <row r="24627">
          <cell r="E24627">
            <v>0</v>
          </cell>
          <cell r="F24627">
            <v>0</v>
          </cell>
          <cell r="DN24627">
            <v>0</v>
          </cell>
        </row>
        <row r="24628">
          <cell r="E24628">
            <v>0</v>
          </cell>
          <cell r="F24628">
            <v>0</v>
          </cell>
          <cell r="DN24628">
            <v>0</v>
          </cell>
        </row>
        <row r="24629">
          <cell r="E24629">
            <v>0</v>
          </cell>
          <cell r="F24629">
            <v>0</v>
          </cell>
          <cell r="DN24629">
            <v>0</v>
          </cell>
        </row>
        <row r="24630">
          <cell r="E24630">
            <v>0</v>
          </cell>
          <cell r="F24630">
            <v>0</v>
          </cell>
          <cell r="DN24630">
            <v>0</v>
          </cell>
        </row>
        <row r="24631">
          <cell r="E24631">
            <v>0</v>
          </cell>
          <cell r="F24631">
            <v>0</v>
          </cell>
          <cell r="DN24631">
            <v>0</v>
          </cell>
        </row>
        <row r="24632">
          <cell r="E24632">
            <v>0</v>
          </cell>
          <cell r="F24632">
            <v>0</v>
          </cell>
          <cell r="DN24632">
            <v>0</v>
          </cell>
        </row>
        <row r="24633">
          <cell r="E24633">
            <v>0</v>
          </cell>
          <cell r="F24633">
            <v>0</v>
          </cell>
          <cell r="DN24633">
            <v>0</v>
          </cell>
        </row>
        <row r="24634">
          <cell r="E24634">
            <v>0</v>
          </cell>
          <cell r="F24634">
            <v>0</v>
          </cell>
          <cell r="DN24634">
            <v>0</v>
          </cell>
        </row>
        <row r="24635">
          <cell r="E24635">
            <v>0</v>
          </cell>
          <cell r="F24635">
            <v>0</v>
          </cell>
          <cell r="DN24635">
            <v>0</v>
          </cell>
        </row>
        <row r="24636">
          <cell r="E24636">
            <v>0</v>
          </cell>
          <cell r="F24636">
            <v>0</v>
          </cell>
          <cell r="DN24636">
            <v>0</v>
          </cell>
        </row>
        <row r="24637">
          <cell r="E24637">
            <v>0</v>
          </cell>
          <cell r="F24637">
            <v>0</v>
          </cell>
          <cell r="DN24637">
            <v>0</v>
          </cell>
        </row>
        <row r="24638">
          <cell r="E24638">
            <v>0</v>
          </cell>
          <cell r="F24638">
            <v>0</v>
          </cell>
          <cell r="DN24638">
            <v>0</v>
          </cell>
        </row>
        <row r="24639">
          <cell r="E24639">
            <v>0</v>
          </cell>
          <cell r="F24639">
            <v>0</v>
          </cell>
          <cell r="DN24639">
            <v>0</v>
          </cell>
        </row>
        <row r="24640">
          <cell r="E24640">
            <v>0</v>
          </cell>
          <cell r="F24640">
            <v>0</v>
          </cell>
          <cell r="DN24640">
            <v>0</v>
          </cell>
        </row>
        <row r="24641">
          <cell r="E24641">
            <v>0</v>
          </cell>
          <cell r="F24641">
            <v>0</v>
          </cell>
          <cell r="DN24641">
            <v>0</v>
          </cell>
        </row>
        <row r="24642">
          <cell r="E24642">
            <v>0</v>
          </cell>
          <cell r="F24642">
            <v>0</v>
          </cell>
          <cell r="DN24642">
            <v>0</v>
          </cell>
        </row>
        <row r="24643">
          <cell r="E24643">
            <v>0</v>
          </cell>
          <cell r="F24643">
            <v>0</v>
          </cell>
          <cell r="DN24643">
            <v>0</v>
          </cell>
        </row>
        <row r="24644">
          <cell r="E24644">
            <v>0</v>
          </cell>
          <cell r="F24644">
            <v>0</v>
          </cell>
          <cell r="DN24644">
            <v>0</v>
          </cell>
        </row>
        <row r="24645">
          <cell r="E24645">
            <v>0</v>
          </cell>
          <cell r="F24645">
            <v>0</v>
          </cell>
          <cell r="DN24645">
            <v>0</v>
          </cell>
        </row>
        <row r="24646">
          <cell r="E24646">
            <v>0</v>
          </cell>
          <cell r="F24646">
            <v>0</v>
          </cell>
          <cell r="DN24646">
            <v>0</v>
          </cell>
        </row>
        <row r="24647">
          <cell r="E24647">
            <v>0</v>
          </cell>
          <cell r="F24647">
            <v>0</v>
          </cell>
          <cell r="DN24647">
            <v>0</v>
          </cell>
        </row>
        <row r="24648">
          <cell r="E24648">
            <v>0</v>
          </cell>
          <cell r="F24648">
            <v>0</v>
          </cell>
          <cell r="DN24648">
            <v>0</v>
          </cell>
        </row>
        <row r="24649">
          <cell r="E24649">
            <v>0</v>
          </cell>
          <cell r="F24649">
            <v>0</v>
          </cell>
          <cell r="DN24649">
            <v>0</v>
          </cell>
        </row>
        <row r="24650">
          <cell r="E24650">
            <v>0</v>
          </cell>
          <cell r="F24650">
            <v>0</v>
          </cell>
          <cell r="DN24650">
            <v>0</v>
          </cell>
        </row>
        <row r="24651">
          <cell r="E24651">
            <v>0</v>
          </cell>
          <cell r="F24651">
            <v>0</v>
          </cell>
          <cell r="DN24651">
            <v>0</v>
          </cell>
        </row>
        <row r="24652">
          <cell r="E24652">
            <v>0</v>
          </cell>
          <cell r="F24652">
            <v>0</v>
          </cell>
          <cell r="DN24652">
            <v>0</v>
          </cell>
        </row>
        <row r="24653">
          <cell r="E24653">
            <v>0</v>
          </cell>
          <cell r="F24653">
            <v>0</v>
          </cell>
          <cell r="DN24653">
            <v>0</v>
          </cell>
        </row>
        <row r="24654">
          <cell r="E24654">
            <v>0</v>
          </cell>
          <cell r="F24654">
            <v>0</v>
          </cell>
          <cell r="DN24654">
            <v>0</v>
          </cell>
        </row>
        <row r="24655">
          <cell r="E24655">
            <v>0</v>
          </cell>
          <cell r="F24655">
            <v>0</v>
          </cell>
          <cell r="DN24655">
            <v>0</v>
          </cell>
        </row>
        <row r="24656">
          <cell r="E24656">
            <v>0</v>
          </cell>
          <cell r="F24656">
            <v>0</v>
          </cell>
          <cell r="DN24656">
            <v>0</v>
          </cell>
        </row>
        <row r="24657">
          <cell r="E24657">
            <v>0</v>
          </cell>
          <cell r="F24657">
            <v>0</v>
          </cell>
          <cell r="DN24657">
            <v>0</v>
          </cell>
        </row>
        <row r="24658">
          <cell r="E24658">
            <v>0</v>
          </cell>
          <cell r="F24658">
            <v>0</v>
          </cell>
          <cell r="DN24658">
            <v>0</v>
          </cell>
        </row>
        <row r="24659">
          <cell r="E24659">
            <v>0</v>
          </cell>
          <cell r="F24659">
            <v>0</v>
          </cell>
          <cell r="DN24659">
            <v>0</v>
          </cell>
        </row>
        <row r="24660">
          <cell r="E24660">
            <v>0</v>
          </cell>
          <cell r="F24660">
            <v>0</v>
          </cell>
          <cell r="DN24660">
            <v>0</v>
          </cell>
        </row>
        <row r="24661">
          <cell r="E24661">
            <v>0</v>
          </cell>
          <cell r="F24661">
            <v>0</v>
          </cell>
          <cell r="DN24661">
            <v>0</v>
          </cell>
        </row>
        <row r="24662">
          <cell r="E24662">
            <v>0</v>
          </cell>
          <cell r="F24662">
            <v>0</v>
          </cell>
          <cell r="DN24662">
            <v>0</v>
          </cell>
        </row>
        <row r="24663">
          <cell r="E24663">
            <v>0</v>
          </cell>
          <cell r="F24663">
            <v>0</v>
          </cell>
          <cell r="DN24663">
            <v>0</v>
          </cell>
        </row>
        <row r="24664">
          <cell r="E24664">
            <v>0</v>
          </cell>
          <cell r="F24664">
            <v>0</v>
          </cell>
          <cell r="DN24664">
            <v>0</v>
          </cell>
        </row>
        <row r="24665">
          <cell r="E24665">
            <v>0</v>
          </cell>
          <cell r="F24665">
            <v>0</v>
          </cell>
          <cell r="DN24665">
            <v>0</v>
          </cell>
        </row>
        <row r="24666">
          <cell r="E24666">
            <v>0</v>
          </cell>
          <cell r="F24666">
            <v>0</v>
          </cell>
          <cell r="DN24666">
            <v>0</v>
          </cell>
        </row>
        <row r="24667">
          <cell r="E24667">
            <v>0</v>
          </cell>
          <cell r="F24667">
            <v>0</v>
          </cell>
          <cell r="DN24667">
            <v>0</v>
          </cell>
        </row>
        <row r="24668">
          <cell r="E24668">
            <v>0</v>
          </cell>
          <cell r="F24668">
            <v>0</v>
          </cell>
          <cell r="DN24668">
            <v>0</v>
          </cell>
        </row>
        <row r="24669">
          <cell r="E24669">
            <v>0</v>
          </cell>
          <cell r="F24669">
            <v>0</v>
          </cell>
          <cell r="DN24669">
            <v>0</v>
          </cell>
        </row>
        <row r="24670">
          <cell r="E24670">
            <v>0</v>
          </cell>
          <cell r="F24670">
            <v>0</v>
          </cell>
          <cell r="DN24670">
            <v>0</v>
          </cell>
        </row>
        <row r="24671">
          <cell r="E24671">
            <v>0</v>
          </cell>
          <cell r="F24671">
            <v>0</v>
          </cell>
          <cell r="DN24671">
            <v>0</v>
          </cell>
        </row>
        <row r="24672">
          <cell r="E24672">
            <v>0</v>
          </cell>
          <cell r="F24672">
            <v>0</v>
          </cell>
          <cell r="DN24672">
            <v>0</v>
          </cell>
        </row>
        <row r="24673">
          <cell r="E24673">
            <v>0</v>
          </cell>
          <cell r="F24673">
            <v>0</v>
          </cell>
          <cell r="DN24673">
            <v>0</v>
          </cell>
        </row>
        <row r="24674">
          <cell r="E24674">
            <v>0</v>
          </cell>
          <cell r="F24674">
            <v>0</v>
          </cell>
          <cell r="DN24674">
            <v>0</v>
          </cell>
        </row>
        <row r="24675">
          <cell r="E24675">
            <v>0</v>
          </cell>
          <cell r="F24675">
            <v>0</v>
          </cell>
          <cell r="DN24675">
            <v>0</v>
          </cell>
        </row>
        <row r="24676">
          <cell r="E24676">
            <v>0</v>
          </cell>
          <cell r="F24676">
            <v>0</v>
          </cell>
          <cell r="DN24676">
            <v>0</v>
          </cell>
        </row>
        <row r="24677">
          <cell r="E24677">
            <v>0</v>
          </cell>
          <cell r="F24677">
            <v>0</v>
          </cell>
          <cell r="DN24677">
            <v>0</v>
          </cell>
        </row>
        <row r="24678">
          <cell r="E24678">
            <v>0</v>
          </cell>
          <cell r="F24678">
            <v>0</v>
          </cell>
          <cell r="DN24678">
            <v>0</v>
          </cell>
        </row>
        <row r="24679">
          <cell r="E24679">
            <v>0</v>
          </cell>
          <cell r="F24679">
            <v>0</v>
          </cell>
          <cell r="DN24679">
            <v>0</v>
          </cell>
        </row>
        <row r="24680">
          <cell r="E24680">
            <v>0</v>
          </cell>
          <cell r="F24680">
            <v>0</v>
          </cell>
          <cell r="DN24680">
            <v>0</v>
          </cell>
        </row>
        <row r="24681">
          <cell r="E24681">
            <v>0</v>
          </cell>
          <cell r="F24681">
            <v>0</v>
          </cell>
          <cell r="DN24681">
            <v>0</v>
          </cell>
        </row>
        <row r="24682">
          <cell r="E24682">
            <v>0</v>
          </cell>
          <cell r="F24682">
            <v>0</v>
          </cell>
          <cell r="DN24682">
            <v>0</v>
          </cell>
        </row>
        <row r="24683">
          <cell r="E24683">
            <v>0</v>
          </cell>
          <cell r="F24683">
            <v>0</v>
          </cell>
          <cell r="DN24683">
            <v>0</v>
          </cell>
        </row>
        <row r="24684">
          <cell r="E24684">
            <v>0</v>
          </cell>
          <cell r="F24684">
            <v>0</v>
          </cell>
          <cell r="DN24684">
            <v>0</v>
          </cell>
        </row>
        <row r="24685">
          <cell r="E24685">
            <v>0</v>
          </cell>
          <cell r="F24685">
            <v>0</v>
          </cell>
          <cell r="DN24685">
            <v>0</v>
          </cell>
        </row>
        <row r="24686">
          <cell r="E24686">
            <v>0</v>
          </cell>
          <cell r="F24686">
            <v>0</v>
          </cell>
          <cell r="DN24686">
            <v>0</v>
          </cell>
        </row>
        <row r="24687">
          <cell r="E24687">
            <v>0</v>
          </cell>
          <cell r="F24687">
            <v>0</v>
          </cell>
          <cell r="DN24687">
            <v>0</v>
          </cell>
        </row>
        <row r="24688">
          <cell r="E24688">
            <v>0</v>
          </cell>
          <cell r="F24688">
            <v>0</v>
          </cell>
          <cell r="DN24688">
            <v>0</v>
          </cell>
        </row>
        <row r="24689">
          <cell r="E24689">
            <v>0</v>
          </cell>
          <cell r="F24689">
            <v>0</v>
          </cell>
          <cell r="DN24689">
            <v>0</v>
          </cell>
        </row>
        <row r="24690">
          <cell r="E24690">
            <v>0</v>
          </cell>
          <cell r="F24690">
            <v>0</v>
          </cell>
          <cell r="DN24690">
            <v>0</v>
          </cell>
        </row>
        <row r="24691">
          <cell r="E24691">
            <v>0</v>
          </cell>
          <cell r="F24691">
            <v>0</v>
          </cell>
          <cell r="DN24691">
            <v>0</v>
          </cell>
        </row>
        <row r="24692">
          <cell r="E24692">
            <v>0</v>
          </cell>
          <cell r="F24692">
            <v>0</v>
          </cell>
          <cell r="DN24692">
            <v>0</v>
          </cell>
        </row>
        <row r="24693">
          <cell r="E24693">
            <v>0</v>
          </cell>
          <cell r="F24693">
            <v>0</v>
          </cell>
          <cell r="DN24693">
            <v>0</v>
          </cell>
        </row>
        <row r="24694">
          <cell r="E24694">
            <v>0</v>
          </cell>
          <cell r="F24694">
            <v>0</v>
          </cell>
          <cell r="DN24694">
            <v>0</v>
          </cell>
        </row>
        <row r="24695">
          <cell r="E24695">
            <v>0</v>
          </cell>
          <cell r="F24695">
            <v>0</v>
          </cell>
          <cell r="DN24695">
            <v>0</v>
          </cell>
        </row>
        <row r="24696">
          <cell r="E24696">
            <v>0</v>
          </cell>
          <cell r="F24696">
            <v>0</v>
          </cell>
          <cell r="DN24696">
            <v>0</v>
          </cell>
        </row>
        <row r="24697">
          <cell r="E24697">
            <v>0</v>
          </cell>
          <cell r="F24697">
            <v>0</v>
          </cell>
          <cell r="DN24697">
            <v>0</v>
          </cell>
        </row>
        <row r="24698">
          <cell r="E24698">
            <v>0</v>
          </cell>
          <cell r="F24698">
            <v>0</v>
          </cell>
          <cell r="DN24698">
            <v>0</v>
          </cell>
        </row>
        <row r="24699">
          <cell r="E24699">
            <v>0</v>
          </cell>
          <cell r="F24699">
            <v>0</v>
          </cell>
          <cell r="DN24699">
            <v>0</v>
          </cell>
        </row>
        <row r="24700">
          <cell r="E24700">
            <v>0</v>
          </cell>
          <cell r="F24700">
            <v>0</v>
          </cell>
          <cell r="DN24700">
            <v>0</v>
          </cell>
        </row>
        <row r="24701">
          <cell r="E24701">
            <v>0</v>
          </cell>
          <cell r="F24701">
            <v>0</v>
          </cell>
          <cell r="DN24701">
            <v>0</v>
          </cell>
        </row>
        <row r="24702">
          <cell r="E24702">
            <v>0</v>
          </cell>
          <cell r="F24702">
            <v>0</v>
          </cell>
          <cell r="DN24702">
            <v>0</v>
          </cell>
        </row>
        <row r="24703">
          <cell r="E24703">
            <v>0</v>
          </cell>
          <cell r="F24703">
            <v>0</v>
          </cell>
          <cell r="DN24703">
            <v>0</v>
          </cell>
        </row>
        <row r="24704">
          <cell r="E24704">
            <v>0</v>
          </cell>
          <cell r="F24704">
            <v>0</v>
          </cell>
          <cell r="DN24704">
            <v>0</v>
          </cell>
        </row>
        <row r="24705">
          <cell r="E24705">
            <v>0</v>
          </cell>
          <cell r="F24705">
            <v>0</v>
          </cell>
          <cell r="DN24705">
            <v>0</v>
          </cell>
        </row>
        <row r="24706">
          <cell r="E24706">
            <v>0</v>
          </cell>
          <cell r="F24706">
            <v>0</v>
          </cell>
          <cell r="DN24706">
            <v>0</v>
          </cell>
        </row>
        <row r="24707">
          <cell r="E24707">
            <v>0</v>
          </cell>
          <cell r="F24707">
            <v>0</v>
          </cell>
          <cell r="DN24707">
            <v>0</v>
          </cell>
        </row>
        <row r="24708">
          <cell r="E24708">
            <v>0</v>
          </cell>
          <cell r="F24708">
            <v>0</v>
          </cell>
          <cell r="DN24708">
            <v>0</v>
          </cell>
        </row>
        <row r="24709">
          <cell r="E24709">
            <v>0</v>
          </cell>
          <cell r="F24709">
            <v>0</v>
          </cell>
          <cell r="DN24709">
            <v>0</v>
          </cell>
        </row>
        <row r="24710">
          <cell r="E24710">
            <v>0</v>
          </cell>
          <cell r="F24710">
            <v>0</v>
          </cell>
          <cell r="DN24710">
            <v>0</v>
          </cell>
        </row>
        <row r="24711">
          <cell r="E24711">
            <v>0</v>
          </cell>
          <cell r="F24711">
            <v>0</v>
          </cell>
          <cell r="DN24711">
            <v>0</v>
          </cell>
        </row>
        <row r="24712">
          <cell r="E24712">
            <v>0</v>
          </cell>
          <cell r="F24712">
            <v>0</v>
          </cell>
          <cell r="DN24712">
            <v>0</v>
          </cell>
        </row>
        <row r="24713">
          <cell r="E24713">
            <v>0</v>
          </cell>
          <cell r="F24713">
            <v>0</v>
          </cell>
          <cell r="DN24713">
            <v>0</v>
          </cell>
        </row>
        <row r="24714">
          <cell r="E24714">
            <v>0</v>
          </cell>
          <cell r="F24714">
            <v>0</v>
          </cell>
          <cell r="DN24714">
            <v>0</v>
          </cell>
        </row>
        <row r="24715">
          <cell r="E24715">
            <v>0</v>
          </cell>
          <cell r="F24715">
            <v>0</v>
          </cell>
          <cell r="DN24715">
            <v>0</v>
          </cell>
        </row>
        <row r="24716">
          <cell r="E24716">
            <v>0</v>
          </cell>
          <cell r="F24716">
            <v>0</v>
          </cell>
          <cell r="DN24716">
            <v>0</v>
          </cell>
        </row>
        <row r="24717">
          <cell r="E24717">
            <v>0</v>
          </cell>
          <cell r="F24717">
            <v>0</v>
          </cell>
          <cell r="DN24717">
            <v>0</v>
          </cell>
        </row>
        <row r="24718">
          <cell r="E24718">
            <v>0</v>
          </cell>
          <cell r="F24718">
            <v>0</v>
          </cell>
          <cell r="DN24718">
            <v>0</v>
          </cell>
        </row>
        <row r="24719">
          <cell r="E24719">
            <v>0</v>
          </cell>
          <cell r="F24719">
            <v>0</v>
          </cell>
          <cell r="DN24719">
            <v>0</v>
          </cell>
        </row>
        <row r="24720">
          <cell r="E24720">
            <v>0</v>
          </cell>
          <cell r="F24720">
            <v>0</v>
          </cell>
          <cell r="DN24720">
            <v>0</v>
          </cell>
        </row>
        <row r="24721">
          <cell r="E24721">
            <v>0</v>
          </cell>
          <cell r="F24721">
            <v>0</v>
          </cell>
          <cell r="DN24721">
            <v>0</v>
          </cell>
        </row>
        <row r="24722">
          <cell r="E24722">
            <v>0</v>
          </cell>
          <cell r="F24722">
            <v>0</v>
          </cell>
          <cell r="DN24722">
            <v>0</v>
          </cell>
        </row>
        <row r="24723">
          <cell r="E24723">
            <v>0</v>
          </cell>
          <cell r="F24723">
            <v>0</v>
          </cell>
          <cell r="DN24723">
            <v>0</v>
          </cell>
        </row>
        <row r="24724">
          <cell r="E24724">
            <v>0</v>
          </cell>
          <cell r="F24724">
            <v>0</v>
          </cell>
          <cell r="DN24724">
            <v>0</v>
          </cell>
        </row>
        <row r="24725">
          <cell r="E24725">
            <v>0</v>
          </cell>
          <cell r="F24725">
            <v>0</v>
          </cell>
          <cell r="DN24725">
            <v>0</v>
          </cell>
        </row>
        <row r="24726">
          <cell r="E24726">
            <v>0</v>
          </cell>
          <cell r="F24726">
            <v>0</v>
          </cell>
          <cell r="DN24726">
            <v>0</v>
          </cell>
        </row>
        <row r="24727">
          <cell r="E24727">
            <v>0</v>
          </cell>
          <cell r="F24727">
            <v>0</v>
          </cell>
          <cell r="DN24727">
            <v>0</v>
          </cell>
        </row>
        <row r="24728">
          <cell r="E24728">
            <v>0</v>
          </cell>
          <cell r="F24728">
            <v>0</v>
          </cell>
          <cell r="DN24728">
            <v>0</v>
          </cell>
        </row>
        <row r="24729">
          <cell r="E24729">
            <v>0</v>
          </cell>
          <cell r="F24729">
            <v>0</v>
          </cell>
          <cell r="DN24729">
            <v>0</v>
          </cell>
        </row>
        <row r="24730">
          <cell r="E24730">
            <v>0</v>
          </cell>
          <cell r="F24730">
            <v>0</v>
          </cell>
          <cell r="DN24730">
            <v>0</v>
          </cell>
        </row>
        <row r="24731">
          <cell r="E24731">
            <v>0</v>
          </cell>
          <cell r="F24731">
            <v>0</v>
          </cell>
          <cell r="DN24731">
            <v>0</v>
          </cell>
        </row>
        <row r="24732">
          <cell r="E24732">
            <v>0</v>
          </cell>
          <cell r="F24732">
            <v>0</v>
          </cell>
          <cell r="DN24732">
            <v>0</v>
          </cell>
        </row>
        <row r="24733">
          <cell r="E24733">
            <v>0</v>
          </cell>
          <cell r="F24733">
            <v>0</v>
          </cell>
          <cell r="DN24733">
            <v>0</v>
          </cell>
        </row>
        <row r="24734">
          <cell r="E24734">
            <v>0</v>
          </cell>
          <cell r="F24734">
            <v>0</v>
          </cell>
          <cell r="DN24734">
            <v>0</v>
          </cell>
        </row>
        <row r="24735">
          <cell r="E24735">
            <v>0</v>
          </cell>
          <cell r="F24735">
            <v>0</v>
          </cell>
          <cell r="DN24735">
            <v>0</v>
          </cell>
        </row>
        <row r="24736">
          <cell r="E24736">
            <v>0</v>
          </cell>
          <cell r="F24736">
            <v>0</v>
          </cell>
          <cell r="DN24736">
            <v>0</v>
          </cell>
        </row>
        <row r="24737">
          <cell r="E24737">
            <v>0</v>
          </cell>
          <cell r="F24737">
            <v>0</v>
          </cell>
          <cell r="DN24737">
            <v>0</v>
          </cell>
        </row>
        <row r="24738">
          <cell r="E24738">
            <v>0</v>
          </cell>
          <cell r="F24738">
            <v>0</v>
          </cell>
          <cell r="DN24738">
            <v>0</v>
          </cell>
        </row>
        <row r="24739">
          <cell r="E24739">
            <v>0</v>
          </cell>
          <cell r="F24739">
            <v>0</v>
          </cell>
          <cell r="DN24739">
            <v>0</v>
          </cell>
        </row>
        <row r="24740">
          <cell r="E24740">
            <v>0</v>
          </cell>
          <cell r="F24740">
            <v>0</v>
          </cell>
          <cell r="DN24740">
            <v>0</v>
          </cell>
        </row>
        <row r="24741">
          <cell r="E24741">
            <v>0</v>
          </cell>
          <cell r="F24741">
            <v>0</v>
          </cell>
          <cell r="DN24741">
            <v>0</v>
          </cell>
        </row>
        <row r="24742">
          <cell r="E24742">
            <v>0</v>
          </cell>
          <cell r="F24742">
            <v>0</v>
          </cell>
          <cell r="DN24742">
            <v>0</v>
          </cell>
        </row>
        <row r="24743">
          <cell r="E24743">
            <v>0</v>
          </cell>
          <cell r="F24743">
            <v>0</v>
          </cell>
          <cell r="DN24743">
            <v>0</v>
          </cell>
        </row>
        <row r="24744">
          <cell r="E24744">
            <v>0</v>
          </cell>
          <cell r="F24744">
            <v>0</v>
          </cell>
          <cell r="DN24744">
            <v>0</v>
          </cell>
        </row>
        <row r="24745">
          <cell r="E24745">
            <v>0</v>
          </cell>
          <cell r="F24745">
            <v>0</v>
          </cell>
          <cell r="DN24745">
            <v>0</v>
          </cell>
        </row>
        <row r="24746">
          <cell r="E24746">
            <v>0</v>
          </cell>
          <cell r="F24746">
            <v>0</v>
          </cell>
          <cell r="DN24746">
            <v>0</v>
          </cell>
        </row>
        <row r="24747">
          <cell r="E24747">
            <v>0</v>
          </cell>
          <cell r="F24747">
            <v>0</v>
          </cell>
          <cell r="DN24747">
            <v>0</v>
          </cell>
        </row>
        <row r="24748">
          <cell r="E24748">
            <v>0</v>
          </cell>
          <cell r="F24748">
            <v>0</v>
          </cell>
          <cell r="DN24748">
            <v>0</v>
          </cell>
        </row>
        <row r="24749">
          <cell r="E24749">
            <v>0</v>
          </cell>
          <cell r="F24749">
            <v>0</v>
          </cell>
          <cell r="DN24749">
            <v>0</v>
          </cell>
        </row>
        <row r="24750">
          <cell r="E24750">
            <v>0</v>
          </cell>
          <cell r="F24750">
            <v>0</v>
          </cell>
          <cell r="DN24750">
            <v>0</v>
          </cell>
        </row>
        <row r="24751">
          <cell r="E24751">
            <v>0</v>
          </cell>
          <cell r="F24751">
            <v>0</v>
          </cell>
          <cell r="DN24751">
            <v>0</v>
          </cell>
        </row>
        <row r="24752">
          <cell r="E24752">
            <v>0</v>
          </cell>
          <cell r="F24752">
            <v>0</v>
          </cell>
          <cell r="DN24752">
            <v>0</v>
          </cell>
        </row>
        <row r="24753">
          <cell r="E24753">
            <v>0</v>
          </cell>
          <cell r="F24753">
            <v>0</v>
          </cell>
          <cell r="DN24753">
            <v>0</v>
          </cell>
        </row>
        <row r="24754">
          <cell r="E24754">
            <v>0</v>
          </cell>
          <cell r="F24754">
            <v>0</v>
          </cell>
          <cell r="DN24754">
            <v>0</v>
          </cell>
        </row>
        <row r="24755">
          <cell r="E24755">
            <v>0</v>
          </cell>
          <cell r="F24755">
            <v>0</v>
          </cell>
          <cell r="DN24755">
            <v>0</v>
          </cell>
        </row>
        <row r="24756">
          <cell r="E24756">
            <v>0</v>
          </cell>
          <cell r="F24756">
            <v>0</v>
          </cell>
          <cell r="DN24756">
            <v>0</v>
          </cell>
        </row>
        <row r="24757">
          <cell r="E24757">
            <v>0</v>
          </cell>
          <cell r="F24757">
            <v>0</v>
          </cell>
          <cell r="DN24757">
            <v>0</v>
          </cell>
        </row>
        <row r="24758">
          <cell r="E24758">
            <v>0</v>
          </cell>
          <cell r="F24758">
            <v>0</v>
          </cell>
          <cell r="DN24758">
            <v>0</v>
          </cell>
        </row>
        <row r="24759">
          <cell r="E24759">
            <v>0</v>
          </cell>
          <cell r="F24759">
            <v>0</v>
          </cell>
          <cell r="DN24759">
            <v>0</v>
          </cell>
        </row>
        <row r="24760">
          <cell r="E24760">
            <v>0</v>
          </cell>
          <cell r="F24760">
            <v>0</v>
          </cell>
          <cell r="DN24760">
            <v>0</v>
          </cell>
        </row>
        <row r="24761">
          <cell r="E24761">
            <v>0</v>
          </cell>
          <cell r="F24761">
            <v>0</v>
          </cell>
          <cell r="DN24761">
            <v>0</v>
          </cell>
        </row>
        <row r="24762">
          <cell r="E24762">
            <v>0</v>
          </cell>
          <cell r="F24762">
            <v>0</v>
          </cell>
          <cell r="DN24762">
            <v>0</v>
          </cell>
        </row>
        <row r="24763">
          <cell r="E24763">
            <v>0</v>
          </cell>
          <cell r="F24763">
            <v>0</v>
          </cell>
          <cell r="DN24763">
            <v>0</v>
          </cell>
        </row>
        <row r="24764">
          <cell r="E24764">
            <v>0</v>
          </cell>
          <cell r="F24764">
            <v>0</v>
          </cell>
          <cell r="DN24764">
            <v>0</v>
          </cell>
        </row>
        <row r="24765">
          <cell r="E24765">
            <v>0</v>
          </cell>
          <cell r="F24765">
            <v>0</v>
          </cell>
          <cell r="DN24765">
            <v>0</v>
          </cell>
        </row>
        <row r="24766">
          <cell r="E24766">
            <v>0</v>
          </cell>
          <cell r="F24766">
            <v>0</v>
          </cell>
          <cell r="DN24766">
            <v>0</v>
          </cell>
        </row>
        <row r="24767">
          <cell r="E24767">
            <v>0</v>
          </cell>
          <cell r="F24767">
            <v>0</v>
          </cell>
          <cell r="DN24767">
            <v>0</v>
          </cell>
        </row>
        <row r="24768">
          <cell r="E24768">
            <v>0</v>
          </cell>
          <cell r="F24768">
            <v>0</v>
          </cell>
          <cell r="DN24768">
            <v>0</v>
          </cell>
        </row>
        <row r="24769">
          <cell r="E24769">
            <v>0</v>
          </cell>
          <cell r="F24769">
            <v>0</v>
          </cell>
          <cell r="DN24769">
            <v>0</v>
          </cell>
        </row>
        <row r="24770">
          <cell r="E24770">
            <v>0</v>
          </cell>
          <cell r="F24770">
            <v>0</v>
          </cell>
          <cell r="DN24770">
            <v>0</v>
          </cell>
        </row>
        <row r="24771">
          <cell r="E24771">
            <v>0</v>
          </cell>
          <cell r="F24771">
            <v>0</v>
          </cell>
          <cell r="DN24771">
            <v>0</v>
          </cell>
        </row>
        <row r="24772">
          <cell r="E24772">
            <v>0</v>
          </cell>
          <cell r="F24772">
            <v>0</v>
          </cell>
          <cell r="DN24772">
            <v>0</v>
          </cell>
        </row>
        <row r="24773">
          <cell r="E24773">
            <v>0</v>
          </cell>
          <cell r="F24773">
            <v>0</v>
          </cell>
          <cell r="DN24773">
            <v>0</v>
          </cell>
        </row>
        <row r="24774">
          <cell r="E24774">
            <v>0</v>
          </cell>
          <cell r="F24774">
            <v>0</v>
          </cell>
          <cell r="DN24774">
            <v>0</v>
          </cell>
        </row>
        <row r="24775">
          <cell r="E24775">
            <v>0</v>
          </cell>
          <cell r="F24775">
            <v>0</v>
          </cell>
          <cell r="DN24775">
            <v>0</v>
          </cell>
        </row>
        <row r="24776">
          <cell r="E24776">
            <v>0</v>
          </cell>
          <cell r="F24776">
            <v>0</v>
          </cell>
          <cell r="DN24776">
            <v>0</v>
          </cell>
        </row>
        <row r="24777">
          <cell r="E24777">
            <v>0</v>
          </cell>
          <cell r="F24777">
            <v>0</v>
          </cell>
          <cell r="DN24777">
            <v>0</v>
          </cell>
        </row>
        <row r="24778">
          <cell r="E24778">
            <v>0</v>
          </cell>
          <cell r="F24778">
            <v>0</v>
          </cell>
          <cell r="DN24778">
            <v>0</v>
          </cell>
        </row>
        <row r="24779">
          <cell r="E24779">
            <v>0</v>
          </cell>
          <cell r="F24779">
            <v>0</v>
          </cell>
          <cell r="DN24779">
            <v>0</v>
          </cell>
        </row>
        <row r="24780">
          <cell r="E24780">
            <v>0</v>
          </cell>
          <cell r="F24780">
            <v>0</v>
          </cell>
          <cell r="DN24780">
            <v>0</v>
          </cell>
        </row>
        <row r="24781">
          <cell r="E24781">
            <v>0</v>
          </cell>
          <cell r="F24781">
            <v>0</v>
          </cell>
          <cell r="DN24781">
            <v>0</v>
          </cell>
        </row>
        <row r="24782">
          <cell r="E24782">
            <v>0</v>
          </cell>
          <cell r="F24782">
            <v>0</v>
          </cell>
          <cell r="DN24782">
            <v>0</v>
          </cell>
        </row>
        <row r="24783">
          <cell r="E24783">
            <v>0</v>
          </cell>
          <cell r="F24783">
            <v>0</v>
          </cell>
          <cell r="DN24783">
            <v>0</v>
          </cell>
        </row>
        <row r="24784">
          <cell r="E24784">
            <v>0</v>
          </cell>
          <cell r="F24784">
            <v>0</v>
          </cell>
          <cell r="DN24784">
            <v>0</v>
          </cell>
        </row>
        <row r="24785">
          <cell r="E24785">
            <v>0</v>
          </cell>
          <cell r="F24785">
            <v>0</v>
          </cell>
          <cell r="DN24785">
            <v>0</v>
          </cell>
        </row>
        <row r="24786">
          <cell r="E24786">
            <v>0</v>
          </cell>
          <cell r="F24786">
            <v>0</v>
          </cell>
          <cell r="DN24786">
            <v>0</v>
          </cell>
        </row>
        <row r="24787">
          <cell r="E24787">
            <v>0</v>
          </cell>
          <cell r="F24787">
            <v>0</v>
          </cell>
          <cell r="DN24787">
            <v>0</v>
          </cell>
        </row>
        <row r="24788">
          <cell r="E24788">
            <v>0</v>
          </cell>
          <cell r="F24788">
            <v>0</v>
          </cell>
          <cell r="DN24788">
            <v>0</v>
          </cell>
        </row>
        <row r="24789">
          <cell r="E24789">
            <v>0</v>
          </cell>
          <cell r="F24789">
            <v>0</v>
          </cell>
          <cell r="DN24789">
            <v>0</v>
          </cell>
        </row>
        <row r="24790">
          <cell r="E24790">
            <v>0</v>
          </cell>
          <cell r="F24790">
            <v>0</v>
          </cell>
          <cell r="DN24790">
            <v>0</v>
          </cell>
        </row>
        <row r="24791">
          <cell r="E24791">
            <v>0</v>
          </cell>
          <cell r="F24791">
            <v>0</v>
          </cell>
          <cell r="DN24791">
            <v>0</v>
          </cell>
        </row>
        <row r="24792">
          <cell r="E24792">
            <v>0</v>
          </cell>
          <cell r="F24792">
            <v>0</v>
          </cell>
          <cell r="DN24792">
            <v>0</v>
          </cell>
        </row>
        <row r="24793">
          <cell r="E24793">
            <v>0</v>
          </cell>
          <cell r="F24793">
            <v>0</v>
          </cell>
          <cell r="DN24793">
            <v>0</v>
          </cell>
        </row>
        <row r="24794">
          <cell r="E24794">
            <v>0</v>
          </cell>
          <cell r="F24794">
            <v>0</v>
          </cell>
          <cell r="DN24794">
            <v>0</v>
          </cell>
        </row>
        <row r="24795">
          <cell r="E24795">
            <v>0</v>
          </cell>
          <cell r="F24795">
            <v>0</v>
          </cell>
          <cell r="DN24795">
            <v>0</v>
          </cell>
        </row>
        <row r="24796">
          <cell r="E24796">
            <v>0</v>
          </cell>
          <cell r="F24796">
            <v>0</v>
          </cell>
          <cell r="DN24796">
            <v>0</v>
          </cell>
        </row>
        <row r="24797">
          <cell r="E24797">
            <v>0</v>
          </cell>
          <cell r="F24797">
            <v>0</v>
          </cell>
          <cell r="DN24797">
            <v>0</v>
          </cell>
        </row>
        <row r="24798">
          <cell r="E24798">
            <v>0</v>
          </cell>
          <cell r="F24798">
            <v>0</v>
          </cell>
          <cell r="DN24798">
            <v>0</v>
          </cell>
        </row>
        <row r="24799">
          <cell r="E24799">
            <v>0</v>
          </cell>
          <cell r="F24799">
            <v>0</v>
          </cell>
          <cell r="DN24799">
            <v>0</v>
          </cell>
        </row>
        <row r="24800">
          <cell r="E24800">
            <v>0</v>
          </cell>
          <cell r="F24800">
            <v>0</v>
          </cell>
          <cell r="DN24800">
            <v>0</v>
          </cell>
        </row>
        <row r="24801">
          <cell r="E24801">
            <v>0</v>
          </cell>
          <cell r="F24801">
            <v>0</v>
          </cell>
          <cell r="DN24801">
            <v>0</v>
          </cell>
        </row>
        <row r="24802">
          <cell r="E24802">
            <v>0</v>
          </cell>
          <cell r="F24802">
            <v>0</v>
          </cell>
          <cell r="DN24802">
            <v>0</v>
          </cell>
        </row>
        <row r="24803">
          <cell r="E24803">
            <v>0</v>
          </cell>
          <cell r="F24803">
            <v>0</v>
          </cell>
          <cell r="DN24803">
            <v>0</v>
          </cell>
        </row>
        <row r="24804">
          <cell r="E24804">
            <v>0</v>
          </cell>
          <cell r="F24804">
            <v>0</v>
          </cell>
          <cell r="DN24804">
            <v>0</v>
          </cell>
        </row>
        <row r="24805">
          <cell r="E24805">
            <v>0</v>
          </cell>
          <cell r="F24805">
            <v>0</v>
          </cell>
          <cell r="DN24805">
            <v>0</v>
          </cell>
        </row>
        <row r="24806">
          <cell r="E24806">
            <v>0</v>
          </cell>
          <cell r="F24806">
            <v>0</v>
          </cell>
          <cell r="DN24806">
            <v>0</v>
          </cell>
        </row>
        <row r="24807">
          <cell r="E24807">
            <v>0</v>
          </cell>
          <cell r="F24807">
            <v>0</v>
          </cell>
          <cell r="DN24807">
            <v>0</v>
          </cell>
        </row>
        <row r="24808">
          <cell r="E24808">
            <v>0</v>
          </cell>
          <cell r="F24808">
            <v>0</v>
          </cell>
          <cell r="DN24808">
            <v>0</v>
          </cell>
        </row>
        <row r="24809">
          <cell r="E24809">
            <v>0</v>
          </cell>
          <cell r="F24809">
            <v>0</v>
          </cell>
          <cell r="DN24809">
            <v>0</v>
          </cell>
        </row>
        <row r="24810">
          <cell r="E24810">
            <v>0</v>
          </cell>
          <cell r="F24810">
            <v>0</v>
          </cell>
          <cell r="DN24810">
            <v>0</v>
          </cell>
        </row>
        <row r="24811">
          <cell r="E24811">
            <v>0</v>
          </cell>
          <cell r="F24811">
            <v>0</v>
          </cell>
          <cell r="DN24811">
            <v>0</v>
          </cell>
        </row>
        <row r="24812">
          <cell r="E24812">
            <v>0</v>
          </cell>
          <cell r="F24812">
            <v>0</v>
          </cell>
          <cell r="DN24812">
            <v>0</v>
          </cell>
        </row>
        <row r="24813">
          <cell r="E24813">
            <v>0</v>
          </cell>
          <cell r="F24813">
            <v>0</v>
          </cell>
          <cell r="DN24813">
            <v>0</v>
          </cell>
        </row>
        <row r="24814">
          <cell r="E24814">
            <v>0</v>
          </cell>
          <cell r="F24814">
            <v>0</v>
          </cell>
          <cell r="DN24814">
            <v>0</v>
          </cell>
        </row>
        <row r="24815">
          <cell r="E24815">
            <v>0</v>
          </cell>
          <cell r="F24815">
            <v>0</v>
          </cell>
          <cell r="DN24815">
            <v>0</v>
          </cell>
        </row>
        <row r="24816">
          <cell r="E24816">
            <v>0</v>
          </cell>
          <cell r="F24816">
            <v>0</v>
          </cell>
          <cell r="DN24816">
            <v>0</v>
          </cell>
        </row>
        <row r="24817">
          <cell r="E24817">
            <v>0</v>
          </cell>
          <cell r="F24817">
            <v>0</v>
          </cell>
          <cell r="DN24817">
            <v>0</v>
          </cell>
        </row>
        <row r="24818">
          <cell r="E24818">
            <v>0</v>
          </cell>
          <cell r="F24818">
            <v>0</v>
          </cell>
          <cell r="DN24818">
            <v>0</v>
          </cell>
        </row>
        <row r="24819">
          <cell r="E24819">
            <v>0</v>
          </cell>
          <cell r="F24819">
            <v>0</v>
          </cell>
          <cell r="DN24819">
            <v>0</v>
          </cell>
        </row>
        <row r="24820">
          <cell r="E24820">
            <v>0</v>
          </cell>
          <cell r="F24820">
            <v>0</v>
          </cell>
          <cell r="DN24820">
            <v>0</v>
          </cell>
        </row>
        <row r="24821">
          <cell r="E24821">
            <v>0</v>
          </cell>
          <cell r="F24821">
            <v>0</v>
          </cell>
          <cell r="DN24821">
            <v>0</v>
          </cell>
        </row>
        <row r="24822">
          <cell r="E24822">
            <v>0</v>
          </cell>
          <cell r="F24822">
            <v>0</v>
          </cell>
          <cell r="DN24822">
            <v>0</v>
          </cell>
        </row>
        <row r="24823">
          <cell r="E24823">
            <v>0</v>
          </cell>
          <cell r="F24823">
            <v>0</v>
          </cell>
          <cell r="DN24823">
            <v>0</v>
          </cell>
        </row>
        <row r="24824">
          <cell r="E24824">
            <v>0</v>
          </cell>
          <cell r="F24824">
            <v>0</v>
          </cell>
          <cell r="DN24824">
            <v>0</v>
          </cell>
        </row>
        <row r="24825">
          <cell r="E24825">
            <v>0</v>
          </cell>
          <cell r="F24825">
            <v>0</v>
          </cell>
          <cell r="DN24825">
            <v>0</v>
          </cell>
        </row>
        <row r="24826">
          <cell r="E24826">
            <v>0</v>
          </cell>
          <cell r="F24826">
            <v>0</v>
          </cell>
          <cell r="DN24826">
            <v>0</v>
          </cell>
        </row>
        <row r="24827">
          <cell r="E24827">
            <v>0</v>
          </cell>
          <cell r="F24827">
            <v>0</v>
          </cell>
          <cell r="DN24827">
            <v>0</v>
          </cell>
        </row>
        <row r="24828">
          <cell r="E24828">
            <v>0</v>
          </cell>
          <cell r="F24828">
            <v>0</v>
          </cell>
          <cell r="DN24828">
            <v>0</v>
          </cell>
        </row>
        <row r="24829">
          <cell r="E24829">
            <v>0</v>
          </cell>
          <cell r="F24829">
            <v>0</v>
          </cell>
          <cell r="DN24829">
            <v>0</v>
          </cell>
        </row>
        <row r="24830">
          <cell r="E24830">
            <v>0</v>
          </cell>
          <cell r="F24830">
            <v>0</v>
          </cell>
          <cell r="DN24830">
            <v>0</v>
          </cell>
        </row>
        <row r="24831">
          <cell r="E24831">
            <v>0</v>
          </cell>
          <cell r="F24831">
            <v>0</v>
          </cell>
          <cell r="DN24831">
            <v>0</v>
          </cell>
        </row>
        <row r="24832">
          <cell r="E24832">
            <v>0</v>
          </cell>
          <cell r="F24832">
            <v>0</v>
          </cell>
          <cell r="DN24832">
            <v>0</v>
          </cell>
        </row>
        <row r="24833">
          <cell r="E24833">
            <v>0</v>
          </cell>
          <cell r="F24833">
            <v>0</v>
          </cell>
          <cell r="DN24833">
            <v>0</v>
          </cell>
        </row>
        <row r="24834">
          <cell r="E24834">
            <v>0</v>
          </cell>
          <cell r="F24834">
            <v>0</v>
          </cell>
          <cell r="DN24834">
            <v>0</v>
          </cell>
        </row>
        <row r="24835">
          <cell r="E24835">
            <v>0</v>
          </cell>
          <cell r="F24835">
            <v>0</v>
          </cell>
          <cell r="DN24835">
            <v>0</v>
          </cell>
        </row>
        <row r="24836">
          <cell r="E24836">
            <v>0</v>
          </cell>
          <cell r="F24836">
            <v>0</v>
          </cell>
          <cell r="DN24836">
            <v>0</v>
          </cell>
        </row>
        <row r="24837">
          <cell r="E24837">
            <v>0</v>
          </cell>
          <cell r="F24837">
            <v>0</v>
          </cell>
          <cell r="DN24837">
            <v>0</v>
          </cell>
        </row>
        <row r="24838">
          <cell r="E24838">
            <v>0</v>
          </cell>
          <cell r="F24838">
            <v>0</v>
          </cell>
          <cell r="DN24838">
            <v>0</v>
          </cell>
        </row>
        <row r="24839">
          <cell r="E24839">
            <v>0</v>
          </cell>
          <cell r="F24839">
            <v>0</v>
          </cell>
          <cell r="DN24839">
            <v>0</v>
          </cell>
        </row>
        <row r="24840">
          <cell r="E24840">
            <v>0</v>
          </cell>
          <cell r="F24840">
            <v>0</v>
          </cell>
          <cell r="DN24840">
            <v>0</v>
          </cell>
        </row>
        <row r="24841">
          <cell r="E24841">
            <v>0</v>
          </cell>
          <cell r="F24841">
            <v>0</v>
          </cell>
          <cell r="DN24841">
            <v>0</v>
          </cell>
        </row>
        <row r="24842">
          <cell r="E24842">
            <v>0</v>
          </cell>
          <cell r="F24842">
            <v>0</v>
          </cell>
          <cell r="DN24842">
            <v>0</v>
          </cell>
        </row>
        <row r="24843">
          <cell r="E24843">
            <v>0</v>
          </cell>
          <cell r="F24843">
            <v>0</v>
          </cell>
          <cell r="DN24843">
            <v>0</v>
          </cell>
        </row>
        <row r="24844">
          <cell r="E24844">
            <v>0</v>
          </cell>
          <cell r="F24844">
            <v>0</v>
          </cell>
          <cell r="DN24844">
            <v>0</v>
          </cell>
        </row>
        <row r="24845">
          <cell r="E24845">
            <v>0</v>
          </cell>
          <cell r="F24845">
            <v>0</v>
          </cell>
          <cell r="DN24845">
            <v>0</v>
          </cell>
        </row>
        <row r="24846">
          <cell r="E24846">
            <v>0</v>
          </cell>
          <cell r="F24846">
            <v>0</v>
          </cell>
          <cell r="DN24846">
            <v>0</v>
          </cell>
        </row>
        <row r="24847">
          <cell r="E24847">
            <v>0</v>
          </cell>
          <cell r="F24847">
            <v>0</v>
          </cell>
          <cell r="DN24847">
            <v>0</v>
          </cell>
        </row>
        <row r="24848">
          <cell r="E24848">
            <v>0</v>
          </cell>
          <cell r="F24848">
            <v>0</v>
          </cell>
          <cell r="DN24848">
            <v>0</v>
          </cell>
        </row>
        <row r="24849">
          <cell r="E24849">
            <v>0</v>
          </cell>
          <cell r="F24849">
            <v>0</v>
          </cell>
          <cell r="DN24849">
            <v>0</v>
          </cell>
        </row>
        <row r="24850">
          <cell r="E24850">
            <v>0</v>
          </cell>
          <cell r="F24850">
            <v>0</v>
          </cell>
          <cell r="DN24850">
            <v>0</v>
          </cell>
        </row>
        <row r="24851">
          <cell r="E24851">
            <v>0</v>
          </cell>
          <cell r="F24851">
            <v>0</v>
          </cell>
          <cell r="DN24851">
            <v>0</v>
          </cell>
        </row>
        <row r="24852">
          <cell r="E24852">
            <v>0</v>
          </cell>
          <cell r="F24852">
            <v>0</v>
          </cell>
          <cell r="DN24852">
            <v>0</v>
          </cell>
        </row>
        <row r="24853">
          <cell r="E24853">
            <v>0</v>
          </cell>
          <cell r="F24853">
            <v>0</v>
          </cell>
          <cell r="DN24853">
            <v>0</v>
          </cell>
        </row>
        <row r="24854">
          <cell r="E24854">
            <v>0</v>
          </cell>
          <cell r="F24854">
            <v>0</v>
          </cell>
          <cell r="DN24854">
            <v>0</v>
          </cell>
        </row>
        <row r="24855">
          <cell r="E24855">
            <v>0</v>
          </cell>
          <cell r="F24855">
            <v>0</v>
          </cell>
          <cell r="DN24855">
            <v>0</v>
          </cell>
        </row>
        <row r="24856">
          <cell r="E24856">
            <v>0</v>
          </cell>
          <cell r="F24856">
            <v>0</v>
          </cell>
          <cell r="DN24856">
            <v>0</v>
          </cell>
        </row>
        <row r="24857">
          <cell r="E24857">
            <v>0</v>
          </cell>
          <cell r="F24857">
            <v>0</v>
          </cell>
          <cell r="DN24857">
            <v>0</v>
          </cell>
        </row>
        <row r="24858">
          <cell r="E24858">
            <v>0</v>
          </cell>
          <cell r="F24858">
            <v>0</v>
          </cell>
          <cell r="DN24858">
            <v>0</v>
          </cell>
        </row>
        <row r="24859">
          <cell r="E24859">
            <v>0</v>
          </cell>
          <cell r="F24859">
            <v>0</v>
          </cell>
          <cell r="DN24859">
            <v>0</v>
          </cell>
        </row>
        <row r="24860">
          <cell r="E24860">
            <v>0</v>
          </cell>
          <cell r="F24860">
            <v>0</v>
          </cell>
          <cell r="DN24860">
            <v>0</v>
          </cell>
        </row>
        <row r="24861">
          <cell r="E24861">
            <v>0</v>
          </cell>
          <cell r="F24861">
            <v>0</v>
          </cell>
          <cell r="DN24861">
            <v>0</v>
          </cell>
        </row>
        <row r="24862">
          <cell r="E24862">
            <v>0</v>
          </cell>
          <cell r="F24862">
            <v>0</v>
          </cell>
          <cell r="DN24862">
            <v>0</v>
          </cell>
        </row>
        <row r="24863">
          <cell r="E24863">
            <v>0</v>
          </cell>
          <cell r="F24863">
            <v>0</v>
          </cell>
          <cell r="DN24863">
            <v>0</v>
          </cell>
        </row>
        <row r="24864">
          <cell r="E24864">
            <v>0</v>
          </cell>
          <cell r="F24864">
            <v>0</v>
          </cell>
          <cell r="DN24864">
            <v>0</v>
          </cell>
        </row>
        <row r="24865">
          <cell r="E24865">
            <v>0</v>
          </cell>
          <cell r="F24865">
            <v>0</v>
          </cell>
          <cell r="DN24865">
            <v>0</v>
          </cell>
        </row>
        <row r="24866">
          <cell r="E24866">
            <v>0</v>
          </cell>
          <cell r="F24866">
            <v>0</v>
          </cell>
          <cell r="DN24866">
            <v>0</v>
          </cell>
        </row>
        <row r="24867">
          <cell r="E24867">
            <v>0</v>
          </cell>
          <cell r="F24867">
            <v>0</v>
          </cell>
          <cell r="DN24867">
            <v>0</v>
          </cell>
        </row>
        <row r="24868">
          <cell r="E24868">
            <v>0</v>
          </cell>
          <cell r="F24868">
            <v>0</v>
          </cell>
          <cell r="DN24868">
            <v>0</v>
          </cell>
        </row>
        <row r="24869">
          <cell r="E24869">
            <v>0</v>
          </cell>
          <cell r="F24869">
            <v>0</v>
          </cell>
          <cell r="DN24869">
            <v>0</v>
          </cell>
        </row>
        <row r="24870">
          <cell r="E24870">
            <v>0</v>
          </cell>
          <cell r="F24870">
            <v>0</v>
          </cell>
          <cell r="DN24870">
            <v>0</v>
          </cell>
        </row>
        <row r="24871">
          <cell r="E24871">
            <v>0</v>
          </cell>
          <cell r="F24871">
            <v>0</v>
          </cell>
          <cell r="DN24871">
            <v>0</v>
          </cell>
        </row>
        <row r="24872">
          <cell r="E24872">
            <v>0</v>
          </cell>
          <cell r="F24872">
            <v>0</v>
          </cell>
          <cell r="DN24872">
            <v>0</v>
          </cell>
        </row>
        <row r="24873">
          <cell r="E24873">
            <v>0</v>
          </cell>
          <cell r="F24873">
            <v>0</v>
          </cell>
          <cell r="DN24873">
            <v>0</v>
          </cell>
        </row>
        <row r="24874">
          <cell r="E24874">
            <v>0</v>
          </cell>
          <cell r="F24874">
            <v>0</v>
          </cell>
          <cell r="DN24874">
            <v>0</v>
          </cell>
        </row>
        <row r="24875">
          <cell r="E24875">
            <v>0</v>
          </cell>
          <cell r="F24875">
            <v>0</v>
          </cell>
          <cell r="DN24875">
            <v>0</v>
          </cell>
        </row>
        <row r="24876">
          <cell r="E24876">
            <v>0</v>
          </cell>
          <cell r="F24876">
            <v>0</v>
          </cell>
          <cell r="DN24876">
            <v>0</v>
          </cell>
        </row>
        <row r="24877">
          <cell r="E24877">
            <v>0</v>
          </cell>
          <cell r="F24877">
            <v>0</v>
          </cell>
          <cell r="DN24877">
            <v>0</v>
          </cell>
        </row>
        <row r="24878">
          <cell r="E24878">
            <v>0</v>
          </cell>
          <cell r="F24878">
            <v>0</v>
          </cell>
          <cell r="DN24878">
            <v>0</v>
          </cell>
        </row>
        <row r="24879">
          <cell r="E24879">
            <v>0</v>
          </cell>
          <cell r="F24879">
            <v>0</v>
          </cell>
          <cell r="DN24879">
            <v>0</v>
          </cell>
        </row>
        <row r="24880">
          <cell r="E24880">
            <v>0</v>
          </cell>
          <cell r="F24880">
            <v>0</v>
          </cell>
          <cell r="DN24880">
            <v>0</v>
          </cell>
        </row>
        <row r="24881">
          <cell r="E24881">
            <v>0</v>
          </cell>
          <cell r="F24881">
            <v>0</v>
          </cell>
          <cell r="DN24881">
            <v>0</v>
          </cell>
        </row>
        <row r="24882">
          <cell r="E24882">
            <v>0</v>
          </cell>
          <cell r="F24882">
            <v>0</v>
          </cell>
          <cell r="DN24882">
            <v>0</v>
          </cell>
        </row>
        <row r="24883">
          <cell r="E24883">
            <v>0</v>
          </cell>
          <cell r="F24883">
            <v>0</v>
          </cell>
          <cell r="DN24883">
            <v>0</v>
          </cell>
        </row>
        <row r="24884">
          <cell r="E24884">
            <v>0</v>
          </cell>
          <cell r="F24884">
            <v>0</v>
          </cell>
          <cell r="DN24884">
            <v>0</v>
          </cell>
        </row>
        <row r="24885">
          <cell r="E24885">
            <v>0</v>
          </cell>
          <cell r="F24885">
            <v>0</v>
          </cell>
          <cell r="DN24885">
            <v>0</v>
          </cell>
        </row>
        <row r="24886">
          <cell r="E24886">
            <v>0</v>
          </cell>
          <cell r="F24886">
            <v>0</v>
          </cell>
          <cell r="DN24886">
            <v>0</v>
          </cell>
        </row>
        <row r="24887">
          <cell r="E24887">
            <v>0</v>
          </cell>
          <cell r="F24887">
            <v>0</v>
          </cell>
          <cell r="DN24887">
            <v>0</v>
          </cell>
        </row>
        <row r="24888">
          <cell r="E24888">
            <v>0</v>
          </cell>
          <cell r="F24888">
            <v>0</v>
          </cell>
          <cell r="DN24888">
            <v>0</v>
          </cell>
        </row>
        <row r="24889">
          <cell r="E24889">
            <v>0</v>
          </cell>
          <cell r="F24889">
            <v>0</v>
          </cell>
          <cell r="DN24889">
            <v>0</v>
          </cell>
        </row>
        <row r="24890">
          <cell r="E24890">
            <v>0</v>
          </cell>
          <cell r="F24890">
            <v>0</v>
          </cell>
          <cell r="DN24890">
            <v>0</v>
          </cell>
        </row>
        <row r="24891">
          <cell r="E24891">
            <v>0</v>
          </cell>
          <cell r="F24891">
            <v>0</v>
          </cell>
          <cell r="DN24891">
            <v>0</v>
          </cell>
        </row>
        <row r="24892">
          <cell r="E24892">
            <v>0</v>
          </cell>
          <cell r="F24892">
            <v>0</v>
          </cell>
          <cell r="DN24892">
            <v>0</v>
          </cell>
        </row>
        <row r="24893">
          <cell r="E24893">
            <v>0</v>
          </cell>
          <cell r="F24893">
            <v>0</v>
          </cell>
          <cell r="DN24893">
            <v>0</v>
          </cell>
        </row>
        <row r="24894">
          <cell r="E24894">
            <v>0</v>
          </cell>
          <cell r="F24894">
            <v>0</v>
          </cell>
          <cell r="DN24894">
            <v>0</v>
          </cell>
        </row>
        <row r="24895">
          <cell r="E24895">
            <v>0</v>
          </cell>
          <cell r="F24895">
            <v>0</v>
          </cell>
          <cell r="DN24895">
            <v>0</v>
          </cell>
        </row>
        <row r="24896">
          <cell r="E24896">
            <v>0</v>
          </cell>
          <cell r="F24896">
            <v>0</v>
          </cell>
          <cell r="DN24896">
            <v>0</v>
          </cell>
        </row>
        <row r="24897">
          <cell r="E24897">
            <v>0</v>
          </cell>
          <cell r="F24897">
            <v>0</v>
          </cell>
          <cell r="DN24897">
            <v>0</v>
          </cell>
        </row>
        <row r="24898">
          <cell r="E24898">
            <v>0</v>
          </cell>
          <cell r="F24898">
            <v>0</v>
          </cell>
          <cell r="DN24898">
            <v>0</v>
          </cell>
        </row>
        <row r="24899">
          <cell r="E24899">
            <v>0</v>
          </cell>
          <cell r="F24899">
            <v>0</v>
          </cell>
          <cell r="DN24899">
            <v>0</v>
          </cell>
        </row>
        <row r="24900">
          <cell r="E24900">
            <v>0</v>
          </cell>
          <cell r="F24900">
            <v>0</v>
          </cell>
          <cell r="DN24900">
            <v>0</v>
          </cell>
        </row>
        <row r="24901">
          <cell r="E24901">
            <v>0</v>
          </cell>
          <cell r="F24901">
            <v>0</v>
          </cell>
          <cell r="DN24901">
            <v>0</v>
          </cell>
        </row>
        <row r="24902">
          <cell r="E24902">
            <v>0</v>
          </cell>
          <cell r="F24902">
            <v>0</v>
          </cell>
          <cell r="DN24902">
            <v>0</v>
          </cell>
        </row>
        <row r="24903">
          <cell r="E24903">
            <v>0</v>
          </cell>
          <cell r="F24903">
            <v>0</v>
          </cell>
          <cell r="DN24903">
            <v>0</v>
          </cell>
        </row>
        <row r="24904">
          <cell r="E24904">
            <v>0</v>
          </cell>
          <cell r="F24904">
            <v>0</v>
          </cell>
          <cell r="DN24904">
            <v>0</v>
          </cell>
        </row>
        <row r="24905">
          <cell r="E24905">
            <v>0</v>
          </cell>
          <cell r="F24905">
            <v>0</v>
          </cell>
          <cell r="DN24905">
            <v>0</v>
          </cell>
        </row>
        <row r="24906">
          <cell r="E24906">
            <v>0</v>
          </cell>
          <cell r="F24906">
            <v>0</v>
          </cell>
          <cell r="DN24906">
            <v>0</v>
          </cell>
        </row>
        <row r="24907">
          <cell r="E24907">
            <v>0</v>
          </cell>
          <cell r="F24907">
            <v>0</v>
          </cell>
          <cell r="DN24907">
            <v>0</v>
          </cell>
        </row>
        <row r="24908">
          <cell r="E24908">
            <v>0</v>
          </cell>
          <cell r="F24908">
            <v>0</v>
          </cell>
          <cell r="DN24908">
            <v>0</v>
          </cell>
        </row>
        <row r="24909">
          <cell r="E24909">
            <v>0</v>
          </cell>
          <cell r="F24909">
            <v>0</v>
          </cell>
          <cell r="DN24909">
            <v>0</v>
          </cell>
        </row>
        <row r="24910">
          <cell r="E24910">
            <v>0</v>
          </cell>
          <cell r="F24910">
            <v>0</v>
          </cell>
          <cell r="DN24910">
            <v>0</v>
          </cell>
        </row>
        <row r="24911">
          <cell r="E24911">
            <v>0</v>
          </cell>
          <cell r="F24911">
            <v>0</v>
          </cell>
          <cell r="DN24911">
            <v>0</v>
          </cell>
        </row>
        <row r="24912">
          <cell r="E24912">
            <v>0</v>
          </cell>
          <cell r="F24912">
            <v>0</v>
          </cell>
          <cell r="DN24912">
            <v>0</v>
          </cell>
        </row>
        <row r="24913">
          <cell r="E24913">
            <v>0</v>
          </cell>
          <cell r="F24913">
            <v>0</v>
          </cell>
          <cell r="DN24913">
            <v>0</v>
          </cell>
        </row>
        <row r="24914">
          <cell r="E24914">
            <v>0</v>
          </cell>
          <cell r="F24914">
            <v>0</v>
          </cell>
          <cell r="DN24914">
            <v>0</v>
          </cell>
        </row>
        <row r="24915">
          <cell r="E24915">
            <v>0</v>
          </cell>
          <cell r="F24915">
            <v>0</v>
          </cell>
          <cell r="DN24915">
            <v>0</v>
          </cell>
        </row>
        <row r="24916">
          <cell r="E24916">
            <v>0</v>
          </cell>
          <cell r="F24916">
            <v>0</v>
          </cell>
          <cell r="DN24916">
            <v>0</v>
          </cell>
        </row>
        <row r="24917">
          <cell r="E24917">
            <v>0</v>
          </cell>
          <cell r="F24917">
            <v>0</v>
          </cell>
          <cell r="DN24917">
            <v>0</v>
          </cell>
        </row>
        <row r="24918">
          <cell r="E24918">
            <v>0</v>
          </cell>
          <cell r="F24918">
            <v>0</v>
          </cell>
          <cell r="DN24918">
            <v>0</v>
          </cell>
        </row>
        <row r="24919">
          <cell r="E24919">
            <v>0</v>
          </cell>
          <cell r="F24919">
            <v>0</v>
          </cell>
          <cell r="DN24919">
            <v>0</v>
          </cell>
        </row>
        <row r="24920">
          <cell r="E24920">
            <v>0</v>
          </cell>
          <cell r="F24920">
            <v>0</v>
          </cell>
          <cell r="DN24920">
            <v>0</v>
          </cell>
        </row>
        <row r="24921">
          <cell r="E24921">
            <v>0</v>
          </cell>
          <cell r="F24921">
            <v>0</v>
          </cell>
          <cell r="DN24921">
            <v>0</v>
          </cell>
        </row>
        <row r="24922">
          <cell r="E24922">
            <v>0</v>
          </cell>
          <cell r="F24922">
            <v>0</v>
          </cell>
          <cell r="DN24922">
            <v>0</v>
          </cell>
        </row>
        <row r="24923">
          <cell r="E24923">
            <v>0</v>
          </cell>
          <cell r="F24923">
            <v>0</v>
          </cell>
          <cell r="DN24923">
            <v>0</v>
          </cell>
        </row>
        <row r="24924">
          <cell r="E24924">
            <v>0</v>
          </cell>
          <cell r="F24924">
            <v>0</v>
          </cell>
          <cell r="DN24924">
            <v>0</v>
          </cell>
        </row>
        <row r="24925">
          <cell r="E24925">
            <v>0</v>
          </cell>
          <cell r="F24925">
            <v>0</v>
          </cell>
          <cell r="DN24925">
            <v>0</v>
          </cell>
        </row>
        <row r="24926">
          <cell r="E24926">
            <v>0</v>
          </cell>
          <cell r="F24926">
            <v>0</v>
          </cell>
          <cell r="DN24926">
            <v>0</v>
          </cell>
        </row>
        <row r="24927">
          <cell r="E24927">
            <v>0</v>
          </cell>
          <cell r="F24927">
            <v>0</v>
          </cell>
          <cell r="DN24927">
            <v>0</v>
          </cell>
        </row>
        <row r="24928">
          <cell r="E24928">
            <v>0</v>
          </cell>
          <cell r="F24928">
            <v>0</v>
          </cell>
          <cell r="DN24928">
            <v>0</v>
          </cell>
        </row>
        <row r="24929">
          <cell r="E24929">
            <v>0</v>
          </cell>
          <cell r="F24929">
            <v>0</v>
          </cell>
          <cell r="DN24929">
            <v>0</v>
          </cell>
        </row>
        <row r="24930">
          <cell r="E24930">
            <v>0</v>
          </cell>
          <cell r="F24930">
            <v>0</v>
          </cell>
          <cell r="DN24930">
            <v>0</v>
          </cell>
        </row>
        <row r="24931">
          <cell r="E24931">
            <v>0</v>
          </cell>
          <cell r="F24931">
            <v>0</v>
          </cell>
          <cell r="DN24931">
            <v>0</v>
          </cell>
        </row>
        <row r="24932">
          <cell r="E24932">
            <v>0</v>
          </cell>
          <cell r="F24932">
            <v>0</v>
          </cell>
          <cell r="DN24932">
            <v>0</v>
          </cell>
        </row>
        <row r="24933">
          <cell r="E24933">
            <v>0</v>
          </cell>
          <cell r="F24933">
            <v>0</v>
          </cell>
          <cell r="DN24933">
            <v>0</v>
          </cell>
        </row>
        <row r="24934">
          <cell r="E24934">
            <v>0</v>
          </cell>
          <cell r="F24934">
            <v>0</v>
          </cell>
          <cell r="DN24934">
            <v>0</v>
          </cell>
        </row>
        <row r="24935">
          <cell r="E24935">
            <v>0</v>
          </cell>
          <cell r="F24935">
            <v>0</v>
          </cell>
          <cell r="DN24935">
            <v>0</v>
          </cell>
        </row>
        <row r="24936">
          <cell r="E24936">
            <v>0</v>
          </cell>
          <cell r="F24936">
            <v>0</v>
          </cell>
          <cell r="DN24936">
            <v>0</v>
          </cell>
        </row>
        <row r="24937">
          <cell r="E24937">
            <v>0</v>
          </cell>
          <cell r="F24937">
            <v>0</v>
          </cell>
          <cell r="DN24937">
            <v>0</v>
          </cell>
        </row>
        <row r="24938">
          <cell r="E24938">
            <v>0</v>
          </cell>
          <cell r="F24938">
            <v>0</v>
          </cell>
          <cell r="DN24938">
            <v>0</v>
          </cell>
        </row>
        <row r="24939">
          <cell r="E24939">
            <v>0</v>
          </cell>
          <cell r="F24939">
            <v>0</v>
          </cell>
          <cell r="DN24939">
            <v>0</v>
          </cell>
        </row>
        <row r="24940">
          <cell r="E24940">
            <v>0</v>
          </cell>
          <cell r="F24940">
            <v>0</v>
          </cell>
          <cell r="DN24940">
            <v>0</v>
          </cell>
        </row>
        <row r="24941">
          <cell r="E24941">
            <v>0</v>
          </cell>
          <cell r="F24941">
            <v>0</v>
          </cell>
          <cell r="DN24941">
            <v>0</v>
          </cell>
        </row>
        <row r="24942">
          <cell r="E24942">
            <v>0</v>
          </cell>
          <cell r="F24942">
            <v>0</v>
          </cell>
          <cell r="DN24942">
            <v>0</v>
          </cell>
        </row>
        <row r="24943">
          <cell r="E24943">
            <v>0</v>
          </cell>
          <cell r="F24943">
            <v>0</v>
          </cell>
          <cell r="DN24943">
            <v>0</v>
          </cell>
        </row>
        <row r="24944">
          <cell r="E24944">
            <v>0</v>
          </cell>
          <cell r="F24944">
            <v>0</v>
          </cell>
          <cell r="DN24944">
            <v>0</v>
          </cell>
        </row>
        <row r="24945">
          <cell r="E24945">
            <v>0</v>
          </cell>
          <cell r="F24945">
            <v>0</v>
          </cell>
          <cell r="DN24945">
            <v>0</v>
          </cell>
        </row>
        <row r="24946">
          <cell r="E24946">
            <v>0</v>
          </cell>
          <cell r="F24946">
            <v>0</v>
          </cell>
          <cell r="DN24946">
            <v>0</v>
          </cell>
        </row>
        <row r="24947">
          <cell r="E24947">
            <v>0</v>
          </cell>
          <cell r="F24947">
            <v>0</v>
          </cell>
          <cell r="DN24947">
            <v>0</v>
          </cell>
        </row>
        <row r="24948">
          <cell r="E24948">
            <v>0</v>
          </cell>
          <cell r="F24948">
            <v>0</v>
          </cell>
          <cell r="DN24948">
            <v>0</v>
          </cell>
        </row>
        <row r="24949">
          <cell r="E24949">
            <v>0</v>
          </cell>
          <cell r="F24949">
            <v>0</v>
          </cell>
          <cell r="DN24949">
            <v>0</v>
          </cell>
        </row>
        <row r="24950">
          <cell r="E24950">
            <v>0</v>
          </cell>
          <cell r="F24950">
            <v>0</v>
          </cell>
          <cell r="DN24950">
            <v>0</v>
          </cell>
        </row>
        <row r="24951">
          <cell r="E24951">
            <v>0</v>
          </cell>
          <cell r="F24951">
            <v>0</v>
          </cell>
          <cell r="DN24951">
            <v>0</v>
          </cell>
        </row>
        <row r="24952">
          <cell r="E24952">
            <v>0</v>
          </cell>
          <cell r="F24952">
            <v>0</v>
          </cell>
          <cell r="DN24952">
            <v>0</v>
          </cell>
        </row>
        <row r="24953">
          <cell r="E24953">
            <v>0</v>
          </cell>
          <cell r="F24953">
            <v>0</v>
          </cell>
          <cell r="DN24953">
            <v>0</v>
          </cell>
        </row>
        <row r="24954">
          <cell r="E24954">
            <v>0</v>
          </cell>
          <cell r="F24954">
            <v>0</v>
          </cell>
          <cell r="DN24954">
            <v>0</v>
          </cell>
        </row>
        <row r="24955">
          <cell r="E24955">
            <v>0</v>
          </cell>
          <cell r="F24955">
            <v>0</v>
          </cell>
          <cell r="DN24955">
            <v>0</v>
          </cell>
        </row>
        <row r="24956">
          <cell r="E24956">
            <v>0</v>
          </cell>
          <cell r="F24956">
            <v>0</v>
          </cell>
          <cell r="DN24956">
            <v>0</v>
          </cell>
        </row>
        <row r="24957">
          <cell r="E24957">
            <v>0</v>
          </cell>
          <cell r="F24957">
            <v>0</v>
          </cell>
          <cell r="DN24957">
            <v>0</v>
          </cell>
        </row>
        <row r="24958">
          <cell r="E24958">
            <v>0</v>
          </cell>
          <cell r="F24958">
            <v>0</v>
          </cell>
          <cell r="DN24958">
            <v>0</v>
          </cell>
        </row>
        <row r="24959">
          <cell r="E24959">
            <v>0</v>
          </cell>
          <cell r="F24959">
            <v>0</v>
          </cell>
          <cell r="DN24959">
            <v>0</v>
          </cell>
        </row>
        <row r="24960">
          <cell r="E24960">
            <v>0</v>
          </cell>
          <cell r="F24960">
            <v>0</v>
          </cell>
          <cell r="DN24960">
            <v>0</v>
          </cell>
        </row>
        <row r="24961">
          <cell r="E24961">
            <v>0</v>
          </cell>
          <cell r="F24961">
            <v>0</v>
          </cell>
          <cell r="DN24961">
            <v>0</v>
          </cell>
        </row>
        <row r="24962">
          <cell r="E24962">
            <v>0</v>
          </cell>
          <cell r="F24962">
            <v>0</v>
          </cell>
          <cell r="DN24962">
            <v>0</v>
          </cell>
        </row>
        <row r="24963">
          <cell r="E24963">
            <v>0</v>
          </cell>
          <cell r="F24963">
            <v>0</v>
          </cell>
          <cell r="DN24963">
            <v>0</v>
          </cell>
        </row>
        <row r="24964">
          <cell r="E24964">
            <v>0</v>
          </cell>
          <cell r="F24964">
            <v>0</v>
          </cell>
          <cell r="DN24964">
            <v>0</v>
          </cell>
        </row>
        <row r="24965">
          <cell r="E24965">
            <v>0</v>
          </cell>
          <cell r="F24965">
            <v>0</v>
          </cell>
          <cell r="DN24965">
            <v>0</v>
          </cell>
        </row>
        <row r="24966">
          <cell r="E24966">
            <v>0</v>
          </cell>
          <cell r="F24966">
            <v>0</v>
          </cell>
          <cell r="DN24966">
            <v>0</v>
          </cell>
        </row>
        <row r="24967">
          <cell r="E24967">
            <v>0</v>
          </cell>
          <cell r="F24967">
            <v>0</v>
          </cell>
          <cell r="DN24967">
            <v>0</v>
          </cell>
        </row>
        <row r="24968">
          <cell r="E24968">
            <v>0</v>
          </cell>
          <cell r="F24968">
            <v>0</v>
          </cell>
          <cell r="DN24968">
            <v>0</v>
          </cell>
        </row>
        <row r="24969">
          <cell r="E24969">
            <v>0</v>
          </cell>
          <cell r="F24969">
            <v>0</v>
          </cell>
          <cell r="DN24969">
            <v>0</v>
          </cell>
        </row>
        <row r="24970">
          <cell r="E24970">
            <v>0</v>
          </cell>
          <cell r="F24970">
            <v>0</v>
          </cell>
          <cell r="DN24970">
            <v>0</v>
          </cell>
        </row>
        <row r="24971">
          <cell r="E24971">
            <v>0</v>
          </cell>
          <cell r="F24971">
            <v>0</v>
          </cell>
          <cell r="DN24971">
            <v>0</v>
          </cell>
        </row>
        <row r="24972">
          <cell r="E24972">
            <v>0</v>
          </cell>
          <cell r="F24972">
            <v>0</v>
          </cell>
          <cell r="DN24972">
            <v>0</v>
          </cell>
        </row>
        <row r="24973">
          <cell r="E24973">
            <v>0</v>
          </cell>
          <cell r="F24973">
            <v>0</v>
          </cell>
          <cell r="DN24973">
            <v>0</v>
          </cell>
        </row>
        <row r="24974">
          <cell r="E24974">
            <v>0</v>
          </cell>
          <cell r="F24974">
            <v>0</v>
          </cell>
          <cell r="DN24974">
            <v>0</v>
          </cell>
        </row>
        <row r="24975">
          <cell r="E24975">
            <v>0</v>
          </cell>
          <cell r="F24975">
            <v>0</v>
          </cell>
          <cell r="DN24975">
            <v>0</v>
          </cell>
        </row>
        <row r="24976">
          <cell r="E24976">
            <v>0</v>
          </cell>
          <cell r="F24976">
            <v>0</v>
          </cell>
          <cell r="DN24976">
            <v>0</v>
          </cell>
        </row>
        <row r="24977">
          <cell r="E24977">
            <v>0</v>
          </cell>
          <cell r="F24977">
            <v>0</v>
          </cell>
          <cell r="DN24977">
            <v>0</v>
          </cell>
        </row>
        <row r="24978">
          <cell r="E24978">
            <v>0</v>
          </cell>
          <cell r="F24978">
            <v>0</v>
          </cell>
          <cell r="DN24978">
            <v>0</v>
          </cell>
        </row>
        <row r="24979">
          <cell r="E24979">
            <v>0</v>
          </cell>
          <cell r="F24979">
            <v>0</v>
          </cell>
          <cell r="DN24979">
            <v>0</v>
          </cell>
        </row>
        <row r="24980">
          <cell r="E24980">
            <v>0</v>
          </cell>
          <cell r="F24980">
            <v>0</v>
          </cell>
          <cell r="DN24980">
            <v>0</v>
          </cell>
        </row>
        <row r="24981">
          <cell r="E24981">
            <v>0</v>
          </cell>
          <cell r="F24981">
            <v>0</v>
          </cell>
          <cell r="DN24981">
            <v>0</v>
          </cell>
        </row>
        <row r="24982">
          <cell r="E24982">
            <v>0</v>
          </cell>
          <cell r="F24982">
            <v>0</v>
          </cell>
          <cell r="DN24982">
            <v>0</v>
          </cell>
        </row>
        <row r="24983">
          <cell r="E24983">
            <v>0</v>
          </cell>
          <cell r="F24983">
            <v>0</v>
          </cell>
          <cell r="DN24983">
            <v>0</v>
          </cell>
        </row>
        <row r="24984">
          <cell r="E24984">
            <v>0</v>
          </cell>
          <cell r="F24984">
            <v>0</v>
          </cell>
          <cell r="DN24984">
            <v>0</v>
          </cell>
        </row>
        <row r="24985">
          <cell r="E24985">
            <v>0</v>
          </cell>
          <cell r="F24985">
            <v>0</v>
          </cell>
          <cell r="DN24985">
            <v>0</v>
          </cell>
        </row>
        <row r="24986">
          <cell r="E24986">
            <v>0</v>
          </cell>
          <cell r="F24986">
            <v>0</v>
          </cell>
          <cell r="DN24986">
            <v>0</v>
          </cell>
        </row>
        <row r="24987">
          <cell r="E24987">
            <v>0</v>
          </cell>
          <cell r="F24987">
            <v>0</v>
          </cell>
          <cell r="DN24987">
            <v>0</v>
          </cell>
        </row>
        <row r="24988">
          <cell r="E24988">
            <v>0</v>
          </cell>
          <cell r="F24988">
            <v>0</v>
          </cell>
          <cell r="DN24988">
            <v>0</v>
          </cell>
        </row>
        <row r="24989">
          <cell r="E24989">
            <v>0</v>
          </cell>
          <cell r="F24989">
            <v>0</v>
          </cell>
          <cell r="DN24989">
            <v>0</v>
          </cell>
        </row>
        <row r="24990">
          <cell r="E24990">
            <v>0</v>
          </cell>
          <cell r="F24990">
            <v>0</v>
          </cell>
          <cell r="DN24990">
            <v>0</v>
          </cell>
        </row>
        <row r="24991">
          <cell r="E24991">
            <v>0</v>
          </cell>
          <cell r="F24991">
            <v>0</v>
          </cell>
          <cell r="DN24991">
            <v>0</v>
          </cell>
        </row>
        <row r="24992">
          <cell r="E24992">
            <v>0</v>
          </cell>
          <cell r="F24992">
            <v>0</v>
          </cell>
          <cell r="DN24992">
            <v>0</v>
          </cell>
        </row>
        <row r="24993">
          <cell r="E24993">
            <v>0</v>
          </cell>
          <cell r="F24993">
            <v>0</v>
          </cell>
          <cell r="DN24993">
            <v>0</v>
          </cell>
        </row>
        <row r="24994">
          <cell r="E24994">
            <v>0</v>
          </cell>
          <cell r="F24994">
            <v>0</v>
          </cell>
          <cell r="DN24994">
            <v>0</v>
          </cell>
        </row>
        <row r="24995">
          <cell r="E24995">
            <v>0</v>
          </cell>
          <cell r="F24995">
            <v>0</v>
          </cell>
          <cell r="DN24995">
            <v>0</v>
          </cell>
        </row>
        <row r="24996">
          <cell r="E24996">
            <v>0</v>
          </cell>
          <cell r="F24996">
            <v>0</v>
          </cell>
          <cell r="DN24996">
            <v>0</v>
          </cell>
        </row>
        <row r="24997">
          <cell r="E24997">
            <v>0</v>
          </cell>
          <cell r="F24997">
            <v>0</v>
          </cell>
          <cell r="DN24997">
            <v>0</v>
          </cell>
        </row>
        <row r="24998">
          <cell r="E24998">
            <v>0</v>
          </cell>
          <cell r="F24998">
            <v>0</v>
          </cell>
          <cell r="DN24998">
            <v>0</v>
          </cell>
        </row>
        <row r="24999">
          <cell r="E24999">
            <v>0</v>
          </cell>
          <cell r="F24999">
            <v>0</v>
          </cell>
          <cell r="DN24999">
            <v>0</v>
          </cell>
        </row>
        <row r="25000">
          <cell r="E25000">
            <v>0</v>
          </cell>
          <cell r="F25000">
            <v>0</v>
          </cell>
          <cell r="DN25000">
            <v>0</v>
          </cell>
        </row>
        <row r="25001">
          <cell r="E25001">
            <v>0</v>
          </cell>
          <cell r="F25001">
            <v>0</v>
          </cell>
          <cell r="DN25001">
            <v>0</v>
          </cell>
        </row>
        <row r="25002">
          <cell r="E25002">
            <v>0</v>
          </cell>
          <cell r="F25002">
            <v>0</v>
          </cell>
          <cell r="DN25002">
            <v>0</v>
          </cell>
        </row>
        <row r="25003">
          <cell r="E25003">
            <v>0</v>
          </cell>
          <cell r="F25003">
            <v>0</v>
          </cell>
          <cell r="DN25003">
            <v>0</v>
          </cell>
        </row>
        <row r="25004">
          <cell r="E25004">
            <v>0</v>
          </cell>
          <cell r="F25004">
            <v>0</v>
          </cell>
          <cell r="DN25004">
            <v>0</v>
          </cell>
        </row>
        <row r="25005">
          <cell r="E25005">
            <v>0</v>
          </cell>
          <cell r="F25005">
            <v>0</v>
          </cell>
          <cell r="DN25005">
            <v>0</v>
          </cell>
        </row>
        <row r="25006">
          <cell r="E25006">
            <v>0</v>
          </cell>
          <cell r="F25006">
            <v>0</v>
          </cell>
          <cell r="DN25006">
            <v>0</v>
          </cell>
        </row>
        <row r="25007">
          <cell r="E25007">
            <v>0</v>
          </cell>
          <cell r="F25007">
            <v>0</v>
          </cell>
          <cell r="DN25007">
            <v>0</v>
          </cell>
        </row>
        <row r="25008">
          <cell r="E25008">
            <v>0</v>
          </cell>
          <cell r="F25008">
            <v>0</v>
          </cell>
          <cell r="DN25008">
            <v>0</v>
          </cell>
        </row>
        <row r="25009">
          <cell r="E25009">
            <v>0</v>
          </cell>
          <cell r="F25009">
            <v>0</v>
          </cell>
          <cell r="DN25009">
            <v>0</v>
          </cell>
        </row>
        <row r="25010">
          <cell r="E25010">
            <v>0</v>
          </cell>
          <cell r="F25010">
            <v>0</v>
          </cell>
          <cell r="DN25010">
            <v>0</v>
          </cell>
        </row>
        <row r="25011">
          <cell r="E25011">
            <v>0</v>
          </cell>
          <cell r="F25011">
            <v>0</v>
          </cell>
          <cell r="DN25011">
            <v>0</v>
          </cell>
        </row>
        <row r="25012">
          <cell r="E25012">
            <v>0</v>
          </cell>
          <cell r="F25012">
            <v>0</v>
          </cell>
          <cell r="DN25012">
            <v>0</v>
          </cell>
        </row>
        <row r="25013">
          <cell r="E25013">
            <v>0</v>
          </cell>
          <cell r="F25013">
            <v>0</v>
          </cell>
          <cell r="DN25013">
            <v>0</v>
          </cell>
        </row>
        <row r="25014">
          <cell r="E25014">
            <v>0</v>
          </cell>
          <cell r="F25014">
            <v>0</v>
          </cell>
          <cell r="DN25014">
            <v>0</v>
          </cell>
        </row>
        <row r="25015">
          <cell r="E25015">
            <v>0</v>
          </cell>
          <cell r="F25015">
            <v>0</v>
          </cell>
          <cell r="DN25015">
            <v>0</v>
          </cell>
        </row>
        <row r="25016">
          <cell r="E25016">
            <v>0</v>
          </cell>
          <cell r="F25016">
            <v>0</v>
          </cell>
          <cell r="DN25016">
            <v>0</v>
          </cell>
        </row>
        <row r="25017">
          <cell r="E25017">
            <v>0</v>
          </cell>
          <cell r="F25017">
            <v>0</v>
          </cell>
          <cell r="DN25017">
            <v>0</v>
          </cell>
        </row>
        <row r="25018">
          <cell r="E25018">
            <v>0</v>
          </cell>
          <cell r="F25018">
            <v>0</v>
          </cell>
          <cell r="DN25018">
            <v>0</v>
          </cell>
        </row>
        <row r="25019">
          <cell r="E25019">
            <v>0</v>
          </cell>
          <cell r="F25019">
            <v>0</v>
          </cell>
          <cell r="DN25019">
            <v>0</v>
          </cell>
        </row>
        <row r="25020">
          <cell r="E25020">
            <v>0</v>
          </cell>
          <cell r="F25020">
            <v>0</v>
          </cell>
          <cell r="DN25020">
            <v>0</v>
          </cell>
        </row>
        <row r="25021">
          <cell r="E25021">
            <v>0</v>
          </cell>
          <cell r="F25021">
            <v>0</v>
          </cell>
          <cell r="DN25021">
            <v>0</v>
          </cell>
        </row>
        <row r="25022">
          <cell r="E25022">
            <v>0</v>
          </cell>
          <cell r="F25022">
            <v>0</v>
          </cell>
          <cell r="DN25022">
            <v>0</v>
          </cell>
        </row>
        <row r="25023">
          <cell r="E25023">
            <v>0</v>
          </cell>
          <cell r="F25023">
            <v>0</v>
          </cell>
          <cell r="DN25023">
            <v>0</v>
          </cell>
        </row>
        <row r="25024">
          <cell r="E25024">
            <v>0</v>
          </cell>
          <cell r="F25024">
            <v>0</v>
          </cell>
          <cell r="DN25024">
            <v>0</v>
          </cell>
        </row>
        <row r="25025">
          <cell r="E25025">
            <v>0</v>
          </cell>
          <cell r="F25025">
            <v>0</v>
          </cell>
          <cell r="DN25025">
            <v>0</v>
          </cell>
        </row>
        <row r="25026">
          <cell r="E25026">
            <v>0</v>
          </cell>
          <cell r="F25026">
            <v>0</v>
          </cell>
          <cell r="DN25026">
            <v>0</v>
          </cell>
        </row>
        <row r="25027">
          <cell r="E25027">
            <v>0</v>
          </cell>
          <cell r="F25027">
            <v>0</v>
          </cell>
          <cell r="DN25027">
            <v>0</v>
          </cell>
        </row>
        <row r="25028">
          <cell r="E25028">
            <v>0</v>
          </cell>
          <cell r="F25028">
            <v>0</v>
          </cell>
          <cell r="DN25028">
            <v>0</v>
          </cell>
        </row>
        <row r="25029">
          <cell r="E25029">
            <v>0</v>
          </cell>
          <cell r="F25029">
            <v>0</v>
          </cell>
          <cell r="DN25029">
            <v>0</v>
          </cell>
        </row>
        <row r="25030">
          <cell r="E25030">
            <v>0</v>
          </cell>
          <cell r="F25030">
            <v>0</v>
          </cell>
          <cell r="DN25030">
            <v>0</v>
          </cell>
        </row>
        <row r="25031">
          <cell r="E25031">
            <v>0</v>
          </cell>
          <cell r="F25031">
            <v>0</v>
          </cell>
          <cell r="DN25031">
            <v>0</v>
          </cell>
        </row>
        <row r="25032">
          <cell r="E25032">
            <v>0</v>
          </cell>
          <cell r="F25032">
            <v>0</v>
          </cell>
          <cell r="DN25032">
            <v>0</v>
          </cell>
        </row>
        <row r="25033">
          <cell r="E25033">
            <v>0</v>
          </cell>
          <cell r="F25033">
            <v>0</v>
          </cell>
          <cell r="DN25033">
            <v>0</v>
          </cell>
        </row>
        <row r="25034">
          <cell r="E25034">
            <v>0</v>
          </cell>
          <cell r="F25034">
            <v>0</v>
          </cell>
          <cell r="DN25034">
            <v>0</v>
          </cell>
        </row>
        <row r="25035">
          <cell r="E25035">
            <v>0</v>
          </cell>
          <cell r="F25035">
            <v>0</v>
          </cell>
          <cell r="DN25035">
            <v>0</v>
          </cell>
        </row>
        <row r="25036">
          <cell r="E25036">
            <v>0</v>
          </cell>
          <cell r="F25036">
            <v>0</v>
          </cell>
          <cell r="DN25036">
            <v>0</v>
          </cell>
        </row>
        <row r="25037">
          <cell r="E25037">
            <v>0</v>
          </cell>
          <cell r="F25037">
            <v>0</v>
          </cell>
          <cell r="DN25037">
            <v>0</v>
          </cell>
        </row>
        <row r="25038">
          <cell r="E25038">
            <v>0</v>
          </cell>
          <cell r="F25038">
            <v>0</v>
          </cell>
          <cell r="DN25038">
            <v>0</v>
          </cell>
        </row>
        <row r="25039">
          <cell r="E25039">
            <v>0</v>
          </cell>
          <cell r="F25039">
            <v>0</v>
          </cell>
          <cell r="DN25039">
            <v>0</v>
          </cell>
        </row>
        <row r="25040">
          <cell r="E25040">
            <v>0</v>
          </cell>
          <cell r="F25040">
            <v>0</v>
          </cell>
          <cell r="DN25040">
            <v>0</v>
          </cell>
        </row>
        <row r="25041">
          <cell r="E25041">
            <v>0</v>
          </cell>
          <cell r="F25041">
            <v>0</v>
          </cell>
          <cell r="DN25041">
            <v>0</v>
          </cell>
        </row>
        <row r="25042">
          <cell r="E25042">
            <v>0</v>
          </cell>
          <cell r="F25042">
            <v>0</v>
          </cell>
          <cell r="DN25042">
            <v>0</v>
          </cell>
        </row>
        <row r="25043">
          <cell r="E25043">
            <v>0</v>
          </cell>
          <cell r="F25043">
            <v>0</v>
          </cell>
          <cell r="DN25043">
            <v>0</v>
          </cell>
        </row>
        <row r="25044">
          <cell r="E25044">
            <v>0</v>
          </cell>
          <cell r="F25044">
            <v>0</v>
          </cell>
          <cell r="DN25044">
            <v>0</v>
          </cell>
        </row>
        <row r="25045">
          <cell r="E25045">
            <v>0</v>
          </cell>
          <cell r="F25045">
            <v>0</v>
          </cell>
          <cell r="DN25045">
            <v>0</v>
          </cell>
        </row>
        <row r="25046">
          <cell r="E25046">
            <v>0</v>
          </cell>
          <cell r="F25046">
            <v>0</v>
          </cell>
          <cell r="DN25046">
            <v>0</v>
          </cell>
        </row>
        <row r="25047">
          <cell r="E25047">
            <v>0</v>
          </cell>
          <cell r="F25047">
            <v>0</v>
          </cell>
          <cell r="DN25047">
            <v>0</v>
          </cell>
        </row>
        <row r="25048">
          <cell r="E25048">
            <v>0</v>
          </cell>
          <cell r="F25048">
            <v>0</v>
          </cell>
          <cell r="DN25048">
            <v>0</v>
          </cell>
        </row>
        <row r="25049">
          <cell r="E25049">
            <v>0</v>
          </cell>
          <cell r="F25049">
            <v>0</v>
          </cell>
          <cell r="DN25049">
            <v>0</v>
          </cell>
        </row>
        <row r="25050">
          <cell r="E25050">
            <v>0</v>
          </cell>
          <cell r="F25050">
            <v>0</v>
          </cell>
          <cell r="DN25050">
            <v>0</v>
          </cell>
        </row>
        <row r="25051">
          <cell r="E25051">
            <v>0</v>
          </cell>
          <cell r="F25051">
            <v>0</v>
          </cell>
          <cell r="DN25051">
            <v>0</v>
          </cell>
        </row>
        <row r="25052">
          <cell r="E25052">
            <v>0</v>
          </cell>
          <cell r="F25052">
            <v>0</v>
          </cell>
          <cell r="DN25052">
            <v>0</v>
          </cell>
        </row>
        <row r="25053">
          <cell r="E25053">
            <v>0</v>
          </cell>
          <cell r="F25053">
            <v>0</v>
          </cell>
          <cell r="DN25053">
            <v>0</v>
          </cell>
        </row>
        <row r="25054">
          <cell r="E25054">
            <v>0</v>
          </cell>
          <cell r="F25054">
            <v>0</v>
          </cell>
          <cell r="DN25054">
            <v>0</v>
          </cell>
        </row>
        <row r="25055">
          <cell r="E25055">
            <v>0</v>
          </cell>
          <cell r="F25055">
            <v>0</v>
          </cell>
          <cell r="DN25055">
            <v>0</v>
          </cell>
        </row>
        <row r="25056">
          <cell r="E25056">
            <v>0</v>
          </cell>
          <cell r="F25056">
            <v>0</v>
          </cell>
          <cell r="DN25056">
            <v>0</v>
          </cell>
        </row>
        <row r="25057">
          <cell r="E25057">
            <v>0</v>
          </cell>
          <cell r="F25057">
            <v>0</v>
          </cell>
          <cell r="DN25057">
            <v>0</v>
          </cell>
        </row>
        <row r="25058">
          <cell r="E25058">
            <v>0</v>
          </cell>
          <cell r="F25058">
            <v>0</v>
          </cell>
          <cell r="DN25058">
            <v>0</v>
          </cell>
        </row>
        <row r="25059">
          <cell r="E25059">
            <v>0</v>
          </cell>
          <cell r="F25059">
            <v>0</v>
          </cell>
          <cell r="DN25059">
            <v>0</v>
          </cell>
        </row>
        <row r="25060">
          <cell r="E25060">
            <v>0</v>
          </cell>
          <cell r="F25060">
            <v>0</v>
          </cell>
          <cell r="DN25060">
            <v>0</v>
          </cell>
        </row>
        <row r="25061">
          <cell r="E25061">
            <v>0</v>
          </cell>
          <cell r="F25061">
            <v>0</v>
          </cell>
          <cell r="DN25061">
            <v>0</v>
          </cell>
        </row>
        <row r="25062">
          <cell r="E25062">
            <v>0</v>
          </cell>
          <cell r="F25062">
            <v>0</v>
          </cell>
          <cell r="DN25062">
            <v>0</v>
          </cell>
        </row>
        <row r="25063">
          <cell r="E25063">
            <v>0</v>
          </cell>
          <cell r="F25063">
            <v>0</v>
          </cell>
          <cell r="DN25063">
            <v>0</v>
          </cell>
        </row>
        <row r="25064">
          <cell r="E25064">
            <v>0</v>
          </cell>
          <cell r="F25064">
            <v>0</v>
          </cell>
          <cell r="DN25064">
            <v>0</v>
          </cell>
        </row>
        <row r="25065">
          <cell r="E25065">
            <v>0</v>
          </cell>
          <cell r="F25065">
            <v>0</v>
          </cell>
          <cell r="DN25065">
            <v>0</v>
          </cell>
        </row>
        <row r="25066">
          <cell r="E25066">
            <v>0</v>
          </cell>
          <cell r="F25066">
            <v>0</v>
          </cell>
          <cell r="DN25066">
            <v>0</v>
          </cell>
        </row>
        <row r="25067">
          <cell r="E25067">
            <v>0</v>
          </cell>
          <cell r="F25067">
            <v>0</v>
          </cell>
          <cell r="DN25067">
            <v>0</v>
          </cell>
        </row>
        <row r="25068">
          <cell r="E25068">
            <v>0</v>
          </cell>
          <cell r="F25068">
            <v>0</v>
          </cell>
          <cell r="DN25068">
            <v>0</v>
          </cell>
        </row>
        <row r="25069">
          <cell r="E25069">
            <v>0</v>
          </cell>
          <cell r="F25069">
            <v>0</v>
          </cell>
          <cell r="DN25069">
            <v>0</v>
          </cell>
        </row>
        <row r="25070">
          <cell r="E25070">
            <v>0</v>
          </cell>
          <cell r="F25070">
            <v>0</v>
          </cell>
          <cell r="DN25070">
            <v>0</v>
          </cell>
        </row>
        <row r="25071">
          <cell r="E25071">
            <v>0</v>
          </cell>
          <cell r="F25071">
            <v>0</v>
          </cell>
          <cell r="DN25071">
            <v>0</v>
          </cell>
        </row>
        <row r="25072">
          <cell r="E25072">
            <v>0</v>
          </cell>
          <cell r="F25072">
            <v>0</v>
          </cell>
          <cell r="DN25072">
            <v>0</v>
          </cell>
        </row>
        <row r="25073">
          <cell r="E25073">
            <v>0</v>
          </cell>
          <cell r="F25073">
            <v>0</v>
          </cell>
          <cell r="DN25073">
            <v>0</v>
          </cell>
        </row>
        <row r="25074">
          <cell r="E25074">
            <v>0</v>
          </cell>
          <cell r="F25074">
            <v>0</v>
          </cell>
          <cell r="DN25074">
            <v>0</v>
          </cell>
        </row>
        <row r="25075">
          <cell r="E25075">
            <v>0</v>
          </cell>
          <cell r="F25075">
            <v>0</v>
          </cell>
          <cell r="DN25075">
            <v>0</v>
          </cell>
        </row>
        <row r="25076">
          <cell r="E25076">
            <v>0</v>
          </cell>
          <cell r="F25076">
            <v>0</v>
          </cell>
          <cell r="DN25076">
            <v>0</v>
          </cell>
        </row>
        <row r="25077">
          <cell r="E25077">
            <v>0</v>
          </cell>
          <cell r="F25077">
            <v>0</v>
          </cell>
          <cell r="DN25077">
            <v>0</v>
          </cell>
        </row>
        <row r="25078">
          <cell r="E25078">
            <v>0</v>
          </cell>
          <cell r="F25078">
            <v>0</v>
          </cell>
          <cell r="DN25078">
            <v>0</v>
          </cell>
        </row>
        <row r="25079">
          <cell r="E25079">
            <v>0</v>
          </cell>
          <cell r="F25079">
            <v>0</v>
          </cell>
          <cell r="DN25079">
            <v>0</v>
          </cell>
        </row>
        <row r="25080">
          <cell r="E25080">
            <v>0</v>
          </cell>
          <cell r="F25080">
            <v>0</v>
          </cell>
          <cell r="DN25080">
            <v>0</v>
          </cell>
        </row>
        <row r="25081">
          <cell r="E25081">
            <v>0</v>
          </cell>
          <cell r="F25081">
            <v>0</v>
          </cell>
          <cell r="DN25081">
            <v>0</v>
          </cell>
        </row>
        <row r="25082">
          <cell r="E25082">
            <v>0</v>
          </cell>
          <cell r="F25082">
            <v>0</v>
          </cell>
          <cell r="DN25082">
            <v>0</v>
          </cell>
        </row>
        <row r="25083">
          <cell r="E25083">
            <v>0</v>
          </cell>
          <cell r="F25083">
            <v>0</v>
          </cell>
          <cell r="DN25083">
            <v>0</v>
          </cell>
        </row>
        <row r="25084">
          <cell r="E25084">
            <v>0</v>
          </cell>
          <cell r="F25084">
            <v>0</v>
          </cell>
          <cell r="DN25084">
            <v>0</v>
          </cell>
        </row>
        <row r="25085">
          <cell r="E25085">
            <v>0</v>
          </cell>
          <cell r="F25085">
            <v>0</v>
          </cell>
          <cell r="DN25085">
            <v>0</v>
          </cell>
        </row>
        <row r="25086">
          <cell r="E25086">
            <v>0</v>
          </cell>
          <cell r="F25086">
            <v>0</v>
          </cell>
          <cell r="DN25086">
            <v>0</v>
          </cell>
        </row>
        <row r="25087">
          <cell r="E25087">
            <v>0</v>
          </cell>
          <cell r="F25087">
            <v>0</v>
          </cell>
          <cell r="DN25087">
            <v>0</v>
          </cell>
        </row>
        <row r="25088">
          <cell r="E25088">
            <v>0</v>
          </cell>
          <cell r="F25088">
            <v>0</v>
          </cell>
          <cell r="DN25088">
            <v>0</v>
          </cell>
        </row>
        <row r="25089">
          <cell r="E25089">
            <v>0</v>
          </cell>
          <cell r="F25089">
            <v>0</v>
          </cell>
          <cell r="DN25089">
            <v>0</v>
          </cell>
        </row>
        <row r="25090">
          <cell r="E25090">
            <v>0</v>
          </cell>
          <cell r="F25090">
            <v>0</v>
          </cell>
          <cell r="DN25090">
            <v>0</v>
          </cell>
        </row>
        <row r="25091">
          <cell r="E25091">
            <v>0</v>
          </cell>
          <cell r="F25091">
            <v>0</v>
          </cell>
          <cell r="DN25091">
            <v>0</v>
          </cell>
        </row>
        <row r="25092">
          <cell r="E25092">
            <v>0</v>
          </cell>
          <cell r="F25092">
            <v>0</v>
          </cell>
          <cell r="DN25092">
            <v>0</v>
          </cell>
        </row>
        <row r="25093">
          <cell r="E25093">
            <v>0</v>
          </cell>
          <cell r="F25093">
            <v>0</v>
          </cell>
          <cell r="DN25093">
            <v>0</v>
          </cell>
        </row>
        <row r="25094">
          <cell r="E25094">
            <v>0</v>
          </cell>
          <cell r="F25094">
            <v>0</v>
          </cell>
          <cell r="DN25094">
            <v>0</v>
          </cell>
        </row>
        <row r="25095">
          <cell r="E25095">
            <v>0</v>
          </cell>
          <cell r="F25095">
            <v>0</v>
          </cell>
          <cell r="DN25095">
            <v>0</v>
          </cell>
        </row>
        <row r="25096">
          <cell r="E25096">
            <v>0</v>
          </cell>
          <cell r="F25096">
            <v>0</v>
          </cell>
          <cell r="DN25096">
            <v>0</v>
          </cell>
        </row>
        <row r="25097">
          <cell r="E25097">
            <v>0</v>
          </cell>
          <cell r="F25097">
            <v>0</v>
          </cell>
          <cell r="DN25097">
            <v>0</v>
          </cell>
        </row>
        <row r="25098">
          <cell r="E25098">
            <v>0</v>
          </cell>
          <cell r="F25098">
            <v>0</v>
          </cell>
          <cell r="DN25098">
            <v>0</v>
          </cell>
        </row>
        <row r="25099">
          <cell r="E25099">
            <v>0</v>
          </cell>
          <cell r="F25099">
            <v>0</v>
          </cell>
          <cell r="DN25099">
            <v>0</v>
          </cell>
        </row>
        <row r="25100">
          <cell r="E25100">
            <v>0</v>
          </cell>
          <cell r="F25100">
            <v>0</v>
          </cell>
          <cell r="DN25100">
            <v>0</v>
          </cell>
        </row>
        <row r="25101">
          <cell r="E25101">
            <v>0</v>
          </cell>
          <cell r="F25101">
            <v>0</v>
          </cell>
          <cell r="DN25101">
            <v>0</v>
          </cell>
        </row>
        <row r="25102">
          <cell r="E25102">
            <v>0</v>
          </cell>
          <cell r="F25102">
            <v>0</v>
          </cell>
          <cell r="DN25102">
            <v>0</v>
          </cell>
        </row>
        <row r="25103">
          <cell r="E25103">
            <v>0</v>
          </cell>
          <cell r="F25103">
            <v>0</v>
          </cell>
          <cell r="DN25103">
            <v>0</v>
          </cell>
        </row>
        <row r="25104">
          <cell r="E25104">
            <v>0</v>
          </cell>
          <cell r="F25104">
            <v>0</v>
          </cell>
          <cell r="DN25104">
            <v>0</v>
          </cell>
        </row>
        <row r="25105">
          <cell r="E25105">
            <v>0</v>
          </cell>
          <cell r="F25105">
            <v>0</v>
          </cell>
          <cell r="DN25105">
            <v>0</v>
          </cell>
        </row>
        <row r="25106">
          <cell r="E25106">
            <v>0</v>
          </cell>
          <cell r="F25106">
            <v>0</v>
          </cell>
          <cell r="DN25106">
            <v>0</v>
          </cell>
        </row>
        <row r="25107">
          <cell r="E25107">
            <v>0</v>
          </cell>
          <cell r="F25107">
            <v>0</v>
          </cell>
          <cell r="DN25107">
            <v>0</v>
          </cell>
        </row>
        <row r="25108">
          <cell r="E25108">
            <v>0</v>
          </cell>
          <cell r="F25108">
            <v>0</v>
          </cell>
          <cell r="DN25108">
            <v>0</v>
          </cell>
        </row>
        <row r="25109">
          <cell r="E25109">
            <v>0</v>
          </cell>
          <cell r="F25109">
            <v>0</v>
          </cell>
          <cell r="DN25109">
            <v>0</v>
          </cell>
        </row>
        <row r="25110">
          <cell r="E25110">
            <v>0</v>
          </cell>
          <cell r="F25110">
            <v>0</v>
          </cell>
          <cell r="DN25110">
            <v>0</v>
          </cell>
        </row>
        <row r="25111">
          <cell r="E25111">
            <v>0</v>
          </cell>
          <cell r="F25111">
            <v>0</v>
          </cell>
          <cell r="DN25111">
            <v>0</v>
          </cell>
        </row>
        <row r="25112">
          <cell r="E25112">
            <v>0</v>
          </cell>
          <cell r="F25112">
            <v>0</v>
          </cell>
          <cell r="DN25112">
            <v>0</v>
          </cell>
        </row>
        <row r="25113">
          <cell r="E25113">
            <v>0</v>
          </cell>
          <cell r="F25113">
            <v>0</v>
          </cell>
          <cell r="DN25113">
            <v>0</v>
          </cell>
        </row>
        <row r="25114">
          <cell r="E25114">
            <v>0</v>
          </cell>
          <cell r="F25114">
            <v>0</v>
          </cell>
          <cell r="DN25114">
            <v>0</v>
          </cell>
        </row>
        <row r="25115">
          <cell r="E25115">
            <v>0</v>
          </cell>
          <cell r="F25115">
            <v>0</v>
          </cell>
          <cell r="DN25115">
            <v>0</v>
          </cell>
        </row>
        <row r="25116">
          <cell r="E25116">
            <v>0</v>
          </cell>
          <cell r="F25116">
            <v>0</v>
          </cell>
          <cell r="DN25116">
            <v>0</v>
          </cell>
        </row>
        <row r="25117">
          <cell r="E25117">
            <v>0</v>
          </cell>
          <cell r="F25117">
            <v>0</v>
          </cell>
          <cell r="DN25117">
            <v>0</v>
          </cell>
        </row>
        <row r="25118">
          <cell r="E25118">
            <v>0</v>
          </cell>
          <cell r="F25118">
            <v>0</v>
          </cell>
          <cell r="DN25118">
            <v>0</v>
          </cell>
        </row>
        <row r="25119">
          <cell r="E25119">
            <v>0</v>
          </cell>
          <cell r="F25119">
            <v>0</v>
          </cell>
          <cell r="DN25119">
            <v>0</v>
          </cell>
        </row>
        <row r="25120">
          <cell r="E25120">
            <v>0</v>
          </cell>
          <cell r="F25120">
            <v>0</v>
          </cell>
          <cell r="DN25120">
            <v>0</v>
          </cell>
        </row>
        <row r="25121">
          <cell r="E25121">
            <v>0</v>
          </cell>
          <cell r="F25121">
            <v>0</v>
          </cell>
          <cell r="DN25121">
            <v>0</v>
          </cell>
        </row>
        <row r="25122">
          <cell r="E25122">
            <v>0</v>
          </cell>
          <cell r="F25122">
            <v>0</v>
          </cell>
          <cell r="DN25122">
            <v>0</v>
          </cell>
        </row>
        <row r="25123">
          <cell r="E25123">
            <v>0</v>
          </cell>
          <cell r="F25123">
            <v>0</v>
          </cell>
          <cell r="DN25123">
            <v>0</v>
          </cell>
        </row>
        <row r="25124">
          <cell r="E25124">
            <v>0</v>
          </cell>
          <cell r="F25124">
            <v>0</v>
          </cell>
          <cell r="DN25124">
            <v>0</v>
          </cell>
        </row>
        <row r="25125">
          <cell r="E25125">
            <v>0</v>
          </cell>
          <cell r="F25125">
            <v>0</v>
          </cell>
          <cell r="DN25125">
            <v>0</v>
          </cell>
        </row>
        <row r="25126">
          <cell r="E25126">
            <v>0</v>
          </cell>
          <cell r="F25126">
            <v>0</v>
          </cell>
          <cell r="DN25126">
            <v>0</v>
          </cell>
        </row>
        <row r="25127">
          <cell r="E25127">
            <v>0</v>
          </cell>
          <cell r="F25127">
            <v>0</v>
          </cell>
          <cell r="DN25127">
            <v>0</v>
          </cell>
        </row>
        <row r="25128">
          <cell r="E25128">
            <v>0</v>
          </cell>
          <cell r="F25128">
            <v>0</v>
          </cell>
          <cell r="DN25128">
            <v>0</v>
          </cell>
        </row>
        <row r="25129">
          <cell r="E25129">
            <v>0</v>
          </cell>
          <cell r="F25129">
            <v>0</v>
          </cell>
          <cell r="DN25129">
            <v>0</v>
          </cell>
        </row>
        <row r="25130">
          <cell r="E25130">
            <v>0</v>
          </cell>
          <cell r="F25130">
            <v>0</v>
          </cell>
          <cell r="DN25130">
            <v>0</v>
          </cell>
        </row>
        <row r="25131">
          <cell r="E25131">
            <v>0</v>
          </cell>
          <cell r="F25131">
            <v>0</v>
          </cell>
          <cell r="DN25131">
            <v>0</v>
          </cell>
        </row>
        <row r="25132">
          <cell r="E25132">
            <v>0</v>
          </cell>
          <cell r="F25132">
            <v>0</v>
          </cell>
          <cell r="DN25132">
            <v>0</v>
          </cell>
        </row>
        <row r="25133">
          <cell r="E25133">
            <v>0</v>
          </cell>
          <cell r="F25133">
            <v>0</v>
          </cell>
          <cell r="DN25133">
            <v>0</v>
          </cell>
        </row>
        <row r="25134">
          <cell r="E25134">
            <v>0</v>
          </cell>
          <cell r="F25134">
            <v>0</v>
          </cell>
          <cell r="DN25134">
            <v>0</v>
          </cell>
        </row>
        <row r="25135">
          <cell r="E25135">
            <v>0</v>
          </cell>
          <cell r="F25135">
            <v>0</v>
          </cell>
          <cell r="DN25135">
            <v>0</v>
          </cell>
        </row>
        <row r="25136">
          <cell r="E25136">
            <v>0</v>
          </cell>
          <cell r="F25136">
            <v>0</v>
          </cell>
          <cell r="DN25136">
            <v>0</v>
          </cell>
        </row>
        <row r="25137">
          <cell r="E25137">
            <v>0</v>
          </cell>
          <cell r="F25137">
            <v>0</v>
          </cell>
          <cell r="DN25137">
            <v>0</v>
          </cell>
        </row>
        <row r="25138">
          <cell r="E25138">
            <v>0</v>
          </cell>
          <cell r="F25138">
            <v>0</v>
          </cell>
          <cell r="DN25138">
            <v>0</v>
          </cell>
        </row>
        <row r="25139">
          <cell r="E25139">
            <v>0</v>
          </cell>
          <cell r="F25139">
            <v>0</v>
          </cell>
          <cell r="DN25139">
            <v>0</v>
          </cell>
        </row>
        <row r="25140">
          <cell r="E25140">
            <v>0</v>
          </cell>
          <cell r="F25140">
            <v>0</v>
          </cell>
          <cell r="DN25140">
            <v>0</v>
          </cell>
        </row>
        <row r="25141">
          <cell r="E25141">
            <v>0</v>
          </cell>
          <cell r="F25141">
            <v>0</v>
          </cell>
          <cell r="DN25141">
            <v>0</v>
          </cell>
        </row>
        <row r="25142">
          <cell r="E25142">
            <v>0</v>
          </cell>
          <cell r="F25142">
            <v>0</v>
          </cell>
          <cell r="DN25142">
            <v>0</v>
          </cell>
        </row>
        <row r="25143">
          <cell r="E25143">
            <v>0</v>
          </cell>
          <cell r="F25143">
            <v>0</v>
          </cell>
          <cell r="DN25143">
            <v>0</v>
          </cell>
        </row>
        <row r="25144">
          <cell r="E25144">
            <v>0</v>
          </cell>
          <cell r="F25144">
            <v>0</v>
          </cell>
          <cell r="DN25144">
            <v>0</v>
          </cell>
        </row>
        <row r="25145">
          <cell r="E25145">
            <v>0</v>
          </cell>
          <cell r="F25145">
            <v>0</v>
          </cell>
          <cell r="DN25145">
            <v>0</v>
          </cell>
        </row>
        <row r="25146">
          <cell r="E25146">
            <v>0</v>
          </cell>
          <cell r="F25146">
            <v>0</v>
          </cell>
          <cell r="DN25146">
            <v>0</v>
          </cell>
        </row>
        <row r="25147">
          <cell r="E25147">
            <v>0</v>
          </cell>
          <cell r="F25147">
            <v>0</v>
          </cell>
          <cell r="DN25147">
            <v>0</v>
          </cell>
        </row>
        <row r="25148">
          <cell r="E25148">
            <v>0</v>
          </cell>
          <cell r="F25148">
            <v>0</v>
          </cell>
          <cell r="DN25148">
            <v>0</v>
          </cell>
        </row>
        <row r="25149">
          <cell r="E25149">
            <v>0</v>
          </cell>
          <cell r="F25149">
            <v>0</v>
          </cell>
          <cell r="DN25149">
            <v>0</v>
          </cell>
        </row>
        <row r="25150">
          <cell r="E25150">
            <v>0</v>
          </cell>
          <cell r="F25150">
            <v>0</v>
          </cell>
          <cell r="DN25150">
            <v>0</v>
          </cell>
        </row>
        <row r="25151">
          <cell r="E25151">
            <v>0</v>
          </cell>
          <cell r="F25151">
            <v>0</v>
          </cell>
          <cell r="DN25151">
            <v>0</v>
          </cell>
        </row>
        <row r="25152">
          <cell r="E25152">
            <v>0</v>
          </cell>
          <cell r="F25152">
            <v>0</v>
          </cell>
          <cell r="DN25152">
            <v>0</v>
          </cell>
        </row>
        <row r="25153">
          <cell r="E25153">
            <v>0</v>
          </cell>
          <cell r="F25153">
            <v>0</v>
          </cell>
          <cell r="DN25153">
            <v>0</v>
          </cell>
        </row>
        <row r="25154">
          <cell r="E25154">
            <v>0</v>
          </cell>
          <cell r="F25154">
            <v>0</v>
          </cell>
          <cell r="DN25154">
            <v>0</v>
          </cell>
        </row>
        <row r="25155">
          <cell r="E25155">
            <v>0</v>
          </cell>
          <cell r="F25155">
            <v>0</v>
          </cell>
          <cell r="DN25155">
            <v>0</v>
          </cell>
        </row>
        <row r="25156">
          <cell r="E25156">
            <v>0</v>
          </cell>
          <cell r="F25156">
            <v>0</v>
          </cell>
          <cell r="DN25156">
            <v>0</v>
          </cell>
        </row>
        <row r="25157">
          <cell r="E25157">
            <v>0</v>
          </cell>
          <cell r="F25157">
            <v>0</v>
          </cell>
          <cell r="DN25157">
            <v>0</v>
          </cell>
        </row>
        <row r="25158">
          <cell r="E25158">
            <v>0</v>
          </cell>
          <cell r="F25158">
            <v>0</v>
          </cell>
          <cell r="DN25158">
            <v>0</v>
          </cell>
        </row>
        <row r="25159">
          <cell r="E25159">
            <v>0</v>
          </cell>
          <cell r="F25159">
            <v>0</v>
          </cell>
          <cell r="DN25159">
            <v>0</v>
          </cell>
        </row>
        <row r="25160">
          <cell r="E25160">
            <v>0</v>
          </cell>
          <cell r="F25160">
            <v>0</v>
          </cell>
          <cell r="DN25160">
            <v>0</v>
          </cell>
        </row>
        <row r="25161">
          <cell r="E25161">
            <v>0</v>
          </cell>
          <cell r="F25161">
            <v>0</v>
          </cell>
          <cell r="DN25161">
            <v>0</v>
          </cell>
        </row>
        <row r="25162">
          <cell r="E25162">
            <v>0</v>
          </cell>
          <cell r="F25162">
            <v>0</v>
          </cell>
          <cell r="DN25162">
            <v>0</v>
          </cell>
        </row>
        <row r="25163">
          <cell r="E25163">
            <v>0</v>
          </cell>
          <cell r="F25163">
            <v>0</v>
          </cell>
          <cell r="DN25163">
            <v>0</v>
          </cell>
        </row>
        <row r="25164">
          <cell r="E25164">
            <v>0</v>
          </cell>
          <cell r="F25164">
            <v>0</v>
          </cell>
          <cell r="DN25164">
            <v>0</v>
          </cell>
        </row>
        <row r="25165">
          <cell r="E25165">
            <v>0</v>
          </cell>
          <cell r="F25165">
            <v>0</v>
          </cell>
          <cell r="DN25165">
            <v>0</v>
          </cell>
        </row>
        <row r="25166">
          <cell r="E25166">
            <v>0</v>
          </cell>
          <cell r="F25166">
            <v>0</v>
          </cell>
          <cell r="DN25166">
            <v>0</v>
          </cell>
        </row>
        <row r="25167">
          <cell r="E25167">
            <v>0</v>
          </cell>
          <cell r="F25167">
            <v>0</v>
          </cell>
          <cell r="DN25167">
            <v>0</v>
          </cell>
        </row>
        <row r="25168">
          <cell r="E25168">
            <v>0</v>
          </cell>
          <cell r="F25168">
            <v>0</v>
          </cell>
          <cell r="DN25168">
            <v>0</v>
          </cell>
        </row>
        <row r="25169">
          <cell r="E25169">
            <v>0</v>
          </cell>
          <cell r="F25169">
            <v>0</v>
          </cell>
          <cell r="DN25169">
            <v>0</v>
          </cell>
        </row>
        <row r="25170">
          <cell r="E25170">
            <v>0</v>
          </cell>
          <cell r="F25170">
            <v>0</v>
          </cell>
          <cell r="DN25170">
            <v>0</v>
          </cell>
        </row>
        <row r="25171">
          <cell r="E25171">
            <v>0</v>
          </cell>
          <cell r="F25171">
            <v>0</v>
          </cell>
          <cell r="DN25171">
            <v>0</v>
          </cell>
        </row>
        <row r="25172">
          <cell r="E25172">
            <v>0</v>
          </cell>
          <cell r="F25172">
            <v>0</v>
          </cell>
          <cell r="DN25172">
            <v>0</v>
          </cell>
        </row>
        <row r="25173">
          <cell r="E25173">
            <v>0</v>
          </cell>
          <cell r="F25173">
            <v>0</v>
          </cell>
          <cell r="DN25173">
            <v>0</v>
          </cell>
        </row>
        <row r="25174">
          <cell r="E25174">
            <v>0</v>
          </cell>
          <cell r="F25174">
            <v>0</v>
          </cell>
          <cell r="DN25174">
            <v>0</v>
          </cell>
        </row>
        <row r="25175">
          <cell r="E25175">
            <v>0</v>
          </cell>
          <cell r="F25175">
            <v>0</v>
          </cell>
          <cell r="DN25175">
            <v>0</v>
          </cell>
        </row>
        <row r="25176">
          <cell r="E25176">
            <v>0</v>
          </cell>
          <cell r="F25176">
            <v>0</v>
          </cell>
          <cell r="DN25176">
            <v>0</v>
          </cell>
        </row>
        <row r="25177">
          <cell r="E25177">
            <v>0</v>
          </cell>
          <cell r="F25177">
            <v>0</v>
          </cell>
          <cell r="DN25177">
            <v>0</v>
          </cell>
        </row>
        <row r="25178">
          <cell r="E25178">
            <v>0</v>
          </cell>
          <cell r="F25178">
            <v>0</v>
          </cell>
          <cell r="DN25178">
            <v>0</v>
          </cell>
        </row>
        <row r="25179">
          <cell r="E25179">
            <v>0</v>
          </cell>
          <cell r="F25179">
            <v>0</v>
          </cell>
          <cell r="DN25179">
            <v>0</v>
          </cell>
        </row>
        <row r="25180">
          <cell r="E25180">
            <v>0</v>
          </cell>
          <cell r="F25180">
            <v>0</v>
          </cell>
          <cell r="DN25180">
            <v>0</v>
          </cell>
        </row>
        <row r="25181">
          <cell r="E25181">
            <v>0</v>
          </cell>
          <cell r="F25181">
            <v>0</v>
          </cell>
          <cell r="DN25181">
            <v>0</v>
          </cell>
        </row>
        <row r="25182">
          <cell r="E25182">
            <v>0</v>
          </cell>
          <cell r="F25182">
            <v>0</v>
          </cell>
          <cell r="DN25182">
            <v>0</v>
          </cell>
        </row>
        <row r="25183">
          <cell r="E25183">
            <v>0</v>
          </cell>
          <cell r="F25183">
            <v>0</v>
          </cell>
          <cell r="DN25183">
            <v>0</v>
          </cell>
        </row>
        <row r="25184">
          <cell r="E25184">
            <v>0</v>
          </cell>
          <cell r="F25184">
            <v>0</v>
          </cell>
          <cell r="DN25184">
            <v>0</v>
          </cell>
        </row>
        <row r="25185">
          <cell r="E25185">
            <v>0</v>
          </cell>
          <cell r="F25185">
            <v>0</v>
          </cell>
          <cell r="DN25185">
            <v>0</v>
          </cell>
        </row>
        <row r="25186">
          <cell r="E25186">
            <v>0</v>
          </cell>
          <cell r="F25186">
            <v>0</v>
          </cell>
          <cell r="DN25186">
            <v>0</v>
          </cell>
        </row>
        <row r="25187">
          <cell r="E25187">
            <v>0</v>
          </cell>
          <cell r="F25187">
            <v>0</v>
          </cell>
          <cell r="DN25187">
            <v>0</v>
          </cell>
        </row>
        <row r="25188">
          <cell r="E25188">
            <v>0</v>
          </cell>
          <cell r="F25188">
            <v>0</v>
          </cell>
          <cell r="DN25188">
            <v>0</v>
          </cell>
        </row>
        <row r="25189">
          <cell r="E25189">
            <v>0</v>
          </cell>
          <cell r="F25189">
            <v>0</v>
          </cell>
          <cell r="DN25189">
            <v>0</v>
          </cell>
        </row>
        <row r="25190">
          <cell r="E25190">
            <v>0</v>
          </cell>
          <cell r="F25190">
            <v>0</v>
          </cell>
          <cell r="DN25190">
            <v>0</v>
          </cell>
        </row>
        <row r="25191">
          <cell r="E25191">
            <v>0</v>
          </cell>
          <cell r="F25191">
            <v>0</v>
          </cell>
          <cell r="DN25191">
            <v>0</v>
          </cell>
        </row>
        <row r="25192">
          <cell r="E25192">
            <v>0</v>
          </cell>
          <cell r="F25192">
            <v>0</v>
          </cell>
          <cell r="DN25192">
            <v>0</v>
          </cell>
        </row>
        <row r="25193">
          <cell r="E25193">
            <v>0</v>
          </cell>
          <cell r="F25193">
            <v>0</v>
          </cell>
          <cell r="DN25193">
            <v>0</v>
          </cell>
        </row>
        <row r="25194">
          <cell r="E25194">
            <v>0</v>
          </cell>
          <cell r="F25194">
            <v>0</v>
          </cell>
          <cell r="DN25194">
            <v>0</v>
          </cell>
        </row>
        <row r="25195">
          <cell r="E25195">
            <v>0</v>
          </cell>
          <cell r="F25195">
            <v>0</v>
          </cell>
          <cell r="DN25195">
            <v>0</v>
          </cell>
        </row>
        <row r="25196">
          <cell r="E25196">
            <v>0</v>
          </cell>
          <cell r="F25196">
            <v>0</v>
          </cell>
          <cell r="DN25196">
            <v>0</v>
          </cell>
        </row>
        <row r="25197">
          <cell r="E25197">
            <v>0</v>
          </cell>
          <cell r="F25197">
            <v>0</v>
          </cell>
          <cell r="DN25197">
            <v>0</v>
          </cell>
        </row>
        <row r="25198">
          <cell r="E25198">
            <v>0</v>
          </cell>
          <cell r="F25198">
            <v>0</v>
          </cell>
          <cell r="DN25198">
            <v>0</v>
          </cell>
        </row>
        <row r="25199">
          <cell r="E25199">
            <v>0</v>
          </cell>
          <cell r="F25199">
            <v>0</v>
          </cell>
          <cell r="DN25199">
            <v>0</v>
          </cell>
        </row>
        <row r="25200">
          <cell r="E25200">
            <v>0</v>
          </cell>
          <cell r="F25200">
            <v>0</v>
          </cell>
          <cell r="DN25200">
            <v>0</v>
          </cell>
        </row>
        <row r="25201">
          <cell r="E25201">
            <v>0</v>
          </cell>
          <cell r="F25201">
            <v>0</v>
          </cell>
          <cell r="DN25201">
            <v>0</v>
          </cell>
        </row>
        <row r="25202">
          <cell r="E25202">
            <v>0</v>
          </cell>
          <cell r="F25202">
            <v>0</v>
          </cell>
          <cell r="DN25202">
            <v>0</v>
          </cell>
        </row>
        <row r="25203">
          <cell r="E25203">
            <v>0</v>
          </cell>
          <cell r="F25203">
            <v>0</v>
          </cell>
          <cell r="DN25203">
            <v>0</v>
          </cell>
        </row>
        <row r="25204">
          <cell r="E25204">
            <v>0</v>
          </cell>
          <cell r="F25204">
            <v>0</v>
          </cell>
          <cell r="DN25204">
            <v>0</v>
          </cell>
        </row>
        <row r="25205">
          <cell r="E25205">
            <v>0</v>
          </cell>
          <cell r="F25205">
            <v>0</v>
          </cell>
          <cell r="DN25205">
            <v>0</v>
          </cell>
        </row>
        <row r="25206">
          <cell r="E25206">
            <v>0</v>
          </cell>
          <cell r="F25206">
            <v>0</v>
          </cell>
          <cell r="DN25206">
            <v>0</v>
          </cell>
        </row>
        <row r="25207">
          <cell r="E25207">
            <v>0</v>
          </cell>
          <cell r="F25207">
            <v>0</v>
          </cell>
          <cell r="DN25207">
            <v>0</v>
          </cell>
        </row>
        <row r="25208">
          <cell r="E25208">
            <v>0</v>
          </cell>
          <cell r="F25208">
            <v>0</v>
          </cell>
          <cell r="DN25208">
            <v>0</v>
          </cell>
        </row>
        <row r="25209">
          <cell r="E25209">
            <v>0</v>
          </cell>
          <cell r="F25209">
            <v>0</v>
          </cell>
          <cell r="DN25209">
            <v>0</v>
          </cell>
        </row>
        <row r="25210">
          <cell r="E25210">
            <v>0</v>
          </cell>
          <cell r="F25210">
            <v>0</v>
          </cell>
          <cell r="DN25210">
            <v>0</v>
          </cell>
        </row>
        <row r="25211">
          <cell r="E25211">
            <v>0</v>
          </cell>
          <cell r="F25211">
            <v>0</v>
          </cell>
          <cell r="DN25211">
            <v>0</v>
          </cell>
        </row>
        <row r="25212">
          <cell r="E25212">
            <v>0</v>
          </cell>
          <cell r="F25212">
            <v>0</v>
          </cell>
          <cell r="DN25212">
            <v>0</v>
          </cell>
        </row>
        <row r="25213">
          <cell r="E25213">
            <v>0</v>
          </cell>
          <cell r="F25213">
            <v>0</v>
          </cell>
          <cell r="DN25213">
            <v>0</v>
          </cell>
        </row>
        <row r="25214">
          <cell r="E25214">
            <v>0</v>
          </cell>
          <cell r="F25214">
            <v>0</v>
          </cell>
          <cell r="DN25214">
            <v>0</v>
          </cell>
        </row>
        <row r="25215">
          <cell r="E25215">
            <v>0</v>
          </cell>
          <cell r="F25215">
            <v>0</v>
          </cell>
          <cell r="DN25215">
            <v>0</v>
          </cell>
        </row>
        <row r="25216">
          <cell r="E25216">
            <v>0</v>
          </cell>
          <cell r="F25216">
            <v>0</v>
          </cell>
          <cell r="DN25216">
            <v>0</v>
          </cell>
        </row>
        <row r="25217">
          <cell r="E25217">
            <v>0</v>
          </cell>
          <cell r="F25217">
            <v>0</v>
          </cell>
          <cell r="DN25217">
            <v>0</v>
          </cell>
        </row>
        <row r="25218">
          <cell r="E25218">
            <v>0</v>
          </cell>
          <cell r="F25218">
            <v>0</v>
          </cell>
          <cell r="DN25218">
            <v>0</v>
          </cell>
        </row>
        <row r="25219">
          <cell r="E25219">
            <v>0</v>
          </cell>
          <cell r="F25219">
            <v>0</v>
          </cell>
          <cell r="DN25219">
            <v>0</v>
          </cell>
        </row>
        <row r="25220">
          <cell r="E25220">
            <v>0</v>
          </cell>
          <cell r="F25220">
            <v>0</v>
          </cell>
          <cell r="DN25220">
            <v>0</v>
          </cell>
        </row>
        <row r="25221">
          <cell r="E25221">
            <v>0</v>
          </cell>
          <cell r="F25221">
            <v>0</v>
          </cell>
          <cell r="DN25221">
            <v>0</v>
          </cell>
        </row>
        <row r="25222">
          <cell r="E25222">
            <v>0</v>
          </cell>
          <cell r="F25222">
            <v>0</v>
          </cell>
          <cell r="DN25222">
            <v>0</v>
          </cell>
        </row>
        <row r="25223">
          <cell r="E25223">
            <v>0</v>
          </cell>
          <cell r="F25223">
            <v>0</v>
          </cell>
          <cell r="DN25223">
            <v>0</v>
          </cell>
        </row>
        <row r="25224">
          <cell r="E25224">
            <v>0</v>
          </cell>
          <cell r="F25224">
            <v>0</v>
          </cell>
          <cell r="DN25224">
            <v>0</v>
          </cell>
        </row>
        <row r="25225">
          <cell r="E25225">
            <v>0</v>
          </cell>
          <cell r="F25225">
            <v>0</v>
          </cell>
          <cell r="DN25225">
            <v>0</v>
          </cell>
        </row>
        <row r="25226">
          <cell r="E25226">
            <v>0</v>
          </cell>
          <cell r="F25226">
            <v>0</v>
          </cell>
          <cell r="DN25226">
            <v>0</v>
          </cell>
        </row>
        <row r="25227">
          <cell r="E25227">
            <v>0</v>
          </cell>
          <cell r="F25227">
            <v>0</v>
          </cell>
          <cell r="DN25227">
            <v>0</v>
          </cell>
        </row>
        <row r="25228">
          <cell r="E25228">
            <v>0</v>
          </cell>
          <cell r="F25228">
            <v>0</v>
          </cell>
          <cell r="DN25228">
            <v>0</v>
          </cell>
        </row>
        <row r="25229">
          <cell r="E25229">
            <v>0</v>
          </cell>
          <cell r="F25229">
            <v>0</v>
          </cell>
          <cell r="DN25229">
            <v>0</v>
          </cell>
        </row>
        <row r="25230">
          <cell r="E25230">
            <v>0</v>
          </cell>
          <cell r="F25230">
            <v>0</v>
          </cell>
          <cell r="DN25230">
            <v>0</v>
          </cell>
        </row>
        <row r="25231">
          <cell r="E25231">
            <v>0</v>
          </cell>
          <cell r="F25231">
            <v>0</v>
          </cell>
          <cell r="DN25231">
            <v>0</v>
          </cell>
        </row>
        <row r="25232">
          <cell r="E25232">
            <v>0</v>
          </cell>
          <cell r="F25232">
            <v>0</v>
          </cell>
          <cell r="DN25232">
            <v>0</v>
          </cell>
        </row>
        <row r="25233">
          <cell r="E25233">
            <v>0</v>
          </cell>
          <cell r="F25233">
            <v>0</v>
          </cell>
          <cell r="DN25233">
            <v>0</v>
          </cell>
        </row>
        <row r="25234">
          <cell r="E25234">
            <v>0</v>
          </cell>
          <cell r="F25234">
            <v>0</v>
          </cell>
          <cell r="DN25234">
            <v>0</v>
          </cell>
        </row>
        <row r="25235">
          <cell r="E25235">
            <v>0</v>
          </cell>
          <cell r="F25235">
            <v>0</v>
          </cell>
          <cell r="DN25235">
            <v>0</v>
          </cell>
        </row>
        <row r="25236">
          <cell r="E25236">
            <v>0</v>
          </cell>
          <cell r="F25236">
            <v>0</v>
          </cell>
          <cell r="DN25236">
            <v>0</v>
          </cell>
        </row>
        <row r="25237">
          <cell r="E25237">
            <v>0</v>
          </cell>
          <cell r="F25237">
            <v>0</v>
          </cell>
          <cell r="DN25237">
            <v>0</v>
          </cell>
        </row>
        <row r="25238">
          <cell r="E25238">
            <v>0</v>
          </cell>
          <cell r="F25238">
            <v>0</v>
          </cell>
          <cell r="DN25238">
            <v>0</v>
          </cell>
        </row>
        <row r="25239">
          <cell r="E25239">
            <v>0</v>
          </cell>
          <cell r="F25239">
            <v>0</v>
          </cell>
          <cell r="DN25239">
            <v>0</v>
          </cell>
        </row>
        <row r="25240">
          <cell r="E25240">
            <v>0</v>
          </cell>
          <cell r="F25240">
            <v>0</v>
          </cell>
          <cell r="DN25240">
            <v>0</v>
          </cell>
        </row>
        <row r="25241">
          <cell r="E25241">
            <v>0</v>
          </cell>
          <cell r="F25241">
            <v>0</v>
          </cell>
          <cell r="DN25241">
            <v>0</v>
          </cell>
        </row>
        <row r="25242">
          <cell r="E25242">
            <v>0</v>
          </cell>
          <cell r="F25242">
            <v>0</v>
          </cell>
          <cell r="DN25242">
            <v>0</v>
          </cell>
        </row>
        <row r="25243">
          <cell r="E25243">
            <v>0</v>
          </cell>
          <cell r="F25243">
            <v>0</v>
          </cell>
          <cell r="DN25243">
            <v>0</v>
          </cell>
        </row>
        <row r="25244">
          <cell r="E25244">
            <v>0</v>
          </cell>
          <cell r="F25244">
            <v>0</v>
          </cell>
          <cell r="DN25244">
            <v>0</v>
          </cell>
        </row>
        <row r="25245">
          <cell r="E25245">
            <v>0</v>
          </cell>
          <cell r="F25245">
            <v>0</v>
          </cell>
          <cell r="DN25245">
            <v>0</v>
          </cell>
        </row>
        <row r="25246">
          <cell r="E25246">
            <v>0</v>
          </cell>
          <cell r="F25246">
            <v>0</v>
          </cell>
          <cell r="DN25246">
            <v>0</v>
          </cell>
        </row>
        <row r="25247">
          <cell r="E25247">
            <v>0</v>
          </cell>
          <cell r="F25247">
            <v>0</v>
          </cell>
          <cell r="DN25247">
            <v>0</v>
          </cell>
        </row>
        <row r="25248">
          <cell r="E25248">
            <v>0</v>
          </cell>
          <cell r="F25248">
            <v>0</v>
          </cell>
          <cell r="DN25248">
            <v>0</v>
          </cell>
        </row>
        <row r="25249">
          <cell r="E25249">
            <v>0</v>
          </cell>
          <cell r="F25249">
            <v>0</v>
          </cell>
          <cell r="DN25249">
            <v>0</v>
          </cell>
        </row>
        <row r="25250">
          <cell r="E25250">
            <v>0</v>
          </cell>
          <cell r="F25250">
            <v>0</v>
          </cell>
          <cell r="DN25250">
            <v>0</v>
          </cell>
        </row>
        <row r="25251">
          <cell r="E25251">
            <v>0</v>
          </cell>
          <cell r="F25251">
            <v>0</v>
          </cell>
          <cell r="DN25251">
            <v>0</v>
          </cell>
        </row>
        <row r="25252">
          <cell r="E25252">
            <v>0</v>
          </cell>
          <cell r="F25252">
            <v>0</v>
          </cell>
          <cell r="DN25252">
            <v>0</v>
          </cell>
        </row>
        <row r="25253">
          <cell r="E25253">
            <v>0</v>
          </cell>
          <cell r="F25253">
            <v>0</v>
          </cell>
          <cell r="DN25253">
            <v>0</v>
          </cell>
        </row>
        <row r="25254">
          <cell r="E25254">
            <v>0</v>
          </cell>
          <cell r="F25254">
            <v>0</v>
          </cell>
          <cell r="DN25254">
            <v>0</v>
          </cell>
        </row>
        <row r="25255">
          <cell r="E25255">
            <v>0</v>
          </cell>
          <cell r="F25255">
            <v>0</v>
          </cell>
          <cell r="DN25255">
            <v>0</v>
          </cell>
        </row>
        <row r="25256">
          <cell r="E25256">
            <v>0</v>
          </cell>
          <cell r="F25256">
            <v>0</v>
          </cell>
          <cell r="DN25256">
            <v>0</v>
          </cell>
        </row>
        <row r="25257">
          <cell r="E25257">
            <v>0</v>
          </cell>
          <cell r="F25257">
            <v>0</v>
          </cell>
          <cell r="DN25257">
            <v>0</v>
          </cell>
        </row>
        <row r="25258">
          <cell r="E25258">
            <v>0</v>
          </cell>
          <cell r="F25258">
            <v>0</v>
          </cell>
          <cell r="DN25258">
            <v>0</v>
          </cell>
        </row>
        <row r="25259">
          <cell r="E25259">
            <v>0</v>
          </cell>
          <cell r="F25259">
            <v>0</v>
          </cell>
          <cell r="DN25259">
            <v>0</v>
          </cell>
        </row>
        <row r="25260">
          <cell r="E25260">
            <v>0</v>
          </cell>
          <cell r="F25260">
            <v>0</v>
          </cell>
          <cell r="DN25260">
            <v>0</v>
          </cell>
        </row>
        <row r="25261">
          <cell r="E25261">
            <v>0</v>
          </cell>
          <cell r="F25261">
            <v>0</v>
          </cell>
          <cell r="DN25261">
            <v>0</v>
          </cell>
        </row>
        <row r="25262">
          <cell r="E25262">
            <v>0</v>
          </cell>
          <cell r="F25262">
            <v>0</v>
          </cell>
          <cell r="DN25262">
            <v>0</v>
          </cell>
        </row>
        <row r="25263">
          <cell r="E25263">
            <v>0</v>
          </cell>
          <cell r="F25263">
            <v>0</v>
          </cell>
          <cell r="DN25263">
            <v>0</v>
          </cell>
        </row>
        <row r="25264">
          <cell r="E25264">
            <v>0</v>
          </cell>
          <cell r="F25264">
            <v>0</v>
          </cell>
          <cell r="DN25264">
            <v>0</v>
          </cell>
        </row>
        <row r="25265">
          <cell r="E25265">
            <v>0</v>
          </cell>
          <cell r="F25265">
            <v>0</v>
          </cell>
          <cell r="DN25265">
            <v>0</v>
          </cell>
        </row>
        <row r="25266">
          <cell r="E25266">
            <v>0</v>
          </cell>
          <cell r="F25266">
            <v>0</v>
          </cell>
          <cell r="DN25266">
            <v>0</v>
          </cell>
        </row>
        <row r="25267">
          <cell r="E25267">
            <v>0</v>
          </cell>
          <cell r="F25267">
            <v>0</v>
          </cell>
          <cell r="DN25267">
            <v>0</v>
          </cell>
        </row>
        <row r="25268">
          <cell r="E25268">
            <v>0</v>
          </cell>
          <cell r="F25268">
            <v>0</v>
          </cell>
          <cell r="DN25268">
            <v>0</v>
          </cell>
        </row>
        <row r="25269">
          <cell r="E25269">
            <v>0</v>
          </cell>
          <cell r="F25269">
            <v>0</v>
          </cell>
          <cell r="DN25269">
            <v>0</v>
          </cell>
        </row>
        <row r="25270">
          <cell r="E25270">
            <v>0</v>
          </cell>
          <cell r="F25270">
            <v>0</v>
          </cell>
          <cell r="DN25270">
            <v>0</v>
          </cell>
        </row>
        <row r="25271">
          <cell r="E25271">
            <v>0</v>
          </cell>
          <cell r="F25271">
            <v>0</v>
          </cell>
          <cell r="DN25271">
            <v>0</v>
          </cell>
        </row>
        <row r="25272">
          <cell r="E25272">
            <v>0</v>
          </cell>
          <cell r="F25272">
            <v>0</v>
          </cell>
          <cell r="DN25272">
            <v>0</v>
          </cell>
        </row>
        <row r="25273">
          <cell r="E25273">
            <v>0</v>
          </cell>
          <cell r="F25273">
            <v>0</v>
          </cell>
          <cell r="DN25273">
            <v>0</v>
          </cell>
        </row>
        <row r="25274">
          <cell r="E25274">
            <v>0</v>
          </cell>
          <cell r="F25274">
            <v>0</v>
          </cell>
          <cell r="DN25274">
            <v>0</v>
          </cell>
        </row>
        <row r="25275">
          <cell r="E25275">
            <v>0</v>
          </cell>
          <cell r="F25275">
            <v>0</v>
          </cell>
          <cell r="DN25275">
            <v>0</v>
          </cell>
        </row>
        <row r="25276">
          <cell r="E25276">
            <v>0</v>
          </cell>
          <cell r="F25276">
            <v>0</v>
          </cell>
          <cell r="DN25276">
            <v>0</v>
          </cell>
        </row>
        <row r="25277">
          <cell r="E25277">
            <v>0</v>
          </cell>
          <cell r="F25277">
            <v>0</v>
          </cell>
          <cell r="DN25277">
            <v>0</v>
          </cell>
        </row>
        <row r="25278">
          <cell r="E25278">
            <v>0</v>
          </cell>
          <cell r="F25278">
            <v>0</v>
          </cell>
          <cell r="DN25278">
            <v>0</v>
          </cell>
        </row>
        <row r="25279">
          <cell r="E25279">
            <v>0</v>
          </cell>
          <cell r="F25279">
            <v>0</v>
          </cell>
          <cell r="DN25279">
            <v>0</v>
          </cell>
        </row>
        <row r="25280">
          <cell r="E25280">
            <v>0</v>
          </cell>
          <cell r="F25280">
            <v>0</v>
          </cell>
          <cell r="DN25280">
            <v>0</v>
          </cell>
        </row>
        <row r="25281">
          <cell r="E25281">
            <v>0</v>
          </cell>
          <cell r="F25281">
            <v>0</v>
          </cell>
          <cell r="DN25281">
            <v>0</v>
          </cell>
        </row>
        <row r="25282">
          <cell r="E25282">
            <v>0</v>
          </cell>
          <cell r="F25282">
            <v>0</v>
          </cell>
          <cell r="DN25282">
            <v>0</v>
          </cell>
        </row>
        <row r="25283">
          <cell r="E25283">
            <v>0</v>
          </cell>
          <cell r="F25283">
            <v>0</v>
          </cell>
          <cell r="DN25283">
            <v>0</v>
          </cell>
        </row>
        <row r="25284">
          <cell r="E25284">
            <v>0</v>
          </cell>
          <cell r="F25284">
            <v>0</v>
          </cell>
          <cell r="DN25284">
            <v>0</v>
          </cell>
        </row>
        <row r="25285">
          <cell r="E25285">
            <v>0</v>
          </cell>
          <cell r="F25285">
            <v>0</v>
          </cell>
          <cell r="DN25285">
            <v>0</v>
          </cell>
        </row>
        <row r="25286">
          <cell r="E25286">
            <v>0</v>
          </cell>
          <cell r="F25286">
            <v>0</v>
          </cell>
          <cell r="DN25286">
            <v>0</v>
          </cell>
        </row>
        <row r="25287">
          <cell r="E25287">
            <v>0</v>
          </cell>
          <cell r="F25287">
            <v>0</v>
          </cell>
          <cell r="DN25287">
            <v>0</v>
          </cell>
        </row>
        <row r="25288">
          <cell r="E25288">
            <v>0</v>
          </cell>
          <cell r="F25288">
            <v>0</v>
          </cell>
          <cell r="DN25288">
            <v>0</v>
          </cell>
        </row>
        <row r="25289">
          <cell r="E25289">
            <v>0</v>
          </cell>
          <cell r="F25289">
            <v>0</v>
          </cell>
          <cell r="DN25289">
            <v>0</v>
          </cell>
        </row>
        <row r="25290">
          <cell r="E25290">
            <v>0</v>
          </cell>
          <cell r="F25290">
            <v>0</v>
          </cell>
          <cell r="DN25290">
            <v>0</v>
          </cell>
        </row>
        <row r="25291">
          <cell r="E25291">
            <v>0</v>
          </cell>
          <cell r="F25291">
            <v>0</v>
          </cell>
          <cell r="DN25291">
            <v>0</v>
          </cell>
        </row>
        <row r="25292">
          <cell r="E25292">
            <v>0</v>
          </cell>
          <cell r="F25292">
            <v>0</v>
          </cell>
          <cell r="DN25292">
            <v>0</v>
          </cell>
        </row>
        <row r="25293">
          <cell r="E25293">
            <v>0</v>
          </cell>
          <cell r="F25293">
            <v>0</v>
          </cell>
          <cell r="DN25293">
            <v>0</v>
          </cell>
        </row>
        <row r="25294">
          <cell r="E25294">
            <v>0</v>
          </cell>
          <cell r="F25294">
            <v>0</v>
          </cell>
          <cell r="DN25294">
            <v>0</v>
          </cell>
        </row>
        <row r="25295">
          <cell r="E25295">
            <v>0</v>
          </cell>
          <cell r="F25295">
            <v>0</v>
          </cell>
          <cell r="DN25295">
            <v>0</v>
          </cell>
        </row>
        <row r="25296">
          <cell r="E25296">
            <v>0</v>
          </cell>
          <cell r="F25296">
            <v>0</v>
          </cell>
          <cell r="DN25296">
            <v>0</v>
          </cell>
        </row>
        <row r="25297">
          <cell r="E25297">
            <v>0</v>
          </cell>
          <cell r="F25297">
            <v>0</v>
          </cell>
          <cell r="DN25297">
            <v>0</v>
          </cell>
        </row>
        <row r="25298">
          <cell r="E25298">
            <v>0</v>
          </cell>
          <cell r="F25298">
            <v>0</v>
          </cell>
          <cell r="DN25298">
            <v>0</v>
          </cell>
        </row>
        <row r="25299">
          <cell r="E25299">
            <v>0</v>
          </cell>
          <cell r="F25299">
            <v>0</v>
          </cell>
          <cell r="DN25299">
            <v>0</v>
          </cell>
        </row>
        <row r="25300">
          <cell r="E25300">
            <v>0</v>
          </cell>
          <cell r="F25300">
            <v>0</v>
          </cell>
          <cell r="DN25300">
            <v>0</v>
          </cell>
        </row>
        <row r="25301">
          <cell r="E25301">
            <v>0</v>
          </cell>
          <cell r="F25301">
            <v>0</v>
          </cell>
          <cell r="DN25301">
            <v>0</v>
          </cell>
        </row>
        <row r="25302">
          <cell r="E25302">
            <v>0</v>
          </cell>
          <cell r="F25302">
            <v>0</v>
          </cell>
          <cell r="DN25302">
            <v>0</v>
          </cell>
        </row>
        <row r="25303">
          <cell r="E25303">
            <v>0</v>
          </cell>
          <cell r="F25303">
            <v>0</v>
          </cell>
          <cell r="DN25303">
            <v>0</v>
          </cell>
        </row>
        <row r="25304">
          <cell r="E25304">
            <v>0</v>
          </cell>
          <cell r="F25304">
            <v>0</v>
          </cell>
          <cell r="DN25304">
            <v>0</v>
          </cell>
        </row>
        <row r="25305">
          <cell r="E25305">
            <v>0</v>
          </cell>
          <cell r="F25305">
            <v>0</v>
          </cell>
          <cell r="DN25305">
            <v>0</v>
          </cell>
        </row>
        <row r="25306">
          <cell r="E25306">
            <v>0</v>
          </cell>
          <cell r="F25306">
            <v>0</v>
          </cell>
          <cell r="DN25306">
            <v>0</v>
          </cell>
        </row>
        <row r="25307">
          <cell r="E25307">
            <v>0</v>
          </cell>
          <cell r="F25307">
            <v>0</v>
          </cell>
          <cell r="DN25307">
            <v>0</v>
          </cell>
        </row>
        <row r="25308">
          <cell r="E25308">
            <v>0</v>
          </cell>
          <cell r="F25308">
            <v>0</v>
          </cell>
          <cell r="DN25308">
            <v>0</v>
          </cell>
        </row>
        <row r="25309">
          <cell r="E25309">
            <v>0</v>
          </cell>
          <cell r="F25309">
            <v>0</v>
          </cell>
          <cell r="DN25309">
            <v>0</v>
          </cell>
        </row>
        <row r="25310">
          <cell r="E25310">
            <v>0</v>
          </cell>
          <cell r="F25310">
            <v>0</v>
          </cell>
          <cell r="DN25310">
            <v>0</v>
          </cell>
        </row>
        <row r="25311">
          <cell r="E25311">
            <v>0</v>
          </cell>
          <cell r="F25311">
            <v>0</v>
          </cell>
          <cell r="DN25311">
            <v>0</v>
          </cell>
        </row>
        <row r="25312">
          <cell r="E25312">
            <v>0</v>
          </cell>
          <cell r="F25312">
            <v>0</v>
          </cell>
          <cell r="DN25312">
            <v>0</v>
          </cell>
        </row>
        <row r="25313">
          <cell r="E25313">
            <v>0</v>
          </cell>
          <cell r="F25313">
            <v>0</v>
          </cell>
          <cell r="DN25313">
            <v>0</v>
          </cell>
        </row>
        <row r="25314">
          <cell r="E25314">
            <v>0</v>
          </cell>
          <cell r="F25314">
            <v>0</v>
          </cell>
          <cell r="DN25314">
            <v>0</v>
          </cell>
        </row>
        <row r="25315">
          <cell r="E25315">
            <v>0</v>
          </cell>
          <cell r="F25315">
            <v>0</v>
          </cell>
          <cell r="DN25315">
            <v>0</v>
          </cell>
        </row>
        <row r="25316">
          <cell r="E25316">
            <v>0</v>
          </cell>
          <cell r="F25316">
            <v>0</v>
          </cell>
          <cell r="DN25316">
            <v>0</v>
          </cell>
        </row>
        <row r="25317">
          <cell r="E25317">
            <v>0</v>
          </cell>
          <cell r="F25317">
            <v>0</v>
          </cell>
          <cell r="DN25317">
            <v>0</v>
          </cell>
        </row>
        <row r="25318">
          <cell r="E25318">
            <v>0</v>
          </cell>
          <cell r="F25318">
            <v>0</v>
          </cell>
          <cell r="DN25318">
            <v>0</v>
          </cell>
        </row>
        <row r="25319">
          <cell r="E25319">
            <v>0</v>
          </cell>
          <cell r="F25319">
            <v>0</v>
          </cell>
          <cell r="DN25319">
            <v>0</v>
          </cell>
        </row>
        <row r="25320">
          <cell r="E25320">
            <v>0</v>
          </cell>
          <cell r="F25320">
            <v>0</v>
          </cell>
          <cell r="DN25320">
            <v>0</v>
          </cell>
        </row>
        <row r="25321">
          <cell r="E25321">
            <v>0</v>
          </cell>
          <cell r="F25321">
            <v>0</v>
          </cell>
          <cell r="DN25321">
            <v>0</v>
          </cell>
        </row>
        <row r="25322">
          <cell r="E25322">
            <v>0</v>
          </cell>
          <cell r="F25322">
            <v>0</v>
          </cell>
          <cell r="DN25322">
            <v>0</v>
          </cell>
        </row>
        <row r="25323">
          <cell r="E25323">
            <v>0</v>
          </cell>
          <cell r="F25323">
            <v>0</v>
          </cell>
          <cell r="DN25323">
            <v>0</v>
          </cell>
        </row>
        <row r="25324">
          <cell r="E25324">
            <v>0</v>
          </cell>
          <cell r="F25324">
            <v>0</v>
          </cell>
          <cell r="DN25324">
            <v>0</v>
          </cell>
        </row>
        <row r="25325">
          <cell r="E25325">
            <v>0</v>
          </cell>
          <cell r="F25325">
            <v>0</v>
          </cell>
          <cell r="DN25325">
            <v>0</v>
          </cell>
        </row>
        <row r="25326">
          <cell r="E25326">
            <v>0</v>
          </cell>
          <cell r="F25326">
            <v>0</v>
          </cell>
          <cell r="DN25326">
            <v>0</v>
          </cell>
        </row>
        <row r="25327">
          <cell r="E25327">
            <v>0</v>
          </cell>
          <cell r="F25327">
            <v>0</v>
          </cell>
          <cell r="DN25327">
            <v>0</v>
          </cell>
        </row>
        <row r="25328">
          <cell r="E25328">
            <v>0</v>
          </cell>
          <cell r="F25328">
            <v>0</v>
          </cell>
          <cell r="DN25328">
            <v>0</v>
          </cell>
        </row>
        <row r="25329">
          <cell r="E25329">
            <v>0</v>
          </cell>
          <cell r="F25329">
            <v>0</v>
          </cell>
          <cell r="DN25329">
            <v>0</v>
          </cell>
        </row>
        <row r="25330">
          <cell r="E25330">
            <v>0</v>
          </cell>
          <cell r="F25330">
            <v>0</v>
          </cell>
          <cell r="DN25330">
            <v>0</v>
          </cell>
        </row>
        <row r="25331">
          <cell r="E25331">
            <v>0</v>
          </cell>
          <cell r="F25331">
            <v>0</v>
          </cell>
          <cell r="DN25331">
            <v>0</v>
          </cell>
        </row>
        <row r="25332">
          <cell r="E25332">
            <v>0</v>
          </cell>
          <cell r="F25332">
            <v>0</v>
          </cell>
          <cell r="DN25332">
            <v>0</v>
          </cell>
        </row>
        <row r="25333">
          <cell r="E25333">
            <v>0</v>
          </cell>
          <cell r="F25333">
            <v>0</v>
          </cell>
          <cell r="DN25333">
            <v>0</v>
          </cell>
        </row>
        <row r="25334">
          <cell r="E25334">
            <v>0</v>
          </cell>
          <cell r="F25334">
            <v>0</v>
          </cell>
          <cell r="DN25334">
            <v>0</v>
          </cell>
        </row>
        <row r="25335">
          <cell r="E25335">
            <v>0</v>
          </cell>
          <cell r="F25335">
            <v>0</v>
          </cell>
          <cell r="DN25335">
            <v>0</v>
          </cell>
        </row>
        <row r="25336">
          <cell r="E25336">
            <v>0</v>
          </cell>
          <cell r="F25336">
            <v>0</v>
          </cell>
          <cell r="DN25336">
            <v>0</v>
          </cell>
        </row>
        <row r="25337">
          <cell r="E25337">
            <v>0</v>
          </cell>
          <cell r="F25337">
            <v>0</v>
          </cell>
          <cell r="DN25337">
            <v>0</v>
          </cell>
        </row>
        <row r="25338">
          <cell r="E25338">
            <v>0</v>
          </cell>
          <cell r="F25338">
            <v>0</v>
          </cell>
          <cell r="DN25338">
            <v>0</v>
          </cell>
        </row>
        <row r="25339">
          <cell r="E25339">
            <v>0</v>
          </cell>
          <cell r="F25339">
            <v>0</v>
          </cell>
          <cell r="DN25339">
            <v>0</v>
          </cell>
        </row>
        <row r="25340">
          <cell r="E25340">
            <v>0</v>
          </cell>
          <cell r="F25340">
            <v>0</v>
          </cell>
          <cell r="DN25340">
            <v>0</v>
          </cell>
        </row>
        <row r="25341">
          <cell r="E25341">
            <v>0</v>
          </cell>
          <cell r="F25341">
            <v>0</v>
          </cell>
          <cell r="DN25341">
            <v>0</v>
          </cell>
        </row>
        <row r="25342">
          <cell r="E25342">
            <v>0</v>
          </cell>
          <cell r="F25342">
            <v>0</v>
          </cell>
          <cell r="DN25342">
            <v>0</v>
          </cell>
        </row>
        <row r="25343">
          <cell r="E25343">
            <v>0</v>
          </cell>
          <cell r="F25343">
            <v>0</v>
          </cell>
          <cell r="DN25343">
            <v>0</v>
          </cell>
        </row>
        <row r="25344">
          <cell r="E25344">
            <v>0</v>
          </cell>
          <cell r="F25344">
            <v>0</v>
          </cell>
          <cell r="DN25344">
            <v>0</v>
          </cell>
        </row>
        <row r="25345">
          <cell r="E25345">
            <v>0</v>
          </cell>
          <cell r="F25345">
            <v>0</v>
          </cell>
          <cell r="DN25345">
            <v>0</v>
          </cell>
        </row>
        <row r="25346">
          <cell r="E25346">
            <v>0</v>
          </cell>
          <cell r="F25346">
            <v>0</v>
          </cell>
          <cell r="DN25346">
            <v>0</v>
          </cell>
        </row>
        <row r="25347">
          <cell r="E25347">
            <v>0</v>
          </cell>
          <cell r="F25347">
            <v>0</v>
          </cell>
          <cell r="DN25347">
            <v>0</v>
          </cell>
        </row>
        <row r="25348">
          <cell r="E25348">
            <v>0</v>
          </cell>
          <cell r="F25348">
            <v>0</v>
          </cell>
          <cell r="DN25348">
            <v>0</v>
          </cell>
        </row>
        <row r="25349">
          <cell r="E25349">
            <v>0</v>
          </cell>
          <cell r="F25349">
            <v>0</v>
          </cell>
          <cell r="DN25349">
            <v>0</v>
          </cell>
        </row>
        <row r="25350">
          <cell r="E25350">
            <v>0</v>
          </cell>
          <cell r="F25350">
            <v>0</v>
          </cell>
          <cell r="DN25350">
            <v>0</v>
          </cell>
        </row>
        <row r="25351">
          <cell r="E25351">
            <v>0</v>
          </cell>
          <cell r="F25351">
            <v>0</v>
          </cell>
          <cell r="DN25351">
            <v>0</v>
          </cell>
        </row>
        <row r="25352">
          <cell r="E25352">
            <v>0</v>
          </cell>
          <cell r="F25352">
            <v>0</v>
          </cell>
          <cell r="DN25352">
            <v>0</v>
          </cell>
        </row>
        <row r="25353">
          <cell r="E25353">
            <v>0</v>
          </cell>
          <cell r="F25353">
            <v>0</v>
          </cell>
          <cell r="DN25353">
            <v>0</v>
          </cell>
        </row>
        <row r="25354">
          <cell r="E25354">
            <v>0</v>
          </cell>
          <cell r="F25354">
            <v>0</v>
          </cell>
          <cell r="DN25354">
            <v>0</v>
          </cell>
        </row>
        <row r="25355">
          <cell r="E25355">
            <v>0</v>
          </cell>
          <cell r="F25355">
            <v>0</v>
          </cell>
          <cell r="DN25355">
            <v>0</v>
          </cell>
        </row>
        <row r="25356">
          <cell r="E25356">
            <v>0</v>
          </cell>
          <cell r="F25356">
            <v>0</v>
          </cell>
          <cell r="DN25356">
            <v>0</v>
          </cell>
        </row>
        <row r="25357">
          <cell r="E25357">
            <v>0</v>
          </cell>
          <cell r="F25357">
            <v>0</v>
          </cell>
          <cell r="DN25357">
            <v>0</v>
          </cell>
        </row>
        <row r="25358">
          <cell r="E25358">
            <v>0</v>
          </cell>
          <cell r="F25358">
            <v>0</v>
          </cell>
          <cell r="DN25358">
            <v>0</v>
          </cell>
        </row>
        <row r="25359">
          <cell r="E25359">
            <v>0</v>
          </cell>
          <cell r="F25359">
            <v>0</v>
          </cell>
          <cell r="DN25359">
            <v>0</v>
          </cell>
        </row>
        <row r="25360">
          <cell r="E25360">
            <v>0</v>
          </cell>
          <cell r="F25360">
            <v>0</v>
          </cell>
          <cell r="DN25360">
            <v>0</v>
          </cell>
        </row>
        <row r="25361">
          <cell r="E25361">
            <v>0</v>
          </cell>
          <cell r="F25361">
            <v>0</v>
          </cell>
          <cell r="DN25361">
            <v>0</v>
          </cell>
        </row>
        <row r="25362">
          <cell r="E25362">
            <v>0</v>
          </cell>
          <cell r="F25362">
            <v>0</v>
          </cell>
          <cell r="DN25362">
            <v>0</v>
          </cell>
        </row>
        <row r="25363">
          <cell r="E25363">
            <v>0</v>
          </cell>
          <cell r="F25363">
            <v>0</v>
          </cell>
          <cell r="DN25363">
            <v>0</v>
          </cell>
        </row>
        <row r="25364">
          <cell r="E25364">
            <v>0</v>
          </cell>
          <cell r="F25364">
            <v>0</v>
          </cell>
          <cell r="DN25364">
            <v>0</v>
          </cell>
        </row>
        <row r="25365">
          <cell r="E25365">
            <v>0</v>
          </cell>
          <cell r="F25365">
            <v>0</v>
          </cell>
          <cell r="DN25365">
            <v>0</v>
          </cell>
        </row>
        <row r="25366">
          <cell r="E25366">
            <v>0</v>
          </cell>
          <cell r="F25366">
            <v>0</v>
          </cell>
          <cell r="DN25366">
            <v>0</v>
          </cell>
        </row>
        <row r="25367">
          <cell r="E25367">
            <v>0</v>
          </cell>
          <cell r="F25367">
            <v>0</v>
          </cell>
          <cell r="DN25367">
            <v>0</v>
          </cell>
        </row>
        <row r="25368">
          <cell r="E25368">
            <v>0</v>
          </cell>
          <cell r="F25368">
            <v>0</v>
          </cell>
          <cell r="DN25368">
            <v>0</v>
          </cell>
        </row>
        <row r="25369">
          <cell r="E25369">
            <v>0</v>
          </cell>
          <cell r="F25369">
            <v>0</v>
          </cell>
          <cell r="DN25369">
            <v>0</v>
          </cell>
        </row>
        <row r="25370">
          <cell r="E25370">
            <v>0</v>
          </cell>
          <cell r="F25370">
            <v>0</v>
          </cell>
          <cell r="DN25370">
            <v>0</v>
          </cell>
        </row>
        <row r="25371">
          <cell r="E25371">
            <v>0</v>
          </cell>
          <cell r="F25371">
            <v>0</v>
          </cell>
          <cell r="DN25371">
            <v>0</v>
          </cell>
        </row>
        <row r="25372">
          <cell r="E25372">
            <v>0</v>
          </cell>
          <cell r="F25372">
            <v>0</v>
          </cell>
          <cell r="DN25372">
            <v>0</v>
          </cell>
        </row>
        <row r="25373">
          <cell r="E25373">
            <v>0</v>
          </cell>
          <cell r="F25373">
            <v>0</v>
          </cell>
          <cell r="DN25373">
            <v>0</v>
          </cell>
        </row>
        <row r="25374">
          <cell r="E25374">
            <v>0</v>
          </cell>
          <cell r="F25374">
            <v>0</v>
          </cell>
          <cell r="DN25374">
            <v>0</v>
          </cell>
        </row>
        <row r="25375">
          <cell r="E25375">
            <v>0</v>
          </cell>
          <cell r="F25375">
            <v>0</v>
          </cell>
          <cell r="DN25375">
            <v>0</v>
          </cell>
        </row>
        <row r="25376">
          <cell r="E25376">
            <v>0</v>
          </cell>
          <cell r="F25376">
            <v>0</v>
          </cell>
          <cell r="DN25376">
            <v>0</v>
          </cell>
        </row>
        <row r="25377">
          <cell r="E25377">
            <v>0</v>
          </cell>
          <cell r="F25377">
            <v>0</v>
          </cell>
          <cell r="DN25377">
            <v>0</v>
          </cell>
        </row>
        <row r="25378">
          <cell r="E25378">
            <v>0</v>
          </cell>
          <cell r="F25378">
            <v>0</v>
          </cell>
          <cell r="DN25378">
            <v>0</v>
          </cell>
        </row>
        <row r="25379">
          <cell r="E25379">
            <v>0</v>
          </cell>
          <cell r="F25379">
            <v>0</v>
          </cell>
          <cell r="DN25379">
            <v>0</v>
          </cell>
        </row>
        <row r="25380">
          <cell r="E25380">
            <v>0</v>
          </cell>
          <cell r="F25380">
            <v>0</v>
          </cell>
          <cell r="DN25380">
            <v>0</v>
          </cell>
        </row>
        <row r="25381">
          <cell r="E25381">
            <v>0</v>
          </cell>
          <cell r="F25381">
            <v>0</v>
          </cell>
          <cell r="DN25381">
            <v>0</v>
          </cell>
        </row>
        <row r="25382">
          <cell r="E25382">
            <v>0</v>
          </cell>
          <cell r="F25382">
            <v>0</v>
          </cell>
          <cell r="DN25382">
            <v>0</v>
          </cell>
        </row>
        <row r="25383">
          <cell r="E25383">
            <v>0</v>
          </cell>
          <cell r="F25383">
            <v>0</v>
          </cell>
          <cell r="DN25383">
            <v>0</v>
          </cell>
        </row>
        <row r="25384">
          <cell r="E25384">
            <v>0</v>
          </cell>
          <cell r="F25384">
            <v>0</v>
          </cell>
          <cell r="DN25384">
            <v>0</v>
          </cell>
        </row>
        <row r="25385">
          <cell r="E25385">
            <v>0</v>
          </cell>
          <cell r="F25385">
            <v>0</v>
          </cell>
          <cell r="DN25385">
            <v>0</v>
          </cell>
        </row>
        <row r="25386">
          <cell r="E25386">
            <v>0</v>
          </cell>
          <cell r="F25386">
            <v>0</v>
          </cell>
          <cell r="DN25386">
            <v>0</v>
          </cell>
        </row>
        <row r="25387">
          <cell r="E25387">
            <v>0</v>
          </cell>
          <cell r="F25387">
            <v>0</v>
          </cell>
          <cell r="DN25387">
            <v>0</v>
          </cell>
        </row>
        <row r="25388">
          <cell r="E25388">
            <v>0</v>
          </cell>
          <cell r="F25388">
            <v>0</v>
          </cell>
          <cell r="DN25388">
            <v>0</v>
          </cell>
        </row>
        <row r="25389">
          <cell r="E25389">
            <v>0</v>
          </cell>
          <cell r="F25389">
            <v>0</v>
          </cell>
          <cell r="DN25389">
            <v>0</v>
          </cell>
        </row>
        <row r="25390">
          <cell r="E25390">
            <v>0</v>
          </cell>
          <cell r="F25390">
            <v>0</v>
          </cell>
          <cell r="DN25390">
            <v>0</v>
          </cell>
        </row>
        <row r="25391">
          <cell r="E25391">
            <v>0</v>
          </cell>
          <cell r="F25391">
            <v>0</v>
          </cell>
          <cell r="DN25391">
            <v>0</v>
          </cell>
        </row>
        <row r="25392">
          <cell r="E25392">
            <v>0</v>
          </cell>
          <cell r="F25392">
            <v>0</v>
          </cell>
          <cell r="DN25392">
            <v>0</v>
          </cell>
        </row>
        <row r="25393">
          <cell r="E25393">
            <v>0</v>
          </cell>
          <cell r="F25393">
            <v>0</v>
          </cell>
          <cell r="DN25393">
            <v>0</v>
          </cell>
        </row>
        <row r="25394">
          <cell r="E25394">
            <v>0</v>
          </cell>
          <cell r="F25394">
            <v>0</v>
          </cell>
          <cell r="DN25394">
            <v>0</v>
          </cell>
        </row>
        <row r="25395">
          <cell r="E25395">
            <v>0</v>
          </cell>
          <cell r="F25395">
            <v>0</v>
          </cell>
          <cell r="DN25395">
            <v>0</v>
          </cell>
        </row>
        <row r="25396">
          <cell r="E25396">
            <v>0</v>
          </cell>
          <cell r="F25396">
            <v>0</v>
          </cell>
          <cell r="DN25396">
            <v>0</v>
          </cell>
        </row>
        <row r="25397">
          <cell r="E25397">
            <v>0</v>
          </cell>
          <cell r="F25397">
            <v>0</v>
          </cell>
          <cell r="DN25397">
            <v>0</v>
          </cell>
        </row>
        <row r="25398">
          <cell r="E25398">
            <v>0</v>
          </cell>
          <cell r="F25398">
            <v>0</v>
          </cell>
          <cell r="DN25398">
            <v>0</v>
          </cell>
        </row>
        <row r="25399">
          <cell r="E25399">
            <v>0</v>
          </cell>
          <cell r="F25399">
            <v>0</v>
          </cell>
          <cell r="DN25399">
            <v>0</v>
          </cell>
        </row>
        <row r="25400">
          <cell r="E25400">
            <v>0</v>
          </cell>
          <cell r="F25400">
            <v>0</v>
          </cell>
          <cell r="DN25400">
            <v>0</v>
          </cell>
        </row>
        <row r="25401">
          <cell r="E25401">
            <v>0</v>
          </cell>
          <cell r="F25401">
            <v>0</v>
          </cell>
          <cell r="DN25401">
            <v>0</v>
          </cell>
        </row>
        <row r="25402">
          <cell r="E25402">
            <v>0</v>
          </cell>
          <cell r="F25402">
            <v>0</v>
          </cell>
          <cell r="DN25402">
            <v>0</v>
          </cell>
        </row>
        <row r="25403">
          <cell r="E25403">
            <v>0</v>
          </cell>
          <cell r="F25403">
            <v>0</v>
          </cell>
          <cell r="DN25403">
            <v>0</v>
          </cell>
        </row>
        <row r="25404">
          <cell r="E25404">
            <v>0</v>
          </cell>
          <cell r="F25404">
            <v>0</v>
          </cell>
          <cell r="DN25404">
            <v>0</v>
          </cell>
        </row>
        <row r="25405">
          <cell r="E25405">
            <v>0</v>
          </cell>
          <cell r="F25405">
            <v>0</v>
          </cell>
          <cell r="DN25405">
            <v>0</v>
          </cell>
        </row>
        <row r="25406">
          <cell r="E25406">
            <v>0</v>
          </cell>
          <cell r="F25406">
            <v>0</v>
          </cell>
          <cell r="DN25406">
            <v>0</v>
          </cell>
        </row>
        <row r="25407">
          <cell r="E25407">
            <v>0</v>
          </cell>
          <cell r="F25407">
            <v>0</v>
          </cell>
          <cell r="DN25407">
            <v>0</v>
          </cell>
        </row>
        <row r="25408">
          <cell r="E25408">
            <v>0</v>
          </cell>
          <cell r="F25408">
            <v>0</v>
          </cell>
          <cell r="DN25408">
            <v>0</v>
          </cell>
        </row>
        <row r="25409">
          <cell r="E25409">
            <v>0</v>
          </cell>
          <cell r="F25409">
            <v>0</v>
          </cell>
          <cell r="DN25409">
            <v>0</v>
          </cell>
        </row>
        <row r="25410">
          <cell r="E25410">
            <v>0</v>
          </cell>
          <cell r="F25410">
            <v>0</v>
          </cell>
          <cell r="DN25410">
            <v>0</v>
          </cell>
        </row>
        <row r="25411">
          <cell r="E25411">
            <v>0</v>
          </cell>
          <cell r="F25411">
            <v>0</v>
          </cell>
          <cell r="DN25411">
            <v>0</v>
          </cell>
        </row>
        <row r="25412">
          <cell r="E25412">
            <v>0</v>
          </cell>
          <cell r="F25412">
            <v>0</v>
          </cell>
          <cell r="DN25412">
            <v>0</v>
          </cell>
        </row>
        <row r="25413">
          <cell r="E25413">
            <v>0</v>
          </cell>
          <cell r="F25413">
            <v>0</v>
          </cell>
          <cell r="DN25413">
            <v>0</v>
          </cell>
        </row>
        <row r="25414">
          <cell r="E25414">
            <v>0</v>
          </cell>
          <cell r="F25414">
            <v>0</v>
          </cell>
          <cell r="DN25414">
            <v>0</v>
          </cell>
        </row>
        <row r="25415">
          <cell r="E25415">
            <v>0</v>
          </cell>
          <cell r="F25415">
            <v>0</v>
          </cell>
          <cell r="DN25415">
            <v>0</v>
          </cell>
        </row>
        <row r="25416">
          <cell r="E25416">
            <v>0</v>
          </cell>
          <cell r="F25416">
            <v>0</v>
          </cell>
          <cell r="DN25416">
            <v>0</v>
          </cell>
        </row>
        <row r="25417">
          <cell r="E25417">
            <v>0</v>
          </cell>
          <cell r="F25417">
            <v>0</v>
          </cell>
          <cell r="DN25417">
            <v>0</v>
          </cell>
        </row>
        <row r="25418">
          <cell r="E25418">
            <v>0</v>
          </cell>
          <cell r="F25418">
            <v>0</v>
          </cell>
          <cell r="DN25418">
            <v>0</v>
          </cell>
        </row>
        <row r="25419">
          <cell r="E25419">
            <v>0</v>
          </cell>
          <cell r="F25419">
            <v>0</v>
          </cell>
          <cell r="DN25419">
            <v>0</v>
          </cell>
        </row>
        <row r="25420">
          <cell r="E25420">
            <v>0</v>
          </cell>
          <cell r="F25420">
            <v>0</v>
          </cell>
          <cell r="DN25420">
            <v>0</v>
          </cell>
        </row>
        <row r="25421">
          <cell r="E25421">
            <v>0</v>
          </cell>
          <cell r="F25421">
            <v>0</v>
          </cell>
          <cell r="DN25421">
            <v>0</v>
          </cell>
        </row>
        <row r="25422">
          <cell r="E25422">
            <v>0</v>
          </cell>
          <cell r="F25422">
            <v>0</v>
          </cell>
          <cell r="DN25422">
            <v>0</v>
          </cell>
        </row>
        <row r="25423">
          <cell r="E25423">
            <v>0</v>
          </cell>
          <cell r="F25423">
            <v>0</v>
          </cell>
          <cell r="DN25423">
            <v>0</v>
          </cell>
        </row>
        <row r="25424">
          <cell r="E25424">
            <v>0</v>
          </cell>
          <cell r="F25424">
            <v>0</v>
          </cell>
          <cell r="DN25424">
            <v>0</v>
          </cell>
        </row>
        <row r="25425">
          <cell r="E25425">
            <v>0</v>
          </cell>
          <cell r="F25425">
            <v>0</v>
          </cell>
          <cell r="DN25425">
            <v>0</v>
          </cell>
        </row>
        <row r="25426">
          <cell r="E25426">
            <v>0</v>
          </cell>
          <cell r="F25426">
            <v>0</v>
          </cell>
          <cell r="DN25426">
            <v>0</v>
          </cell>
        </row>
        <row r="25427">
          <cell r="E25427">
            <v>0</v>
          </cell>
          <cell r="F25427">
            <v>0</v>
          </cell>
          <cell r="DN25427">
            <v>0</v>
          </cell>
        </row>
        <row r="25428">
          <cell r="E25428">
            <v>0</v>
          </cell>
          <cell r="F25428">
            <v>0</v>
          </cell>
          <cell r="DN25428">
            <v>0</v>
          </cell>
        </row>
        <row r="25429">
          <cell r="E25429">
            <v>0</v>
          </cell>
          <cell r="F25429">
            <v>0</v>
          </cell>
          <cell r="DN25429">
            <v>0</v>
          </cell>
        </row>
        <row r="25430">
          <cell r="E25430">
            <v>0</v>
          </cell>
          <cell r="F25430">
            <v>0</v>
          </cell>
          <cell r="DN25430">
            <v>0</v>
          </cell>
        </row>
        <row r="25431">
          <cell r="E25431">
            <v>0</v>
          </cell>
          <cell r="F25431">
            <v>0</v>
          </cell>
          <cell r="DN25431">
            <v>0</v>
          </cell>
        </row>
        <row r="25432">
          <cell r="E25432">
            <v>0</v>
          </cell>
          <cell r="F25432">
            <v>0</v>
          </cell>
          <cell r="DN25432">
            <v>0</v>
          </cell>
        </row>
        <row r="25433">
          <cell r="E25433">
            <v>0</v>
          </cell>
          <cell r="F25433">
            <v>0</v>
          </cell>
          <cell r="DN25433">
            <v>0</v>
          </cell>
        </row>
        <row r="25434">
          <cell r="E25434">
            <v>0</v>
          </cell>
          <cell r="F25434">
            <v>0</v>
          </cell>
          <cell r="DN25434">
            <v>0</v>
          </cell>
        </row>
        <row r="25435">
          <cell r="E25435">
            <v>0</v>
          </cell>
          <cell r="F25435">
            <v>0</v>
          </cell>
          <cell r="DN25435">
            <v>0</v>
          </cell>
        </row>
        <row r="25436">
          <cell r="E25436">
            <v>0</v>
          </cell>
          <cell r="F25436">
            <v>0</v>
          </cell>
          <cell r="DN25436">
            <v>0</v>
          </cell>
        </row>
        <row r="25437">
          <cell r="E25437">
            <v>0</v>
          </cell>
          <cell r="F25437">
            <v>0</v>
          </cell>
          <cell r="DN25437">
            <v>0</v>
          </cell>
        </row>
        <row r="25438">
          <cell r="E25438">
            <v>0</v>
          </cell>
          <cell r="F25438">
            <v>0</v>
          </cell>
          <cell r="DN25438">
            <v>0</v>
          </cell>
        </row>
        <row r="25439">
          <cell r="E25439">
            <v>0</v>
          </cell>
          <cell r="F25439">
            <v>0</v>
          </cell>
          <cell r="DN25439">
            <v>0</v>
          </cell>
        </row>
        <row r="25440">
          <cell r="E25440">
            <v>0</v>
          </cell>
          <cell r="F25440">
            <v>0</v>
          </cell>
          <cell r="DN25440">
            <v>0</v>
          </cell>
        </row>
        <row r="25441">
          <cell r="E25441">
            <v>0</v>
          </cell>
          <cell r="F25441">
            <v>0</v>
          </cell>
          <cell r="DN25441">
            <v>0</v>
          </cell>
        </row>
        <row r="25442">
          <cell r="E25442">
            <v>0</v>
          </cell>
          <cell r="F25442">
            <v>0</v>
          </cell>
          <cell r="DN25442">
            <v>0</v>
          </cell>
        </row>
        <row r="25443">
          <cell r="E25443">
            <v>0</v>
          </cell>
          <cell r="F25443">
            <v>0</v>
          </cell>
          <cell r="DN25443">
            <v>0</v>
          </cell>
        </row>
        <row r="25444">
          <cell r="E25444">
            <v>0</v>
          </cell>
          <cell r="F25444">
            <v>0</v>
          </cell>
          <cell r="DN25444">
            <v>0</v>
          </cell>
        </row>
        <row r="25445">
          <cell r="E25445">
            <v>0</v>
          </cell>
          <cell r="F25445">
            <v>0</v>
          </cell>
          <cell r="DN25445">
            <v>0</v>
          </cell>
        </row>
        <row r="25446">
          <cell r="E25446">
            <v>0</v>
          </cell>
          <cell r="F25446">
            <v>0</v>
          </cell>
          <cell r="DN25446">
            <v>0</v>
          </cell>
        </row>
        <row r="25447">
          <cell r="E25447">
            <v>0</v>
          </cell>
          <cell r="F25447">
            <v>0</v>
          </cell>
          <cell r="DN25447">
            <v>0</v>
          </cell>
        </row>
        <row r="25448">
          <cell r="E25448">
            <v>0</v>
          </cell>
          <cell r="F25448">
            <v>0</v>
          </cell>
          <cell r="DN25448">
            <v>0</v>
          </cell>
        </row>
        <row r="25449">
          <cell r="E25449">
            <v>0</v>
          </cell>
          <cell r="F25449">
            <v>0</v>
          </cell>
          <cell r="DN25449">
            <v>0</v>
          </cell>
        </row>
        <row r="25450">
          <cell r="E25450">
            <v>0</v>
          </cell>
          <cell r="F25450">
            <v>0</v>
          </cell>
          <cell r="DN25450">
            <v>0</v>
          </cell>
        </row>
        <row r="25451">
          <cell r="E25451">
            <v>0</v>
          </cell>
          <cell r="F25451">
            <v>0</v>
          </cell>
          <cell r="DN25451">
            <v>0</v>
          </cell>
        </row>
        <row r="25452">
          <cell r="E25452">
            <v>0</v>
          </cell>
          <cell r="F25452">
            <v>0</v>
          </cell>
          <cell r="DN25452">
            <v>0</v>
          </cell>
        </row>
        <row r="25453">
          <cell r="E25453">
            <v>0</v>
          </cell>
          <cell r="F25453">
            <v>0</v>
          </cell>
          <cell r="DN25453">
            <v>0</v>
          </cell>
        </row>
        <row r="25454">
          <cell r="E25454">
            <v>0</v>
          </cell>
          <cell r="F25454">
            <v>0</v>
          </cell>
          <cell r="DN25454">
            <v>0</v>
          </cell>
        </row>
        <row r="25455">
          <cell r="E25455">
            <v>0</v>
          </cell>
          <cell r="F25455">
            <v>0</v>
          </cell>
          <cell r="DN25455">
            <v>0</v>
          </cell>
        </row>
        <row r="25456">
          <cell r="E25456">
            <v>0</v>
          </cell>
          <cell r="F25456">
            <v>0</v>
          </cell>
          <cell r="DN25456">
            <v>0</v>
          </cell>
        </row>
        <row r="25457">
          <cell r="E25457">
            <v>0</v>
          </cell>
          <cell r="F25457">
            <v>0</v>
          </cell>
          <cell r="DN25457">
            <v>0</v>
          </cell>
        </row>
        <row r="25458">
          <cell r="E25458">
            <v>0</v>
          </cell>
          <cell r="F25458">
            <v>0</v>
          </cell>
          <cell r="DN25458">
            <v>0</v>
          </cell>
        </row>
        <row r="25459">
          <cell r="E25459">
            <v>0</v>
          </cell>
          <cell r="F25459">
            <v>0</v>
          </cell>
          <cell r="DN25459">
            <v>0</v>
          </cell>
        </row>
        <row r="25460">
          <cell r="E25460">
            <v>0</v>
          </cell>
          <cell r="F25460">
            <v>0</v>
          </cell>
          <cell r="DN25460">
            <v>0</v>
          </cell>
        </row>
        <row r="25461">
          <cell r="E25461">
            <v>0</v>
          </cell>
          <cell r="F25461">
            <v>0</v>
          </cell>
          <cell r="DN25461">
            <v>0</v>
          </cell>
        </row>
        <row r="25462">
          <cell r="E25462">
            <v>0</v>
          </cell>
          <cell r="F25462">
            <v>0</v>
          </cell>
          <cell r="DN25462">
            <v>0</v>
          </cell>
        </row>
        <row r="25463">
          <cell r="E25463">
            <v>0</v>
          </cell>
          <cell r="F25463">
            <v>0</v>
          </cell>
          <cell r="DN25463">
            <v>0</v>
          </cell>
        </row>
        <row r="25464">
          <cell r="E25464">
            <v>0</v>
          </cell>
          <cell r="F25464">
            <v>0</v>
          </cell>
          <cell r="DN25464">
            <v>0</v>
          </cell>
        </row>
        <row r="25465">
          <cell r="E25465">
            <v>0</v>
          </cell>
          <cell r="F25465">
            <v>0</v>
          </cell>
          <cell r="DN25465">
            <v>0</v>
          </cell>
        </row>
        <row r="25466">
          <cell r="E25466">
            <v>0</v>
          </cell>
          <cell r="F25466">
            <v>0</v>
          </cell>
          <cell r="DN25466">
            <v>0</v>
          </cell>
        </row>
        <row r="25467">
          <cell r="E25467">
            <v>0</v>
          </cell>
          <cell r="F25467">
            <v>0</v>
          </cell>
          <cell r="DN25467">
            <v>0</v>
          </cell>
        </row>
        <row r="25468">
          <cell r="E25468">
            <v>0</v>
          </cell>
          <cell r="F25468">
            <v>0</v>
          </cell>
          <cell r="DN25468">
            <v>0</v>
          </cell>
        </row>
        <row r="25469">
          <cell r="E25469">
            <v>0</v>
          </cell>
          <cell r="F25469">
            <v>0</v>
          </cell>
          <cell r="DN25469">
            <v>0</v>
          </cell>
        </row>
        <row r="25470">
          <cell r="E25470">
            <v>0</v>
          </cell>
          <cell r="F25470">
            <v>0</v>
          </cell>
          <cell r="DN25470">
            <v>0</v>
          </cell>
        </row>
        <row r="25471">
          <cell r="E25471">
            <v>0</v>
          </cell>
          <cell r="F25471">
            <v>0</v>
          </cell>
          <cell r="DN25471">
            <v>0</v>
          </cell>
        </row>
        <row r="25472">
          <cell r="E25472">
            <v>0</v>
          </cell>
          <cell r="F25472">
            <v>0</v>
          </cell>
          <cell r="DN25472">
            <v>0</v>
          </cell>
        </row>
        <row r="25473">
          <cell r="E25473">
            <v>0</v>
          </cell>
          <cell r="F25473">
            <v>0</v>
          </cell>
          <cell r="DN25473">
            <v>0</v>
          </cell>
        </row>
        <row r="25474">
          <cell r="E25474">
            <v>0</v>
          </cell>
          <cell r="F25474">
            <v>0</v>
          </cell>
          <cell r="DN25474">
            <v>0</v>
          </cell>
        </row>
        <row r="25475">
          <cell r="E25475">
            <v>0</v>
          </cell>
          <cell r="F25475">
            <v>0</v>
          </cell>
          <cell r="DN25475">
            <v>0</v>
          </cell>
        </row>
        <row r="25476">
          <cell r="E25476">
            <v>0</v>
          </cell>
          <cell r="F25476">
            <v>0</v>
          </cell>
          <cell r="DN25476">
            <v>0</v>
          </cell>
        </row>
        <row r="25477">
          <cell r="E25477">
            <v>0</v>
          </cell>
          <cell r="F25477">
            <v>0</v>
          </cell>
          <cell r="DN25477">
            <v>0</v>
          </cell>
        </row>
        <row r="25478">
          <cell r="E25478">
            <v>0</v>
          </cell>
          <cell r="F25478">
            <v>0</v>
          </cell>
          <cell r="DN25478">
            <v>0</v>
          </cell>
        </row>
        <row r="25479">
          <cell r="E25479">
            <v>0</v>
          </cell>
          <cell r="F25479">
            <v>0</v>
          </cell>
          <cell r="DN25479">
            <v>0</v>
          </cell>
        </row>
        <row r="25480">
          <cell r="E25480">
            <v>0</v>
          </cell>
          <cell r="F25480">
            <v>0</v>
          </cell>
          <cell r="DN25480">
            <v>0</v>
          </cell>
        </row>
        <row r="25481">
          <cell r="E25481">
            <v>0</v>
          </cell>
          <cell r="F25481">
            <v>0</v>
          </cell>
          <cell r="DN25481">
            <v>0</v>
          </cell>
        </row>
        <row r="25482">
          <cell r="E25482">
            <v>0</v>
          </cell>
          <cell r="F25482">
            <v>0</v>
          </cell>
          <cell r="DN25482">
            <v>0</v>
          </cell>
        </row>
        <row r="25483">
          <cell r="E25483">
            <v>0</v>
          </cell>
          <cell r="F25483">
            <v>0</v>
          </cell>
          <cell r="DN25483">
            <v>0</v>
          </cell>
        </row>
        <row r="25484">
          <cell r="E25484">
            <v>0</v>
          </cell>
          <cell r="F25484">
            <v>0</v>
          </cell>
          <cell r="DN25484">
            <v>0</v>
          </cell>
        </row>
        <row r="25485">
          <cell r="E25485">
            <v>0</v>
          </cell>
          <cell r="F25485">
            <v>0</v>
          </cell>
          <cell r="DN25485">
            <v>0</v>
          </cell>
        </row>
        <row r="25486">
          <cell r="E25486">
            <v>0</v>
          </cell>
          <cell r="F25486">
            <v>0</v>
          </cell>
          <cell r="DN25486">
            <v>0</v>
          </cell>
        </row>
        <row r="25487">
          <cell r="E25487">
            <v>0</v>
          </cell>
          <cell r="F25487">
            <v>0</v>
          </cell>
          <cell r="DN25487">
            <v>0</v>
          </cell>
        </row>
        <row r="25488">
          <cell r="E25488">
            <v>0</v>
          </cell>
          <cell r="F25488">
            <v>0</v>
          </cell>
          <cell r="DN25488">
            <v>0</v>
          </cell>
        </row>
        <row r="25489">
          <cell r="E25489">
            <v>0</v>
          </cell>
          <cell r="F25489">
            <v>0</v>
          </cell>
          <cell r="DN25489">
            <v>0</v>
          </cell>
        </row>
        <row r="25490">
          <cell r="E25490">
            <v>0</v>
          </cell>
          <cell r="F25490">
            <v>0</v>
          </cell>
          <cell r="DN25490">
            <v>0</v>
          </cell>
        </row>
        <row r="25491">
          <cell r="E25491">
            <v>0</v>
          </cell>
          <cell r="F25491">
            <v>0</v>
          </cell>
          <cell r="DN25491">
            <v>0</v>
          </cell>
        </row>
        <row r="25492">
          <cell r="E25492">
            <v>0</v>
          </cell>
          <cell r="F25492">
            <v>0</v>
          </cell>
          <cell r="DN25492">
            <v>0</v>
          </cell>
        </row>
        <row r="25493">
          <cell r="E25493">
            <v>0</v>
          </cell>
          <cell r="F25493">
            <v>0</v>
          </cell>
          <cell r="DN25493">
            <v>0</v>
          </cell>
        </row>
        <row r="25494">
          <cell r="E25494">
            <v>0</v>
          </cell>
          <cell r="F25494">
            <v>0</v>
          </cell>
          <cell r="DN25494">
            <v>0</v>
          </cell>
        </row>
        <row r="25495">
          <cell r="E25495">
            <v>0</v>
          </cell>
          <cell r="F25495">
            <v>0</v>
          </cell>
          <cell r="DN25495">
            <v>0</v>
          </cell>
        </row>
        <row r="25496">
          <cell r="E25496">
            <v>0</v>
          </cell>
          <cell r="F25496">
            <v>0</v>
          </cell>
          <cell r="DN25496">
            <v>0</v>
          </cell>
        </row>
        <row r="25497">
          <cell r="E25497">
            <v>0</v>
          </cell>
          <cell r="F25497">
            <v>0</v>
          </cell>
          <cell r="DN25497">
            <v>0</v>
          </cell>
        </row>
        <row r="25498">
          <cell r="E25498">
            <v>0</v>
          </cell>
          <cell r="F25498">
            <v>0</v>
          </cell>
          <cell r="DN25498">
            <v>0</v>
          </cell>
        </row>
        <row r="25499">
          <cell r="E25499">
            <v>0</v>
          </cell>
          <cell r="F25499">
            <v>0</v>
          </cell>
          <cell r="DN25499">
            <v>0</v>
          </cell>
        </row>
        <row r="25500">
          <cell r="E25500">
            <v>0</v>
          </cell>
          <cell r="F25500">
            <v>0</v>
          </cell>
          <cell r="DN25500">
            <v>0</v>
          </cell>
        </row>
        <row r="25501">
          <cell r="E25501">
            <v>0</v>
          </cell>
          <cell r="F25501">
            <v>0</v>
          </cell>
          <cell r="DN25501">
            <v>0</v>
          </cell>
        </row>
        <row r="25502">
          <cell r="E25502">
            <v>0</v>
          </cell>
          <cell r="F25502">
            <v>0</v>
          </cell>
          <cell r="DN25502">
            <v>0</v>
          </cell>
        </row>
        <row r="25503">
          <cell r="E25503">
            <v>0</v>
          </cell>
          <cell r="F25503">
            <v>0</v>
          </cell>
          <cell r="DN25503">
            <v>0</v>
          </cell>
        </row>
        <row r="25504">
          <cell r="E25504">
            <v>0</v>
          </cell>
          <cell r="F25504">
            <v>0</v>
          </cell>
          <cell r="DN25504">
            <v>0</v>
          </cell>
        </row>
        <row r="25505">
          <cell r="E25505">
            <v>0</v>
          </cell>
          <cell r="F25505">
            <v>0</v>
          </cell>
          <cell r="DN25505">
            <v>0</v>
          </cell>
        </row>
        <row r="25506">
          <cell r="E25506">
            <v>0</v>
          </cell>
          <cell r="F25506">
            <v>0</v>
          </cell>
          <cell r="DN25506">
            <v>0</v>
          </cell>
        </row>
        <row r="25507">
          <cell r="E25507">
            <v>0</v>
          </cell>
          <cell r="F25507">
            <v>0</v>
          </cell>
          <cell r="DN25507">
            <v>0</v>
          </cell>
        </row>
        <row r="25508">
          <cell r="E25508">
            <v>0</v>
          </cell>
          <cell r="F25508">
            <v>0</v>
          </cell>
          <cell r="DN25508">
            <v>0</v>
          </cell>
        </row>
        <row r="25509">
          <cell r="E25509">
            <v>0</v>
          </cell>
          <cell r="F25509">
            <v>0</v>
          </cell>
          <cell r="DN25509">
            <v>0</v>
          </cell>
        </row>
        <row r="25510">
          <cell r="E25510">
            <v>0</v>
          </cell>
          <cell r="F25510">
            <v>0</v>
          </cell>
          <cell r="DN25510">
            <v>0</v>
          </cell>
        </row>
        <row r="25511">
          <cell r="E25511">
            <v>0</v>
          </cell>
          <cell r="F25511">
            <v>0</v>
          </cell>
          <cell r="DN25511">
            <v>0</v>
          </cell>
        </row>
        <row r="25512">
          <cell r="E25512">
            <v>0</v>
          </cell>
          <cell r="F25512">
            <v>0</v>
          </cell>
          <cell r="DN25512">
            <v>0</v>
          </cell>
        </row>
        <row r="25513">
          <cell r="E25513">
            <v>0</v>
          </cell>
          <cell r="F25513">
            <v>0</v>
          </cell>
          <cell r="DN25513">
            <v>0</v>
          </cell>
        </row>
        <row r="25514">
          <cell r="E25514">
            <v>0</v>
          </cell>
          <cell r="F25514">
            <v>0</v>
          </cell>
          <cell r="DN25514">
            <v>0</v>
          </cell>
        </row>
        <row r="25515">
          <cell r="E25515">
            <v>0</v>
          </cell>
          <cell r="F25515">
            <v>0</v>
          </cell>
          <cell r="DN25515">
            <v>0</v>
          </cell>
        </row>
        <row r="25516">
          <cell r="E25516">
            <v>0</v>
          </cell>
          <cell r="F25516">
            <v>0</v>
          </cell>
          <cell r="DN25516">
            <v>0</v>
          </cell>
        </row>
        <row r="25517">
          <cell r="E25517">
            <v>0</v>
          </cell>
          <cell r="F25517">
            <v>0</v>
          </cell>
          <cell r="DN25517">
            <v>0</v>
          </cell>
        </row>
        <row r="25518">
          <cell r="E25518">
            <v>0</v>
          </cell>
          <cell r="F25518">
            <v>0</v>
          </cell>
          <cell r="DN25518">
            <v>0</v>
          </cell>
        </row>
        <row r="25519">
          <cell r="E25519">
            <v>0</v>
          </cell>
          <cell r="F25519">
            <v>0</v>
          </cell>
          <cell r="DN25519">
            <v>0</v>
          </cell>
        </row>
        <row r="25520">
          <cell r="E25520">
            <v>0</v>
          </cell>
          <cell r="F25520">
            <v>0</v>
          </cell>
          <cell r="DN25520">
            <v>0</v>
          </cell>
        </row>
        <row r="25521">
          <cell r="E25521">
            <v>0</v>
          </cell>
          <cell r="F25521">
            <v>0</v>
          </cell>
          <cell r="DN25521">
            <v>0</v>
          </cell>
        </row>
        <row r="25522">
          <cell r="E25522">
            <v>0</v>
          </cell>
          <cell r="F25522">
            <v>0</v>
          </cell>
          <cell r="DN25522">
            <v>0</v>
          </cell>
        </row>
        <row r="25523">
          <cell r="E25523">
            <v>0</v>
          </cell>
          <cell r="F25523">
            <v>0</v>
          </cell>
          <cell r="DN25523">
            <v>0</v>
          </cell>
        </row>
        <row r="25524">
          <cell r="E25524">
            <v>0</v>
          </cell>
          <cell r="F25524">
            <v>0</v>
          </cell>
          <cell r="DN25524">
            <v>0</v>
          </cell>
        </row>
        <row r="25525">
          <cell r="E25525">
            <v>0</v>
          </cell>
          <cell r="F25525">
            <v>0</v>
          </cell>
          <cell r="DN25525">
            <v>0</v>
          </cell>
        </row>
        <row r="25526">
          <cell r="E25526">
            <v>0</v>
          </cell>
          <cell r="F25526">
            <v>0</v>
          </cell>
          <cell r="DN25526">
            <v>0</v>
          </cell>
        </row>
        <row r="25527">
          <cell r="E25527">
            <v>0</v>
          </cell>
          <cell r="F25527">
            <v>0</v>
          </cell>
          <cell r="DN25527">
            <v>0</v>
          </cell>
        </row>
        <row r="25528">
          <cell r="E25528">
            <v>0</v>
          </cell>
          <cell r="F25528">
            <v>0</v>
          </cell>
          <cell r="DN25528">
            <v>0</v>
          </cell>
        </row>
        <row r="25529">
          <cell r="E25529">
            <v>0</v>
          </cell>
          <cell r="F25529">
            <v>0</v>
          </cell>
          <cell r="DN25529">
            <v>0</v>
          </cell>
        </row>
        <row r="25530">
          <cell r="E25530">
            <v>0</v>
          </cell>
          <cell r="F25530">
            <v>0</v>
          </cell>
          <cell r="DN25530">
            <v>0</v>
          </cell>
        </row>
        <row r="25531">
          <cell r="E25531">
            <v>0</v>
          </cell>
          <cell r="F25531">
            <v>0</v>
          </cell>
          <cell r="DN25531">
            <v>0</v>
          </cell>
        </row>
        <row r="25532">
          <cell r="E25532">
            <v>0</v>
          </cell>
          <cell r="F25532">
            <v>0</v>
          </cell>
          <cell r="DN25532">
            <v>0</v>
          </cell>
        </row>
        <row r="25533">
          <cell r="E25533">
            <v>0</v>
          </cell>
          <cell r="F25533">
            <v>0</v>
          </cell>
          <cell r="DN25533">
            <v>0</v>
          </cell>
        </row>
        <row r="25534">
          <cell r="E25534">
            <v>0</v>
          </cell>
          <cell r="F25534">
            <v>0</v>
          </cell>
          <cell r="DN25534">
            <v>0</v>
          </cell>
        </row>
        <row r="25535">
          <cell r="E25535">
            <v>0</v>
          </cell>
          <cell r="F25535">
            <v>0</v>
          </cell>
          <cell r="DN25535">
            <v>0</v>
          </cell>
        </row>
        <row r="25536">
          <cell r="E25536">
            <v>0</v>
          </cell>
          <cell r="F25536">
            <v>0</v>
          </cell>
          <cell r="DN25536">
            <v>0</v>
          </cell>
        </row>
        <row r="25537">
          <cell r="E25537">
            <v>0</v>
          </cell>
          <cell r="F25537">
            <v>0</v>
          </cell>
          <cell r="DN25537">
            <v>0</v>
          </cell>
        </row>
        <row r="25538">
          <cell r="E25538">
            <v>0</v>
          </cell>
          <cell r="F25538">
            <v>0</v>
          </cell>
          <cell r="DN25538">
            <v>0</v>
          </cell>
        </row>
        <row r="25539">
          <cell r="E25539">
            <v>0</v>
          </cell>
          <cell r="F25539">
            <v>0</v>
          </cell>
          <cell r="DN25539">
            <v>0</v>
          </cell>
        </row>
        <row r="25540">
          <cell r="E25540">
            <v>0</v>
          </cell>
          <cell r="F25540">
            <v>0</v>
          </cell>
          <cell r="DN25540">
            <v>0</v>
          </cell>
        </row>
        <row r="25541">
          <cell r="E25541">
            <v>0</v>
          </cell>
          <cell r="F25541">
            <v>0</v>
          </cell>
          <cell r="DN25541">
            <v>0</v>
          </cell>
        </row>
        <row r="25542">
          <cell r="E25542">
            <v>0</v>
          </cell>
          <cell r="F25542">
            <v>0</v>
          </cell>
          <cell r="DN25542">
            <v>0</v>
          </cell>
        </row>
        <row r="25543">
          <cell r="E25543">
            <v>0</v>
          </cell>
          <cell r="F25543">
            <v>0</v>
          </cell>
          <cell r="DN25543">
            <v>0</v>
          </cell>
        </row>
        <row r="25544">
          <cell r="E25544">
            <v>0</v>
          </cell>
          <cell r="F25544">
            <v>0</v>
          </cell>
          <cell r="DN25544">
            <v>0</v>
          </cell>
        </row>
        <row r="25545">
          <cell r="E25545">
            <v>0</v>
          </cell>
          <cell r="F25545">
            <v>0</v>
          </cell>
          <cell r="DN25545">
            <v>0</v>
          </cell>
        </row>
        <row r="25546">
          <cell r="E25546">
            <v>0</v>
          </cell>
          <cell r="F25546">
            <v>0</v>
          </cell>
          <cell r="DN25546">
            <v>0</v>
          </cell>
        </row>
        <row r="25547">
          <cell r="E25547">
            <v>0</v>
          </cell>
          <cell r="F25547">
            <v>0</v>
          </cell>
          <cell r="DN25547">
            <v>0</v>
          </cell>
        </row>
        <row r="25548">
          <cell r="E25548">
            <v>0</v>
          </cell>
          <cell r="F25548">
            <v>0</v>
          </cell>
          <cell r="DN25548">
            <v>0</v>
          </cell>
        </row>
        <row r="25549">
          <cell r="E25549">
            <v>0</v>
          </cell>
          <cell r="F25549">
            <v>0</v>
          </cell>
          <cell r="DN25549">
            <v>0</v>
          </cell>
        </row>
        <row r="25550">
          <cell r="E25550">
            <v>0</v>
          </cell>
          <cell r="F25550">
            <v>0</v>
          </cell>
          <cell r="DN25550">
            <v>0</v>
          </cell>
        </row>
        <row r="25551">
          <cell r="E25551">
            <v>0</v>
          </cell>
          <cell r="F25551">
            <v>0</v>
          </cell>
          <cell r="DN25551">
            <v>0</v>
          </cell>
        </row>
        <row r="25552">
          <cell r="E25552">
            <v>0</v>
          </cell>
          <cell r="F25552">
            <v>0</v>
          </cell>
          <cell r="DN25552">
            <v>0</v>
          </cell>
        </row>
        <row r="25553">
          <cell r="E25553">
            <v>0</v>
          </cell>
          <cell r="F25553">
            <v>0</v>
          </cell>
          <cell r="DN25553">
            <v>0</v>
          </cell>
        </row>
        <row r="25554">
          <cell r="E25554">
            <v>0</v>
          </cell>
          <cell r="F25554">
            <v>0</v>
          </cell>
          <cell r="DN25554">
            <v>0</v>
          </cell>
        </row>
        <row r="25555">
          <cell r="E25555">
            <v>0</v>
          </cell>
          <cell r="F25555">
            <v>0</v>
          </cell>
          <cell r="DN25555">
            <v>0</v>
          </cell>
        </row>
        <row r="25556">
          <cell r="E25556">
            <v>0</v>
          </cell>
          <cell r="F25556">
            <v>0</v>
          </cell>
          <cell r="DN25556">
            <v>0</v>
          </cell>
        </row>
        <row r="25557">
          <cell r="E25557">
            <v>0</v>
          </cell>
          <cell r="F25557">
            <v>0</v>
          </cell>
          <cell r="DN25557">
            <v>0</v>
          </cell>
        </row>
        <row r="25558">
          <cell r="E25558">
            <v>0</v>
          </cell>
          <cell r="F25558">
            <v>0</v>
          </cell>
          <cell r="DN25558">
            <v>0</v>
          </cell>
        </row>
        <row r="25559">
          <cell r="E25559">
            <v>0</v>
          </cell>
          <cell r="F25559">
            <v>0</v>
          </cell>
          <cell r="DN25559">
            <v>0</v>
          </cell>
        </row>
        <row r="25560">
          <cell r="E25560">
            <v>0</v>
          </cell>
          <cell r="F25560">
            <v>0</v>
          </cell>
          <cell r="DN25560">
            <v>0</v>
          </cell>
        </row>
        <row r="25561">
          <cell r="E25561">
            <v>0</v>
          </cell>
          <cell r="F25561">
            <v>0</v>
          </cell>
          <cell r="DN25561">
            <v>0</v>
          </cell>
        </row>
        <row r="25562">
          <cell r="E25562">
            <v>0</v>
          </cell>
          <cell r="F25562">
            <v>0</v>
          </cell>
          <cell r="DN25562">
            <v>0</v>
          </cell>
        </row>
        <row r="25563">
          <cell r="E25563">
            <v>0</v>
          </cell>
          <cell r="F25563">
            <v>0</v>
          </cell>
          <cell r="DN25563">
            <v>0</v>
          </cell>
        </row>
        <row r="25564">
          <cell r="E25564">
            <v>0</v>
          </cell>
          <cell r="F25564">
            <v>0</v>
          </cell>
          <cell r="DN25564">
            <v>0</v>
          </cell>
        </row>
        <row r="25565">
          <cell r="E25565">
            <v>0</v>
          </cell>
          <cell r="F25565">
            <v>0</v>
          </cell>
          <cell r="DN25565">
            <v>0</v>
          </cell>
        </row>
        <row r="25566">
          <cell r="E25566">
            <v>0</v>
          </cell>
          <cell r="F25566">
            <v>0</v>
          </cell>
          <cell r="DN25566">
            <v>0</v>
          </cell>
        </row>
        <row r="25567">
          <cell r="E25567">
            <v>0</v>
          </cell>
          <cell r="F25567">
            <v>0</v>
          </cell>
          <cell r="DN25567">
            <v>0</v>
          </cell>
        </row>
        <row r="25568">
          <cell r="E25568">
            <v>0</v>
          </cell>
          <cell r="F25568">
            <v>0</v>
          </cell>
          <cell r="DN25568">
            <v>0</v>
          </cell>
        </row>
        <row r="25569">
          <cell r="E25569">
            <v>0</v>
          </cell>
          <cell r="F25569">
            <v>0</v>
          </cell>
          <cell r="DN25569">
            <v>0</v>
          </cell>
        </row>
        <row r="25570">
          <cell r="E25570">
            <v>0</v>
          </cell>
          <cell r="F25570">
            <v>0</v>
          </cell>
          <cell r="DN25570">
            <v>0</v>
          </cell>
        </row>
        <row r="25571">
          <cell r="E25571">
            <v>0</v>
          </cell>
          <cell r="F25571">
            <v>0</v>
          </cell>
          <cell r="DN25571">
            <v>0</v>
          </cell>
        </row>
        <row r="25572">
          <cell r="E25572">
            <v>0</v>
          </cell>
          <cell r="F25572">
            <v>0</v>
          </cell>
          <cell r="DN25572">
            <v>0</v>
          </cell>
        </row>
        <row r="25573">
          <cell r="E25573">
            <v>0</v>
          </cell>
          <cell r="F25573">
            <v>0</v>
          </cell>
          <cell r="DN25573">
            <v>0</v>
          </cell>
        </row>
        <row r="25574">
          <cell r="E25574">
            <v>0</v>
          </cell>
          <cell r="F25574">
            <v>0</v>
          </cell>
          <cell r="DN25574">
            <v>0</v>
          </cell>
        </row>
        <row r="25575">
          <cell r="E25575">
            <v>0</v>
          </cell>
          <cell r="F25575">
            <v>0</v>
          </cell>
          <cell r="DN25575">
            <v>0</v>
          </cell>
        </row>
        <row r="25576">
          <cell r="E25576">
            <v>0</v>
          </cell>
          <cell r="F25576">
            <v>0</v>
          </cell>
          <cell r="DN25576">
            <v>0</v>
          </cell>
        </row>
        <row r="25577">
          <cell r="E25577">
            <v>0</v>
          </cell>
          <cell r="F25577">
            <v>0</v>
          </cell>
          <cell r="DN25577">
            <v>0</v>
          </cell>
        </row>
        <row r="25578">
          <cell r="E25578">
            <v>0</v>
          </cell>
          <cell r="F25578">
            <v>0</v>
          </cell>
          <cell r="DN25578">
            <v>0</v>
          </cell>
        </row>
        <row r="25579">
          <cell r="E25579">
            <v>0</v>
          </cell>
          <cell r="F25579">
            <v>0</v>
          </cell>
          <cell r="DN25579">
            <v>0</v>
          </cell>
        </row>
        <row r="25580">
          <cell r="E25580">
            <v>0</v>
          </cell>
          <cell r="F25580">
            <v>0</v>
          </cell>
          <cell r="DN25580">
            <v>0</v>
          </cell>
        </row>
        <row r="25581">
          <cell r="E25581">
            <v>0</v>
          </cell>
          <cell r="F25581">
            <v>0</v>
          </cell>
          <cell r="DN25581">
            <v>0</v>
          </cell>
        </row>
        <row r="25582">
          <cell r="E25582">
            <v>0</v>
          </cell>
          <cell r="F25582">
            <v>0</v>
          </cell>
          <cell r="DN25582">
            <v>0</v>
          </cell>
        </row>
        <row r="25583">
          <cell r="E25583">
            <v>0</v>
          </cell>
          <cell r="F25583">
            <v>0</v>
          </cell>
          <cell r="DN25583">
            <v>0</v>
          </cell>
        </row>
        <row r="25584">
          <cell r="E25584">
            <v>0</v>
          </cell>
          <cell r="F25584">
            <v>0</v>
          </cell>
          <cell r="DN25584">
            <v>0</v>
          </cell>
        </row>
        <row r="25585">
          <cell r="E25585">
            <v>0</v>
          </cell>
          <cell r="F25585">
            <v>0</v>
          </cell>
          <cell r="DN25585">
            <v>0</v>
          </cell>
        </row>
        <row r="25586">
          <cell r="E25586">
            <v>0</v>
          </cell>
          <cell r="F25586">
            <v>0</v>
          </cell>
          <cell r="DN25586">
            <v>0</v>
          </cell>
        </row>
        <row r="25587">
          <cell r="E25587">
            <v>0</v>
          </cell>
          <cell r="F25587">
            <v>0</v>
          </cell>
          <cell r="DN25587">
            <v>0</v>
          </cell>
        </row>
        <row r="25588">
          <cell r="E25588">
            <v>0</v>
          </cell>
          <cell r="F25588">
            <v>0</v>
          </cell>
          <cell r="DN25588">
            <v>0</v>
          </cell>
        </row>
        <row r="25589">
          <cell r="E25589">
            <v>0</v>
          </cell>
          <cell r="F25589">
            <v>0</v>
          </cell>
          <cell r="DN25589">
            <v>0</v>
          </cell>
        </row>
        <row r="25590">
          <cell r="E25590">
            <v>0</v>
          </cell>
          <cell r="F25590">
            <v>0</v>
          </cell>
          <cell r="DN25590">
            <v>0</v>
          </cell>
        </row>
        <row r="25591">
          <cell r="E25591">
            <v>0</v>
          </cell>
          <cell r="F25591">
            <v>0</v>
          </cell>
          <cell r="DN25591">
            <v>0</v>
          </cell>
        </row>
        <row r="25592">
          <cell r="E25592">
            <v>0</v>
          </cell>
          <cell r="F25592">
            <v>0</v>
          </cell>
          <cell r="DN25592">
            <v>0</v>
          </cell>
        </row>
        <row r="25593">
          <cell r="E25593">
            <v>0</v>
          </cell>
          <cell r="F25593">
            <v>0</v>
          </cell>
          <cell r="DN25593">
            <v>0</v>
          </cell>
        </row>
        <row r="25594">
          <cell r="E25594">
            <v>0</v>
          </cell>
          <cell r="F25594">
            <v>0</v>
          </cell>
          <cell r="DN25594">
            <v>0</v>
          </cell>
        </row>
        <row r="25595">
          <cell r="E25595">
            <v>0</v>
          </cell>
          <cell r="F25595">
            <v>0</v>
          </cell>
          <cell r="DN25595">
            <v>0</v>
          </cell>
        </row>
        <row r="25596">
          <cell r="E25596">
            <v>0</v>
          </cell>
          <cell r="F25596">
            <v>0</v>
          </cell>
          <cell r="DN25596">
            <v>0</v>
          </cell>
        </row>
        <row r="25597">
          <cell r="E25597">
            <v>0</v>
          </cell>
          <cell r="F25597">
            <v>0</v>
          </cell>
          <cell r="DN25597">
            <v>0</v>
          </cell>
        </row>
        <row r="25598">
          <cell r="E25598">
            <v>0</v>
          </cell>
          <cell r="F25598">
            <v>0</v>
          </cell>
          <cell r="DN25598">
            <v>0</v>
          </cell>
        </row>
        <row r="25599">
          <cell r="E25599">
            <v>0</v>
          </cell>
          <cell r="F25599">
            <v>0</v>
          </cell>
          <cell r="DN25599">
            <v>0</v>
          </cell>
        </row>
        <row r="25600">
          <cell r="E25600">
            <v>0</v>
          </cell>
          <cell r="F25600">
            <v>0</v>
          </cell>
          <cell r="DN25600">
            <v>0</v>
          </cell>
        </row>
        <row r="25601">
          <cell r="E25601">
            <v>0</v>
          </cell>
          <cell r="F25601">
            <v>0</v>
          </cell>
          <cell r="DN25601">
            <v>0</v>
          </cell>
        </row>
        <row r="25602">
          <cell r="E25602">
            <v>0</v>
          </cell>
          <cell r="F25602">
            <v>0</v>
          </cell>
          <cell r="DN25602">
            <v>0</v>
          </cell>
        </row>
        <row r="25603">
          <cell r="E25603">
            <v>0</v>
          </cell>
          <cell r="F25603">
            <v>0</v>
          </cell>
          <cell r="DN25603">
            <v>0</v>
          </cell>
        </row>
        <row r="25604">
          <cell r="E25604">
            <v>0</v>
          </cell>
          <cell r="F25604">
            <v>0</v>
          </cell>
          <cell r="DN25604">
            <v>0</v>
          </cell>
        </row>
        <row r="25605">
          <cell r="E25605">
            <v>0</v>
          </cell>
          <cell r="F25605">
            <v>0</v>
          </cell>
          <cell r="DN25605">
            <v>0</v>
          </cell>
        </row>
        <row r="25606">
          <cell r="E25606">
            <v>0</v>
          </cell>
          <cell r="F25606">
            <v>0</v>
          </cell>
          <cell r="DN25606">
            <v>0</v>
          </cell>
        </row>
        <row r="25607">
          <cell r="E25607">
            <v>0</v>
          </cell>
          <cell r="F25607">
            <v>0</v>
          </cell>
          <cell r="DN25607">
            <v>0</v>
          </cell>
        </row>
        <row r="25608">
          <cell r="E25608">
            <v>0</v>
          </cell>
          <cell r="F25608">
            <v>0</v>
          </cell>
          <cell r="DN25608">
            <v>0</v>
          </cell>
        </row>
        <row r="25609">
          <cell r="E25609">
            <v>0</v>
          </cell>
          <cell r="F25609">
            <v>0</v>
          </cell>
          <cell r="DN25609">
            <v>0</v>
          </cell>
        </row>
        <row r="25610">
          <cell r="E25610">
            <v>0</v>
          </cell>
          <cell r="F25610">
            <v>0</v>
          </cell>
          <cell r="DN25610">
            <v>0</v>
          </cell>
        </row>
        <row r="25611">
          <cell r="E25611">
            <v>0</v>
          </cell>
          <cell r="F25611">
            <v>0</v>
          </cell>
          <cell r="DN25611">
            <v>0</v>
          </cell>
        </row>
        <row r="25612">
          <cell r="E25612">
            <v>0</v>
          </cell>
          <cell r="F25612">
            <v>0</v>
          </cell>
          <cell r="DN25612">
            <v>0</v>
          </cell>
        </row>
        <row r="25613">
          <cell r="E25613">
            <v>0</v>
          </cell>
          <cell r="F25613">
            <v>0</v>
          </cell>
          <cell r="DN25613">
            <v>0</v>
          </cell>
        </row>
        <row r="25614">
          <cell r="E25614">
            <v>0</v>
          </cell>
          <cell r="F25614">
            <v>0</v>
          </cell>
          <cell r="DN25614">
            <v>0</v>
          </cell>
        </row>
        <row r="25615">
          <cell r="E25615">
            <v>0</v>
          </cell>
          <cell r="F25615">
            <v>0</v>
          </cell>
          <cell r="DN25615">
            <v>0</v>
          </cell>
        </row>
        <row r="25616">
          <cell r="E25616">
            <v>0</v>
          </cell>
          <cell r="F25616">
            <v>0</v>
          </cell>
          <cell r="DN25616">
            <v>0</v>
          </cell>
        </row>
        <row r="25617">
          <cell r="E25617">
            <v>0</v>
          </cell>
          <cell r="F25617">
            <v>0</v>
          </cell>
          <cell r="DN25617">
            <v>0</v>
          </cell>
        </row>
        <row r="25618">
          <cell r="E25618">
            <v>0</v>
          </cell>
          <cell r="F25618">
            <v>0</v>
          </cell>
          <cell r="DN25618">
            <v>0</v>
          </cell>
        </row>
        <row r="25619">
          <cell r="E25619">
            <v>0</v>
          </cell>
          <cell r="F25619">
            <v>0</v>
          </cell>
          <cell r="DN25619">
            <v>0</v>
          </cell>
        </row>
        <row r="25620">
          <cell r="E25620">
            <v>0</v>
          </cell>
          <cell r="F25620">
            <v>0</v>
          </cell>
          <cell r="DN25620">
            <v>0</v>
          </cell>
        </row>
        <row r="25621">
          <cell r="E25621">
            <v>0</v>
          </cell>
          <cell r="F25621">
            <v>0</v>
          </cell>
          <cell r="DN25621">
            <v>0</v>
          </cell>
        </row>
        <row r="25622">
          <cell r="E25622">
            <v>0</v>
          </cell>
          <cell r="F25622">
            <v>0</v>
          </cell>
          <cell r="DN25622">
            <v>0</v>
          </cell>
        </row>
        <row r="25623">
          <cell r="E25623">
            <v>0</v>
          </cell>
          <cell r="F25623">
            <v>0</v>
          </cell>
          <cell r="DN25623">
            <v>0</v>
          </cell>
        </row>
        <row r="25624">
          <cell r="E25624">
            <v>0</v>
          </cell>
          <cell r="F25624">
            <v>0</v>
          </cell>
          <cell r="DN25624">
            <v>0</v>
          </cell>
        </row>
        <row r="25625">
          <cell r="E25625">
            <v>0</v>
          </cell>
          <cell r="F25625">
            <v>0</v>
          </cell>
          <cell r="DN25625">
            <v>0</v>
          </cell>
        </row>
        <row r="25626">
          <cell r="E25626">
            <v>0</v>
          </cell>
          <cell r="F25626">
            <v>0</v>
          </cell>
          <cell r="DN25626">
            <v>0</v>
          </cell>
        </row>
        <row r="25627">
          <cell r="E25627">
            <v>0</v>
          </cell>
          <cell r="F25627">
            <v>0</v>
          </cell>
          <cell r="DN25627">
            <v>0</v>
          </cell>
        </row>
        <row r="25628">
          <cell r="E25628">
            <v>0</v>
          </cell>
          <cell r="F25628">
            <v>0</v>
          </cell>
          <cell r="DN25628">
            <v>0</v>
          </cell>
        </row>
        <row r="25629">
          <cell r="E25629">
            <v>0</v>
          </cell>
          <cell r="F25629">
            <v>0</v>
          </cell>
          <cell r="DN25629">
            <v>0</v>
          </cell>
        </row>
        <row r="25630">
          <cell r="E25630">
            <v>0</v>
          </cell>
          <cell r="F25630">
            <v>0</v>
          </cell>
          <cell r="DN25630">
            <v>0</v>
          </cell>
        </row>
        <row r="25631">
          <cell r="E25631">
            <v>0</v>
          </cell>
          <cell r="F25631">
            <v>0</v>
          </cell>
          <cell r="DN25631">
            <v>0</v>
          </cell>
        </row>
        <row r="25632">
          <cell r="E25632">
            <v>0</v>
          </cell>
          <cell r="F25632">
            <v>0</v>
          </cell>
          <cell r="DN25632">
            <v>0</v>
          </cell>
        </row>
        <row r="25633">
          <cell r="E25633">
            <v>0</v>
          </cell>
          <cell r="F25633">
            <v>0</v>
          </cell>
          <cell r="DN25633">
            <v>0</v>
          </cell>
        </row>
        <row r="25634">
          <cell r="E25634">
            <v>0</v>
          </cell>
          <cell r="F25634">
            <v>0</v>
          </cell>
          <cell r="DN25634">
            <v>0</v>
          </cell>
        </row>
        <row r="25635">
          <cell r="E25635">
            <v>0</v>
          </cell>
          <cell r="F25635">
            <v>0</v>
          </cell>
          <cell r="DN25635">
            <v>0</v>
          </cell>
        </row>
        <row r="25636">
          <cell r="E25636">
            <v>0</v>
          </cell>
          <cell r="F25636">
            <v>0</v>
          </cell>
          <cell r="DN25636">
            <v>0</v>
          </cell>
        </row>
        <row r="25637">
          <cell r="E25637">
            <v>0</v>
          </cell>
          <cell r="F25637">
            <v>0</v>
          </cell>
          <cell r="DN25637">
            <v>0</v>
          </cell>
        </row>
        <row r="25638">
          <cell r="E25638">
            <v>0</v>
          </cell>
          <cell r="F25638">
            <v>0</v>
          </cell>
          <cell r="DN25638">
            <v>0</v>
          </cell>
        </row>
        <row r="25639">
          <cell r="E25639">
            <v>0</v>
          </cell>
          <cell r="F25639">
            <v>0</v>
          </cell>
          <cell r="DN25639">
            <v>0</v>
          </cell>
        </row>
        <row r="25640">
          <cell r="E25640">
            <v>0</v>
          </cell>
          <cell r="F25640">
            <v>0</v>
          </cell>
          <cell r="DN25640">
            <v>0</v>
          </cell>
        </row>
        <row r="25641">
          <cell r="E25641">
            <v>0</v>
          </cell>
          <cell r="F25641">
            <v>0</v>
          </cell>
          <cell r="DN25641">
            <v>0</v>
          </cell>
        </row>
        <row r="25642">
          <cell r="E25642">
            <v>0</v>
          </cell>
          <cell r="F25642">
            <v>0</v>
          </cell>
          <cell r="DN25642">
            <v>0</v>
          </cell>
        </row>
        <row r="25643">
          <cell r="E25643">
            <v>0</v>
          </cell>
          <cell r="F25643">
            <v>0</v>
          </cell>
          <cell r="DN25643">
            <v>0</v>
          </cell>
        </row>
        <row r="25644">
          <cell r="E25644">
            <v>0</v>
          </cell>
          <cell r="F25644">
            <v>0</v>
          </cell>
          <cell r="DN25644">
            <v>0</v>
          </cell>
        </row>
        <row r="25645">
          <cell r="E25645">
            <v>0</v>
          </cell>
          <cell r="F25645">
            <v>0</v>
          </cell>
          <cell r="DN25645">
            <v>0</v>
          </cell>
        </row>
        <row r="25646">
          <cell r="E25646">
            <v>0</v>
          </cell>
          <cell r="F25646">
            <v>0</v>
          </cell>
          <cell r="DN25646">
            <v>0</v>
          </cell>
        </row>
        <row r="25647">
          <cell r="E25647">
            <v>0</v>
          </cell>
          <cell r="F25647">
            <v>0</v>
          </cell>
          <cell r="DN25647">
            <v>0</v>
          </cell>
        </row>
        <row r="25648">
          <cell r="E25648">
            <v>0</v>
          </cell>
          <cell r="F25648">
            <v>0</v>
          </cell>
          <cell r="DN25648">
            <v>0</v>
          </cell>
        </row>
        <row r="25649">
          <cell r="E25649">
            <v>0</v>
          </cell>
          <cell r="F25649">
            <v>0</v>
          </cell>
          <cell r="DN25649">
            <v>0</v>
          </cell>
        </row>
        <row r="25650">
          <cell r="E25650">
            <v>0</v>
          </cell>
          <cell r="F25650">
            <v>0</v>
          </cell>
          <cell r="DN25650">
            <v>0</v>
          </cell>
        </row>
        <row r="25651">
          <cell r="E25651">
            <v>0</v>
          </cell>
          <cell r="F25651">
            <v>0</v>
          </cell>
          <cell r="DN25651">
            <v>0</v>
          </cell>
        </row>
        <row r="25652">
          <cell r="E25652">
            <v>0</v>
          </cell>
          <cell r="F25652">
            <v>0</v>
          </cell>
          <cell r="DN25652">
            <v>0</v>
          </cell>
        </row>
        <row r="25653">
          <cell r="E25653">
            <v>0</v>
          </cell>
          <cell r="F25653">
            <v>0</v>
          </cell>
          <cell r="DN25653">
            <v>0</v>
          </cell>
        </row>
        <row r="25654">
          <cell r="E25654">
            <v>0</v>
          </cell>
          <cell r="F25654">
            <v>0</v>
          </cell>
          <cell r="DN25654">
            <v>0</v>
          </cell>
        </row>
        <row r="25655">
          <cell r="E25655">
            <v>0</v>
          </cell>
          <cell r="F25655">
            <v>0</v>
          </cell>
          <cell r="DN25655">
            <v>0</v>
          </cell>
        </row>
        <row r="25656">
          <cell r="E25656">
            <v>0</v>
          </cell>
          <cell r="F25656">
            <v>0</v>
          </cell>
          <cell r="DN25656">
            <v>0</v>
          </cell>
        </row>
        <row r="25657">
          <cell r="E25657">
            <v>0</v>
          </cell>
          <cell r="F25657">
            <v>0</v>
          </cell>
          <cell r="DN25657">
            <v>0</v>
          </cell>
        </row>
        <row r="25658">
          <cell r="E25658">
            <v>0</v>
          </cell>
          <cell r="F25658">
            <v>0</v>
          </cell>
          <cell r="DN25658">
            <v>0</v>
          </cell>
        </row>
        <row r="25659">
          <cell r="E25659">
            <v>0</v>
          </cell>
          <cell r="F25659">
            <v>0</v>
          </cell>
          <cell r="DN25659">
            <v>0</v>
          </cell>
        </row>
        <row r="25660">
          <cell r="E25660">
            <v>0</v>
          </cell>
          <cell r="F25660">
            <v>0</v>
          </cell>
          <cell r="DN25660">
            <v>0</v>
          </cell>
        </row>
        <row r="25661">
          <cell r="E25661">
            <v>0</v>
          </cell>
          <cell r="F25661">
            <v>0</v>
          </cell>
          <cell r="DN25661">
            <v>0</v>
          </cell>
        </row>
        <row r="25662">
          <cell r="E25662">
            <v>0</v>
          </cell>
          <cell r="F25662">
            <v>0</v>
          </cell>
          <cell r="DN25662">
            <v>0</v>
          </cell>
        </row>
        <row r="25663">
          <cell r="E25663">
            <v>0</v>
          </cell>
          <cell r="F25663">
            <v>0</v>
          </cell>
          <cell r="DN25663">
            <v>0</v>
          </cell>
        </row>
        <row r="25664">
          <cell r="E25664">
            <v>0</v>
          </cell>
          <cell r="F25664">
            <v>0</v>
          </cell>
          <cell r="DN25664">
            <v>0</v>
          </cell>
        </row>
        <row r="25665">
          <cell r="E25665">
            <v>0</v>
          </cell>
          <cell r="F25665">
            <v>0</v>
          </cell>
          <cell r="DN25665">
            <v>0</v>
          </cell>
        </row>
        <row r="25666">
          <cell r="E25666">
            <v>0</v>
          </cell>
          <cell r="F25666">
            <v>0</v>
          </cell>
          <cell r="DN25666">
            <v>0</v>
          </cell>
        </row>
        <row r="25667">
          <cell r="E25667">
            <v>0</v>
          </cell>
          <cell r="F25667">
            <v>0</v>
          </cell>
          <cell r="DN25667">
            <v>0</v>
          </cell>
        </row>
        <row r="25668">
          <cell r="E25668">
            <v>0</v>
          </cell>
          <cell r="F25668">
            <v>0</v>
          </cell>
          <cell r="DN25668">
            <v>0</v>
          </cell>
        </row>
        <row r="25669">
          <cell r="E25669">
            <v>0</v>
          </cell>
          <cell r="F25669">
            <v>0</v>
          </cell>
          <cell r="DN25669">
            <v>0</v>
          </cell>
        </row>
        <row r="25670">
          <cell r="E25670">
            <v>0</v>
          </cell>
          <cell r="F25670">
            <v>0</v>
          </cell>
          <cell r="DN25670">
            <v>0</v>
          </cell>
        </row>
        <row r="25671">
          <cell r="E25671">
            <v>0</v>
          </cell>
          <cell r="F25671">
            <v>0</v>
          </cell>
          <cell r="DN25671">
            <v>0</v>
          </cell>
        </row>
        <row r="25672">
          <cell r="E25672">
            <v>0</v>
          </cell>
          <cell r="F25672">
            <v>0</v>
          </cell>
          <cell r="DN25672">
            <v>0</v>
          </cell>
        </row>
        <row r="25673">
          <cell r="E25673">
            <v>0</v>
          </cell>
          <cell r="F25673">
            <v>0</v>
          </cell>
          <cell r="DN25673">
            <v>0</v>
          </cell>
        </row>
        <row r="25674">
          <cell r="E25674">
            <v>0</v>
          </cell>
          <cell r="F25674">
            <v>0</v>
          </cell>
          <cell r="DN25674">
            <v>0</v>
          </cell>
        </row>
        <row r="25675">
          <cell r="E25675">
            <v>0</v>
          </cell>
          <cell r="F25675">
            <v>0</v>
          </cell>
          <cell r="DN25675">
            <v>0</v>
          </cell>
        </row>
        <row r="25676">
          <cell r="E25676">
            <v>0</v>
          </cell>
          <cell r="F25676">
            <v>0</v>
          </cell>
          <cell r="DN25676">
            <v>0</v>
          </cell>
        </row>
        <row r="25677">
          <cell r="E25677">
            <v>0</v>
          </cell>
          <cell r="F25677">
            <v>0</v>
          </cell>
          <cell r="DN25677">
            <v>0</v>
          </cell>
        </row>
        <row r="25678">
          <cell r="E25678">
            <v>0</v>
          </cell>
          <cell r="F25678">
            <v>0</v>
          </cell>
          <cell r="DN25678">
            <v>0</v>
          </cell>
        </row>
        <row r="25679">
          <cell r="E25679">
            <v>0</v>
          </cell>
          <cell r="F25679">
            <v>0</v>
          </cell>
          <cell r="DN25679">
            <v>0</v>
          </cell>
        </row>
        <row r="25680">
          <cell r="E25680">
            <v>0</v>
          </cell>
          <cell r="F25680">
            <v>0</v>
          </cell>
          <cell r="DN25680">
            <v>0</v>
          </cell>
        </row>
        <row r="25681">
          <cell r="E25681">
            <v>0</v>
          </cell>
          <cell r="F25681">
            <v>0</v>
          </cell>
          <cell r="DN25681">
            <v>0</v>
          </cell>
        </row>
        <row r="25682">
          <cell r="E25682">
            <v>0</v>
          </cell>
          <cell r="F25682">
            <v>0</v>
          </cell>
          <cell r="DN25682">
            <v>0</v>
          </cell>
        </row>
        <row r="25683">
          <cell r="E25683">
            <v>0</v>
          </cell>
          <cell r="F25683">
            <v>0</v>
          </cell>
          <cell r="DN25683">
            <v>0</v>
          </cell>
        </row>
        <row r="25684">
          <cell r="E25684">
            <v>0</v>
          </cell>
          <cell r="F25684">
            <v>0</v>
          </cell>
          <cell r="DN25684">
            <v>0</v>
          </cell>
        </row>
        <row r="25685">
          <cell r="E25685">
            <v>0</v>
          </cell>
          <cell r="F25685">
            <v>0</v>
          </cell>
          <cell r="DN25685">
            <v>0</v>
          </cell>
        </row>
        <row r="25686">
          <cell r="E25686">
            <v>0</v>
          </cell>
          <cell r="F25686">
            <v>0</v>
          </cell>
          <cell r="DN25686">
            <v>0</v>
          </cell>
        </row>
        <row r="25687">
          <cell r="E25687">
            <v>0</v>
          </cell>
          <cell r="F25687">
            <v>0</v>
          </cell>
          <cell r="DN25687">
            <v>0</v>
          </cell>
        </row>
        <row r="25688">
          <cell r="E25688">
            <v>0</v>
          </cell>
          <cell r="F25688">
            <v>0</v>
          </cell>
          <cell r="DN25688">
            <v>0</v>
          </cell>
        </row>
        <row r="25689">
          <cell r="E25689">
            <v>0</v>
          </cell>
          <cell r="F25689">
            <v>0</v>
          </cell>
          <cell r="DN25689">
            <v>0</v>
          </cell>
        </row>
        <row r="25690">
          <cell r="E25690">
            <v>0</v>
          </cell>
          <cell r="F25690">
            <v>0</v>
          </cell>
          <cell r="DN25690">
            <v>0</v>
          </cell>
        </row>
        <row r="25691">
          <cell r="E25691">
            <v>0</v>
          </cell>
          <cell r="F25691">
            <v>0</v>
          </cell>
          <cell r="DN25691">
            <v>0</v>
          </cell>
        </row>
        <row r="25692">
          <cell r="E25692">
            <v>0</v>
          </cell>
          <cell r="F25692">
            <v>0</v>
          </cell>
          <cell r="DN25692">
            <v>0</v>
          </cell>
        </row>
        <row r="25693">
          <cell r="E25693">
            <v>0</v>
          </cell>
          <cell r="F25693">
            <v>0</v>
          </cell>
          <cell r="DN25693">
            <v>0</v>
          </cell>
        </row>
        <row r="25694">
          <cell r="E25694">
            <v>0</v>
          </cell>
          <cell r="F25694">
            <v>0</v>
          </cell>
          <cell r="DN25694">
            <v>0</v>
          </cell>
        </row>
        <row r="25695">
          <cell r="E25695">
            <v>0</v>
          </cell>
          <cell r="F25695">
            <v>0</v>
          </cell>
          <cell r="DN25695">
            <v>0</v>
          </cell>
        </row>
        <row r="25696">
          <cell r="E25696">
            <v>0</v>
          </cell>
          <cell r="F25696">
            <v>0</v>
          </cell>
          <cell r="DN25696">
            <v>0</v>
          </cell>
        </row>
        <row r="25697">
          <cell r="E25697">
            <v>0</v>
          </cell>
          <cell r="F25697">
            <v>0</v>
          </cell>
          <cell r="DN25697">
            <v>0</v>
          </cell>
        </row>
        <row r="25698">
          <cell r="E25698">
            <v>0</v>
          </cell>
          <cell r="F25698">
            <v>0</v>
          </cell>
          <cell r="DN25698">
            <v>0</v>
          </cell>
        </row>
        <row r="25699">
          <cell r="E25699">
            <v>0</v>
          </cell>
          <cell r="F25699">
            <v>0</v>
          </cell>
          <cell r="DN25699">
            <v>0</v>
          </cell>
        </row>
        <row r="25700">
          <cell r="E25700">
            <v>0</v>
          </cell>
          <cell r="F25700">
            <v>0</v>
          </cell>
          <cell r="DN25700">
            <v>0</v>
          </cell>
        </row>
        <row r="25701">
          <cell r="E25701">
            <v>0</v>
          </cell>
          <cell r="F25701">
            <v>0</v>
          </cell>
          <cell r="DN25701">
            <v>0</v>
          </cell>
        </row>
        <row r="25702">
          <cell r="E25702">
            <v>0</v>
          </cell>
          <cell r="F25702">
            <v>0</v>
          </cell>
          <cell r="DN25702">
            <v>0</v>
          </cell>
        </row>
        <row r="25703">
          <cell r="E25703">
            <v>0</v>
          </cell>
          <cell r="F25703">
            <v>0</v>
          </cell>
          <cell r="DN25703">
            <v>0</v>
          </cell>
        </row>
        <row r="25704">
          <cell r="E25704">
            <v>0</v>
          </cell>
          <cell r="F25704">
            <v>0</v>
          </cell>
          <cell r="DN25704">
            <v>0</v>
          </cell>
        </row>
        <row r="25705">
          <cell r="E25705">
            <v>0</v>
          </cell>
          <cell r="F25705">
            <v>0</v>
          </cell>
          <cell r="DN25705">
            <v>0</v>
          </cell>
        </row>
        <row r="25706">
          <cell r="E25706">
            <v>0</v>
          </cell>
          <cell r="F25706">
            <v>0</v>
          </cell>
          <cell r="DN25706">
            <v>0</v>
          </cell>
        </row>
        <row r="25707">
          <cell r="E25707">
            <v>0</v>
          </cell>
          <cell r="F25707">
            <v>0</v>
          </cell>
          <cell r="DN25707">
            <v>0</v>
          </cell>
        </row>
        <row r="25708">
          <cell r="E25708">
            <v>0</v>
          </cell>
          <cell r="F25708">
            <v>0</v>
          </cell>
          <cell r="DN25708">
            <v>0</v>
          </cell>
        </row>
        <row r="25709">
          <cell r="E25709">
            <v>0</v>
          </cell>
          <cell r="F25709">
            <v>0</v>
          </cell>
          <cell r="DN25709">
            <v>0</v>
          </cell>
        </row>
        <row r="25710">
          <cell r="E25710">
            <v>0</v>
          </cell>
          <cell r="F25710">
            <v>0</v>
          </cell>
          <cell r="DN25710">
            <v>0</v>
          </cell>
        </row>
        <row r="25711">
          <cell r="E25711">
            <v>0</v>
          </cell>
          <cell r="F25711">
            <v>0</v>
          </cell>
          <cell r="DN25711">
            <v>0</v>
          </cell>
        </row>
        <row r="25712">
          <cell r="E25712">
            <v>0</v>
          </cell>
          <cell r="F25712">
            <v>0</v>
          </cell>
          <cell r="DN25712">
            <v>0</v>
          </cell>
        </row>
        <row r="25713">
          <cell r="E25713">
            <v>0</v>
          </cell>
          <cell r="F25713">
            <v>0</v>
          </cell>
          <cell r="DN25713">
            <v>0</v>
          </cell>
        </row>
        <row r="25714">
          <cell r="E25714">
            <v>0</v>
          </cell>
          <cell r="F25714">
            <v>0</v>
          </cell>
          <cell r="DN25714">
            <v>0</v>
          </cell>
        </row>
        <row r="25715">
          <cell r="E25715">
            <v>0</v>
          </cell>
          <cell r="F25715">
            <v>0</v>
          </cell>
          <cell r="DN25715">
            <v>0</v>
          </cell>
        </row>
        <row r="25716">
          <cell r="E25716">
            <v>0</v>
          </cell>
          <cell r="F25716">
            <v>0</v>
          </cell>
          <cell r="DN25716">
            <v>0</v>
          </cell>
        </row>
        <row r="25717">
          <cell r="E25717">
            <v>0</v>
          </cell>
          <cell r="F25717">
            <v>0</v>
          </cell>
          <cell r="DN25717">
            <v>0</v>
          </cell>
        </row>
        <row r="25718">
          <cell r="E25718">
            <v>0</v>
          </cell>
          <cell r="F25718">
            <v>0</v>
          </cell>
          <cell r="DN25718">
            <v>0</v>
          </cell>
        </row>
        <row r="25719">
          <cell r="E25719">
            <v>0</v>
          </cell>
          <cell r="F25719">
            <v>0</v>
          </cell>
          <cell r="DN25719">
            <v>0</v>
          </cell>
        </row>
        <row r="25720">
          <cell r="E25720">
            <v>0</v>
          </cell>
          <cell r="F25720">
            <v>0</v>
          </cell>
          <cell r="DN25720">
            <v>0</v>
          </cell>
        </row>
        <row r="25721">
          <cell r="E25721">
            <v>0</v>
          </cell>
          <cell r="F25721">
            <v>0</v>
          </cell>
          <cell r="DN25721">
            <v>0</v>
          </cell>
        </row>
        <row r="25722">
          <cell r="E25722">
            <v>0</v>
          </cell>
          <cell r="F25722">
            <v>0</v>
          </cell>
          <cell r="DN25722">
            <v>0</v>
          </cell>
        </row>
        <row r="25723">
          <cell r="E25723">
            <v>0</v>
          </cell>
          <cell r="F25723">
            <v>0</v>
          </cell>
          <cell r="DN25723">
            <v>0</v>
          </cell>
        </row>
        <row r="25724">
          <cell r="E25724">
            <v>0</v>
          </cell>
          <cell r="F25724">
            <v>0</v>
          </cell>
          <cell r="DN25724">
            <v>0</v>
          </cell>
        </row>
        <row r="25725">
          <cell r="E25725">
            <v>0</v>
          </cell>
          <cell r="F25725">
            <v>0</v>
          </cell>
          <cell r="DN25725">
            <v>0</v>
          </cell>
        </row>
        <row r="25726">
          <cell r="E25726">
            <v>0</v>
          </cell>
          <cell r="F25726">
            <v>0</v>
          </cell>
          <cell r="DN25726">
            <v>0</v>
          </cell>
        </row>
        <row r="25727">
          <cell r="E25727">
            <v>0</v>
          </cell>
          <cell r="F25727">
            <v>0</v>
          </cell>
          <cell r="DN25727">
            <v>0</v>
          </cell>
        </row>
        <row r="25728">
          <cell r="E25728">
            <v>0</v>
          </cell>
          <cell r="F25728">
            <v>0</v>
          </cell>
          <cell r="DN25728">
            <v>0</v>
          </cell>
        </row>
        <row r="25729">
          <cell r="E25729">
            <v>0</v>
          </cell>
          <cell r="F25729">
            <v>0</v>
          </cell>
          <cell r="DN25729">
            <v>0</v>
          </cell>
        </row>
        <row r="25730">
          <cell r="E25730">
            <v>0</v>
          </cell>
          <cell r="F25730">
            <v>0</v>
          </cell>
          <cell r="DN25730">
            <v>0</v>
          </cell>
        </row>
        <row r="25731">
          <cell r="E25731">
            <v>0</v>
          </cell>
          <cell r="F25731">
            <v>0</v>
          </cell>
          <cell r="DN25731">
            <v>0</v>
          </cell>
        </row>
        <row r="25732">
          <cell r="E25732">
            <v>0</v>
          </cell>
          <cell r="F25732">
            <v>0</v>
          </cell>
          <cell r="DN25732">
            <v>0</v>
          </cell>
        </row>
        <row r="25733">
          <cell r="E25733">
            <v>0</v>
          </cell>
          <cell r="F25733">
            <v>0</v>
          </cell>
          <cell r="DN25733">
            <v>0</v>
          </cell>
        </row>
        <row r="25734">
          <cell r="E25734">
            <v>0</v>
          </cell>
          <cell r="F25734">
            <v>0</v>
          </cell>
          <cell r="DN25734">
            <v>0</v>
          </cell>
        </row>
        <row r="25735">
          <cell r="E25735">
            <v>0</v>
          </cell>
          <cell r="F25735">
            <v>0</v>
          </cell>
          <cell r="DN25735">
            <v>0</v>
          </cell>
        </row>
        <row r="25736">
          <cell r="E25736">
            <v>0</v>
          </cell>
          <cell r="F25736">
            <v>0</v>
          </cell>
          <cell r="DN25736">
            <v>0</v>
          </cell>
        </row>
        <row r="25737">
          <cell r="E25737">
            <v>0</v>
          </cell>
          <cell r="F25737">
            <v>0</v>
          </cell>
          <cell r="DN25737">
            <v>0</v>
          </cell>
        </row>
        <row r="25738">
          <cell r="E25738">
            <v>0</v>
          </cell>
          <cell r="F25738">
            <v>0</v>
          </cell>
          <cell r="DN25738">
            <v>0</v>
          </cell>
        </row>
        <row r="25739">
          <cell r="E25739">
            <v>0</v>
          </cell>
          <cell r="F25739">
            <v>0</v>
          </cell>
          <cell r="DN25739">
            <v>0</v>
          </cell>
        </row>
        <row r="25740">
          <cell r="E25740">
            <v>0</v>
          </cell>
          <cell r="F25740">
            <v>0</v>
          </cell>
          <cell r="DN25740">
            <v>0</v>
          </cell>
        </row>
        <row r="25741">
          <cell r="E25741">
            <v>0</v>
          </cell>
          <cell r="F25741">
            <v>0</v>
          </cell>
          <cell r="DN25741">
            <v>0</v>
          </cell>
        </row>
        <row r="25742">
          <cell r="E25742">
            <v>0</v>
          </cell>
          <cell r="F25742">
            <v>0</v>
          </cell>
          <cell r="DN25742">
            <v>0</v>
          </cell>
        </row>
        <row r="25743">
          <cell r="E25743">
            <v>0</v>
          </cell>
          <cell r="F25743">
            <v>0</v>
          </cell>
          <cell r="DN25743">
            <v>0</v>
          </cell>
        </row>
        <row r="25744">
          <cell r="E25744">
            <v>0</v>
          </cell>
          <cell r="F25744">
            <v>0</v>
          </cell>
          <cell r="DN25744">
            <v>0</v>
          </cell>
        </row>
        <row r="25745">
          <cell r="E25745">
            <v>0</v>
          </cell>
          <cell r="F25745">
            <v>0</v>
          </cell>
          <cell r="DN25745">
            <v>0</v>
          </cell>
        </row>
        <row r="25746">
          <cell r="E25746">
            <v>0</v>
          </cell>
          <cell r="F25746">
            <v>0</v>
          </cell>
          <cell r="DN25746">
            <v>0</v>
          </cell>
        </row>
        <row r="25747">
          <cell r="E25747">
            <v>0</v>
          </cell>
          <cell r="F25747">
            <v>0</v>
          </cell>
          <cell r="DN25747">
            <v>0</v>
          </cell>
        </row>
        <row r="25748">
          <cell r="E25748">
            <v>0</v>
          </cell>
          <cell r="F25748">
            <v>0</v>
          </cell>
          <cell r="DN25748">
            <v>0</v>
          </cell>
        </row>
        <row r="25749">
          <cell r="E25749">
            <v>0</v>
          </cell>
          <cell r="F25749">
            <v>0</v>
          </cell>
          <cell r="DN25749">
            <v>0</v>
          </cell>
        </row>
        <row r="25750">
          <cell r="E25750">
            <v>0</v>
          </cell>
          <cell r="F25750">
            <v>0</v>
          </cell>
          <cell r="DN25750">
            <v>0</v>
          </cell>
        </row>
        <row r="25751">
          <cell r="E25751">
            <v>0</v>
          </cell>
          <cell r="F25751">
            <v>0</v>
          </cell>
          <cell r="DN25751">
            <v>0</v>
          </cell>
        </row>
        <row r="25752">
          <cell r="E25752">
            <v>0</v>
          </cell>
          <cell r="F25752">
            <v>0</v>
          </cell>
          <cell r="DN25752">
            <v>0</v>
          </cell>
        </row>
        <row r="25753">
          <cell r="E25753">
            <v>0</v>
          </cell>
          <cell r="F25753">
            <v>0</v>
          </cell>
          <cell r="DN25753">
            <v>0</v>
          </cell>
        </row>
        <row r="25754">
          <cell r="E25754">
            <v>0</v>
          </cell>
          <cell r="F25754">
            <v>0</v>
          </cell>
          <cell r="DN25754">
            <v>0</v>
          </cell>
        </row>
        <row r="25755">
          <cell r="E25755">
            <v>0</v>
          </cell>
          <cell r="F25755">
            <v>0</v>
          </cell>
          <cell r="DN25755">
            <v>0</v>
          </cell>
        </row>
        <row r="25756">
          <cell r="E25756">
            <v>0</v>
          </cell>
          <cell r="F25756">
            <v>0</v>
          </cell>
          <cell r="DN25756">
            <v>0</v>
          </cell>
        </row>
        <row r="25757">
          <cell r="E25757">
            <v>0</v>
          </cell>
          <cell r="F25757">
            <v>0</v>
          </cell>
          <cell r="DN25757">
            <v>0</v>
          </cell>
        </row>
        <row r="25758">
          <cell r="E25758">
            <v>0</v>
          </cell>
          <cell r="F25758">
            <v>0</v>
          </cell>
          <cell r="DN25758">
            <v>0</v>
          </cell>
        </row>
        <row r="25759">
          <cell r="E25759">
            <v>0</v>
          </cell>
          <cell r="F25759">
            <v>0</v>
          </cell>
          <cell r="DN25759">
            <v>0</v>
          </cell>
        </row>
        <row r="25760">
          <cell r="E25760">
            <v>0</v>
          </cell>
          <cell r="F25760">
            <v>0</v>
          </cell>
          <cell r="DN25760">
            <v>0</v>
          </cell>
        </row>
        <row r="25761">
          <cell r="E25761">
            <v>0</v>
          </cell>
          <cell r="F25761">
            <v>0</v>
          </cell>
          <cell r="DN25761">
            <v>0</v>
          </cell>
        </row>
        <row r="25762">
          <cell r="E25762">
            <v>0</v>
          </cell>
          <cell r="F25762">
            <v>0</v>
          </cell>
          <cell r="DN25762">
            <v>0</v>
          </cell>
        </row>
        <row r="25763">
          <cell r="E25763">
            <v>0</v>
          </cell>
          <cell r="F25763">
            <v>0</v>
          </cell>
          <cell r="DN25763">
            <v>0</v>
          </cell>
        </row>
        <row r="25764">
          <cell r="E25764">
            <v>0</v>
          </cell>
          <cell r="F25764">
            <v>0</v>
          </cell>
          <cell r="DN25764">
            <v>0</v>
          </cell>
        </row>
        <row r="25765">
          <cell r="E25765">
            <v>0</v>
          </cell>
          <cell r="F25765">
            <v>0</v>
          </cell>
          <cell r="DN25765">
            <v>0</v>
          </cell>
        </row>
        <row r="25766">
          <cell r="E25766">
            <v>0</v>
          </cell>
          <cell r="F25766">
            <v>0</v>
          </cell>
          <cell r="DN25766">
            <v>0</v>
          </cell>
        </row>
        <row r="25767">
          <cell r="E25767">
            <v>0</v>
          </cell>
          <cell r="F25767">
            <v>0</v>
          </cell>
          <cell r="DN25767">
            <v>0</v>
          </cell>
        </row>
        <row r="25768">
          <cell r="E25768">
            <v>0</v>
          </cell>
          <cell r="F25768">
            <v>0</v>
          </cell>
          <cell r="DN25768">
            <v>0</v>
          </cell>
        </row>
        <row r="25769">
          <cell r="E25769">
            <v>0</v>
          </cell>
          <cell r="F25769">
            <v>0</v>
          </cell>
          <cell r="DN25769">
            <v>0</v>
          </cell>
        </row>
        <row r="25770">
          <cell r="E25770">
            <v>0</v>
          </cell>
          <cell r="F25770">
            <v>0</v>
          </cell>
          <cell r="DN25770">
            <v>0</v>
          </cell>
        </row>
        <row r="25771">
          <cell r="E25771">
            <v>0</v>
          </cell>
          <cell r="F25771">
            <v>0</v>
          </cell>
          <cell r="DN25771">
            <v>0</v>
          </cell>
        </row>
        <row r="25772">
          <cell r="E25772">
            <v>0</v>
          </cell>
          <cell r="F25772">
            <v>0</v>
          </cell>
          <cell r="DN25772">
            <v>0</v>
          </cell>
        </row>
        <row r="25773">
          <cell r="E25773">
            <v>0</v>
          </cell>
          <cell r="F25773">
            <v>0</v>
          </cell>
          <cell r="DN25773">
            <v>0</v>
          </cell>
        </row>
        <row r="25774">
          <cell r="E25774">
            <v>0</v>
          </cell>
          <cell r="F25774">
            <v>0</v>
          </cell>
          <cell r="DN25774">
            <v>0</v>
          </cell>
        </row>
        <row r="25775">
          <cell r="E25775">
            <v>0</v>
          </cell>
          <cell r="F25775">
            <v>0</v>
          </cell>
          <cell r="DN25775">
            <v>0</v>
          </cell>
        </row>
        <row r="25776">
          <cell r="E25776">
            <v>0</v>
          </cell>
          <cell r="F25776">
            <v>0</v>
          </cell>
          <cell r="DN25776">
            <v>0</v>
          </cell>
        </row>
        <row r="25777">
          <cell r="E25777">
            <v>0</v>
          </cell>
          <cell r="F25777">
            <v>0</v>
          </cell>
          <cell r="DN25777">
            <v>0</v>
          </cell>
        </row>
        <row r="25778">
          <cell r="E25778">
            <v>0</v>
          </cell>
          <cell r="F25778">
            <v>0</v>
          </cell>
          <cell r="DN25778">
            <v>0</v>
          </cell>
        </row>
        <row r="25779">
          <cell r="E25779">
            <v>0</v>
          </cell>
          <cell r="F25779">
            <v>0</v>
          </cell>
          <cell r="DN25779">
            <v>0</v>
          </cell>
        </row>
        <row r="25780">
          <cell r="E25780">
            <v>0</v>
          </cell>
          <cell r="F25780">
            <v>0</v>
          </cell>
          <cell r="DN25780">
            <v>0</v>
          </cell>
        </row>
        <row r="25781">
          <cell r="E25781">
            <v>0</v>
          </cell>
          <cell r="F25781">
            <v>0</v>
          </cell>
          <cell r="DN25781">
            <v>0</v>
          </cell>
        </row>
        <row r="25782">
          <cell r="E25782">
            <v>0</v>
          </cell>
          <cell r="F25782">
            <v>0</v>
          </cell>
          <cell r="DN25782">
            <v>0</v>
          </cell>
        </row>
        <row r="25783">
          <cell r="E25783">
            <v>0</v>
          </cell>
          <cell r="F25783">
            <v>0</v>
          </cell>
          <cell r="DN25783">
            <v>0</v>
          </cell>
        </row>
        <row r="25784">
          <cell r="E25784">
            <v>0</v>
          </cell>
          <cell r="F25784">
            <v>0</v>
          </cell>
          <cell r="DN25784">
            <v>0</v>
          </cell>
        </row>
        <row r="25785">
          <cell r="E25785">
            <v>0</v>
          </cell>
          <cell r="F25785">
            <v>0</v>
          </cell>
          <cell r="DN25785">
            <v>0</v>
          </cell>
        </row>
        <row r="25786">
          <cell r="E25786">
            <v>0</v>
          </cell>
          <cell r="F25786">
            <v>0</v>
          </cell>
          <cell r="DN25786">
            <v>0</v>
          </cell>
        </row>
        <row r="25787">
          <cell r="E25787">
            <v>0</v>
          </cell>
          <cell r="F25787">
            <v>0</v>
          </cell>
          <cell r="DN25787">
            <v>0</v>
          </cell>
        </row>
        <row r="25788">
          <cell r="E25788">
            <v>0</v>
          </cell>
          <cell r="F25788">
            <v>0</v>
          </cell>
          <cell r="DN25788">
            <v>0</v>
          </cell>
        </row>
        <row r="25789">
          <cell r="E25789">
            <v>0</v>
          </cell>
          <cell r="F25789">
            <v>0</v>
          </cell>
          <cell r="DN25789">
            <v>0</v>
          </cell>
        </row>
        <row r="25790">
          <cell r="E25790">
            <v>0</v>
          </cell>
          <cell r="F25790">
            <v>0</v>
          </cell>
          <cell r="DN25790">
            <v>0</v>
          </cell>
        </row>
        <row r="25791">
          <cell r="E25791">
            <v>0</v>
          </cell>
          <cell r="F25791">
            <v>0</v>
          </cell>
          <cell r="DN25791">
            <v>0</v>
          </cell>
        </row>
        <row r="25792">
          <cell r="E25792">
            <v>0</v>
          </cell>
          <cell r="F25792">
            <v>0</v>
          </cell>
          <cell r="DN25792">
            <v>0</v>
          </cell>
        </row>
        <row r="25793">
          <cell r="E25793">
            <v>0</v>
          </cell>
          <cell r="F25793">
            <v>0</v>
          </cell>
          <cell r="DN25793">
            <v>0</v>
          </cell>
        </row>
        <row r="25794">
          <cell r="E25794">
            <v>0</v>
          </cell>
          <cell r="F25794">
            <v>0</v>
          </cell>
          <cell r="DN25794">
            <v>0</v>
          </cell>
        </row>
        <row r="25795">
          <cell r="E25795">
            <v>0</v>
          </cell>
          <cell r="F25795">
            <v>0</v>
          </cell>
          <cell r="DN25795">
            <v>0</v>
          </cell>
        </row>
        <row r="25796">
          <cell r="E25796">
            <v>0</v>
          </cell>
          <cell r="F25796">
            <v>0</v>
          </cell>
          <cell r="DN25796">
            <v>0</v>
          </cell>
        </row>
        <row r="25797">
          <cell r="E25797">
            <v>0</v>
          </cell>
          <cell r="F25797">
            <v>0</v>
          </cell>
          <cell r="DN25797">
            <v>0</v>
          </cell>
        </row>
        <row r="25798">
          <cell r="E25798">
            <v>0</v>
          </cell>
          <cell r="F25798">
            <v>0</v>
          </cell>
          <cell r="DN25798">
            <v>0</v>
          </cell>
        </row>
        <row r="25799">
          <cell r="E25799">
            <v>0</v>
          </cell>
          <cell r="F25799">
            <v>0</v>
          </cell>
          <cell r="DN25799">
            <v>0</v>
          </cell>
        </row>
        <row r="25800">
          <cell r="E25800">
            <v>0</v>
          </cell>
          <cell r="F25800">
            <v>0</v>
          </cell>
          <cell r="DN25800">
            <v>0</v>
          </cell>
        </row>
        <row r="25801">
          <cell r="E25801">
            <v>0</v>
          </cell>
          <cell r="F25801">
            <v>0</v>
          </cell>
          <cell r="DN25801">
            <v>0</v>
          </cell>
        </row>
        <row r="25802">
          <cell r="E25802">
            <v>0</v>
          </cell>
          <cell r="F25802">
            <v>0</v>
          </cell>
          <cell r="DN25802">
            <v>0</v>
          </cell>
        </row>
        <row r="25803">
          <cell r="E25803">
            <v>0</v>
          </cell>
          <cell r="F25803">
            <v>0</v>
          </cell>
          <cell r="DN25803">
            <v>0</v>
          </cell>
        </row>
        <row r="25804">
          <cell r="E25804">
            <v>0</v>
          </cell>
          <cell r="F25804">
            <v>0</v>
          </cell>
          <cell r="DN25804">
            <v>0</v>
          </cell>
        </row>
        <row r="25805">
          <cell r="E25805">
            <v>0</v>
          </cell>
          <cell r="F25805">
            <v>0</v>
          </cell>
          <cell r="DN25805">
            <v>0</v>
          </cell>
        </row>
        <row r="25806">
          <cell r="E25806">
            <v>0</v>
          </cell>
          <cell r="F25806">
            <v>0</v>
          </cell>
          <cell r="DN25806">
            <v>0</v>
          </cell>
        </row>
        <row r="25807">
          <cell r="E25807">
            <v>0</v>
          </cell>
          <cell r="F25807">
            <v>0</v>
          </cell>
          <cell r="DN25807">
            <v>0</v>
          </cell>
        </row>
        <row r="25808">
          <cell r="E25808">
            <v>0</v>
          </cell>
          <cell r="F25808">
            <v>0</v>
          </cell>
          <cell r="DN25808">
            <v>0</v>
          </cell>
        </row>
        <row r="25809">
          <cell r="E25809">
            <v>0</v>
          </cell>
          <cell r="F25809">
            <v>0</v>
          </cell>
          <cell r="DN25809">
            <v>0</v>
          </cell>
        </row>
        <row r="25810">
          <cell r="E25810">
            <v>0</v>
          </cell>
          <cell r="F25810">
            <v>0</v>
          </cell>
          <cell r="DN25810">
            <v>0</v>
          </cell>
        </row>
        <row r="25811">
          <cell r="E25811">
            <v>0</v>
          </cell>
          <cell r="F25811">
            <v>0</v>
          </cell>
          <cell r="DN25811">
            <v>0</v>
          </cell>
        </row>
        <row r="25812">
          <cell r="E25812">
            <v>0</v>
          </cell>
          <cell r="F25812">
            <v>0</v>
          </cell>
          <cell r="DN25812">
            <v>0</v>
          </cell>
        </row>
        <row r="25813">
          <cell r="E25813">
            <v>0</v>
          </cell>
          <cell r="F25813">
            <v>0</v>
          </cell>
          <cell r="DN25813">
            <v>0</v>
          </cell>
        </row>
        <row r="25814">
          <cell r="E25814">
            <v>0</v>
          </cell>
          <cell r="F25814">
            <v>0</v>
          </cell>
          <cell r="DN25814">
            <v>0</v>
          </cell>
        </row>
        <row r="25815">
          <cell r="E25815">
            <v>0</v>
          </cell>
          <cell r="F25815">
            <v>0</v>
          </cell>
          <cell r="DN25815">
            <v>0</v>
          </cell>
        </row>
        <row r="25816">
          <cell r="E25816">
            <v>0</v>
          </cell>
          <cell r="F25816">
            <v>0</v>
          </cell>
          <cell r="DN25816">
            <v>0</v>
          </cell>
        </row>
        <row r="25817">
          <cell r="E25817">
            <v>0</v>
          </cell>
          <cell r="F25817">
            <v>0</v>
          </cell>
          <cell r="DN25817">
            <v>0</v>
          </cell>
        </row>
        <row r="25818">
          <cell r="E25818">
            <v>0</v>
          </cell>
          <cell r="F25818">
            <v>0</v>
          </cell>
          <cell r="DN25818">
            <v>0</v>
          </cell>
        </row>
        <row r="25819">
          <cell r="E25819">
            <v>0</v>
          </cell>
          <cell r="F25819">
            <v>0</v>
          </cell>
          <cell r="DN25819">
            <v>0</v>
          </cell>
        </row>
        <row r="25820">
          <cell r="E25820">
            <v>0</v>
          </cell>
          <cell r="F25820">
            <v>0</v>
          </cell>
          <cell r="DN25820">
            <v>0</v>
          </cell>
        </row>
        <row r="25821">
          <cell r="E25821">
            <v>0</v>
          </cell>
          <cell r="F25821">
            <v>0</v>
          </cell>
          <cell r="DN25821">
            <v>0</v>
          </cell>
        </row>
        <row r="25822">
          <cell r="E25822">
            <v>0</v>
          </cell>
          <cell r="F25822">
            <v>0</v>
          </cell>
          <cell r="DN25822">
            <v>0</v>
          </cell>
        </row>
        <row r="25823">
          <cell r="E25823">
            <v>0</v>
          </cell>
          <cell r="F25823">
            <v>0</v>
          </cell>
          <cell r="DN25823">
            <v>0</v>
          </cell>
        </row>
        <row r="25824">
          <cell r="E25824">
            <v>0</v>
          </cell>
          <cell r="F25824">
            <v>0</v>
          </cell>
          <cell r="DN25824">
            <v>0</v>
          </cell>
        </row>
        <row r="25825">
          <cell r="E25825">
            <v>0</v>
          </cell>
          <cell r="F25825">
            <v>0</v>
          </cell>
          <cell r="DN25825">
            <v>0</v>
          </cell>
        </row>
        <row r="25826">
          <cell r="E25826">
            <v>0</v>
          </cell>
          <cell r="F25826">
            <v>0</v>
          </cell>
          <cell r="DN25826">
            <v>0</v>
          </cell>
        </row>
        <row r="25827">
          <cell r="E25827">
            <v>0</v>
          </cell>
          <cell r="F25827">
            <v>0</v>
          </cell>
          <cell r="DN25827">
            <v>0</v>
          </cell>
        </row>
        <row r="25828">
          <cell r="E25828">
            <v>0</v>
          </cell>
          <cell r="F25828">
            <v>0</v>
          </cell>
          <cell r="DN25828">
            <v>0</v>
          </cell>
        </row>
        <row r="25829">
          <cell r="E25829">
            <v>0</v>
          </cell>
          <cell r="F25829">
            <v>0</v>
          </cell>
          <cell r="DN25829">
            <v>0</v>
          </cell>
        </row>
        <row r="25830">
          <cell r="E25830">
            <v>0</v>
          </cell>
          <cell r="F25830">
            <v>0</v>
          </cell>
          <cell r="DN25830">
            <v>0</v>
          </cell>
        </row>
        <row r="25831">
          <cell r="E25831">
            <v>0</v>
          </cell>
          <cell r="F25831">
            <v>0</v>
          </cell>
          <cell r="DN25831">
            <v>0</v>
          </cell>
        </row>
        <row r="25832">
          <cell r="E25832">
            <v>0</v>
          </cell>
          <cell r="F25832">
            <v>0</v>
          </cell>
          <cell r="DN25832">
            <v>0</v>
          </cell>
        </row>
        <row r="25833">
          <cell r="E25833">
            <v>0</v>
          </cell>
          <cell r="F25833">
            <v>0</v>
          </cell>
          <cell r="DN25833">
            <v>0</v>
          </cell>
        </row>
        <row r="25834">
          <cell r="E25834">
            <v>0</v>
          </cell>
          <cell r="F25834">
            <v>0</v>
          </cell>
          <cell r="DN25834">
            <v>0</v>
          </cell>
        </row>
        <row r="25835">
          <cell r="E25835">
            <v>0</v>
          </cell>
          <cell r="F25835">
            <v>0</v>
          </cell>
          <cell r="DN25835">
            <v>0</v>
          </cell>
        </row>
        <row r="25836">
          <cell r="E25836">
            <v>0</v>
          </cell>
          <cell r="F25836">
            <v>0</v>
          </cell>
          <cell r="DN25836">
            <v>0</v>
          </cell>
        </row>
        <row r="25837">
          <cell r="E25837">
            <v>0</v>
          </cell>
          <cell r="F25837">
            <v>0</v>
          </cell>
          <cell r="DN25837">
            <v>0</v>
          </cell>
        </row>
        <row r="25838">
          <cell r="E25838">
            <v>0</v>
          </cell>
          <cell r="F25838">
            <v>0</v>
          </cell>
          <cell r="DN25838">
            <v>0</v>
          </cell>
        </row>
        <row r="25839">
          <cell r="E25839">
            <v>0</v>
          </cell>
          <cell r="F25839">
            <v>0</v>
          </cell>
          <cell r="DN25839">
            <v>0</v>
          </cell>
        </row>
        <row r="25840">
          <cell r="E25840">
            <v>0</v>
          </cell>
          <cell r="F25840">
            <v>0</v>
          </cell>
          <cell r="DN25840">
            <v>0</v>
          </cell>
        </row>
        <row r="25841">
          <cell r="E25841">
            <v>0</v>
          </cell>
          <cell r="F25841">
            <v>0</v>
          </cell>
          <cell r="DN25841">
            <v>0</v>
          </cell>
        </row>
        <row r="25842">
          <cell r="E25842">
            <v>0</v>
          </cell>
          <cell r="F25842">
            <v>0</v>
          </cell>
          <cell r="DN25842">
            <v>0</v>
          </cell>
        </row>
        <row r="25843">
          <cell r="E25843">
            <v>0</v>
          </cell>
          <cell r="F25843">
            <v>0</v>
          </cell>
          <cell r="DN25843">
            <v>0</v>
          </cell>
        </row>
        <row r="25844">
          <cell r="E25844">
            <v>0</v>
          </cell>
          <cell r="F25844">
            <v>0</v>
          </cell>
          <cell r="DN25844">
            <v>0</v>
          </cell>
        </row>
        <row r="25845">
          <cell r="E25845">
            <v>0</v>
          </cell>
          <cell r="F25845">
            <v>0</v>
          </cell>
          <cell r="DN25845">
            <v>0</v>
          </cell>
        </row>
        <row r="25846">
          <cell r="E25846">
            <v>0</v>
          </cell>
          <cell r="F25846">
            <v>0</v>
          </cell>
          <cell r="DN25846">
            <v>0</v>
          </cell>
        </row>
        <row r="25847">
          <cell r="E25847">
            <v>0</v>
          </cell>
          <cell r="F25847">
            <v>0</v>
          </cell>
          <cell r="DN25847">
            <v>0</v>
          </cell>
        </row>
        <row r="25848">
          <cell r="E25848">
            <v>0</v>
          </cell>
          <cell r="F25848">
            <v>0</v>
          </cell>
          <cell r="DN25848">
            <v>0</v>
          </cell>
        </row>
        <row r="25849">
          <cell r="E25849">
            <v>0</v>
          </cell>
          <cell r="F25849">
            <v>0</v>
          </cell>
          <cell r="DN25849">
            <v>0</v>
          </cell>
        </row>
        <row r="25850">
          <cell r="E25850">
            <v>0</v>
          </cell>
          <cell r="F25850">
            <v>0</v>
          </cell>
          <cell r="DN25850">
            <v>0</v>
          </cell>
        </row>
        <row r="25851">
          <cell r="E25851">
            <v>0</v>
          </cell>
          <cell r="F25851">
            <v>0</v>
          </cell>
          <cell r="DN25851">
            <v>0</v>
          </cell>
        </row>
        <row r="25852">
          <cell r="E25852">
            <v>0</v>
          </cell>
          <cell r="F25852">
            <v>0</v>
          </cell>
          <cell r="DN25852">
            <v>0</v>
          </cell>
        </row>
        <row r="25853">
          <cell r="E25853">
            <v>0</v>
          </cell>
          <cell r="F25853">
            <v>0</v>
          </cell>
          <cell r="DN25853">
            <v>0</v>
          </cell>
        </row>
        <row r="25854">
          <cell r="E25854">
            <v>0</v>
          </cell>
          <cell r="F25854">
            <v>0</v>
          </cell>
          <cell r="DN25854">
            <v>0</v>
          </cell>
        </row>
        <row r="25855">
          <cell r="E25855">
            <v>0</v>
          </cell>
          <cell r="F25855">
            <v>0</v>
          </cell>
          <cell r="DN25855">
            <v>0</v>
          </cell>
        </row>
        <row r="25856">
          <cell r="E25856">
            <v>0</v>
          </cell>
          <cell r="F25856">
            <v>0</v>
          </cell>
          <cell r="DN25856">
            <v>0</v>
          </cell>
        </row>
        <row r="25857">
          <cell r="E25857">
            <v>0</v>
          </cell>
          <cell r="F25857">
            <v>0</v>
          </cell>
          <cell r="DN25857">
            <v>0</v>
          </cell>
        </row>
        <row r="25858">
          <cell r="E25858">
            <v>0</v>
          </cell>
          <cell r="F25858">
            <v>0</v>
          </cell>
          <cell r="DN25858">
            <v>0</v>
          </cell>
        </row>
        <row r="25859">
          <cell r="E25859">
            <v>0</v>
          </cell>
          <cell r="F25859">
            <v>0</v>
          </cell>
          <cell r="DN25859">
            <v>0</v>
          </cell>
        </row>
        <row r="25860">
          <cell r="E25860">
            <v>0</v>
          </cell>
          <cell r="F25860">
            <v>0</v>
          </cell>
          <cell r="DN25860">
            <v>0</v>
          </cell>
        </row>
        <row r="25861">
          <cell r="E25861">
            <v>0</v>
          </cell>
          <cell r="F25861">
            <v>0</v>
          </cell>
          <cell r="DN25861">
            <v>0</v>
          </cell>
        </row>
        <row r="25862">
          <cell r="E25862">
            <v>0</v>
          </cell>
          <cell r="F25862">
            <v>0</v>
          </cell>
          <cell r="DN25862">
            <v>0</v>
          </cell>
        </row>
        <row r="25863">
          <cell r="E25863">
            <v>0</v>
          </cell>
          <cell r="F25863">
            <v>0</v>
          </cell>
          <cell r="DN25863">
            <v>0</v>
          </cell>
        </row>
        <row r="25864">
          <cell r="E25864">
            <v>0</v>
          </cell>
          <cell r="F25864">
            <v>0</v>
          </cell>
          <cell r="DN25864">
            <v>0</v>
          </cell>
        </row>
        <row r="25865">
          <cell r="E25865">
            <v>0</v>
          </cell>
          <cell r="F25865">
            <v>0</v>
          </cell>
          <cell r="DN25865">
            <v>0</v>
          </cell>
        </row>
        <row r="25866">
          <cell r="E25866">
            <v>0</v>
          </cell>
          <cell r="F25866">
            <v>0</v>
          </cell>
          <cell r="DN25866">
            <v>0</v>
          </cell>
        </row>
        <row r="25867">
          <cell r="E25867">
            <v>0</v>
          </cell>
          <cell r="F25867">
            <v>0</v>
          </cell>
          <cell r="DN25867">
            <v>0</v>
          </cell>
        </row>
        <row r="25868">
          <cell r="E25868">
            <v>0</v>
          </cell>
          <cell r="F25868">
            <v>0</v>
          </cell>
          <cell r="DN25868">
            <v>0</v>
          </cell>
        </row>
        <row r="25869">
          <cell r="E25869">
            <v>0</v>
          </cell>
          <cell r="F25869">
            <v>0</v>
          </cell>
          <cell r="DN25869">
            <v>0</v>
          </cell>
        </row>
        <row r="25870">
          <cell r="E25870">
            <v>0</v>
          </cell>
          <cell r="F25870">
            <v>0</v>
          </cell>
          <cell r="DN25870">
            <v>0</v>
          </cell>
        </row>
        <row r="25871">
          <cell r="E25871">
            <v>0</v>
          </cell>
          <cell r="F25871">
            <v>0</v>
          </cell>
          <cell r="DN25871">
            <v>0</v>
          </cell>
        </row>
        <row r="25872">
          <cell r="E25872">
            <v>0</v>
          </cell>
          <cell r="F25872">
            <v>0</v>
          </cell>
          <cell r="DN25872">
            <v>0</v>
          </cell>
        </row>
        <row r="25873">
          <cell r="E25873">
            <v>0</v>
          </cell>
          <cell r="F25873">
            <v>0</v>
          </cell>
          <cell r="DN25873">
            <v>0</v>
          </cell>
        </row>
        <row r="25874">
          <cell r="E25874">
            <v>0</v>
          </cell>
          <cell r="F25874">
            <v>0</v>
          </cell>
          <cell r="DN25874">
            <v>0</v>
          </cell>
        </row>
        <row r="25875">
          <cell r="E25875">
            <v>0</v>
          </cell>
          <cell r="F25875">
            <v>0</v>
          </cell>
          <cell r="DN25875">
            <v>0</v>
          </cell>
        </row>
        <row r="25876">
          <cell r="E25876">
            <v>0</v>
          </cell>
          <cell r="F25876">
            <v>0</v>
          </cell>
          <cell r="DN25876">
            <v>0</v>
          </cell>
        </row>
        <row r="25877">
          <cell r="E25877">
            <v>0</v>
          </cell>
          <cell r="F25877">
            <v>0</v>
          </cell>
          <cell r="DN25877">
            <v>0</v>
          </cell>
        </row>
        <row r="25878">
          <cell r="E25878">
            <v>0</v>
          </cell>
          <cell r="F25878">
            <v>0</v>
          </cell>
          <cell r="DN25878">
            <v>0</v>
          </cell>
        </row>
        <row r="25879">
          <cell r="E25879">
            <v>0</v>
          </cell>
          <cell r="F25879">
            <v>0</v>
          </cell>
          <cell r="DN25879">
            <v>0</v>
          </cell>
        </row>
        <row r="25880">
          <cell r="E25880">
            <v>0</v>
          </cell>
          <cell r="F25880">
            <v>0</v>
          </cell>
          <cell r="DN25880">
            <v>0</v>
          </cell>
        </row>
        <row r="25881">
          <cell r="E25881">
            <v>0</v>
          </cell>
          <cell r="F25881">
            <v>0</v>
          </cell>
          <cell r="DN25881">
            <v>0</v>
          </cell>
        </row>
        <row r="25882">
          <cell r="E25882">
            <v>0</v>
          </cell>
          <cell r="F25882">
            <v>0</v>
          </cell>
          <cell r="DN25882">
            <v>0</v>
          </cell>
        </row>
        <row r="25883">
          <cell r="E25883">
            <v>0</v>
          </cell>
          <cell r="F25883">
            <v>0</v>
          </cell>
          <cell r="DN25883">
            <v>0</v>
          </cell>
        </row>
        <row r="25884">
          <cell r="E25884">
            <v>0</v>
          </cell>
          <cell r="F25884">
            <v>0</v>
          </cell>
          <cell r="DN25884">
            <v>0</v>
          </cell>
        </row>
        <row r="25885">
          <cell r="E25885">
            <v>0</v>
          </cell>
          <cell r="F25885">
            <v>0</v>
          </cell>
          <cell r="DN25885">
            <v>0</v>
          </cell>
        </row>
        <row r="25886">
          <cell r="E25886">
            <v>0</v>
          </cell>
          <cell r="F25886">
            <v>0</v>
          </cell>
          <cell r="DN25886">
            <v>0</v>
          </cell>
        </row>
        <row r="25887">
          <cell r="E25887">
            <v>0</v>
          </cell>
          <cell r="F25887">
            <v>0</v>
          </cell>
          <cell r="DN25887">
            <v>0</v>
          </cell>
        </row>
        <row r="25888">
          <cell r="E25888">
            <v>0</v>
          </cell>
          <cell r="F25888">
            <v>0</v>
          </cell>
          <cell r="DN25888">
            <v>0</v>
          </cell>
        </row>
        <row r="25889">
          <cell r="E25889">
            <v>0</v>
          </cell>
          <cell r="F25889">
            <v>0</v>
          </cell>
          <cell r="DN25889">
            <v>0</v>
          </cell>
        </row>
        <row r="25890">
          <cell r="E25890">
            <v>0</v>
          </cell>
          <cell r="F25890">
            <v>0</v>
          </cell>
          <cell r="DN25890">
            <v>0</v>
          </cell>
        </row>
        <row r="25891">
          <cell r="E25891">
            <v>0</v>
          </cell>
          <cell r="F25891">
            <v>0</v>
          </cell>
          <cell r="DN25891">
            <v>0</v>
          </cell>
        </row>
        <row r="25892">
          <cell r="E25892">
            <v>0</v>
          </cell>
          <cell r="F25892">
            <v>0</v>
          </cell>
          <cell r="DN25892">
            <v>0</v>
          </cell>
        </row>
        <row r="25893">
          <cell r="E25893">
            <v>0</v>
          </cell>
          <cell r="F25893">
            <v>0</v>
          </cell>
          <cell r="DN25893">
            <v>0</v>
          </cell>
        </row>
        <row r="25894">
          <cell r="E25894">
            <v>0</v>
          </cell>
          <cell r="F25894">
            <v>0</v>
          </cell>
          <cell r="DN25894">
            <v>0</v>
          </cell>
        </row>
        <row r="25895">
          <cell r="E25895">
            <v>0</v>
          </cell>
          <cell r="F25895">
            <v>0</v>
          </cell>
          <cell r="DN25895">
            <v>0</v>
          </cell>
        </row>
        <row r="25896">
          <cell r="E25896">
            <v>0</v>
          </cell>
          <cell r="F25896">
            <v>0</v>
          </cell>
          <cell r="DN25896">
            <v>0</v>
          </cell>
        </row>
        <row r="25897">
          <cell r="E25897">
            <v>0</v>
          </cell>
          <cell r="F25897">
            <v>0</v>
          </cell>
          <cell r="DN25897">
            <v>0</v>
          </cell>
        </row>
        <row r="25898">
          <cell r="E25898">
            <v>0</v>
          </cell>
          <cell r="F25898">
            <v>0</v>
          </cell>
          <cell r="DN25898">
            <v>0</v>
          </cell>
        </row>
        <row r="25899">
          <cell r="E25899">
            <v>0</v>
          </cell>
          <cell r="F25899">
            <v>0</v>
          </cell>
          <cell r="DN25899">
            <v>0</v>
          </cell>
        </row>
        <row r="25900">
          <cell r="E25900">
            <v>0</v>
          </cell>
          <cell r="F25900">
            <v>0</v>
          </cell>
          <cell r="DN25900">
            <v>0</v>
          </cell>
        </row>
        <row r="25901">
          <cell r="E25901">
            <v>0</v>
          </cell>
          <cell r="F25901">
            <v>0</v>
          </cell>
          <cell r="DN25901">
            <v>0</v>
          </cell>
        </row>
        <row r="25902">
          <cell r="E25902">
            <v>0</v>
          </cell>
          <cell r="F25902">
            <v>0</v>
          </cell>
          <cell r="DN25902">
            <v>0</v>
          </cell>
        </row>
        <row r="25903">
          <cell r="E25903">
            <v>0</v>
          </cell>
          <cell r="F25903">
            <v>0</v>
          </cell>
          <cell r="DN25903">
            <v>0</v>
          </cell>
        </row>
        <row r="25904">
          <cell r="E25904">
            <v>0</v>
          </cell>
          <cell r="F25904">
            <v>0</v>
          </cell>
          <cell r="DN25904">
            <v>0</v>
          </cell>
        </row>
        <row r="25905">
          <cell r="E25905">
            <v>0</v>
          </cell>
          <cell r="F25905">
            <v>0</v>
          </cell>
          <cell r="DN25905">
            <v>0</v>
          </cell>
        </row>
        <row r="25906">
          <cell r="E25906">
            <v>0</v>
          </cell>
          <cell r="F25906">
            <v>0</v>
          </cell>
          <cell r="DN25906">
            <v>0</v>
          </cell>
        </row>
        <row r="25907">
          <cell r="E25907">
            <v>0</v>
          </cell>
          <cell r="F25907">
            <v>0</v>
          </cell>
          <cell r="DN25907">
            <v>0</v>
          </cell>
        </row>
        <row r="25908">
          <cell r="E25908">
            <v>0</v>
          </cell>
          <cell r="F25908">
            <v>0</v>
          </cell>
          <cell r="DN25908">
            <v>0</v>
          </cell>
        </row>
        <row r="25909">
          <cell r="E25909">
            <v>0</v>
          </cell>
          <cell r="F25909">
            <v>0</v>
          </cell>
          <cell r="DN25909">
            <v>0</v>
          </cell>
        </row>
        <row r="25910">
          <cell r="E25910">
            <v>0</v>
          </cell>
          <cell r="F25910">
            <v>0</v>
          </cell>
          <cell r="DN25910">
            <v>0</v>
          </cell>
        </row>
        <row r="25911">
          <cell r="E25911">
            <v>0</v>
          </cell>
          <cell r="F25911">
            <v>0</v>
          </cell>
          <cell r="DN25911">
            <v>0</v>
          </cell>
        </row>
        <row r="25912">
          <cell r="E25912">
            <v>0</v>
          </cell>
          <cell r="F25912">
            <v>0</v>
          </cell>
          <cell r="DN25912">
            <v>0</v>
          </cell>
        </row>
        <row r="25913">
          <cell r="E25913">
            <v>0</v>
          </cell>
          <cell r="F25913">
            <v>0</v>
          </cell>
          <cell r="DN25913">
            <v>0</v>
          </cell>
        </row>
        <row r="25914">
          <cell r="E25914">
            <v>0</v>
          </cell>
          <cell r="F25914">
            <v>0</v>
          </cell>
          <cell r="DN25914">
            <v>0</v>
          </cell>
        </row>
        <row r="25915">
          <cell r="E25915">
            <v>0</v>
          </cell>
          <cell r="F25915">
            <v>0</v>
          </cell>
          <cell r="DN25915">
            <v>0</v>
          </cell>
        </row>
        <row r="25916">
          <cell r="E25916">
            <v>0</v>
          </cell>
          <cell r="F25916">
            <v>0</v>
          </cell>
          <cell r="DN25916">
            <v>0</v>
          </cell>
        </row>
        <row r="25917">
          <cell r="E25917">
            <v>0</v>
          </cell>
          <cell r="F25917">
            <v>0</v>
          </cell>
          <cell r="DN25917">
            <v>0</v>
          </cell>
        </row>
        <row r="25918">
          <cell r="E25918">
            <v>0</v>
          </cell>
          <cell r="F25918">
            <v>0</v>
          </cell>
          <cell r="DN25918">
            <v>0</v>
          </cell>
        </row>
        <row r="25919">
          <cell r="E25919">
            <v>0</v>
          </cell>
          <cell r="F25919">
            <v>0</v>
          </cell>
          <cell r="DN25919">
            <v>0</v>
          </cell>
        </row>
        <row r="25920">
          <cell r="E25920">
            <v>0</v>
          </cell>
          <cell r="F25920">
            <v>0</v>
          </cell>
          <cell r="DN25920">
            <v>0</v>
          </cell>
        </row>
        <row r="25921">
          <cell r="E25921">
            <v>0</v>
          </cell>
          <cell r="F25921">
            <v>0</v>
          </cell>
          <cell r="DN25921">
            <v>0</v>
          </cell>
        </row>
        <row r="25922">
          <cell r="E25922">
            <v>0</v>
          </cell>
          <cell r="F25922">
            <v>0</v>
          </cell>
          <cell r="DN25922">
            <v>0</v>
          </cell>
        </row>
        <row r="25923">
          <cell r="E25923">
            <v>0</v>
          </cell>
          <cell r="F25923">
            <v>0</v>
          </cell>
          <cell r="DN25923">
            <v>0</v>
          </cell>
        </row>
        <row r="25924">
          <cell r="E25924">
            <v>0</v>
          </cell>
          <cell r="F25924">
            <v>0</v>
          </cell>
          <cell r="DN25924">
            <v>0</v>
          </cell>
        </row>
        <row r="25925">
          <cell r="E25925">
            <v>0</v>
          </cell>
          <cell r="F25925">
            <v>0</v>
          </cell>
          <cell r="DN25925">
            <v>0</v>
          </cell>
        </row>
        <row r="25926">
          <cell r="E25926">
            <v>0</v>
          </cell>
          <cell r="F25926">
            <v>0</v>
          </cell>
          <cell r="DN25926">
            <v>0</v>
          </cell>
        </row>
        <row r="25927">
          <cell r="E25927">
            <v>0</v>
          </cell>
          <cell r="F25927">
            <v>0</v>
          </cell>
          <cell r="DN25927">
            <v>0</v>
          </cell>
        </row>
        <row r="25928">
          <cell r="E25928">
            <v>0</v>
          </cell>
          <cell r="F25928">
            <v>0</v>
          </cell>
          <cell r="DN25928">
            <v>0</v>
          </cell>
        </row>
        <row r="25929">
          <cell r="E25929">
            <v>0</v>
          </cell>
          <cell r="F25929">
            <v>0</v>
          </cell>
          <cell r="DN25929">
            <v>0</v>
          </cell>
        </row>
        <row r="25930">
          <cell r="E25930">
            <v>0</v>
          </cell>
          <cell r="F25930">
            <v>0</v>
          </cell>
          <cell r="DN25930">
            <v>0</v>
          </cell>
        </row>
        <row r="25931">
          <cell r="E25931">
            <v>0</v>
          </cell>
          <cell r="F25931">
            <v>0</v>
          </cell>
          <cell r="DN25931">
            <v>0</v>
          </cell>
        </row>
        <row r="25932">
          <cell r="E25932">
            <v>0</v>
          </cell>
          <cell r="F25932">
            <v>0</v>
          </cell>
          <cell r="DN25932">
            <v>0</v>
          </cell>
        </row>
        <row r="25933">
          <cell r="E25933">
            <v>0</v>
          </cell>
          <cell r="F25933">
            <v>0</v>
          </cell>
          <cell r="DN25933">
            <v>0</v>
          </cell>
        </row>
        <row r="25934">
          <cell r="E25934">
            <v>0</v>
          </cell>
          <cell r="F25934">
            <v>0</v>
          </cell>
          <cell r="DN25934">
            <v>0</v>
          </cell>
        </row>
        <row r="25935">
          <cell r="E25935">
            <v>0</v>
          </cell>
          <cell r="F25935">
            <v>0</v>
          </cell>
          <cell r="DN25935">
            <v>0</v>
          </cell>
        </row>
        <row r="25936">
          <cell r="E25936">
            <v>0</v>
          </cell>
          <cell r="F25936">
            <v>0</v>
          </cell>
          <cell r="DN25936">
            <v>0</v>
          </cell>
        </row>
        <row r="25937">
          <cell r="E25937">
            <v>0</v>
          </cell>
          <cell r="F25937">
            <v>0</v>
          </cell>
          <cell r="DN25937">
            <v>0</v>
          </cell>
        </row>
        <row r="25938">
          <cell r="E25938">
            <v>0</v>
          </cell>
          <cell r="F25938">
            <v>0</v>
          </cell>
          <cell r="DN25938">
            <v>0</v>
          </cell>
        </row>
        <row r="25939">
          <cell r="E25939">
            <v>0</v>
          </cell>
          <cell r="F25939">
            <v>0</v>
          </cell>
          <cell r="DN25939">
            <v>0</v>
          </cell>
        </row>
        <row r="25940">
          <cell r="E25940">
            <v>0</v>
          </cell>
          <cell r="F25940">
            <v>0</v>
          </cell>
          <cell r="DN25940">
            <v>0</v>
          </cell>
        </row>
        <row r="25941">
          <cell r="E25941">
            <v>0</v>
          </cell>
          <cell r="F25941">
            <v>0</v>
          </cell>
          <cell r="DN25941">
            <v>0</v>
          </cell>
        </row>
        <row r="25942">
          <cell r="E25942">
            <v>0</v>
          </cell>
          <cell r="F25942">
            <v>0</v>
          </cell>
          <cell r="DN25942">
            <v>0</v>
          </cell>
        </row>
        <row r="25943">
          <cell r="E25943">
            <v>0</v>
          </cell>
          <cell r="F25943">
            <v>0</v>
          </cell>
          <cell r="DN25943">
            <v>0</v>
          </cell>
        </row>
        <row r="25944">
          <cell r="E25944">
            <v>0</v>
          </cell>
          <cell r="F25944">
            <v>0</v>
          </cell>
          <cell r="DN25944">
            <v>0</v>
          </cell>
        </row>
        <row r="25945">
          <cell r="E25945">
            <v>0</v>
          </cell>
          <cell r="F25945">
            <v>0</v>
          </cell>
          <cell r="DN25945">
            <v>0</v>
          </cell>
        </row>
        <row r="25946">
          <cell r="E25946">
            <v>0</v>
          </cell>
          <cell r="F25946">
            <v>0</v>
          </cell>
          <cell r="DN25946">
            <v>0</v>
          </cell>
        </row>
        <row r="25947">
          <cell r="E25947">
            <v>0</v>
          </cell>
          <cell r="F25947">
            <v>0</v>
          </cell>
          <cell r="DN25947">
            <v>0</v>
          </cell>
        </row>
        <row r="25948">
          <cell r="E25948">
            <v>0</v>
          </cell>
          <cell r="F25948">
            <v>0</v>
          </cell>
          <cell r="DN25948">
            <v>0</v>
          </cell>
        </row>
        <row r="25949">
          <cell r="E25949">
            <v>0</v>
          </cell>
          <cell r="F25949">
            <v>0</v>
          </cell>
          <cell r="DN25949">
            <v>0</v>
          </cell>
        </row>
        <row r="25950">
          <cell r="E25950">
            <v>0</v>
          </cell>
          <cell r="F25950">
            <v>0</v>
          </cell>
          <cell r="DN25950">
            <v>0</v>
          </cell>
        </row>
        <row r="25951">
          <cell r="E25951">
            <v>0</v>
          </cell>
          <cell r="F25951">
            <v>0</v>
          </cell>
          <cell r="DN25951">
            <v>0</v>
          </cell>
        </row>
        <row r="25952">
          <cell r="E25952">
            <v>0</v>
          </cell>
          <cell r="F25952">
            <v>0</v>
          </cell>
          <cell r="DN25952">
            <v>0</v>
          </cell>
        </row>
        <row r="25953">
          <cell r="E25953">
            <v>0</v>
          </cell>
          <cell r="F25953">
            <v>0</v>
          </cell>
          <cell r="DN25953">
            <v>0</v>
          </cell>
        </row>
        <row r="25954">
          <cell r="E25954">
            <v>0</v>
          </cell>
          <cell r="F25954">
            <v>0</v>
          </cell>
          <cell r="DN25954">
            <v>0</v>
          </cell>
        </row>
        <row r="25955">
          <cell r="E25955">
            <v>0</v>
          </cell>
          <cell r="F25955">
            <v>0</v>
          </cell>
          <cell r="DN25955">
            <v>0</v>
          </cell>
        </row>
        <row r="25956">
          <cell r="E25956">
            <v>0</v>
          </cell>
          <cell r="F25956">
            <v>0</v>
          </cell>
          <cell r="DN25956">
            <v>0</v>
          </cell>
        </row>
        <row r="25957">
          <cell r="E25957">
            <v>0</v>
          </cell>
          <cell r="F25957">
            <v>0</v>
          </cell>
          <cell r="DN25957">
            <v>0</v>
          </cell>
        </row>
        <row r="25958">
          <cell r="E25958">
            <v>0</v>
          </cell>
          <cell r="F25958">
            <v>0</v>
          </cell>
          <cell r="DN25958">
            <v>0</v>
          </cell>
        </row>
        <row r="25959">
          <cell r="E25959">
            <v>0</v>
          </cell>
          <cell r="F25959">
            <v>0</v>
          </cell>
          <cell r="DN25959">
            <v>0</v>
          </cell>
        </row>
        <row r="25960">
          <cell r="E25960">
            <v>0</v>
          </cell>
          <cell r="F25960">
            <v>0</v>
          </cell>
          <cell r="DN25960">
            <v>0</v>
          </cell>
        </row>
        <row r="25961">
          <cell r="E25961">
            <v>0</v>
          </cell>
          <cell r="F25961">
            <v>0</v>
          </cell>
          <cell r="DN25961">
            <v>0</v>
          </cell>
        </row>
        <row r="25962">
          <cell r="E25962">
            <v>0</v>
          </cell>
          <cell r="F25962">
            <v>0</v>
          </cell>
          <cell r="DN25962">
            <v>0</v>
          </cell>
        </row>
        <row r="25963">
          <cell r="E25963">
            <v>0</v>
          </cell>
          <cell r="F25963">
            <v>0</v>
          </cell>
          <cell r="DN25963">
            <v>0</v>
          </cell>
        </row>
        <row r="25964">
          <cell r="E25964">
            <v>0</v>
          </cell>
          <cell r="F25964">
            <v>0</v>
          </cell>
          <cell r="DN25964">
            <v>0</v>
          </cell>
        </row>
        <row r="25965">
          <cell r="E25965">
            <v>0</v>
          </cell>
          <cell r="F25965">
            <v>0</v>
          </cell>
          <cell r="DN25965">
            <v>0</v>
          </cell>
        </row>
        <row r="25966">
          <cell r="E25966">
            <v>0</v>
          </cell>
          <cell r="F25966">
            <v>0</v>
          </cell>
          <cell r="DN25966">
            <v>0</v>
          </cell>
        </row>
        <row r="25967">
          <cell r="E25967">
            <v>0</v>
          </cell>
          <cell r="F25967">
            <v>0</v>
          </cell>
          <cell r="DN25967">
            <v>0</v>
          </cell>
        </row>
        <row r="25968">
          <cell r="E25968">
            <v>0</v>
          </cell>
          <cell r="F25968">
            <v>0</v>
          </cell>
          <cell r="DN25968">
            <v>0</v>
          </cell>
        </row>
        <row r="25969">
          <cell r="E25969">
            <v>0</v>
          </cell>
          <cell r="F25969">
            <v>0</v>
          </cell>
          <cell r="DN25969">
            <v>0</v>
          </cell>
        </row>
        <row r="25970">
          <cell r="E25970">
            <v>0</v>
          </cell>
          <cell r="F25970">
            <v>0</v>
          </cell>
          <cell r="DN25970">
            <v>0</v>
          </cell>
        </row>
        <row r="25971">
          <cell r="E25971">
            <v>0</v>
          </cell>
          <cell r="F25971">
            <v>0</v>
          </cell>
          <cell r="DN25971">
            <v>0</v>
          </cell>
        </row>
        <row r="25972">
          <cell r="E25972">
            <v>0</v>
          </cell>
          <cell r="F25972">
            <v>0</v>
          </cell>
          <cell r="DN25972">
            <v>0</v>
          </cell>
        </row>
        <row r="25973">
          <cell r="E25973">
            <v>0</v>
          </cell>
          <cell r="F25973">
            <v>0</v>
          </cell>
          <cell r="DN25973">
            <v>0</v>
          </cell>
        </row>
        <row r="25974">
          <cell r="E25974">
            <v>0</v>
          </cell>
          <cell r="F25974">
            <v>0</v>
          </cell>
          <cell r="DN25974">
            <v>0</v>
          </cell>
        </row>
        <row r="25975">
          <cell r="E25975">
            <v>0</v>
          </cell>
          <cell r="F25975">
            <v>0</v>
          </cell>
          <cell r="DN25975">
            <v>0</v>
          </cell>
        </row>
        <row r="25976">
          <cell r="E25976">
            <v>0</v>
          </cell>
          <cell r="F25976">
            <v>0</v>
          </cell>
          <cell r="DN25976">
            <v>0</v>
          </cell>
        </row>
        <row r="25977">
          <cell r="E25977">
            <v>0</v>
          </cell>
          <cell r="F25977">
            <v>0</v>
          </cell>
          <cell r="DN25977">
            <v>0</v>
          </cell>
        </row>
        <row r="25978">
          <cell r="E25978">
            <v>0</v>
          </cell>
          <cell r="F25978">
            <v>0</v>
          </cell>
          <cell r="DN25978">
            <v>0</v>
          </cell>
        </row>
        <row r="25979">
          <cell r="E25979">
            <v>0</v>
          </cell>
          <cell r="F25979">
            <v>0</v>
          </cell>
          <cell r="DN25979">
            <v>0</v>
          </cell>
        </row>
        <row r="25980">
          <cell r="E25980">
            <v>0</v>
          </cell>
          <cell r="F25980">
            <v>0</v>
          </cell>
          <cell r="DN25980">
            <v>0</v>
          </cell>
        </row>
        <row r="25981">
          <cell r="E25981">
            <v>0</v>
          </cell>
          <cell r="F25981">
            <v>0</v>
          </cell>
          <cell r="DN25981">
            <v>0</v>
          </cell>
        </row>
        <row r="25982">
          <cell r="E25982">
            <v>0</v>
          </cell>
          <cell r="F25982">
            <v>0</v>
          </cell>
          <cell r="DN25982">
            <v>0</v>
          </cell>
        </row>
        <row r="25983">
          <cell r="E25983">
            <v>0</v>
          </cell>
          <cell r="F25983">
            <v>0</v>
          </cell>
          <cell r="DN25983">
            <v>0</v>
          </cell>
        </row>
        <row r="25984">
          <cell r="E25984">
            <v>0</v>
          </cell>
          <cell r="F25984">
            <v>0</v>
          </cell>
          <cell r="DN25984">
            <v>0</v>
          </cell>
        </row>
        <row r="25985">
          <cell r="E25985">
            <v>0</v>
          </cell>
          <cell r="F25985">
            <v>0</v>
          </cell>
          <cell r="DN25985">
            <v>0</v>
          </cell>
        </row>
        <row r="25986">
          <cell r="E25986">
            <v>0</v>
          </cell>
          <cell r="F25986">
            <v>0</v>
          </cell>
          <cell r="DN25986">
            <v>0</v>
          </cell>
        </row>
        <row r="25987">
          <cell r="E25987">
            <v>0</v>
          </cell>
          <cell r="F25987">
            <v>0</v>
          </cell>
          <cell r="DN25987">
            <v>0</v>
          </cell>
        </row>
        <row r="25988">
          <cell r="E25988">
            <v>0</v>
          </cell>
          <cell r="F25988">
            <v>0</v>
          </cell>
          <cell r="DN25988">
            <v>0</v>
          </cell>
        </row>
        <row r="25989">
          <cell r="E25989">
            <v>0</v>
          </cell>
          <cell r="F25989">
            <v>0</v>
          </cell>
          <cell r="DN25989">
            <v>0</v>
          </cell>
        </row>
        <row r="25990">
          <cell r="E25990">
            <v>0</v>
          </cell>
          <cell r="F25990">
            <v>0</v>
          </cell>
          <cell r="DN25990">
            <v>0</v>
          </cell>
        </row>
        <row r="25991">
          <cell r="E25991">
            <v>0</v>
          </cell>
          <cell r="F25991">
            <v>0</v>
          </cell>
          <cell r="DN25991">
            <v>0</v>
          </cell>
        </row>
        <row r="25992">
          <cell r="E25992">
            <v>0</v>
          </cell>
          <cell r="F25992">
            <v>0</v>
          </cell>
          <cell r="DN25992">
            <v>0</v>
          </cell>
        </row>
        <row r="25993">
          <cell r="E25993">
            <v>0</v>
          </cell>
          <cell r="F25993">
            <v>0</v>
          </cell>
          <cell r="DN25993">
            <v>0</v>
          </cell>
        </row>
        <row r="25994">
          <cell r="E25994">
            <v>0</v>
          </cell>
          <cell r="F25994">
            <v>0</v>
          </cell>
          <cell r="DN25994">
            <v>0</v>
          </cell>
        </row>
        <row r="25995">
          <cell r="E25995">
            <v>0</v>
          </cell>
          <cell r="F25995">
            <v>0</v>
          </cell>
          <cell r="DN25995">
            <v>0</v>
          </cell>
        </row>
        <row r="25996">
          <cell r="E25996">
            <v>0</v>
          </cell>
          <cell r="F25996">
            <v>0</v>
          </cell>
          <cell r="DN25996">
            <v>0</v>
          </cell>
        </row>
        <row r="25997">
          <cell r="E25997">
            <v>0</v>
          </cell>
          <cell r="F25997">
            <v>0</v>
          </cell>
          <cell r="DN25997">
            <v>0</v>
          </cell>
        </row>
        <row r="25998">
          <cell r="E25998">
            <v>0</v>
          </cell>
          <cell r="F25998">
            <v>0</v>
          </cell>
          <cell r="DN25998">
            <v>0</v>
          </cell>
        </row>
        <row r="25999">
          <cell r="E25999">
            <v>0</v>
          </cell>
          <cell r="F25999">
            <v>0</v>
          </cell>
          <cell r="DN25999">
            <v>0</v>
          </cell>
        </row>
        <row r="26000">
          <cell r="E26000">
            <v>0</v>
          </cell>
          <cell r="F26000">
            <v>0</v>
          </cell>
          <cell r="DN26000">
            <v>0</v>
          </cell>
        </row>
        <row r="26001">
          <cell r="E26001">
            <v>0</v>
          </cell>
          <cell r="F26001">
            <v>0</v>
          </cell>
          <cell r="DN26001">
            <v>0</v>
          </cell>
        </row>
        <row r="26002">
          <cell r="E26002">
            <v>0</v>
          </cell>
          <cell r="F26002">
            <v>0</v>
          </cell>
          <cell r="DN26002">
            <v>0</v>
          </cell>
        </row>
        <row r="26003">
          <cell r="E26003">
            <v>0</v>
          </cell>
          <cell r="F26003">
            <v>0</v>
          </cell>
          <cell r="DN26003">
            <v>0</v>
          </cell>
        </row>
        <row r="26004">
          <cell r="E26004">
            <v>0</v>
          </cell>
          <cell r="F26004">
            <v>0</v>
          </cell>
          <cell r="DN26004">
            <v>0</v>
          </cell>
        </row>
        <row r="26005">
          <cell r="E26005">
            <v>0</v>
          </cell>
          <cell r="F26005">
            <v>0</v>
          </cell>
          <cell r="DN26005">
            <v>0</v>
          </cell>
        </row>
        <row r="26006">
          <cell r="E26006">
            <v>0</v>
          </cell>
          <cell r="F26006">
            <v>0</v>
          </cell>
          <cell r="DN26006">
            <v>0</v>
          </cell>
        </row>
        <row r="26007">
          <cell r="E26007">
            <v>0</v>
          </cell>
          <cell r="F26007">
            <v>0</v>
          </cell>
          <cell r="DN26007">
            <v>0</v>
          </cell>
        </row>
        <row r="26008">
          <cell r="E26008">
            <v>0</v>
          </cell>
          <cell r="F26008">
            <v>0</v>
          </cell>
          <cell r="DN26008">
            <v>0</v>
          </cell>
        </row>
        <row r="26009">
          <cell r="E26009">
            <v>0</v>
          </cell>
          <cell r="F26009">
            <v>0</v>
          </cell>
          <cell r="DN26009">
            <v>0</v>
          </cell>
        </row>
        <row r="26010">
          <cell r="E26010">
            <v>0</v>
          </cell>
          <cell r="F26010">
            <v>0</v>
          </cell>
          <cell r="DN26010">
            <v>0</v>
          </cell>
        </row>
        <row r="26011">
          <cell r="E26011">
            <v>0</v>
          </cell>
          <cell r="F26011">
            <v>0</v>
          </cell>
          <cell r="DN26011">
            <v>0</v>
          </cell>
        </row>
        <row r="26012">
          <cell r="E26012">
            <v>0</v>
          </cell>
          <cell r="F26012">
            <v>0</v>
          </cell>
          <cell r="DN26012">
            <v>0</v>
          </cell>
        </row>
        <row r="26013">
          <cell r="E26013">
            <v>0</v>
          </cell>
          <cell r="F26013">
            <v>0</v>
          </cell>
          <cell r="DN26013">
            <v>0</v>
          </cell>
        </row>
        <row r="26014">
          <cell r="E26014">
            <v>0</v>
          </cell>
          <cell r="F26014">
            <v>0</v>
          </cell>
          <cell r="DN26014">
            <v>0</v>
          </cell>
        </row>
        <row r="26015">
          <cell r="E26015">
            <v>0</v>
          </cell>
          <cell r="F26015">
            <v>0</v>
          </cell>
          <cell r="DN26015">
            <v>0</v>
          </cell>
        </row>
        <row r="26016">
          <cell r="E26016">
            <v>0</v>
          </cell>
          <cell r="F26016">
            <v>0</v>
          </cell>
          <cell r="DN26016">
            <v>0</v>
          </cell>
        </row>
        <row r="26017">
          <cell r="E26017">
            <v>0</v>
          </cell>
          <cell r="F26017">
            <v>0</v>
          </cell>
          <cell r="DN26017">
            <v>0</v>
          </cell>
        </row>
        <row r="26018">
          <cell r="E26018">
            <v>0</v>
          </cell>
          <cell r="F26018">
            <v>0</v>
          </cell>
          <cell r="DN26018">
            <v>0</v>
          </cell>
        </row>
        <row r="26019">
          <cell r="E26019">
            <v>0</v>
          </cell>
          <cell r="F26019">
            <v>0</v>
          </cell>
          <cell r="DN26019">
            <v>0</v>
          </cell>
        </row>
        <row r="26020">
          <cell r="E26020">
            <v>0</v>
          </cell>
          <cell r="F26020">
            <v>0</v>
          </cell>
          <cell r="DN26020">
            <v>0</v>
          </cell>
        </row>
        <row r="26021">
          <cell r="E26021">
            <v>0</v>
          </cell>
          <cell r="F26021">
            <v>0</v>
          </cell>
          <cell r="DN26021">
            <v>0</v>
          </cell>
        </row>
        <row r="26022">
          <cell r="E26022">
            <v>0</v>
          </cell>
          <cell r="F26022">
            <v>0</v>
          </cell>
          <cell r="DN26022">
            <v>0</v>
          </cell>
        </row>
        <row r="26023">
          <cell r="E26023">
            <v>0</v>
          </cell>
          <cell r="F26023">
            <v>0</v>
          </cell>
          <cell r="DN26023">
            <v>0</v>
          </cell>
        </row>
        <row r="26024">
          <cell r="E26024">
            <v>0</v>
          </cell>
          <cell r="F26024">
            <v>0</v>
          </cell>
          <cell r="DN26024">
            <v>0</v>
          </cell>
        </row>
        <row r="26025">
          <cell r="E26025">
            <v>0</v>
          </cell>
          <cell r="F26025">
            <v>0</v>
          </cell>
          <cell r="DN26025">
            <v>0</v>
          </cell>
        </row>
        <row r="26026">
          <cell r="E26026">
            <v>0</v>
          </cell>
          <cell r="F26026">
            <v>0</v>
          </cell>
          <cell r="DN26026">
            <v>0</v>
          </cell>
        </row>
        <row r="26027">
          <cell r="E26027">
            <v>0</v>
          </cell>
          <cell r="F26027">
            <v>0</v>
          </cell>
          <cell r="DN26027">
            <v>0</v>
          </cell>
        </row>
        <row r="26028">
          <cell r="E26028">
            <v>0</v>
          </cell>
          <cell r="F26028">
            <v>0</v>
          </cell>
          <cell r="DN26028">
            <v>0</v>
          </cell>
        </row>
        <row r="26029">
          <cell r="E26029">
            <v>0</v>
          </cell>
          <cell r="F26029">
            <v>0</v>
          </cell>
          <cell r="DN26029">
            <v>0</v>
          </cell>
        </row>
        <row r="26030">
          <cell r="E26030">
            <v>0</v>
          </cell>
          <cell r="F26030">
            <v>0</v>
          </cell>
          <cell r="DN26030">
            <v>0</v>
          </cell>
        </row>
        <row r="26031">
          <cell r="E26031">
            <v>0</v>
          </cell>
          <cell r="F26031">
            <v>0</v>
          </cell>
          <cell r="DN26031">
            <v>0</v>
          </cell>
        </row>
        <row r="26032">
          <cell r="E26032">
            <v>0</v>
          </cell>
          <cell r="F26032">
            <v>0</v>
          </cell>
          <cell r="DN26032">
            <v>0</v>
          </cell>
        </row>
        <row r="26033">
          <cell r="E26033">
            <v>0</v>
          </cell>
          <cell r="F26033">
            <v>0</v>
          </cell>
          <cell r="DN26033">
            <v>0</v>
          </cell>
        </row>
        <row r="26034">
          <cell r="E26034">
            <v>0</v>
          </cell>
          <cell r="F26034">
            <v>0</v>
          </cell>
          <cell r="DN26034">
            <v>0</v>
          </cell>
        </row>
        <row r="26035">
          <cell r="E26035">
            <v>0</v>
          </cell>
          <cell r="F26035">
            <v>0</v>
          </cell>
          <cell r="DN26035">
            <v>0</v>
          </cell>
        </row>
        <row r="26036">
          <cell r="E26036">
            <v>0</v>
          </cell>
          <cell r="F26036">
            <v>0</v>
          </cell>
          <cell r="DN26036">
            <v>0</v>
          </cell>
        </row>
        <row r="26037">
          <cell r="E26037">
            <v>0</v>
          </cell>
          <cell r="F26037">
            <v>0</v>
          </cell>
          <cell r="DN26037">
            <v>0</v>
          </cell>
        </row>
        <row r="26038">
          <cell r="E26038">
            <v>0</v>
          </cell>
          <cell r="F26038">
            <v>0</v>
          </cell>
          <cell r="DN26038">
            <v>0</v>
          </cell>
        </row>
        <row r="26039">
          <cell r="E26039">
            <v>0</v>
          </cell>
          <cell r="F26039">
            <v>0</v>
          </cell>
          <cell r="DN26039">
            <v>0</v>
          </cell>
        </row>
        <row r="26040">
          <cell r="E26040">
            <v>0</v>
          </cell>
          <cell r="F26040">
            <v>0</v>
          </cell>
          <cell r="DN26040">
            <v>0</v>
          </cell>
        </row>
        <row r="26041">
          <cell r="E26041">
            <v>0</v>
          </cell>
          <cell r="F26041">
            <v>0</v>
          </cell>
          <cell r="DN26041">
            <v>0</v>
          </cell>
        </row>
        <row r="26042">
          <cell r="E26042">
            <v>0</v>
          </cell>
          <cell r="F26042">
            <v>0</v>
          </cell>
          <cell r="DN26042">
            <v>0</v>
          </cell>
        </row>
        <row r="26043">
          <cell r="E26043">
            <v>0</v>
          </cell>
          <cell r="F26043">
            <v>0</v>
          </cell>
          <cell r="DN26043">
            <v>0</v>
          </cell>
        </row>
        <row r="26044">
          <cell r="E26044">
            <v>0</v>
          </cell>
          <cell r="F26044">
            <v>0</v>
          </cell>
          <cell r="DN26044">
            <v>0</v>
          </cell>
        </row>
        <row r="26045">
          <cell r="E26045">
            <v>0</v>
          </cell>
          <cell r="F26045">
            <v>0</v>
          </cell>
          <cell r="DN26045">
            <v>0</v>
          </cell>
        </row>
        <row r="26046">
          <cell r="E26046">
            <v>0</v>
          </cell>
          <cell r="F26046">
            <v>0</v>
          </cell>
          <cell r="DN26046">
            <v>0</v>
          </cell>
        </row>
        <row r="26047">
          <cell r="E26047">
            <v>0</v>
          </cell>
          <cell r="F26047">
            <v>0</v>
          </cell>
          <cell r="DN26047">
            <v>0</v>
          </cell>
        </row>
        <row r="26048">
          <cell r="E26048">
            <v>0</v>
          </cell>
          <cell r="F26048">
            <v>0</v>
          </cell>
          <cell r="DN26048">
            <v>0</v>
          </cell>
        </row>
        <row r="26049">
          <cell r="E26049">
            <v>0</v>
          </cell>
          <cell r="F26049">
            <v>0</v>
          </cell>
          <cell r="DN26049">
            <v>0</v>
          </cell>
        </row>
        <row r="26050">
          <cell r="E26050">
            <v>0</v>
          </cell>
          <cell r="F26050">
            <v>0</v>
          </cell>
          <cell r="DN26050">
            <v>0</v>
          </cell>
        </row>
        <row r="26051">
          <cell r="E26051">
            <v>0</v>
          </cell>
          <cell r="F26051">
            <v>0</v>
          </cell>
          <cell r="DN26051">
            <v>0</v>
          </cell>
        </row>
        <row r="26052">
          <cell r="E26052">
            <v>0</v>
          </cell>
          <cell r="F26052">
            <v>0</v>
          </cell>
          <cell r="DN26052">
            <v>0</v>
          </cell>
        </row>
        <row r="26053">
          <cell r="E26053">
            <v>0</v>
          </cell>
          <cell r="F26053">
            <v>0</v>
          </cell>
          <cell r="DN26053">
            <v>0</v>
          </cell>
        </row>
        <row r="26054">
          <cell r="E26054">
            <v>0</v>
          </cell>
          <cell r="F26054">
            <v>0</v>
          </cell>
          <cell r="DN26054">
            <v>0</v>
          </cell>
        </row>
        <row r="26055">
          <cell r="E26055">
            <v>0</v>
          </cell>
          <cell r="F26055">
            <v>0</v>
          </cell>
          <cell r="DN26055">
            <v>0</v>
          </cell>
        </row>
        <row r="26056">
          <cell r="E26056">
            <v>0</v>
          </cell>
          <cell r="F26056">
            <v>0</v>
          </cell>
          <cell r="DN26056">
            <v>0</v>
          </cell>
        </row>
        <row r="26057">
          <cell r="E26057">
            <v>0</v>
          </cell>
          <cell r="F26057">
            <v>0</v>
          </cell>
          <cell r="DN26057">
            <v>0</v>
          </cell>
        </row>
        <row r="26058">
          <cell r="E26058">
            <v>0</v>
          </cell>
          <cell r="F26058">
            <v>0</v>
          </cell>
          <cell r="DN26058">
            <v>0</v>
          </cell>
        </row>
        <row r="26059">
          <cell r="E26059">
            <v>0</v>
          </cell>
          <cell r="F26059">
            <v>0</v>
          </cell>
          <cell r="DN26059">
            <v>0</v>
          </cell>
        </row>
        <row r="26060">
          <cell r="E26060">
            <v>0</v>
          </cell>
          <cell r="F26060">
            <v>0</v>
          </cell>
          <cell r="DN26060">
            <v>0</v>
          </cell>
        </row>
        <row r="26061">
          <cell r="E26061">
            <v>0</v>
          </cell>
          <cell r="F26061">
            <v>0</v>
          </cell>
          <cell r="DN26061">
            <v>0</v>
          </cell>
        </row>
        <row r="26062">
          <cell r="E26062">
            <v>0</v>
          </cell>
          <cell r="F26062">
            <v>0</v>
          </cell>
          <cell r="DN26062">
            <v>0</v>
          </cell>
        </row>
        <row r="26063">
          <cell r="E26063">
            <v>0</v>
          </cell>
          <cell r="F26063">
            <v>0</v>
          </cell>
          <cell r="DN26063">
            <v>0</v>
          </cell>
        </row>
        <row r="26064">
          <cell r="E26064">
            <v>0</v>
          </cell>
          <cell r="F26064">
            <v>0</v>
          </cell>
          <cell r="DN26064">
            <v>0</v>
          </cell>
        </row>
        <row r="26065">
          <cell r="E26065">
            <v>0</v>
          </cell>
          <cell r="F26065">
            <v>0</v>
          </cell>
          <cell r="DN26065">
            <v>0</v>
          </cell>
        </row>
        <row r="26066">
          <cell r="E26066">
            <v>0</v>
          </cell>
          <cell r="F26066">
            <v>0</v>
          </cell>
          <cell r="DN26066">
            <v>0</v>
          </cell>
        </row>
        <row r="26067">
          <cell r="E26067">
            <v>0</v>
          </cell>
          <cell r="F26067">
            <v>0</v>
          </cell>
          <cell r="DN26067">
            <v>0</v>
          </cell>
        </row>
        <row r="26068">
          <cell r="E26068">
            <v>0</v>
          </cell>
          <cell r="F26068">
            <v>0</v>
          </cell>
          <cell r="DN26068">
            <v>0</v>
          </cell>
        </row>
        <row r="26069">
          <cell r="E26069">
            <v>0</v>
          </cell>
          <cell r="F26069">
            <v>0</v>
          </cell>
          <cell r="DN26069">
            <v>0</v>
          </cell>
        </row>
        <row r="26070">
          <cell r="E26070">
            <v>0</v>
          </cell>
          <cell r="F26070">
            <v>0</v>
          </cell>
          <cell r="DN26070">
            <v>0</v>
          </cell>
        </row>
        <row r="26071">
          <cell r="E26071">
            <v>0</v>
          </cell>
          <cell r="F26071">
            <v>0</v>
          </cell>
          <cell r="DN26071">
            <v>0</v>
          </cell>
        </row>
        <row r="26072">
          <cell r="E26072">
            <v>0</v>
          </cell>
          <cell r="F26072">
            <v>0</v>
          </cell>
          <cell r="DN26072">
            <v>0</v>
          </cell>
        </row>
        <row r="26073">
          <cell r="E26073">
            <v>0</v>
          </cell>
          <cell r="F26073">
            <v>0</v>
          </cell>
          <cell r="DN26073">
            <v>0</v>
          </cell>
        </row>
        <row r="26074">
          <cell r="E26074">
            <v>0</v>
          </cell>
          <cell r="F26074">
            <v>0</v>
          </cell>
          <cell r="DN26074">
            <v>0</v>
          </cell>
        </row>
        <row r="26075">
          <cell r="E26075">
            <v>0</v>
          </cell>
          <cell r="F26075">
            <v>0</v>
          </cell>
          <cell r="DN26075">
            <v>0</v>
          </cell>
        </row>
        <row r="26076">
          <cell r="E26076">
            <v>0</v>
          </cell>
          <cell r="F26076">
            <v>0</v>
          </cell>
          <cell r="DN26076">
            <v>0</v>
          </cell>
        </row>
        <row r="26077">
          <cell r="E26077">
            <v>0</v>
          </cell>
          <cell r="F26077">
            <v>0</v>
          </cell>
          <cell r="DN26077">
            <v>0</v>
          </cell>
        </row>
        <row r="26078">
          <cell r="E26078">
            <v>0</v>
          </cell>
          <cell r="F26078">
            <v>0</v>
          </cell>
          <cell r="DN26078">
            <v>0</v>
          </cell>
        </row>
        <row r="26079">
          <cell r="E26079">
            <v>0</v>
          </cell>
          <cell r="F26079">
            <v>0</v>
          </cell>
          <cell r="DN26079">
            <v>0</v>
          </cell>
        </row>
        <row r="26080">
          <cell r="E26080">
            <v>0</v>
          </cell>
          <cell r="F26080">
            <v>0</v>
          </cell>
          <cell r="DN26080">
            <v>0</v>
          </cell>
        </row>
        <row r="26081">
          <cell r="E26081">
            <v>0</v>
          </cell>
          <cell r="F26081">
            <v>0</v>
          </cell>
          <cell r="DN26081">
            <v>0</v>
          </cell>
        </row>
        <row r="26082">
          <cell r="E26082">
            <v>0</v>
          </cell>
          <cell r="F26082">
            <v>0</v>
          </cell>
          <cell r="DN26082">
            <v>0</v>
          </cell>
        </row>
        <row r="26083">
          <cell r="E26083">
            <v>0</v>
          </cell>
          <cell r="F26083">
            <v>0</v>
          </cell>
          <cell r="DN26083">
            <v>0</v>
          </cell>
        </row>
        <row r="26084">
          <cell r="E26084">
            <v>0</v>
          </cell>
          <cell r="F26084">
            <v>0</v>
          </cell>
          <cell r="DN26084">
            <v>0</v>
          </cell>
        </row>
        <row r="26085">
          <cell r="E26085">
            <v>0</v>
          </cell>
          <cell r="F26085">
            <v>0</v>
          </cell>
          <cell r="DN26085">
            <v>0</v>
          </cell>
        </row>
        <row r="26086">
          <cell r="E26086">
            <v>0</v>
          </cell>
          <cell r="F26086">
            <v>0</v>
          </cell>
          <cell r="DN26086">
            <v>0</v>
          </cell>
        </row>
        <row r="26087">
          <cell r="E26087">
            <v>0</v>
          </cell>
          <cell r="F26087">
            <v>0</v>
          </cell>
          <cell r="DN26087">
            <v>0</v>
          </cell>
        </row>
        <row r="26088">
          <cell r="E26088">
            <v>0</v>
          </cell>
          <cell r="F26088">
            <v>0</v>
          </cell>
          <cell r="DN26088">
            <v>0</v>
          </cell>
        </row>
        <row r="26089">
          <cell r="E26089">
            <v>0</v>
          </cell>
          <cell r="F26089">
            <v>0</v>
          </cell>
          <cell r="DN26089">
            <v>0</v>
          </cell>
        </row>
        <row r="26090">
          <cell r="E26090">
            <v>0</v>
          </cell>
          <cell r="F26090">
            <v>0</v>
          </cell>
          <cell r="DN26090">
            <v>0</v>
          </cell>
        </row>
        <row r="26091">
          <cell r="E26091">
            <v>0</v>
          </cell>
          <cell r="F26091">
            <v>0</v>
          </cell>
          <cell r="DN26091">
            <v>0</v>
          </cell>
        </row>
        <row r="26092">
          <cell r="E26092">
            <v>0</v>
          </cell>
          <cell r="F26092">
            <v>0</v>
          </cell>
          <cell r="DN26092">
            <v>0</v>
          </cell>
        </row>
        <row r="26093">
          <cell r="E26093">
            <v>0</v>
          </cell>
          <cell r="F26093">
            <v>0</v>
          </cell>
          <cell r="DN26093">
            <v>0</v>
          </cell>
        </row>
        <row r="26094">
          <cell r="E26094">
            <v>0</v>
          </cell>
          <cell r="F26094">
            <v>0</v>
          </cell>
          <cell r="DN26094">
            <v>0</v>
          </cell>
        </row>
        <row r="26095">
          <cell r="E26095">
            <v>0</v>
          </cell>
          <cell r="F26095">
            <v>0</v>
          </cell>
          <cell r="DN26095">
            <v>0</v>
          </cell>
        </row>
        <row r="26096">
          <cell r="E26096">
            <v>0</v>
          </cell>
          <cell r="F26096">
            <v>0</v>
          </cell>
          <cell r="DN26096">
            <v>0</v>
          </cell>
        </row>
        <row r="26097">
          <cell r="E26097">
            <v>0</v>
          </cell>
          <cell r="F26097">
            <v>0</v>
          </cell>
          <cell r="DN26097">
            <v>0</v>
          </cell>
        </row>
        <row r="26098">
          <cell r="E26098">
            <v>0</v>
          </cell>
          <cell r="F26098">
            <v>0</v>
          </cell>
          <cell r="DN26098">
            <v>0</v>
          </cell>
        </row>
        <row r="26099">
          <cell r="E26099">
            <v>0</v>
          </cell>
          <cell r="F26099">
            <v>0</v>
          </cell>
          <cell r="DN26099">
            <v>0</v>
          </cell>
        </row>
        <row r="26100">
          <cell r="E26100">
            <v>0</v>
          </cell>
          <cell r="F26100">
            <v>0</v>
          </cell>
          <cell r="DN26100">
            <v>0</v>
          </cell>
        </row>
        <row r="26101">
          <cell r="E26101">
            <v>0</v>
          </cell>
          <cell r="F26101">
            <v>0</v>
          </cell>
          <cell r="DN26101">
            <v>0</v>
          </cell>
        </row>
        <row r="26102">
          <cell r="E26102">
            <v>0</v>
          </cell>
          <cell r="F26102">
            <v>0</v>
          </cell>
          <cell r="DN26102">
            <v>0</v>
          </cell>
        </row>
        <row r="26103">
          <cell r="E26103">
            <v>0</v>
          </cell>
          <cell r="F26103">
            <v>0</v>
          </cell>
          <cell r="DN26103">
            <v>0</v>
          </cell>
        </row>
        <row r="26104">
          <cell r="E26104">
            <v>0</v>
          </cell>
          <cell r="F26104">
            <v>0</v>
          </cell>
          <cell r="DN26104">
            <v>0</v>
          </cell>
        </row>
        <row r="26105">
          <cell r="E26105">
            <v>0</v>
          </cell>
          <cell r="F26105">
            <v>0</v>
          </cell>
          <cell r="DN26105">
            <v>0</v>
          </cell>
        </row>
        <row r="26106">
          <cell r="E26106">
            <v>0</v>
          </cell>
          <cell r="F26106">
            <v>0</v>
          </cell>
          <cell r="DN26106">
            <v>0</v>
          </cell>
        </row>
        <row r="26107">
          <cell r="E26107">
            <v>0</v>
          </cell>
          <cell r="F26107">
            <v>0</v>
          </cell>
          <cell r="DN26107">
            <v>0</v>
          </cell>
        </row>
        <row r="26108">
          <cell r="E26108">
            <v>0</v>
          </cell>
          <cell r="F26108">
            <v>0</v>
          </cell>
          <cell r="DN26108">
            <v>0</v>
          </cell>
        </row>
        <row r="26109">
          <cell r="E26109">
            <v>0</v>
          </cell>
          <cell r="F26109">
            <v>0</v>
          </cell>
          <cell r="DN26109">
            <v>0</v>
          </cell>
        </row>
        <row r="26110">
          <cell r="E26110">
            <v>0</v>
          </cell>
          <cell r="F26110">
            <v>0</v>
          </cell>
          <cell r="DN26110">
            <v>0</v>
          </cell>
        </row>
        <row r="26111">
          <cell r="E26111">
            <v>0</v>
          </cell>
          <cell r="F26111">
            <v>0</v>
          </cell>
          <cell r="DN26111">
            <v>0</v>
          </cell>
        </row>
        <row r="26112">
          <cell r="E26112">
            <v>0</v>
          </cell>
          <cell r="F26112">
            <v>0</v>
          </cell>
          <cell r="DN26112">
            <v>0</v>
          </cell>
        </row>
        <row r="26113">
          <cell r="E26113">
            <v>0</v>
          </cell>
          <cell r="F26113">
            <v>0</v>
          </cell>
          <cell r="DN26113">
            <v>0</v>
          </cell>
        </row>
        <row r="26114">
          <cell r="E26114">
            <v>0</v>
          </cell>
          <cell r="F26114">
            <v>0</v>
          </cell>
          <cell r="DN26114">
            <v>0</v>
          </cell>
        </row>
        <row r="26115">
          <cell r="E26115">
            <v>0</v>
          </cell>
          <cell r="F26115">
            <v>0</v>
          </cell>
          <cell r="DN26115">
            <v>0</v>
          </cell>
        </row>
        <row r="26116">
          <cell r="E26116">
            <v>0</v>
          </cell>
          <cell r="F26116">
            <v>0</v>
          </cell>
          <cell r="DN26116">
            <v>0</v>
          </cell>
        </row>
        <row r="26117">
          <cell r="E26117">
            <v>0</v>
          </cell>
          <cell r="F26117">
            <v>0</v>
          </cell>
          <cell r="DN26117">
            <v>0</v>
          </cell>
        </row>
        <row r="26118">
          <cell r="E26118">
            <v>0</v>
          </cell>
          <cell r="F26118">
            <v>0</v>
          </cell>
          <cell r="DN26118">
            <v>0</v>
          </cell>
        </row>
        <row r="26119">
          <cell r="E26119">
            <v>0</v>
          </cell>
          <cell r="F26119">
            <v>0</v>
          </cell>
          <cell r="DN26119">
            <v>0</v>
          </cell>
        </row>
        <row r="26120">
          <cell r="E26120">
            <v>0</v>
          </cell>
          <cell r="F26120">
            <v>0</v>
          </cell>
          <cell r="DN26120">
            <v>0</v>
          </cell>
        </row>
        <row r="26121">
          <cell r="E26121">
            <v>0</v>
          </cell>
          <cell r="F26121">
            <v>0</v>
          </cell>
          <cell r="DN26121">
            <v>0</v>
          </cell>
        </row>
        <row r="26122">
          <cell r="E26122">
            <v>0</v>
          </cell>
          <cell r="F26122">
            <v>0</v>
          </cell>
          <cell r="DN26122">
            <v>0</v>
          </cell>
        </row>
        <row r="26123">
          <cell r="E26123">
            <v>0</v>
          </cell>
          <cell r="F26123">
            <v>0</v>
          </cell>
          <cell r="DN26123">
            <v>0</v>
          </cell>
        </row>
        <row r="26124">
          <cell r="E26124">
            <v>0</v>
          </cell>
          <cell r="F26124">
            <v>0</v>
          </cell>
          <cell r="DN26124">
            <v>0</v>
          </cell>
        </row>
        <row r="26125">
          <cell r="E26125">
            <v>0</v>
          </cell>
          <cell r="F26125">
            <v>0</v>
          </cell>
          <cell r="DN26125">
            <v>0</v>
          </cell>
        </row>
        <row r="26126">
          <cell r="E26126">
            <v>0</v>
          </cell>
          <cell r="F26126">
            <v>0</v>
          </cell>
          <cell r="DN26126">
            <v>0</v>
          </cell>
        </row>
        <row r="26127">
          <cell r="E26127">
            <v>0</v>
          </cell>
          <cell r="F26127">
            <v>0</v>
          </cell>
          <cell r="DN26127">
            <v>0</v>
          </cell>
        </row>
        <row r="26128">
          <cell r="E26128">
            <v>0</v>
          </cell>
          <cell r="F26128">
            <v>0</v>
          </cell>
          <cell r="DN26128">
            <v>0</v>
          </cell>
        </row>
        <row r="26129">
          <cell r="E26129">
            <v>0</v>
          </cell>
          <cell r="F26129">
            <v>0</v>
          </cell>
          <cell r="DN26129">
            <v>0</v>
          </cell>
        </row>
        <row r="26130">
          <cell r="E26130">
            <v>0</v>
          </cell>
          <cell r="F26130">
            <v>0</v>
          </cell>
          <cell r="DN26130">
            <v>0</v>
          </cell>
        </row>
        <row r="26131">
          <cell r="E26131">
            <v>0</v>
          </cell>
          <cell r="F26131">
            <v>0</v>
          </cell>
          <cell r="DN26131">
            <v>0</v>
          </cell>
        </row>
        <row r="26132">
          <cell r="E26132">
            <v>0</v>
          </cell>
          <cell r="F26132">
            <v>0</v>
          </cell>
          <cell r="DN26132">
            <v>0</v>
          </cell>
        </row>
        <row r="26133">
          <cell r="E26133">
            <v>0</v>
          </cell>
          <cell r="F26133">
            <v>0</v>
          </cell>
          <cell r="DN26133">
            <v>0</v>
          </cell>
        </row>
        <row r="26134">
          <cell r="E26134">
            <v>0</v>
          </cell>
          <cell r="F26134">
            <v>0</v>
          </cell>
          <cell r="DN26134">
            <v>0</v>
          </cell>
        </row>
        <row r="26135">
          <cell r="E26135">
            <v>0</v>
          </cell>
          <cell r="F26135">
            <v>0</v>
          </cell>
          <cell r="DN26135">
            <v>0</v>
          </cell>
        </row>
        <row r="26136">
          <cell r="E26136">
            <v>0</v>
          </cell>
          <cell r="F26136">
            <v>0</v>
          </cell>
          <cell r="DN26136">
            <v>0</v>
          </cell>
        </row>
        <row r="26137">
          <cell r="E26137">
            <v>0</v>
          </cell>
          <cell r="F26137">
            <v>0</v>
          </cell>
          <cell r="DN26137">
            <v>0</v>
          </cell>
        </row>
        <row r="26138">
          <cell r="E26138">
            <v>0</v>
          </cell>
          <cell r="F26138">
            <v>0</v>
          </cell>
          <cell r="DN26138">
            <v>0</v>
          </cell>
        </row>
        <row r="26139">
          <cell r="E26139">
            <v>0</v>
          </cell>
          <cell r="F26139">
            <v>0</v>
          </cell>
          <cell r="DN26139">
            <v>0</v>
          </cell>
        </row>
        <row r="26140">
          <cell r="E26140">
            <v>0</v>
          </cell>
          <cell r="F26140">
            <v>0</v>
          </cell>
          <cell r="DN26140">
            <v>0</v>
          </cell>
        </row>
        <row r="26141">
          <cell r="E26141">
            <v>0</v>
          </cell>
          <cell r="F26141">
            <v>0</v>
          </cell>
          <cell r="DN26141">
            <v>0</v>
          </cell>
        </row>
        <row r="26142">
          <cell r="E26142">
            <v>0</v>
          </cell>
          <cell r="F26142">
            <v>0</v>
          </cell>
          <cell r="DN26142">
            <v>0</v>
          </cell>
        </row>
        <row r="26143">
          <cell r="E26143">
            <v>0</v>
          </cell>
          <cell r="F26143">
            <v>0</v>
          </cell>
          <cell r="DN26143">
            <v>0</v>
          </cell>
        </row>
        <row r="26144">
          <cell r="E26144">
            <v>0</v>
          </cell>
          <cell r="F26144">
            <v>0</v>
          </cell>
          <cell r="DN26144">
            <v>0</v>
          </cell>
        </row>
        <row r="26145">
          <cell r="E26145">
            <v>0</v>
          </cell>
          <cell r="F26145">
            <v>0</v>
          </cell>
          <cell r="DN26145">
            <v>0</v>
          </cell>
        </row>
        <row r="26146">
          <cell r="E26146">
            <v>0</v>
          </cell>
          <cell r="F26146">
            <v>0</v>
          </cell>
          <cell r="DN26146">
            <v>0</v>
          </cell>
        </row>
        <row r="26147">
          <cell r="E26147">
            <v>0</v>
          </cell>
          <cell r="F26147">
            <v>0</v>
          </cell>
          <cell r="DN26147">
            <v>0</v>
          </cell>
        </row>
        <row r="26148">
          <cell r="E26148">
            <v>0</v>
          </cell>
          <cell r="F26148">
            <v>0</v>
          </cell>
          <cell r="DN26148">
            <v>0</v>
          </cell>
        </row>
        <row r="26149">
          <cell r="E26149">
            <v>0</v>
          </cell>
          <cell r="F26149">
            <v>0</v>
          </cell>
          <cell r="DN26149">
            <v>0</v>
          </cell>
        </row>
        <row r="26150">
          <cell r="E26150">
            <v>0</v>
          </cell>
          <cell r="F26150">
            <v>0</v>
          </cell>
          <cell r="DN26150">
            <v>0</v>
          </cell>
        </row>
        <row r="26151">
          <cell r="E26151">
            <v>0</v>
          </cell>
          <cell r="F26151">
            <v>0</v>
          </cell>
          <cell r="DN26151">
            <v>0</v>
          </cell>
        </row>
        <row r="26152">
          <cell r="E26152">
            <v>0</v>
          </cell>
          <cell r="F26152">
            <v>0</v>
          </cell>
          <cell r="DN26152">
            <v>0</v>
          </cell>
        </row>
        <row r="26153">
          <cell r="E26153">
            <v>0</v>
          </cell>
          <cell r="F26153">
            <v>0</v>
          </cell>
          <cell r="DN26153">
            <v>0</v>
          </cell>
        </row>
        <row r="26154">
          <cell r="E26154">
            <v>0</v>
          </cell>
          <cell r="F26154">
            <v>0</v>
          </cell>
          <cell r="DN26154">
            <v>0</v>
          </cell>
        </row>
        <row r="26155">
          <cell r="E26155">
            <v>0</v>
          </cell>
          <cell r="F26155">
            <v>0</v>
          </cell>
          <cell r="DN26155">
            <v>0</v>
          </cell>
        </row>
        <row r="26156">
          <cell r="E26156">
            <v>0</v>
          </cell>
          <cell r="F26156">
            <v>0</v>
          </cell>
          <cell r="DN26156">
            <v>0</v>
          </cell>
        </row>
        <row r="26157">
          <cell r="E26157">
            <v>0</v>
          </cell>
          <cell r="F26157">
            <v>0</v>
          </cell>
          <cell r="DN26157">
            <v>0</v>
          </cell>
        </row>
        <row r="26158">
          <cell r="E26158">
            <v>0</v>
          </cell>
          <cell r="F26158">
            <v>0</v>
          </cell>
          <cell r="DN26158">
            <v>0</v>
          </cell>
        </row>
        <row r="26159">
          <cell r="E26159">
            <v>0</v>
          </cell>
          <cell r="F26159">
            <v>0</v>
          </cell>
          <cell r="DN26159">
            <v>0</v>
          </cell>
        </row>
        <row r="26160">
          <cell r="E26160">
            <v>0</v>
          </cell>
          <cell r="F26160">
            <v>0</v>
          </cell>
          <cell r="DN26160">
            <v>0</v>
          </cell>
        </row>
        <row r="26161">
          <cell r="E26161">
            <v>0</v>
          </cell>
          <cell r="F26161">
            <v>0</v>
          </cell>
          <cell r="DN26161">
            <v>0</v>
          </cell>
        </row>
        <row r="26162">
          <cell r="E26162">
            <v>0</v>
          </cell>
          <cell r="F26162">
            <v>0</v>
          </cell>
          <cell r="DN26162">
            <v>0</v>
          </cell>
        </row>
        <row r="26163">
          <cell r="E26163">
            <v>0</v>
          </cell>
          <cell r="F26163">
            <v>0</v>
          </cell>
          <cell r="DN26163">
            <v>0</v>
          </cell>
        </row>
        <row r="26164">
          <cell r="E26164">
            <v>0</v>
          </cell>
          <cell r="F26164">
            <v>0</v>
          </cell>
          <cell r="DN26164">
            <v>0</v>
          </cell>
        </row>
        <row r="26165">
          <cell r="E26165">
            <v>0</v>
          </cell>
          <cell r="F26165">
            <v>0</v>
          </cell>
          <cell r="DN26165">
            <v>0</v>
          </cell>
        </row>
        <row r="26166">
          <cell r="E26166">
            <v>0</v>
          </cell>
          <cell r="F26166">
            <v>0</v>
          </cell>
          <cell r="DN26166">
            <v>0</v>
          </cell>
        </row>
        <row r="26167">
          <cell r="E26167">
            <v>0</v>
          </cell>
          <cell r="F26167">
            <v>0</v>
          </cell>
          <cell r="DN26167">
            <v>0</v>
          </cell>
        </row>
        <row r="26168">
          <cell r="E26168">
            <v>0</v>
          </cell>
          <cell r="F26168">
            <v>0</v>
          </cell>
          <cell r="DN26168">
            <v>0</v>
          </cell>
        </row>
        <row r="26169">
          <cell r="E26169">
            <v>0</v>
          </cell>
          <cell r="F26169">
            <v>0</v>
          </cell>
          <cell r="DN26169">
            <v>0</v>
          </cell>
        </row>
        <row r="26170">
          <cell r="E26170">
            <v>0</v>
          </cell>
          <cell r="F26170">
            <v>0</v>
          </cell>
          <cell r="DN26170">
            <v>0</v>
          </cell>
        </row>
        <row r="26171">
          <cell r="E26171">
            <v>0</v>
          </cell>
          <cell r="F26171">
            <v>0</v>
          </cell>
          <cell r="DN26171">
            <v>0</v>
          </cell>
        </row>
        <row r="26172">
          <cell r="E26172">
            <v>0</v>
          </cell>
          <cell r="F26172">
            <v>0</v>
          </cell>
          <cell r="DN26172">
            <v>0</v>
          </cell>
        </row>
        <row r="26173">
          <cell r="E26173">
            <v>0</v>
          </cell>
          <cell r="F26173">
            <v>0</v>
          </cell>
          <cell r="DN26173">
            <v>0</v>
          </cell>
        </row>
        <row r="26174">
          <cell r="E26174">
            <v>0</v>
          </cell>
          <cell r="F26174">
            <v>0</v>
          </cell>
          <cell r="DN26174">
            <v>0</v>
          </cell>
        </row>
        <row r="26175">
          <cell r="E26175">
            <v>0</v>
          </cell>
          <cell r="F26175">
            <v>0</v>
          </cell>
          <cell r="DN26175">
            <v>0</v>
          </cell>
        </row>
        <row r="26176">
          <cell r="E26176">
            <v>0</v>
          </cell>
          <cell r="F26176">
            <v>0</v>
          </cell>
          <cell r="DN26176">
            <v>0</v>
          </cell>
        </row>
        <row r="26177">
          <cell r="E26177">
            <v>0</v>
          </cell>
          <cell r="F26177">
            <v>0</v>
          </cell>
          <cell r="DN26177">
            <v>0</v>
          </cell>
        </row>
        <row r="26178">
          <cell r="E26178">
            <v>0</v>
          </cell>
          <cell r="F26178">
            <v>0</v>
          </cell>
          <cell r="DN26178">
            <v>0</v>
          </cell>
        </row>
        <row r="26179">
          <cell r="E26179">
            <v>0</v>
          </cell>
          <cell r="F26179">
            <v>0</v>
          </cell>
          <cell r="DN26179">
            <v>0</v>
          </cell>
        </row>
        <row r="26180">
          <cell r="E26180">
            <v>0</v>
          </cell>
          <cell r="F26180">
            <v>0</v>
          </cell>
          <cell r="DN26180">
            <v>0</v>
          </cell>
        </row>
        <row r="26181">
          <cell r="E26181">
            <v>0</v>
          </cell>
          <cell r="F26181">
            <v>0</v>
          </cell>
          <cell r="DN26181">
            <v>0</v>
          </cell>
        </row>
        <row r="26182">
          <cell r="E26182">
            <v>0</v>
          </cell>
          <cell r="F26182">
            <v>0</v>
          </cell>
          <cell r="DN26182">
            <v>0</v>
          </cell>
        </row>
        <row r="26183">
          <cell r="E26183">
            <v>0</v>
          </cell>
          <cell r="F26183">
            <v>0</v>
          </cell>
          <cell r="DN26183">
            <v>0</v>
          </cell>
        </row>
        <row r="26184">
          <cell r="E26184">
            <v>0</v>
          </cell>
          <cell r="F26184">
            <v>0</v>
          </cell>
          <cell r="DN26184">
            <v>0</v>
          </cell>
        </row>
        <row r="26185">
          <cell r="E26185">
            <v>0</v>
          </cell>
          <cell r="F26185">
            <v>0</v>
          </cell>
          <cell r="DN26185">
            <v>0</v>
          </cell>
        </row>
        <row r="26186">
          <cell r="E26186">
            <v>0</v>
          </cell>
          <cell r="F26186">
            <v>0</v>
          </cell>
          <cell r="DN26186">
            <v>0</v>
          </cell>
        </row>
        <row r="26187">
          <cell r="E26187">
            <v>0</v>
          </cell>
          <cell r="F26187">
            <v>0</v>
          </cell>
          <cell r="DN26187">
            <v>0</v>
          </cell>
        </row>
        <row r="26188">
          <cell r="E26188">
            <v>0</v>
          </cell>
          <cell r="F26188">
            <v>0</v>
          </cell>
          <cell r="DN26188">
            <v>0</v>
          </cell>
        </row>
        <row r="26189">
          <cell r="E26189">
            <v>0</v>
          </cell>
          <cell r="F26189">
            <v>0</v>
          </cell>
          <cell r="DN26189">
            <v>0</v>
          </cell>
        </row>
        <row r="26190">
          <cell r="E26190">
            <v>0</v>
          </cell>
          <cell r="F26190">
            <v>0</v>
          </cell>
          <cell r="DN26190">
            <v>0</v>
          </cell>
        </row>
        <row r="26191">
          <cell r="E26191">
            <v>0</v>
          </cell>
          <cell r="F26191">
            <v>0</v>
          </cell>
          <cell r="DN26191">
            <v>0</v>
          </cell>
        </row>
        <row r="26192">
          <cell r="E26192">
            <v>0</v>
          </cell>
          <cell r="F26192">
            <v>0</v>
          </cell>
          <cell r="DN26192">
            <v>0</v>
          </cell>
        </row>
        <row r="26193">
          <cell r="E26193">
            <v>0</v>
          </cell>
          <cell r="F26193">
            <v>0</v>
          </cell>
          <cell r="DN26193">
            <v>0</v>
          </cell>
        </row>
        <row r="26194">
          <cell r="E26194">
            <v>0</v>
          </cell>
          <cell r="F26194">
            <v>0</v>
          </cell>
          <cell r="DN26194">
            <v>0</v>
          </cell>
        </row>
        <row r="26195">
          <cell r="E26195">
            <v>0</v>
          </cell>
          <cell r="F26195">
            <v>0</v>
          </cell>
          <cell r="DN26195">
            <v>0</v>
          </cell>
        </row>
        <row r="26196">
          <cell r="E26196">
            <v>0</v>
          </cell>
          <cell r="F26196">
            <v>0</v>
          </cell>
          <cell r="DN26196">
            <v>0</v>
          </cell>
        </row>
        <row r="26197">
          <cell r="E26197">
            <v>0</v>
          </cell>
          <cell r="F26197">
            <v>0</v>
          </cell>
          <cell r="DN26197">
            <v>0</v>
          </cell>
        </row>
        <row r="26198">
          <cell r="E26198">
            <v>0</v>
          </cell>
          <cell r="F26198">
            <v>0</v>
          </cell>
          <cell r="DN26198">
            <v>0</v>
          </cell>
        </row>
        <row r="26199">
          <cell r="E26199">
            <v>0</v>
          </cell>
          <cell r="F26199">
            <v>0</v>
          </cell>
          <cell r="DN26199">
            <v>0</v>
          </cell>
        </row>
        <row r="26200">
          <cell r="E26200">
            <v>0</v>
          </cell>
          <cell r="F26200">
            <v>0</v>
          </cell>
          <cell r="DN26200">
            <v>0</v>
          </cell>
        </row>
        <row r="26201">
          <cell r="E26201">
            <v>0</v>
          </cell>
          <cell r="F26201">
            <v>0</v>
          </cell>
          <cell r="DN26201">
            <v>0</v>
          </cell>
        </row>
        <row r="26202">
          <cell r="E26202">
            <v>0</v>
          </cell>
          <cell r="F26202">
            <v>0</v>
          </cell>
          <cell r="DN26202">
            <v>0</v>
          </cell>
        </row>
        <row r="26203">
          <cell r="E26203">
            <v>0</v>
          </cell>
          <cell r="F26203">
            <v>0</v>
          </cell>
          <cell r="DN26203">
            <v>0</v>
          </cell>
        </row>
        <row r="26204">
          <cell r="E26204">
            <v>0</v>
          </cell>
          <cell r="F26204">
            <v>0</v>
          </cell>
          <cell r="DN26204">
            <v>0</v>
          </cell>
        </row>
        <row r="26205">
          <cell r="E26205">
            <v>0</v>
          </cell>
          <cell r="F26205">
            <v>0</v>
          </cell>
          <cell r="DN26205">
            <v>0</v>
          </cell>
        </row>
        <row r="26206">
          <cell r="E26206">
            <v>0</v>
          </cell>
          <cell r="F26206">
            <v>0</v>
          </cell>
          <cell r="DN26206">
            <v>0</v>
          </cell>
        </row>
        <row r="26207">
          <cell r="E26207">
            <v>0</v>
          </cell>
          <cell r="F26207">
            <v>0</v>
          </cell>
          <cell r="DN26207">
            <v>0</v>
          </cell>
        </row>
        <row r="26208">
          <cell r="E26208">
            <v>0</v>
          </cell>
          <cell r="F26208">
            <v>0</v>
          </cell>
          <cell r="DN26208">
            <v>0</v>
          </cell>
        </row>
        <row r="26209">
          <cell r="E26209">
            <v>0</v>
          </cell>
          <cell r="F26209">
            <v>0</v>
          </cell>
          <cell r="DN26209">
            <v>0</v>
          </cell>
        </row>
        <row r="26210">
          <cell r="E26210">
            <v>0</v>
          </cell>
          <cell r="F26210">
            <v>0</v>
          </cell>
          <cell r="DN26210">
            <v>0</v>
          </cell>
        </row>
        <row r="26211">
          <cell r="E26211">
            <v>0</v>
          </cell>
          <cell r="F26211">
            <v>0</v>
          </cell>
          <cell r="DN26211">
            <v>0</v>
          </cell>
        </row>
        <row r="26212">
          <cell r="E26212">
            <v>0</v>
          </cell>
          <cell r="F26212">
            <v>0</v>
          </cell>
          <cell r="DN26212">
            <v>0</v>
          </cell>
        </row>
        <row r="26213">
          <cell r="E26213">
            <v>0</v>
          </cell>
          <cell r="F26213">
            <v>0</v>
          </cell>
          <cell r="DN26213">
            <v>0</v>
          </cell>
        </row>
        <row r="26214">
          <cell r="E26214">
            <v>0</v>
          </cell>
          <cell r="F26214">
            <v>0</v>
          </cell>
          <cell r="DN26214">
            <v>0</v>
          </cell>
        </row>
        <row r="26215">
          <cell r="E26215">
            <v>0</v>
          </cell>
          <cell r="F26215">
            <v>0</v>
          </cell>
          <cell r="DN26215">
            <v>0</v>
          </cell>
        </row>
        <row r="26216">
          <cell r="E26216">
            <v>0</v>
          </cell>
          <cell r="F26216">
            <v>0</v>
          </cell>
          <cell r="DN26216">
            <v>0</v>
          </cell>
        </row>
        <row r="26217">
          <cell r="E26217">
            <v>0</v>
          </cell>
          <cell r="F26217">
            <v>0</v>
          </cell>
          <cell r="DN26217">
            <v>0</v>
          </cell>
        </row>
        <row r="26218">
          <cell r="E26218">
            <v>0</v>
          </cell>
          <cell r="F26218">
            <v>0</v>
          </cell>
          <cell r="DN26218">
            <v>0</v>
          </cell>
        </row>
        <row r="26219">
          <cell r="E26219">
            <v>0</v>
          </cell>
          <cell r="F26219">
            <v>0</v>
          </cell>
          <cell r="DN26219">
            <v>0</v>
          </cell>
        </row>
        <row r="26220">
          <cell r="E26220">
            <v>0</v>
          </cell>
          <cell r="F26220">
            <v>0</v>
          </cell>
          <cell r="DN26220">
            <v>0</v>
          </cell>
        </row>
        <row r="26221">
          <cell r="E26221">
            <v>0</v>
          </cell>
          <cell r="F26221">
            <v>0</v>
          </cell>
          <cell r="DN26221">
            <v>0</v>
          </cell>
        </row>
        <row r="26222">
          <cell r="E26222">
            <v>0</v>
          </cell>
          <cell r="F26222">
            <v>0</v>
          </cell>
          <cell r="DN26222">
            <v>0</v>
          </cell>
        </row>
        <row r="26223">
          <cell r="E26223">
            <v>0</v>
          </cell>
          <cell r="F26223">
            <v>0</v>
          </cell>
          <cell r="DN26223">
            <v>0</v>
          </cell>
        </row>
        <row r="26224">
          <cell r="E26224">
            <v>0</v>
          </cell>
          <cell r="F26224">
            <v>0</v>
          </cell>
          <cell r="DN26224">
            <v>0</v>
          </cell>
        </row>
        <row r="26225">
          <cell r="E26225">
            <v>0</v>
          </cell>
          <cell r="F26225">
            <v>0</v>
          </cell>
          <cell r="DN26225">
            <v>0</v>
          </cell>
        </row>
        <row r="26226">
          <cell r="E26226">
            <v>0</v>
          </cell>
          <cell r="F26226">
            <v>0</v>
          </cell>
          <cell r="DN26226">
            <v>0</v>
          </cell>
        </row>
        <row r="26227">
          <cell r="E26227">
            <v>0</v>
          </cell>
          <cell r="F26227">
            <v>0</v>
          </cell>
          <cell r="DN26227">
            <v>0</v>
          </cell>
        </row>
        <row r="26228">
          <cell r="E26228">
            <v>0</v>
          </cell>
          <cell r="F26228">
            <v>0</v>
          </cell>
          <cell r="DN26228">
            <v>0</v>
          </cell>
        </row>
        <row r="26229">
          <cell r="E26229">
            <v>0</v>
          </cell>
          <cell r="F26229">
            <v>0</v>
          </cell>
          <cell r="DN26229">
            <v>0</v>
          </cell>
        </row>
        <row r="26230">
          <cell r="E26230">
            <v>0</v>
          </cell>
          <cell r="F26230">
            <v>0</v>
          </cell>
          <cell r="DN26230">
            <v>0</v>
          </cell>
        </row>
        <row r="26231">
          <cell r="E26231">
            <v>0</v>
          </cell>
          <cell r="F26231">
            <v>0</v>
          </cell>
          <cell r="DN26231">
            <v>0</v>
          </cell>
        </row>
        <row r="26232">
          <cell r="E26232">
            <v>0</v>
          </cell>
          <cell r="F26232">
            <v>0</v>
          </cell>
          <cell r="DN26232">
            <v>0</v>
          </cell>
        </row>
        <row r="26233">
          <cell r="E26233">
            <v>0</v>
          </cell>
          <cell r="F26233">
            <v>0</v>
          </cell>
          <cell r="DN26233">
            <v>0</v>
          </cell>
        </row>
        <row r="26234">
          <cell r="E26234">
            <v>0</v>
          </cell>
          <cell r="F26234">
            <v>0</v>
          </cell>
          <cell r="DN26234">
            <v>0</v>
          </cell>
        </row>
        <row r="26235">
          <cell r="E26235">
            <v>0</v>
          </cell>
          <cell r="F26235">
            <v>0</v>
          </cell>
          <cell r="DN26235">
            <v>0</v>
          </cell>
        </row>
        <row r="26236">
          <cell r="E26236">
            <v>0</v>
          </cell>
          <cell r="F26236">
            <v>0</v>
          </cell>
          <cell r="DN26236">
            <v>0</v>
          </cell>
        </row>
        <row r="26237">
          <cell r="E26237">
            <v>0</v>
          </cell>
          <cell r="F26237">
            <v>0</v>
          </cell>
          <cell r="DN26237">
            <v>0</v>
          </cell>
        </row>
        <row r="26238">
          <cell r="E26238">
            <v>0</v>
          </cell>
          <cell r="F26238">
            <v>0</v>
          </cell>
          <cell r="DN26238">
            <v>0</v>
          </cell>
        </row>
        <row r="26239">
          <cell r="E26239">
            <v>0</v>
          </cell>
          <cell r="F26239">
            <v>0</v>
          </cell>
          <cell r="DN26239">
            <v>0</v>
          </cell>
        </row>
        <row r="26240">
          <cell r="E26240">
            <v>0</v>
          </cell>
          <cell r="F26240">
            <v>0</v>
          </cell>
          <cell r="DN26240">
            <v>0</v>
          </cell>
        </row>
        <row r="26241">
          <cell r="E26241">
            <v>0</v>
          </cell>
          <cell r="F26241">
            <v>0</v>
          </cell>
          <cell r="DN26241">
            <v>0</v>
          </cell>
        </row>
        <row r="26242">
          <cell r="E26242">
            <v>0</v>
          </cell>
          <cell r="F26242">
            <v>0</v>
          </cell>
          <cell r="DN26242">
            <v>0</v>
          </cell>
        </row>
        <row r="26243">
          <cell r="E26243">
            <v>0</v>
          </cell>
          <cell r="F26243">
            <v>0</v>
          </cell>
          <cell r="DN26243">
            <v>0</v>
          </cell>
        </row>
        <row r="26244">
          <cell r="E26244">
            <v>0</v>
          </cell>
          <cell r="F26244">
            <v>0</v>
          </cell>
          <cell r="DN26244">
            <v>0</v>
          </cell>
        </row>
        <row r="26245">
          <cell r="E26245">
            <v>0</v>
          </cell>
          <cell r="F26245">
            <v>0</v>
          </cell>
          <cell r="DN26245">
            <v>0</v>
          </cell>
        </row>
        <row r="26246">
          <cell r="E26246">
            <v>0</v>
          </cell>
          <cell r="F26246">
            <v>0</v>
          </cell>
          <cell r="DN26246">
            <v>0</v>
          </cell>
        </row>
        <row r="26247">
          <cell r="E26247">
            <v>0</v>
          </cell>
          <cell r="F26247">
            <v>0</v>
          </cell>
          <cell r="DN26247">
            <v>0</v>
          </cell>
        </row>
        <row r="26248">
          <cell r="E26248">
            <v>0</v>
          </cell>
          <cell r="F26248">
            <v>0</v>
          </cell>
          <cell r="DN26248">
            <v>0</v>
          </cell>
        </row>
        <row r="26249">
          <cell r="E26249">
            <v>0</v>
          </cell>
          <cell r="F26249">
            <v>0</v>
          </cell>
          <cell r="DN26249">
            <v>0</v>
          </cell>
        </row>
        <row r="26250">
          <cell r="E26250">
            <v>0</v>
          </cell>
          <cell r="F26250">
            <v>0</v>
          </cell>
          <cell r="DN26250">
            <v>0</v>
          </cell>
        </row>
        <row r="26251">
          <cell r="E26251">
            <v>0</v>
          </cell>
          <cell r="F26251">
            <v>0</v>
          </cell>
          <cell r="DN26251">
            <v>0</v>
          </cell>
        </row>
        <row r="26252">
          <cell r="E26252">
            <v>0</v>
          </cell>
          <cell r="F26252">
            <v>0</v>
          </cell>
          <cell r="DN26252">
            <v>0</v>
          </cell>
        </row>
        <row r="26253">
          <cell r="E26253">
            <v>0</v>
          </cell>
          <cell r="F26253">
            <v>0</v>
          </cell>
          <cell r="DN26253">
            <v>0</v>
          </cell>
        </row>
        <row r="26254">
          <cell r="E26254">
            <v>0</v>
          </cell>
          <cell r="F26254">
            <v>0</v>
          </cell>
          <cell r="DN26254">
            <v>0</v>
          </cell>
        </row>
        <row r="26255">
          <cell r="E26255">
            <v>0</v>
          </cell>
          <cell r="F26255">
            <v>0</v>
          </cell>
          <cell r="DN26255">
            <v>0</v>
          </cell>
        </row>
        <row r="26256">
          <cell r="E26256">
            <v>0</v>
          </cell>
          <cell r="F26256">
            <v>0</v>
          </cell>
          <cell r="DN26256">
            <v>0</v>
          </cell>
        </row>
        <row r="26257">
          <cell r="E26257">
            <v>0</v>
          </cell>
          <cell r="F26257">
            <v>0</v>
          </cell>
          <cell r="DN26257">
            <v>0</v>
          </cell>
        </row>
        <row r="26258">
          <cell r="E26258">
            <v>0</v>
          </cell>
          <cell r="F26258">
            <v>0</v>
          </cell>
          <cell r="DN26258">
            <v>0</v>
          </cell>
        </row>
        <row r="26259">
          <cell r="E26259">
            <v>0</v>
          </cell>
          <cell r="F26259">
            <v>0</v>
          </cell>
          <cell r="DN26259">
            <v>0</v>
          </cell>
        </row>
        <row r="26260">
          <cell r="E26260">
            <v>0</v>
          </cell>
          <cell r="F26260">
            <v>0</v>
          </cell>
          <cell r="DN26260">
            <v>0</v>
          </cell>
        </row>
        <row r="26261">
          <cell r="E26261">
            <v>0</v>
          </cell>
          <cell r="F26261">
            <v>0</v>
          </cell>
          <cell r="DN26261">
            <v>0</v>
          </cell>
        </row>
        <row r="26262">
          <cell r="E26262">
            <v>0</v>
          </cell>
          <cell r="F26262">
            <v>0</v>
          </cell>
          <cell r="DN26262">
            <v>0</v>
          </cell>
        </row>
        <row r="26263">
          <cell r="E26263">
            <v>0</v>
          </cell>
          <cell r="F26263">
            <v>0</v>
          </cell>
          <cell r="DN26263">
            <v>0</v>
          </cell>
        </row>
        <row r="26264">
          <cell r="E26264">
            <v>0</v>
          </cell>
          <cell r="F26264">
            <v>0</v>
          </cell>
          <cell r="DN26264">
            <v>0</v>
          </cell>
        </row>
        <row r="26265">
          <cell r="E26265">
            <v>0</v>
          </cell>
          <cell r="F26265">
            <v>0</v>
          </cell>
          <cell r="DN26265">
            <v>0</v>
          </cell>
        </row>
        <row r="26266">
          <cell r="E26266">
            <v>0</v>
          </cell>
          <cell r="F26266">
            <v>0</v>
          </cell>
          <cell r="DN26266">
            <v>0</v>
          </cell>
        </row>
        <row r="26267">
          <cell r="E26267">
            <v>0</v>
          </cell>
          <cell r="F26267">
            <v>0</v>
          </cell>
          <cell r="DN26267">
            <v>0</v>
          </cell>
        </row>
        <row r="26268">
          <cell r="E26268">
            <v>0</v>
          </cell>
          <cell r="F26268">
            <v>0</v>
          </cell>
          <cell r="DN26268">
            <v>0</v>
          </cell>
        </row>
        <row r="26269">
          <cell r="E26269">
            <v>0</v>
          </cell>
          <cell r="F26269">
            <v>0</v>
          </cell>
          <cell r="DN26269">
            <v>0</v>
          </cell>
        </row>
        <row r="26270">
          <cell r="E26270">
            <v>0</v>
          </cell>
          <cell r="F26270">
            <v>0</v>
          </cell>
          <cell r="DN26270">
            <v>0</v>
          </cell>
        </row>
        <row r="26271">
          <cell r="E26271">
            <v>0</v>
          </cell>
          <cell r="F26271">
            <v>0</v>
          </cell>
          <cell r="DN26271">
            <v>0</v>
          </cell>
        </row>
        <row r="26272">
          <cell r="E26272">
            <v>0</v>
          </cell>
          <cell r="F26272">
            <v>0</v>
          </cell>
          <cell r="DN26272">
            <v>0</v>
          </cell>
        </row>
        <row r="26273">
          <cell r="E26273">
            <v>0</v>
          </cell>
          <cell r="F26273">
            <v>0</v>
          </cell>
          <cell r="DN26273">
            <v>0</v>
          </cell>
        </row>
        <row r="26274">
          <cell r="E26274">
            <v>0</v>
          </cell>
          <cell r="F26274">
            <v>0</v>
          </cell>
          <cell r="DN26274">
            <v>0</v>
          </cell>
        </row>
        <row r="26275">
          <cell r="E26275">
            <v>0</v>
          </cell>
          <cell r="F26275">
            <v>0</v>
          </cell>
          <cell r="DN26275">
            <v>0</v>
          </cell>
        </row>
        <row r="26276">
          <cell r="E26276">
            <v>0</v>
          </cell>
          <cell r="F26276">
            <v>0</v>
          </cell>
          <cell r="DN26276">
            <v>0</v>
          </cell>
        </row>
        <row r="26277">
          <cell r="E26277">
            <v>0</v>
          </cell>
          <cell r="F26277">
            <v>0</v>
          </cell>
          <cell r="DN26277">
            <v>0</v>
          </cell>
        </row>
        <row r="26278">
          <cell r="E26278">
            <v>0</v>
          </cell>
          <cell r="F26278">
            <v>0</v>
          </cell>
          <cell r="DN26278">
            <v>0</v>
          </cell>
        </row>
        <row r="26279">
          <cell r="E26279">
            <v>0</v>
          </cell>
          <cell r="F26279">
            <v>0</v>
          </cell>
          <cell r="DN26279">
            <v>0</v>
          </cell>
        </row>
        <row r="26280">
          <cell r="E26280">
            <v>0</v>
          </cell>
          <cell r="F26280">
            <v>0</v>
          </cell>
          <cell r="DN26280">
            <v>0</v>
          </cell>
        </row>
        <row r="26281">
          <cell r="E26281">
            <v>0</v>
          </cell>
          <cell r="F26281">
            <v>0</v>
          </cell>
          <cell r="DN26281">
            <v>0</v>
          </cell>
        </row>
        <row r="26282">
          <cell r="E26282">
            <v>0</v>
          </cell>
          <cell r="F26282">
            <v>0</v>
          </cell>
          <cell r="DN26282">
            <v>0</v>
          </cell>
        </row>
        <row r="26283">
          <cell r="E26283">
            <v>0</v>
          </cell>
          <cell r="F26283">
            <v>0</v>
          </cell>
          <cell r="DN26283">
            <v>0</v>
          </cell>
        </row>
        <row r="26284">
          <cell r="E26284">
            <v>0</v>
          </cell>
          <cell r="F26284">
            <v>0</v>
          </cell>
          <cell r="DN26284">
            <v>0</v>
          </cell>
        </row>
        <row r="26285">
          <cell r="E26285">
            <v>0</v>
          </cell>
          <cell r="F26285">
            <v>0</v>
          </cell>
          <cell r="DN26285">
            <v>0</v>
          </cell>
        </row>
        <row r="26286">
          <cell r="E26286">
            <v>0</v>
          </cell>
          <cell r="F26286">
            <v>0</v>
          </cell>
          <cell r="DN26286">
            <v>0</v>
          </cell>
        </row>
        <row r="26287">
          <cell r="E26287">
            <v>0</v>
          </cell>
          <cell r="F26287">
            <v>0</v>
          </cell>
          <cell r="DN26287">
            <v>0</v>
          </cell>
        </row>
        <row r="26288">
          <cell r="E26288">
            <v>0</v>
          </cell>
          <cell r="F26288">
            <v>0</v>
          </cell>
          <cell r="DN26288">
            <v>0</v>
          </cell>
        </row>
        <row r="26289">
          <cell r="E26289">
            <v>0</v>
          </cell>
          <cell r="F26289">
            <v>0</v>
          </cell>
          <cell r="DN26289">
            <v>0</v>
          </cell>
        </row>
        <row r="26290">
          <cell r="E26290">
            <v>0</v>
          </cell>
          <cell r="F26290">
            <v>0</v>
          </cell>
          <cell r="DN26290">
            <v>0</v>
          </cell>
        </row>
        <row r="26291">
          <cell r="E26291">
            <v>0</v>
          </cell>
          <cell r="F26291">
            <v>0</v>
          </cell>
          <cell r="DN26291">
            <v>0</v>
          </cell>
        </row>
        <row r="26292">
          <cell r="E26292">
            <v>0</v>
          </cell>
          <cell r="F26292">
            <v>0</v>
          </cell>
          <cell r="DN26292">
            <v>0</v>
          </cell>
        </row>
        <row r="26293">
          <cell r="E26293">
            <v>0</v>
          </cell>
          <cell r="F26293">
            <v>0</v>
          </cell>
          <cell r="DN26293">
            <v>0</v>
          </cell>
        </row>
        <row r="26294">
          <cell r="E26294">
            <v>0</v>
          </cell>
          <cell r="F26294">
            <v>0</v>
          </cell>
          <cell r="DN26294">
            <v>0</v>
          </cell>
        </row>
        <row r="26295">
          <cell r="E26295">
            <v>0</v>
          </cell>
          <cell r="F26295">
            <v>0</v>
          </cell>
          <cell r="DN26295">
            <v>0</v>
          </cell>
        </row>
        <row r="26296">
          <cell r="E26296">
            <v>0</v>
          </cell>
          <cell r="F26296">
            <v>0</v>
          </cell>
          <cell r="DN26296">
            <v>0</v>
          </cell>
        </row>
        <row r="26297">
          <cell r="E26297">
            <v>0</v>
          </cell>
          <cell r="F26297">
            <v>0</v>
          </cell>
          <cell r="DN26297">
            <v>0</v>
          </cell>
        </row>
        <row r="26298">
          <cell r="E26298">
            <v>0</v>
          </cell>
          <cell r="F26298">
            <v>0</v>
          </cell>
          <cell r="DN26298">
            <v>0</v>
          </cell>
        </row>
        <row r="26299">
          <cell r="E26299">
            <v>0</v>
          </cell>
          <cell r="F26299">
            <v>0</v>
          </cell>
          <cell r="DN26299">
            <v>0</v>
          </cell>
        </row>
        <row r="26300">
          <cell r="E26300">
            <v>0</v>
          </cell>
          <cell r="F26300">
            <v>0</v>
          </cell>
          <cell r="DN26300">
            <v>0</v>
          </cell>
        </row>
        <row r="26301">
          <cell r="E26301">
            <v>0</v>
          </cell>
          <cell r="F26301">
            <v>0</v>
          </cell>
          <cell r="DN26301">
            <v>0</v>
          </cell>
        </row>
        <row r="26302">
          <cell r="E26302">
            <v>0</v>
          </cell>
          <cell r="F26302">
            <v>0</v>
          </cell>
          <cell r="DN26302">
            <v>0</v>
          </cell>
        </row>
        <row r="26303">
          <cell r="E26303">
            <v>0</v>
          </cell>
          <cell r="F26303">
            <v>0</v>
          </cell>
          <cell r="DN26303">
            <v>0</v>
          </cell>
        </row>
        <row r="26304">
          <cell r="E26304">
            <v>0</v>
          </cell>
          <cell r="F26304">
            <v>0</v>
          </cell>
          <cell r="DN26304">
            <v>0</v>
          </cell>
        </row>
        <row r="26305">
          <cell r="E26305">
            <v>0</v>
          </cell>
          <cell r="F26305">
            <v>0</v>
          </cell>
          <cell r="DN26305">
            <v>0</v>
          </cell>
        </row>
        <row r="26306">
          <cell r="E26306">
            <v>0</v>
          </cell>
          <cell r="F26306">
            <v>0</v>
          </cell>
          <cell r="DN26306">
            <v>0</v>
          </cell>
        </row>
        <row r="26307">
          <cell r="E26307">
            <v>0</v>
          </cell>
          <cell r="F26307">
            <v>0</v>
          </cell>
          <cell r="DN26307">
            <v>0</v>
          </cell>
        </row>
        <row r="26308">
          <cell r="E26308">
            <v>0</v>
          </cell>
          <cell r="F26308">
            <v>0</v>
          </cell>
          <cell r="DN26308">
            <v>0</v>
          </cell>
        </row>
        <row r="26309">
          <cell r="E26309">
            <v>0</v>
          </cell>
          <cell r="F26309">
            <v>0</v>
          </cell>
          <cell r="DN26309">
            <v>0</v>
          </cell>
        </row>
        <row r="26310">
          <cell r="E26310">
            <v>0</v>
          </cell>
          <cell r="F26310">
            <v>0</v>
          </cell>
          <cell r="DN26310">
            <v>0</v>
          </cell>
        </row>
        <row r="26311">
          <cell r="E26311">
            <v>0</v>
          </cell>
          <cell r="F26311">
            <v>0</v>
          </cell>
          <cell r="DN26311">
            <v>0</v>
          </cell>
        </row>
        <row r="26312">
          <cell r="E26312">
            <v>0</v>
          </cell>
          <cell r="F26312">
            <v>0</v>
          </cell>
          <cell r="DN26312">
            <v>0</v>
          </cell>
        </row>
        <row r="26313">
          <cell r="E26313">
            <v>0</v>
          </cell>
          <cell r="F26313">
            <v>0</v>
          </cell>
          <cell r="DN26313">
            <v>0</v>
          </cell>
        </row>
        <row r="26314">
          <cell r="E26314">
            <v>0</v>
          </cell>
          <cell r="F26314">
            <v>0</v>
          </cell>
          <cell r="DN26314">
            <v>0</v>
          </cell>
        </row>
        <row r="26315">
          <cell r="E26315">
            <v>0</v>
          </cell>
          <cell r="F26315">
            <v>0</v>
          </cell>
          <cell r="DN26315">
            <v>0</v>
          </cell>
        </row>
        <row r="26316">
          <cell r="E26316">
            <v>0</v>
          </cell>
          <cell r="F26316">
            <v>0</v>
          </cell>
          <cell r="DN26316">
            <v>0</v>
          </cell>
        </row>
        <row r="26317">
          <cell r="E26317">
            <v>0</v>
          </cell>
          <cell r="F26317">
            <v>0</v>
          </cell>
          <cell r="DN26317">
            <v>0</v>
          </cell>
        </row>
        <row r="26318">
          <cell r="E26318">
            <v>0</v>
          </cell>
          <cell r="F26318">
            <v>0</v>
          </cell>
          <cell r="DN26318">
            <v>0</v>
          </cell>
        </row>
        <row r="26319">
          <cell r="E26319">
            <v>0</v>
          </cell>
          <cell r="F26319">
            <v>0</v>
          </cell>
          <cell r="DN26319">
            <v>0</v>
          </cell>
        </row>
        <row r="26320">
          <cell r="E26320">
            <v>0</v>
          </cell>
          <cell r="F26320">
            <v>0</v>
          </cell>
          <cell r="DN26320">
            <v>0</v>
          </cell>
        </row>
        <row r="26321">
          <cell r="E26321">
            <v>0</v>
          </cell>
          <cell r="F26321">
            <v>0</v>
          </cell>
          <cell r="DN26321">
            <v>0</v>
          </cell>
        </row>
        <row r="26322">
          <cell r="E26322">
            <v>0</v>
          </cell>
          <cell r="F26322">
            <v>0</v>
          </cell>
          <cell r="DN26322">
            <v>0</v>
          </cell>
        </row>
        <row r="26323">
          <cell r="E26323">
            <v>0</v>
          </cell>
          <cell r="F26323">
            <v>0</v>
          </cell>
          <cell r="DN26323">
            <v>0</v>
          </cell>
        </row>
        <row r="26324">
          <cell r="E26324">
            <v>0</v>
          </cell>
          <cell r="F26324">
            <v>0</v>
          </cell>
          <cell r="DN26324">
            <v>0</v>
          </cell>
        </row>
        <row r="26325">
          <cell r="E26325">
            <v>0</v>
          </cell>
          <cell r="F26325">
            <v>0</v>
          </cell>
          <cell r="DN26325">
            <v>0</v>
          </cell>
        </row>
        <row r="26326">
          <cell r="E26326">
            <v>0</v>
          </cell>
          <cell r="F26326">
            <v>0</v>
          </cell>
          <cell r="DN26326">
            <v>0</v>
          </cell>
        </row>
        <row r="26327">
          <cell r="E26327">
            <v>0</v>
          </cell>
          <cell r="F26327">
            <v>0</v>
          </cell>
          <cell r="DN26327">
            <v>0</v>
          </cell>
        </row>
        <row r="26328">
          <cell r="E26328">
            <v>0</v>
          </cell>
          <cell r="F26328">
            <v>0</v>
          </cell>
          <cell r="DN26328">
            <v>0</v>
          </cell>
        </row>
        <row r="26329">
          <cell r="E26329">
            <v>0</v>
          </cell>
          <cell r="F26329">
            <v>0</v>
          </cell>
          <cell r="DN26329">
            <v>0</v>
          </cell>
        </row>
        <row r="26330">
          <cell r="E26330">
            <v>0</v>
          </cell>
          <cell r="F26330">
            <v>0</v>
          </cell>
          <cell r="DN26330">
            <v>0</v>
          </cell>
        </row>
        <row r="26331">
          <cell r="E26331">
            <v>0</v>
          </cell>
          <cell r="F26331">
            <v>0</v>
          </cell>
          <cell r="DN26331">
            <v>0</v>
          </cell>
        </row>
        <row r="26332">
          <cell r="E26332">
            <v>0</v>
          </cell>
          <cell r="F26332">
            <v>0</v>
          </cell>
          <cell r="DN26332">
            <v>0</v>
          </cell>
        </row>
        <row r="26333">
          <cell r="E26333">
            <v>0</v>
          </cell>
          <cell r="F26333">
            <v>0</v>
          </cell>
          <cell r="DN26333">
            <v>0</v>
          </cell>
        </row>
        <row r="26334">
          <cell r="E26334">
            <v>0</v>
          </cell>
          <cell r="F26334">
            <v>0</v>
          </cell>
          <cell r="DN26334">
            <v>0</v>
          </cell>
        </row>
        <row r="26335">
          <cell r="E26335">
            <v>0</v>
          </cell>
          <cell r="F26335">
            <v>0</v>
          </cell>
          <cell r="DN26335">
            <v>0</v>
          </cell>
        </row>
        <row r="26336">
          <cell r="E26336">
            <v>0</v>
          </cell>
          <cell r="F26336">
            <v>0</v>
          </cell>
          <cell r="DN26336">
            <v>0</v>
          </cell>
        </row>
        <row r="26337">
          <cell r="E26337">
            <v>0</v>
          </cell>
          <cell r="F26337">
            <v>0</v>
          </cell>
          <cell r="DN26337">
            <v>0</v>
          </cell>
        </row>
        <row r="26338">
          <cell r="E26338">
            <v>0</v>
          </cell>
          <cell r="F26338">
            <v>0</v>
          </cell>
          <cell r="DN26338">
            <v>0</v>
          </cell>
        </row>
        <row r="26339">
          <cell r="E26339">
            <v>0</v>
          </cell>
          <cell r="F26339">
            <v>0</v>
          </cell>
          <cell r="DN26339">
            <v>0</v>
          </cell>
        </row>
        <row r="26340">
          <cell r="E26340">
            <v>0</v>
          </cell>
          <cell r="F26340">
            <v>0</v>
          </cell>
          <cell r="DN26340">
            <v>0</v>
          </cell>
        </row>
        <row r="26341">
          <cell r="E26341">
            <v>0</v>
          </cell>
          <cell r="F26341">
            <v>0</v>
          </cell>
          <cell r="DN26341">
            <v>0</v>
          </cell>
        </row>
        <row r="26342">
          <cell r="E26342">
            <v>0</v>
          </cell>
          <cell r="F26342">
            <v>0</v>
          </cell>
          <cell r="DN26342">
            <v>0</v>
          </cell>
        </row>
        <row r="26343">
          <cell r="E26343">
            <v>0</v>
          </cell>
          <cell r="F26343">
            <v>0</v>
          </cell>
          <cell r="DN26343">
            <v>0</v>
          </cell>
        </row>
        <row r="26344">
          <cell r="E26344">
            <v>0</v>
          </cell>
          <cell r="F26344">
            <v>0</v>
          </cell>
          <cell r="DN26344">
            <v>0</v>
          </cell>
        </row>
        <row r="26345">
          <cell r="E26345">
            <v>0</v>
          </cell>
          <cell r="F26345">
            <v>0</v>
          </cell>
          <cell r="DN26345">
            <v>0</v>
          </cell>
        </row>
        <row r="26346">
          <cell r="E26346">
            <v>0</v>
          </cell>
          <cell r="F26346">
            <v>0</v>
          </cell>
          <cell r="DN26346">
            <v>0</v>
          </cell>
        </row>
        <row r="26347">
          <cell r="E26347">
            <v>0</v>
          </cell>
          <cell r="F26347">
            <v>0</v>
          </cell>
          <cell r="DN26347">
            <v>0</v>
          </cell>
        </row>
        <row r="26348">
          <cell r="E26348">
            <v>0</v>
          </cell>
          <cell r="F26348">
            <v>0</v>
          </cell>
          <cell r="DN26348">
            <v>0</v>
          </cell>
        </row>
        <row r="26349">
          <cell r="E26349">
            <v>0</v>
          </cell>
          <cell r="F26349">
            <v>0</v>
          </cell>
          <cell r="DN26349">
            <v>0</v>
          </cell>
        </row>
        <row r="26350">
          <cell r="E26350">
            <v>0</v>
          </cell>
          <cell r="F26350">
            <v>0</v>
          </cell>
          <cell r="DN26350">
            <v>0</v>
          </cell>
        </row>
        <row r="26351">
          <cell r="E26351">
            <v>0</v>
          </cell>
          <cell r="F26351">
            <v>0</v>
          </cell>
          <cell r="DN26351">
            <v>0</v>
          </cell>
        </row>
        <row r="26352">
          <cell r="E26352">
            <v>0</v>
          </cell>
          <cell r="F26352">
            <v>0</v>
          </cell>
          <cell r="DN26352">
            <v>0</v>
          </cell>
        </row>
        <row r="26353">
          <cell r="E26353">
            <v>0</v>
          </cell>
          <cell r="F26353">
            <v>0</v>
          </cell>
          <cell r="DN26353">
            <v>0</v>
          </cell>
        </row>
        <row r="26354">
          <cell r="E26354">
            <v>0</v>
          </cell>
          <cell r="F26354">
            <v>0</v>
          </cell>
          <cell r="DN26354">
            <v>0</v>
          </cell>
        </row>
        <row r="26355">
          <cell r="E26355">
            <v>0</v>
          </cell>
          <cell r="F26355">
            <v>0</v>
          </cell>
          <cell r="DN26355">
            <v>0</v>
          </cell>
        </row>
        <row r="26356">
          <cell r="E26356">
            <v>0</v>
          </cell>
          <cell r="F26356">
            <v>0</v>
          </cell>
          <cell r="DN26356">
            <v>0</v>
          </cell>
        </row>
        <row r="26357">
          <cell r="E26357">
            <v>0</v>
          </cell>
          <cell r="F26357">
            <v>0</v>
          </cell>
          <cell r="DN26357">
            <v>0</v>
          </cell>
        </row>
        <row r="26358">
          <cell r="E26358">
            <v>0</v>
          </cell>
          <cell r="F26358">
            <v>0</v>
          </cell>
          <cell r="DN26358">
            <v>0</v>
          </cell>
        </row>
        <row r="26359">
          <cell r="E26359">
            <v>0</v>
          </cell>
          <cell r="F26359">
            <v>0</v>
          </cell>
          <cell r="DN26359">
            <v>0</v>
          </cell>
        </row>
        <row r="26360">
          <cell r="E26360">
            <v>0</v>
          </cell>
          <cell r="F26360">
            <v>0</v>
          </cell>
          <cell r="DN26360">
            <v>0</v>
          </cell>
        </row>
        <row r="26361">
          <cell r="E26361">
            <v>0</v>
          </cell>
          <cell r="F26361">
            <v>0</v>
          </cell>
          <cell r="DN26361">
            <v>0</v>
          </cell>
        </row>
        <row r="26362">
          <cell r="E26362">
            <v>0</v>
          </cell>
          <cell r="F26362">
            <v>0</v>
          </cell>
          <cell r="DN26362">
            <v>0</v>
          </cell>
        </row>
        <row r="26363">
          <cell r="E26363">
            <v>0</v>
          </cell>
          <cell r="F26363">
            <v>0</v>
          </cell>
          <cell r="DN26363">
            <v>0</v>
          </cell>
        </row>
        <row r="26364">
          <cell r="E26364">
            <v>0</v>
          </cell>
          <cell r="F26364">
            <v>0</v>
          </cell>
          <cell r="DN26364">
            <v>0</v>
          </cell>
        </row>
        <row r="26365">
          <cell r="E26365">
            <v>0</v>
          </cell>
          <cell r="F26365">
            <v>0</v>
          </cell>
          <cell r="DN26365">
            <v>0</v>
          </cell>
        </row>
        <row r="26366">
          <cell r="E26366">
            <v>0</v>
          </cell>
          <cell r="F26366">
            <v>0</v>
          </cell>
          <cell r="DN26366">
            <v>0</v>
          </cell>
        </row>
        <row r="26367">
          <cell r="E26367">
            <v>0</v>
          </cell>
          <cell r="F26367">
            <v>0</v>
          </cell>
          <cell r="DN26367">
            <v>0</v>
          </cell>
        </row>
        <row r="26368">
          <cell r="E26368">
            <v>0</v>
          </cell>
          <cell r="F26368">
            <v>0</v>
          </cell>
          <cell r="DN26368">
            <v>0</v>
          </cell>
        </row>
        <row r="26369">
          <cell r="E26369">
            <v>0</v>
          </cell>
          <cell r="F26369">
            <v>0</v>
          </cell>
          <cell r="DN26369">
            <v>0</v>
          </cell>
        </row>
        <row r="26370">
          <cell r="E26370">
            <v>0</v>
          </cell>
          <cell r="F26370">
            <v>0</v>
          </cell>
          <cell r="DN26370">
            <v>0</v>
          </cell>
        </row>
        <row r="26371">
          <cell r="E26371">
            <v>0</v>
          </cell>
          <cell r="F26371">
            <v>0</v>
          </cell>
          <cell r="DN26371">
            <v>0</v>
          </cell>
        </row>
        <row r="26372">
          <cell r="E26372">
            <v>0</v>
          </cell>
          <cell r="F26372">
            <v>0</v>
          </cell>
          <cell r="DN26372">
            <v>0</v>
          </cell>
        </row>
        <row r="26373">
          <cell r="E26373">
            <v>0</v>
          </cell>
          <cell r="F26373">
            <v>0</v>
          </cell>
          <cell r="DN26373">
            <v>0</v>
          </cell>
        </row>
        <row r="26374">
          <cell r="E26374">
            <v>0</v>
          </cell>
          <cell r="F26374">
            <v>0</v>
          </cell>
          <cell r="DN26374">
            <v>0</v>
          </cell>
        </row>
        <row r="26375">
          <cell r="E26375">
            <v>0</v>
          </cell>
          <cell r="F26375">
            <v>0</v>
          </cell>
          <cell r="DN26375">
            <v>0</v>
          </cell>
        </row>
        <row r="26376">
          <cell r="E26376">
            <v>0</v>
          </cell>
          <cell r="F26376">
            <v>0</v>
          </cell>
          <cell r="DN26376">
            <v>0</v>
          </cell>
        </row>
        <row r="26377">
          <cell r="E26377">
            <v>0</v>
          </cell>
          <cell r="F26377">
            <v>0</v>
          </cell>
          <cell r="DN26377">
            <v>0</v>
          </cell>
        </row>
        <row r="26378">
          <cell r="E26378">
            <v>0</v>
          </cell>
          <cell r="F26378">
            <v>0</v>
          </cell>
          <cell r="DN26378">
            <v>0</v>
          </cell>
        </row>
        <row r="26379">
          <cell r="E26379">
            <v>0</v>
          </cell>
          <cell r="F26379">
            <v>0</v>
          </cell>
          <cell r="DN26379">
            <v>0</v>
          </cell>
        </row>
        <row r="26380">
          <cell r="E26380">
            <v>0</v>
          </cell>
          <cell r="F26380">
            <v>0</v>
          </cell>
          <cell r="DN26380">
            <v>0</v>
          </cell>
        </row>
        <row r="26381">
          <cell r="E26381">
            <v>0</v>
          </cell>
          <cell r="F26381">
            <v>0</v>
          </cell>
          <cell r="DN26381">
            <v>0</v>
          </cell>
        </row>
        <row r="26382">
          <cell r="E26382">
            <v>0</v>
          </cell>
          <cell r="F26382">
            <v>0</v>
          </cell>
          <cell r="DN26382">
            <v>0</v>
          </cell>
        </row>
        <row r="26383">
          <cell r="E26383">
            <v>0</v>
          </cell>
          <cell r="F26383">
            <v>0</v>
          </cell>
          <cell r="DN26383">
            <v>0</v>
          </cell>
        </row>
        <row r="26384">
          <cell r="E26384">
            <v>0</v>
          </cell>
          <cell r="F26384">
            <v>0</v>
          </cell>
          <cell r="DN26384">
            <v>0</v>
          </cell>
        </row>
        <row r="26385">
          <cell r="E26385">
            <v>0</v>
          </cell>
          <cell r="F26385">
            <v>0</v>
          </cell>
          <cell r="DN26385">
            <v>0</v>
          </cell>
        </row>
        <row r="26386">
          <cell r="E26386">
            <v>0</v>
          </cell>
          <cell r="F26386">
            <v>0</v>
          </cell>
          <cell r="DN26386">
            <v>0</v>
          </cell>
        </row>
        <row r="26387">
          <cell r="E26387">
            <v>0</v>
          </cell>
          <cell r="F26387">
            <v>0</v>
          </cell>
          <cell r="DN26387">
            <v>0</v>
          </cell>
        </row>
        <row r="26388">
          <cell r="E26388">
            <v>0</v>
          </cell>
          <cell r="F26388">
            <v>0</v>
          </cell>
          <cell r="DN26388">
            <v>0</v>
          </cell>
        </row>
        <row r="26389">
          <cell r="E26389">
            <v>0</v>
          </cell>
          <cell r="F26389">
            <v>0</v>
          </cell>
          <cell r="DN26389">
            <v>0</v>
          </cell>
        </row>
        <row r="26390">
          <cell r="E26390">
            <v>0</v>
          </cell>
          <cell r="F26390">
            <v>0</v>
          </cell>
          <cell r="DN26390">
            <v>0</v>
          </cell>
        </row>
        <row r="26391">
          <cell r="E26391">
            <v>0</v>
          </cell>
          <cell r="F26391">
            <v>0</v>
          </cell>
          <cell r="DN26391">
            <v>0</v>
          </cell>
        </row>
        <row r="26392">
          <cell r="E26392">
            <v>0</v>
          </cell>
          <cell r="F26392">
            <v>0</v>
          </cell>
          <cell r="DN26392">
            <v>0</v>
          </cell>
        </row>
        <row r="26393">
          <cell r="E26393">
            <v>0</v>
          </cell>
          <cell r="F26393">
            <v>0</v>
          </cell>
          <cell r="DN26393">
            <v>0</v>
          </cell>
        </row>
        <row r="26394">
          <cell r="E26394">
            <v>0</v>
          </cell>
          <cell r="F26394">
            <v>0</v>
          </cell>
          <cell r="DN26394">
            <v>0</v>
          </cell>
        </row>
        <row r="26395">
          <cell r="E26395">
            <v>0</v>
          </cell>
          <cell r="F26395">
            <v>0</v>
          </cell>
          <cell r="DN26395">
            <v>0</v>
          </cell>
        </row>
        <row r="26396">
          <cell r="E26396">
            <v>0</v>
          </cell>
          <cell r="F26396">
            <v>0</v>
          </cell>
          <cell r="DN26396">
            <v>0</v>
          </cell>
        </row>
        <row r="26397">
          <cell r="E26397">
            <v>0</v>
          </cell>
          <cell r="F26397">
            <v>0</v>
          </cell>
          <cell r="DN26397">
            <v>0</v>
          </cell>
        </row>
        <row r="26398">
          <cell r="E26398">
            <v>0</v>
          </cell>
          <cell r="F26398">
            <v>0</v>
          </cell>
          <cell r="DN26398">
            <v>0</v>
          </cell>
        </row>
        <row r="26399">
          <cell r="E26399">
            <v>0</v>
          </cell>
          <cell r="F26399">
            <v>0</v>
          </cell>
          <cell r="DN26399">
            <v>0</v>
          </cell>
        </row>
        <row r="26400">
          <cell r="E26400">
            <v>0</v>
          </cell>
          <cell r="F26400">
            <v>0</v>
          </cell>
          <cell r="DN26400">
            <v>0</v>
          </cell>
        </row>
        <row r="26401">
          <cell r="E26401">
            <v>0</v>
          </cell>
          <cell r="F26401">
            <v>0</v>
          </cell>
          <cell r="DN26401">
            <v>0</v>
          </cell>
        </row>
        <row r="26402">
          <cell r="E26402">
            <v>0</v>
          </cell>
          <cell r="F26402">
            <v>0</v>
          </cell>
          <cell r="DN26402">
            <v>0</v>
          </cell>
        </row>
        <row r="26403">
          <cell r="E26403">
            <v>0</v>
          </cell>
          <cell r="F26403">
            <v>0</v>
          </cell>
          <cell r="DN26403">
            <v>0</v>
          </cell>
        </row>
        <row r="26404">
          <cell r="E26404">
            <v>0</v>
          </cell>
          <cell r="F26404">
            <v>0</v>
          </cell>
          <cell r="DN26404">
            <v>0</v>
          </cell>
        </row>
        <row r="26405">
          <cell r="E26405">
            <v>0</v>
          </cell>
          <cell r="F26405">
            <v>0</v>
          </cell>
          <cell r="DN26405">
            <v>0</v>
          </cell>
        </row>
        <row r="26406">
          <cell r="E26406">
            <v>0</v>
          </cell>
          <cell r="F26406">
            <v>0</v>
          </cell>
          <cell r="DN26406">
            <v>0</v>
          </cell>
        </row>
        <row r="26407">
          <cell r="E26407">
            <v>0</v>
          </cell>
          <cell r="F26407">
            <v>0</v>
          </cell>
          <cell r="DN26407">
            <v>0</v>
          </cell>
        </row>
        <row r="26408">
          <cell r="E26408">
            <v>0</v>
          </cell>
          <cell r="F26408">
            <v>0</v>
          </cell>
          <cell r="DN26408">
            <v>0</v>
          </cell>
        </row>
        <row r="26409">
          <cell r="E26409">
            <v>0</v>
          </cell>
          <cell r="F26409">
            <v>0</v>
          </cell>
          <cell r="DN26409">
            <v>0</v>
          </cell>
        </row>
        <row r="26410">
          <cell r="E26410">
            <v>0</v>
          </cell>
          <cell r="F26410">
            <v>0</v>
          </cell>
          <cell r="DN26410">
            <v>0</v>
          </cell>
        </row>
        <row r="26411">
          <cell r="E26411">
            <v>0</v>
          </cell>
          <cell r="F26411">
            <v>0</v>
          </cell>
          <cell r="DN26411">
            <v>0</v>
          </cell>
        </row>
        <row r="26412">
          <cell r="E26412">
            <v>0</v>
          </cell>
          <cell r="F26412">
            <v>0</v>
          </cell>
          <cell r="DN26412">
            <v>0</v>
          </cell>
        </row>
        <row r="26413">
          <cell r="E26413">
            <v>0</v>
          </cell>
          <cell r="F26413">
            <v>0</v>
          </cell>
          <cell r="DN26413">
            <v>0</v>
          </cell>
        </row>
        <row r="26414">
          <cell r="E26414">
            <v>0</v>
          </cell>
          <cell r="F26414">
            <v>0</v>
          </cell>
          <cell r="DN26414">
            <v>0</v>
          </cell>
        </row>
        <row r="26415">
          <cell r="E26415">
            <v>0</v>
          </cell>
          <cell r="F26415">
            <v>0</v>
          </cell>
          <cell r="DN26415">
            <v>0</v>
          </cell>
        </row>
        <row r="26416">
          <cell r="E26416">
            <v>0</v>
          </cell>
          <cell r="F26416">
            <v>0</v>
          </cell>
          <cell r="DN26416">
            <v>0</v>
          </cell>
        </row>
        <row r="26417">
          <cell r="E26417">
            <v>0</v>
          </cell>
          <cell r="F26417">
            <v>0</v>
          </cell>
          <cell r="DN26417">
            <v>0</v>
          </cell>
        </row>
        <row r="26418">
          <cell r="E26418">
            <v>0</v>
          </cell>
          <cell r="F26418">
            <v>0</v>
          </cell>
          <cell r="DN26418">
            <v>0</v>
          </cell>
        </row>
        <row r="26419">
          <cell r="E26419">
            <v>0</v>
          </cell>
          <cell r="F26419">
            <v>0</v>
          </cell>
          <cell r="DN26419">
            <v>0</v>
          </cell>
        </row>
        <row r="26420">
          <cell r="E26420">
            <v>0</v>
          </cell>
          <cell r="F26420">
            <v>0</v>
          </cell>
          <cell r="DN26420">
            <v>0</v>
          </cell>
        </row>
        <row r="26421">
          <cell r="E26421">
            <v>0</v>
          </cell>
          <cell r="F26421">
            <v>0</v>
          </cell>
          <cell r="DN26421">
            <v>0</v>
          </cell>
        </row>
        <row r="26422">
          <cell r="E26422">
            <v>0</v>
          </cell>
          <cell r="F26422">
            <v>0</v>
          </cell>
          <cell r="DN26422">
            <v>0</v>
          </cell>
        </row>
        <row r="26423">
          <cell r="E26423">
            <v>0</v>
          </cell>
          <cell r="F26423">
            <v>0</v>
          </cell>
          <cell r="DN26423">
            <v>0</v>
          </cell>
        </row>
        <row r="26424">
          <cell r="E26424">
            <v>0</v>
          </cell>
          <cell r="F26424">
            <v>0</v>
          </cell>
          <cell r="DN26424">
            <v>0</v>
          </cell>
        </row>
        <row r="26425">
          <cell r="E26425">
            <v>0</v>
          </cell>
          <cell r="F26425">
            <v>0</v>
          </cell>
          <cell r="DN26425">
            <v>0</v>
          </cell>
        </row>
        <row r="26426">
          <cell r="E26426">
            <v>0</v>
          </cell>
          <cell r="F26426">
            <v>0</v>
          </cell>
          <cell r="DN26426">
            <v>0</v>
          </cell>
        </row>
        <row r="26427">
          <cell r="E26427">
            <v>0</v>
          </cell>
          <cell r="F26427">
            <v>0</v>
          </cell>
          <cell r="DN26427">
            <v>0</v>
          </cell>
        </row>
        <row r="26428">
          <cell r="E26428">
            <v>0</v>
          </cell>
          <cell r="F26428">
            <v>0</v>
          </cell>
          <cell r="DN26428">
            <v>0</v>
          </cell>
        </row>
        <row r="26429">
          <cell r="E26429">
            <v>0</v>
          </cell>
          <cell r="F26429">
            <v>0</v>
          </cell>
          <cell r="DN26429">
            <v>0</v>
          </cell>
        </row>
        <row r="26430">
          <cell r="E26430">
            <v>0</v>
          </cell>
          <cell r="F26430">
            <v>0</v>
          </cell>
          <cell r="DN26430">
            <v>0</v>
          </cell>
        </row>
        <row r="26431">
          <cell r="E26431">
            <v>0</v>
          </cell>
          <cell r="F26431">
            <v>0</v>
          </cell>
          <cell r="DN26431">
            <v>0</v>
          </cell>
        </row>
        <row r="26432">
          <cell r="E26432">
            <v>0</v>
          </cell>
          <cell r="F26432">
            <v>0</v>
          </cell>
          <cell r="DN26432">
            <v>0</v>
          </cell>
        </row>
        <row r="26433">
          <cell r="E26433">
            <v>0</v>
          </cell>
          <cell r="F26433">
            <v>0</v>
          </cell>
          <cell r="DN26433">
            <v>0</v>
          </cell>
        </row>
        <row r="26434">
          <cell r="E26434">
            <v>0</v>
          </cell>
          <cell r="F26434">
            <v>0</v>
          </cell>
          <cell r="DN26434">
            <v>0</v>
          </cell>
        </row>
        <row r="26435">
          <cell r="E26435">
            <v>0</v>
          </cell>
          <cell r="F26435">
            <v>0</v>
          </cell>
          <cell r="DN26435">
            <v>0</v>
          </cell>
        </row>
        <row r="26436">
          <cell r="E26436">
            <v>0</v>
          </cell>
          <cell r="F26436">
            <v>0</v>
          </cell>
          <cell r="DN26436">
            <v>0</v>
          </cell>
        </row>
        <row r="26437">
          <cell r="E26437">
            <v>0</v>
          </cell>
          <cell r="F26437">
            <v>0</v>
          </cell>
          <cell r="DN26437">
            <v>0</v>
          </cell>
        </row>
        <row r="26438">
          <cell r="E26438">
            <v>0</v>
          </cell>
          <cell r="F26438">
            <v>0</v>
          </cell>
          <cell r="DN26438">
            <v>0</v>
          </cell>
        </row>
        <row r="26439">
          <cell r="E26439">
            <v>0</v>
          </cell>
          <cell r="F26439">
            <v>0</v>
          </cell>
          <cell r="DN26439">
            <v>0</v>
          </cell>
        </row>
        <row r="26440">
          <cell r="E26440">
            <v>0</v>
          </cell>
          <cell r="F26440">
            <v>0</v>
          </cell>
          <cell r="DN26440">
            <v>0</v>
          </cell>
        </row>
        <row r="26441">
          <cell r="E26441">
            <v>0</v>
          </cell>
          <cell r="F26441">
            <v>0</v>
          </cell>
          <cell r="DN26441">
            <v>0</v>
          </cell>
        </row>
        <row r="26442">
          <cell r="E26442">
            <v>0</v>
          </cell>
          <cell r="F26442">
            <v>0</v>
          </cell>
          <cell r="DN26442">
            <v>0</v>
          </cell>
        </row>
        <row r="26443">
          <cell r="E26443">
            <v>0</v>
          </cell>
          <cell r="F26443">
            <v>0</v>
          </cell>
          <cell r="DN26443">
            <v>0</v>
          </cell>
        </row>
        <row r="26444">
          <cell r="E26444">
            <v>0</v>
          </cell>
          <cell r="F26444">
            <v>0</v>
          </cell>
          <cell r="DN26444">
            <v>0</v>
          </cell>
        </row>
        <row r="26445">
          <cell r="E26445">
            <v>0</v>
          </cell>
          <cell r="F26445">
            <v>0</v>
          </cell>
          <cell r="DN26445">
            <v>0</v>
          </cell>
        </row>
        <row r="26446">
          <cell r="E26446">
            <v>0</v>
          </cell>
          <cell r="F26446">
            <v>0</v>
          </cell>
          <cell r="DN26446">
            <v>0</v>
          </cell>
        </row>
        <row r="26447">
          <cell r="E26447">
            <v>0</v>
          </cell>
          <cell r="F26447">
            <v>0</v>
          </cell>
          <cell r="DN26447">
            <v>0</v>
          </cell>
        </row>
        <row r="26448">
          <cell r="E26448">
            <v>0</v>
          </cell>
          <cell r="F26448">
            <v>0</v>
          </cell>
          <cell r="DN26448">
            <v>0</v>
          </cell>
        </row>
        <row r="26449">
          <cell r="E26449">
            <v>0</v>
          </cell>
          <cell r="F26449">
            <v>0</v>
          </cell>
          <cell r="DN26449">
            <v>0</v>
          </cell>
        </row>
        <row r="26450">
          <cell r="E26450">
            <v>0</v>
          </cell>
          <cell r="F26450">
            <v>0</v>
          </cell>
          <cell r="DN26450">
            <v>0</v>
          </cell>
        </row>
        <row r="26451">
          <cell r="E26451">
            <v>0</v>
          </cell>
          <cell r="F26451">
            <v>0</v>
          </cell>
          <cell r="DN26451">
            <v>0</v>
          </cell>
        </row>
        <row r="26452">
          <cell r="E26452">
            <v>0</v>
          </cell>
          <cell r="F26452">
            <v>0</v>
          </cell>
          <cell r="DN26452">
            <v>0</v>
          </cell>
        </row>
        <row r="26453">
          <cell r="E26453">
            <v>0</v>
          </cell>
          <cell r="F26453">
            <v>0</v>
          </cell>
          <cell r="DN26453">
            <v>0</v>
          </cell>
        </row>
        <row r="26454">
          <cell r="E26454">
            <v>0</v>
          </cell>
          <cell r="F26454">
            <v>0</v>
          </cell>
          <cell r="DN26454">
            <v>0</v>
          </cell>
        </row>
        <row r="26455">
          <cell r="E26455">
            <v>0</v>
          </cell>
          <cell r="F26455">
            <v>0</v>
          </cell>
          <cell r="DN26455">
            <v>0</v>
          </cell>
        </row>
        <row r="26456">
          <cell r="E26456">
            <v>0</v>
          </cell>
          <cell r="F26456">
            <v>0</v>
          </cell>
          <cell r="DN26456">
            <v>0</v>
          </cell>
        </row>
        <row r="26457">
          <cell r="E26457">
            <v>0</v>
          </cell>
          <cell r="F26457">
            <v>0</v>
          </cell>
          <cell r="DN26457">
            <v>0</v>
          </cell>
        </row>
        <row r="26458">
          <cell r="E26458">
            <v>0</v>
          </cell>
          <cell r="F26458">
            <v>0</v>
          </cell>
          <cell r="DN26458">
            <v>0</v>
          </cell>
        </row>
        <row r="26459">
          <cell r="E26459">
            <v>0</v>
          </cell>
          <cell r="F26459">
            <v>0</v>
          </cell>
          <cell r="DN26459">
            <v>0</v>
          </cell>
        </row>
        <row r="26460">
          <cell r="E26460">
            <v>0</v>
          </cell>
          <cell r="F26460">
            <v>0</v>
          </cell>
          <cell r="DN26460">
            <v>0</v>
          </cell>
        </row>
        <row r="26461">
          <cell r="E26461">
            <v>0</v>
          </cell>
          <cell r="F26461">
            <v>0</v>
          </cell>
          <cell r="DN26461">
            <v>0</v>
          </cell>
        </row>
        <row r="26462">
          <cell r="E26462">
            <v>0</v>
          </cell>
          <cell r="F26462">
            <v>0</v>
          </cell>
          <cell r="DN26462">
            <v>0</v>
          </cell>
        </row>
        <row r="26463">
          <cell r="E26463">
            <v>0</v>
          </cell>
          <cell r="F26463">
            <v>0</v>
          </cell>
          <cell r="DN26463">
            <v>0</v>
          </cell>
        </row>
        <row r="26464">
          <cell r="E26464">
            <v>0</v>
          </cell>
          <cell r="F26464">
            <v>0</v>
          </cell>
          <cell r="DN26464">
            <v>0</v>
          </cell>
        </row>
        <row r="26465">
          <cell r="E26465">
            <v>0</v>
          </cell>
          <cell r="F26465">
            <v>0</v>
          </cell>
          <cell r="DN26465">
            <v>0</v>
          </cell>
        </row>
        <row r="26466">
          <cell r="E26466">
            <v>0</v>
          </cell>
          <cell r="F26466">
            <v>0</v>
          </cell>
          <cell r="DN26466">
            <v>0</v>
          </cell>
        </row>
        <row r="26467">
          <cell r="E26467">
            <v>0</v>
          </cell>
          <cell r="F26467">
            <v>0</v>
          </cell>
          <cell r="DN26467">
            <v>0</v>
          </cell>
        </row>
        <row r="26468">
          <cell r="E26468">
            <v>0</v>
          </cell>
          <cell r="F26468">
            <v>0</v>
          </cell>
          <cell r="DN26468">
            <v>0</v>
          </cell>
        </row>
        <row r="26469">
          <cell r="E26469">
            <v>0</v>
          </cell>
          <cell r="F26469">
            <v>0</v>
          </cell>
          <cell r="DN26469">
            <v>0</v>
          </cell>
        </row>
        <row r="26470">
          <cell r="E26470">
            <v>0</v>
          </cell>
          <cell r="F26470">
            <v>0</v>
          </cell>
          <cell r="DN26470">
            <v>0</v>
          </cell>
        </row>
        <row r="26471">
          <cell r="E26471">
            <v>0</v>
          </cell>
          <cell r="F26471">
            <v>0</v>
          </cell>
          <cell r="DN26471">
            <v>0</v>
          </cell>
        </row>
        <row r="26472">
          <cell r="E26472">
            <v>0</v>
          </cell>
          <cell r="F26472">
            <v>0</v>
          </cell>
          <cell r="DN26472">
            <v>0</v>
          </cell>
        </row>
        <row r="26473">
          <cell r="E26473">
            <v>0</v>
          </cell>
          <cell r="F26473">
            <v>0</v>
          </cell>
          <cell r="DN26473">
            <v>0</v>
          </cell>
        </row>
        <row r="26474">
          <cell r="E26474">
            <v>0</v>
          </cell>
          <cell r="F26474">
            <v>0</v>
          </cell>
          <cell r="DN26474">
            <v>0</v>
          </cell>
        </row>
        <row r="26475">
          <cell r="E26475">
            <v>0</v>
          </cell>
          <cell r="F26475">
            <v>0</v>
          </cell>
          <cell r="DN26475">
            <v>0</v>
          </cell>
        </row>
        <row r="26476">
          <cell r="E26476">
            <v>0</v>
          </cell>
          <cell r="F26476">
            <v>0</v>
          </cell>
          <cell r="DN26476">
            <v>0</v>
          </cell>
        </row>
        <row r="26477">
          <cell r="E26477">
            <v>0</v>
          </cell>
          <cell r="F26477">
            <v>0</v>
          </cell>
          <cell r="DN26477">
            <v>0</v>
          </cell>
        </row>
        <row r="26478">
          <cell r="E26478">
            <v>0</v>
          </cell>
          <cell r="F26478">
            <v>0</v>
          </cell>
          <cell r="DN26478">
            <v>0</v>
          </cell>
        </row>
        <row r="26479">
          <cell r="E26479">
            <v>0</v>
          </cell>
          <cell r="F26479">
            <v>0</v>
          </cell>
          <cell r="DN26479">
            <v>0</v>
          </cell>
        </row>
        <row r="26480">
          <cell r="E26480">
            <v>0</v>
          </cell>
          <cell r="F26480">
            <v>0</v>
          </cell>
          <cell r="DN26480">
            <v>0</v>
          </cell>
        </row>
        <row r="26481">
          <cell r="E26481">
            <v>0</v>
          </cell>
          <cell r="F26481">
            <v>0</v>
          </cell>
          <cell r="DN26481">
            <v>0</v>
          </cell>
        </row>
        <row r="26482">
          <cell r="E26482">
            <v>0</v>
          </cell>
          <cell r="F26482">
            <v>0</v>
          </cell>
          <cell r="DN26482">
            <v>0</v>
          </cell>
        </row>
        <row r="26483">
          <cell r="E26483">
            <v>0</v>
          </cell>
          <cell r="F26483">
            <v>0</v>
          </cell>
          <cell r="DN26483">
            <v>0</v>
          </cell>
        </row>
        <row r="26484">
          <cell r="E26484">
            <v>0</v>
          </cell>
          <cell r="F26484">
            <v>0</v>
          </cell>
          <cell r="DN26484">
            <v>0</v>
          </cell>
        </row>
        <row r="26485">
          <cell r="E26485">
            <v>0</v>
          </cell>
          <cell r="F26485">
            <v>0</v>
          </cell>
          <cell r="DN26485">
            <v>0</v>
          </cell>
        </row>
        <row r="26486">
          <cell r="E26486">
            <v>0</v>
          </cell>
          <cell r="F26486">
            <v>0</v>
          </cell>
          <cell r="DN26486">
            <v>0</v>
          </cell>
        </row>
        <row r="26487">
          <cell r="E26487">
            <v>0</v>
          </cell>
          <cell r="F26487">
            <v>0</v>
          </cell>
          <cell r="DN26487">
            <v>0</v>
          </cell>
        </row>
        <row r="26488">
          <cell r="E26488">
            <v>0</v>
          </cell>
          <cell r="F26488">
            <v>0</v>
          </cell>
          <cell r="DN26488">
            <v>0</v>
          </cell>
        </row>
        <row r="26489">
          <cell r="E26489">
            <v>0</v>
          </cell>
          <cell r="F26489">
            <v>0</v>
          </cell>
          <cell r="DN26489">
            <v>0</v>
          </cell>
        </row>
        <row r="26490">
          <cell r="E26490">
            <v>0</v>
          </cell>
          <cell r="F26490">
            <v>0</v>
          </cell>
          <cell r="DN26490">
            <v>0</v>
          </cell>
        </row>
        <row r="26491">
          <cell r="E26491">
            <v>0</v>
          </cell>
          <cell r="F26491">
            <v>0</v>
          </cell>
          <cell r="DN26491">
            <v>0</v>
          </cell>
        </row>
        <row r="26492">
          <cell r="E26492">
            <v>0</v>
          </cell>
          <cell r="F26492">
            <v>0</v>
          </cell>
          <cell r="DN26492">
            <v>0</v>
          </cell>
        </row>
        <row r="26493">
          <cell r="E26493">
            <v>0</v>
          </cell>
          <cell r="F26493">
            <v>0</v>
          </cell>
          <cell r="DN26493">
            <v>0</v>
          </cell>
        </row>
        <row r="26494">
          <cell r="E26494">
            <v>0</v>
          </cell>
          <cell r="F26494">
            <v>0</v>
          </cell>
          <cell r="DN26494">
            <v>0</v>
          </cell>
        </row>
        <row r="26495">
          <cell r="E26495">
            <v>0</v>
          </cell>
          <cell r="F26495">
            <v>0</v>
          </cell>
          <cell r="DN26495">
            <v>0</v>
          </cell>
        </row>
        <row r="26496">
          <cell r="E26496">
            <v>0</v>
          </cell>
          <cell r="F26496">
            <v>0</v>
          </cell>
          <cell r="DN26496">
            <v>0</v>
          </cell>
        </row>
        <row r="26497">
          <cell r="E26497">
            <v>0</v>
          </cell>
          <cell r="F26497">
            <v>0</v>
          </cell>
          <cell r="DN26497">
            <v>0</v>
          </cell>
        </row>
        <row r="26498">
          <cell r="E26498">
            <v>0</v>
          </cell>
          <cell r="F26498">
            <v>0</v>
          </cell>
          <cell r="DN26498">
            <v>0</v>
          </cell>
        </row>
        <row r="26499">
          <cell r="E26499">
            <v>0</v>
          </cell>
          <cell r="F26499">
            <v>0</v>
          </cell>
          <cell r="DN26499">
            <v>0</v>
          </cell>
        </row>
        <row r="26500">
          <cell r="E26500">
            <v>0</v>
          </cell>
          <cell r="F26500">
            <v>0</v>
          </cell>
          <cell r="DN26500">
            <v>0</v>
          </cell>
        </row>
        <row r="26501">
          <cell r="E26501">
            <v>0</v>
          </cell>
          <cell r="F26501">
            <v>0</v>
          </cell>
          <cell r="DN26501">
            <v>0</v>
          </cell>
        </row>
        <row r="26502">
          <cell r="E26502">
            <v>0</v>
          </cell>
          <cell r="F26502">
            <v>0</v>
          </cell>
          <cell r="DN26502">
            <v>0</v>
          </cell>
        </row>
        <row r="26503">
          <cell r="E26503">
            <v>0</v>
          </cell>
          <cell r="F26503">
            <v>0</v>
          </cell>
          <cell r="DN26503">
            <v>0</v>
          </cell>
        </row>
        <row r="26504">
          <cell r="E26504">
            <v>0</v>
          </cell>
          <cell r="F26504">
            <v>0</v>
          </cell>
          <cell r="DN26504">
            <v>0</v>
          </cell>
        </row>
        <row r="26505">
          <cell r="E26505">
            <v>0</v>
          </cell>
          <cell r="F26505">
            <v>0</v>
          </cell>
          <cell r="DN26505">
            <v>0</v>
          </cell>
        </row>
        <row r="26506">
          <cell r="E26506">
            <v>0</v>
          </cell>
          <cell r="F26506">
            <v>0</v>
          </cell>
          <cell r="DN26506">
            <v>0</v>
          </cell>
        </row>
        <row r="26507">
          <cell r="E26507">
            <v>0</v>
          </cell>
          <cell r="F26507">
            <v>0</v>
          </cell>
          <cell r="DN26507">
            <v>0</v>
          </cell>
        </row>
        <row r="26508">
          <cell r="E26508">
            <v>0</v>
          </cell>
          <cell r="F26508">
            <v>0</v>
          </cell>
          <cell r="DN26508">
            <v>0</v>
          </cell>
        </row>
        <row r="26509">
          <cell r="E26509">
            <v>0</v>
          </cell>
          <cell r="F26509">
            <v>0</v>
          </cell>
          <cell r="DN26509">
            <v>0</v>
          </cell>
        </row>
        <row r="26510">
          <cell r="E26510">
            <v>0</v>
          </cell>
          <cell r="F26510">
            <v>0</v>
          </cell>
          <cell r="DN26510">
            <v>0</v>
          </cell>
        </row>
        <row r="26511">
          <cell r="E26511">
            <v>0</v>
          </cell>
          <cell r="F26511">
            <v>0</v>
          </cell>
          <cell r="DN26511">
            <v>0</v>
          </cell>
        </row>
        <row r="26512">
          <cell r="E26512">
            <v>0</v>
          </cell>
          <cell r="F26512">
            <v>0</v>
          </cell>
          <cell r="DN26512">
            <v>0</v>
          </cell>
        </row>
        <row r="26513">
          <cell r="E26513">
            <v>0</v>
          </cell>
          <cell r="F26513">
            <v>0</v>
          </cell>
          <cell r="DN26513">
            <v>0</v>
          </cell>
        </row>
        <row r="26514">
          <cell r="E26514">
            <v>0</v>
          </cell>
          <cell r="F26514">
            <v>0</v>
          </cell>
          <cell r="DN26514">
            <v>0</v>
          </cell>
        </row>
        <row r="26515">
          <cell r="E26515">
            <v>0</v>
          </cell>
          <cell r="F26515">
            <v>0</v>
          </cell>
          <cell r="DN26515">
            <v>0</v>
          </cell>
        </row>
        <row r="26516">
          <cell r="E26516">
            <v>0</v>
          </cell>
          <cell r="F26516">
            <v>0</v>
          </cell>
          <cell r="DN26516">
            <v>0</v>
          </cell>
        </row>
        <row r="26517">
          <cell r="E26517">
            <v>0</v>
          </cell>
          <cell r="F26517">
            <v>0</v>
          </cell>
          <cell r="DN26517">
            <v>0</v>
          </cell>
        </row>
        <row r="26518">
          <cell r="E26518">
            <v>0</v>
          </cell>
          <cell r="F26518">
            <v>0</v>
          </cell>
          <cell r="DN26518">
            <v>0</v>
          </cell>
        </row>
        <row r="26519">
          <cell r="E26519">
            <v>0</v>
          </cell>
          <cell r="F26519">
            <v>0</v>
          </cell>
          <cell r="DN26519">
            <v>0</v>
          </cell>
        </row>
        <row r="26520">
          <cell r="E26520">
            <v>0</v>
          </cell>
          <cell r="F26520">
            <v>0</v>
          </cell>
          <cell r="DN26520">
            <v>0</v>
          </cell>
        </row>
        <row r="26521">
          <cell r="E26521">
            <v>0</v>
          </cell>
          <cell r="F26521">
            <v>0</v>
          </cell>
          <cell r="DN26521">
            <v>0</v>
          </cell>
        </row>
        <row r="26522">
          <cell r="E26522">
            <v>0</v>
          </cell>
          <cell r="F26522">
            <v>0</v>
          </cell>
          <cell r="DN26522">
            <v>0</v>
          </cell>
        </row>
        <row r="26523">
          <cell r="E26523">
            <v>0</v>
          </cell>
          <cell r="F26523">
            <v>0</v>
          </cell>
          <cell r="DN26523">
            <v>0</v>
          </cell>
        </row>
        <row r="26524">
          <cell r="E26524">
            <v>0</v>
          </cell>
          <cell r="F26524">
            <v>0</v>
          </cell>
          <cell r="DN26524">
            <v>0</v>
          </cell>
        </row>
        <row r="26525">
          <cell r="E26525">
            <v>0</v>
          </cell>
          <cell r="F26525">
            <v>0</v>
          </cell>
          <cell r="DN26525">
            <v>0</v>
          </cell>
        </row>
        <row r="26526">
          <cell r="E26526">
            <v>0</v>
          </cell>
          <cell r="F26526">
            <v>0</v>
          </cell>
          <cell r="DN26526">
            <v>0</v>
          </cell>
        </row>
        <row r="26527">
          <cell r="E26527">
            <v>0</v>
          </cell>
          <cell r="F26527">
            <v>0</v>
          </cell>
          <cell r="DN26527">
            <v>0</v>
          </cell>
        </row>
        <row r="26528">
          <cell r="E26528">
            <v>0</v>
          </cell>
          <cell r="F26528">
            <v>0</v>
          </cell>
          <cell r="DN26528">
            <v>0</v>
          </cell>
        </row>
        <row r="26529">
          <cell r="E26529">
            <v>0</v>
          </cell>
          <cell r="F26529">
            <v>0</v>
          </cell>
          <cell r="DN26529">
            <v>0</v>
          </cell>
        </row>
        <row r="26530">
          <cell r="E26530">
            <v>0</v>
          </cell>
          <cell r="F26530">
            <v>0</v>
          </cell>
          <cell r="DN26530">
            <v>0</v>
          </cell>
        </row>
        <row r="26531">
          <cell r="E26531">
            <v>0</v>
          </cell>
          <cell r="F26531">
            <v>0</v>
          </cell>
          <cell r="DN26531">
            <v>0</v>
          </cell>
        </row>
        <row r="26532">
          <cell r="E26532">
            <v>0</v>
          </cell>
          <cell r="F26532">
            <v>0</v>
          </cell>
          <cell r="DN26532">
            <v>0</v>
          </cell>
        </row>
        <row r="26533">
          <cell r="E26533">
            <v>0</v>
          </cell>
          <cell r="F26533">
            <v>0</v>
          </cell>
          <cell r="DN26533">
            <v>0</v>
          </cell>
        </row>
        <row r="26534">
          <cell r="E26534">
            <v>0</v>
          </cell>
          <cell r="F26534">
            <v>0</v>
          </cell>
          <cell r="DN26534">
            <v>0</v>
          </cell>
        </row>
        <row r="26535">
          <cell r="E26535">
            <v>0</v>
          </cell>
          <cell r="F26535">
            <v>0</v>
          </cell>
          <cell r="DN26535">
            <v>0</v>
          </cell>
        </row>
        <row r="26536">
          <cell r="E26536">
            <v>0</v>
          </cell>
          <cell r="F26536">
            <v>0</v>
          </cell>
          <cell r="DN26536">
            <v>0</v>
          </cell>
        </row>
        <row r="26537">
          <cell r="E26537">
            <v>0</v>
          </cell>
          <cell r="F26537">
            <v>0</v>
          </cell>
          <cell r="DN26537">
            <v>0</v>
          </cell>
        </row>
        <row r="26538">
          <cell r="E26538">
            <v>0</v>
          </cell>
          <cell r="F26538">
            <v>0</v>
          </cell>
          <cell r="DN26538">
            <v>0</v>
          </cell>
        </row>
        <row r="26539">
          <cell r="E26539">
            <v>0</v>
          </cell>
          <cell r="F26539">
            <v>0</v>
          </cell>
          <cell r="DN26539">
            <v>0</v>
          </cell>
        </row>
        <row r="26540">
          <cell r="E26540">
            <v>0</v>
          </cell>
          <cell r="F26540">
            <v>0</v>
          </cell>
          <cell r="DN26540">
            <v>0</v>
          </cell>
        </row>
        <row r="26541">
          <cell r="E26541">
            <v>0</v>
          </cell>
          <cell r="F26541">
            <v>0</v>
          </cell>
          <cell r="DN26541">
            <v>0</v>
          </cell>
        </row>
        <row r="26542">
          <cell r="E26542">
            <v>0</v>
          </cell>
          <cell r="F26542">
            <v>0</v>
          </cell>
          <cell r="DN26542">
            <v>0</v>
          </cell>
        </row>
        <row r="26543">
          <cell r="E26543">
            <v>0</v>
          </cell>
          <cell r="F26543">
            <v>0</v>
          </cell>
          <cell r="DN26543">
            <v>0</v>
          </cell>
        </row>
        <row r="26544">
          <cell r="E26544">
            <v>0</v>
          </cell>
          <cell r="F26544">
            <v>0</v>
          </cell>
          <cell r="DN26544">
            <v>0</v>
          </cell>
        </row>
        <row r="26545">
          <cell r="E26545">
            <v>0</v>
          </cell>
          <cell r="F26545">
            <v>0</v>
          </cell>
          <cell r="DN26545">
            <v>0</v>
          </cell>
        </row>
        <row r="26546">
          <cell r="E26546">
            <v>0</v>
          </cell>
          <cell r="F26546">
            <v>0</v>
          </cell>
          <cell r="DN26546">
            <v>0</v>
          </cell>
        </row>
        <row r="26547">
          <cell r="E26547">
            <v>0</v>
          </cell>
          <cell r="F26547">
            <v>0</v>
          </cell>
          <cell r="DN26547">
            <v>0</v>
          </cell>
        </row>
        <row r="26548">
          <cell r="E26548">
            <v>0</v>
          </cell>
          <cell r="F26548">
            <v>0</v>
          </cell>
          <cell r="DN26548">
            <v>0</v>
          </cell>
        </row>
        <row r="26549">
          <cell r="E26549">
            <v>0</v>
          </cell>
          <cell r="F26549">
            <v>0</v>
          </cell>
          <cell r="DN26549">
            <v>0</v>
          </cell>
        </row>
        <row r="26550">
          <cell r="E26550">
            <v>0</v>
          </cell>
          <cell r="F26550">
            <v>0</v>
          </cell>
          <cell r="DN26550">
            <v>0</v>
          </cell>
        </row>
        <row r="26551">
          <cell r="E26551">
            <v>0</v>
          </cell>
          <cell r="F26551">
            <v>0</v>
          </cell>
          <cell r="DN26551">
            <v>0</v>
          </cell>
        </row>
        <row r="26552">
          <cell r="E26552">
            <v>0</v>
          </cell>
          <cell r="F26552">
            <v>0</v>
          </cell>
          <cell r="DN26552">
            <v>0</v>
          </cell>
        </row>
        <row r="26553">
          <cell r="E26553">
            <v>0</v>
          </cell>
          <cell r="F26553">
            <v>0</v>
          </cell>
          <cell r="DN26553">
            <v>0</v>
          </cell>
        </row>
        <row r="26554">
          <cell r="E26554">
            <v>0</v>
          </cell>
          <cell r="F26554">
            <v>0</v>
          </cell>
          <cell r="DN26554">
            <v>0</v>
          </cell>
        </row>
        <row r="26555">
          <cell r="E26555">
            <v>0</v>
          </cell>
          <cell r="F26555">
            <v>0</v>
          </cell>
          <cell r="DN26555">
            <v>0</v>
          </cell>
        </row>
        <row r="26556">
          <cell r="E26556">
            <v>0</v>
          </cell>
          <cell r="F26556">
            <v>0</v>
          </cell>
          <cell r="DN26556">
            <v>0</v>
          </cell>
        </row>
        <row r="26557">
          <cell r="E26557">
            <v>0</v>
          </cell>
          <cell r="F26557">
            <v>0</v>
          </cell>
          <cell r="DN26557">
            <v>0</v>
          </cell>
        </row>
        <row r="26558">
          <cell r="E26558">
            <v>0</v>
          </cell>
          <cell r="F26558">
            <v>0</v>
          </cell>
          <cell r="DN26558">
            <v>0</v>
          </cell>
        </row>
        <row r="26559">
          <cell r="E26559">
            <v>0</v>
          </cell>
          <cell r="F26559">
            <v>0</v>
          </cell>
          <cell r="DN26559">
            <v>0</v>
          </cell>
        </row>
        <row r="26560">
          <cell r="E26560">
            <v>0</v>
          </cell>
          <cell r="F26560">
            <v>0</v>
          </cell>
          <cell r="DN26560">
            <v>0</v>
          </cell>
        </row>
        <row r="26561">
          <cell r="E26561">
            <v>0</v>
          </cell>
          <cell r="F26561">
            <v>0</v>
          </cell>
          <cell r="DN26561">
            <v>0</v>
          </cell>
        </row>
        <row r="26562">
          <cell r="E26562">
            <v>0</v>
          </cell>
          <cell r="F26562">
            <v>0</v>
          </cell>
          <cell r="DN26562">
            <v>0</v>
          </cell>
        </row>
        <row r="26563">
          <cell r="E26563">
            <v>0</v>
          </cell>
          <cell r="F26563">
            <v>0</v>
          </cell>
          <cell r="DN26563">
            <v>0</v>
          </cell>
        </row>
        <row r="26564">
          <cell r="E26564">
            <v>0</v>
          </cell>
          <cell r="F26564">
            <v>0</v>
          </cell>
          <cell r="DN26564">
            <v>0</v>
          </cell>
        </row>
        <row r="26565">
          <cell r="E26565">
            <v>0</v>
          </cell>
          <cell r="F26565">
            <v>0</v>
          </cell>
          <cell r="DN26565">
            <v>0</v>
          </cell>
        </row>
        <row r="26566">
          <cell r="E26566">
            <v>0</v>
          </cell>
          <cell r="F26566">
            <v>0</v>
          </cell>
          <cell r="DN26566">
            <v>0</v>
          </cell>
        </row>
        <row r="26567">
          <cell r="E26567">
            <v>0</v>
          </cell>
          <cell r="F26567">
            <v>0</v>
          </cell>
          <cell r="DN26567">
            <v>0</v>
          </cell>
        </row>
        <row r="26568">
          <cell r="E26568">
            <v>0</v>
          </cell>
          <cell r="F26568">
            <v>0</v>
          </cell>
          <cell r="DN26568">
            <v>0</v>
          </cell>
        </row>
        <row r="26569">
          <cell r="E26569">
            <v>0</v>
          </cell>
          <cell r="F26569">
            <v>0</v>
          </cell>
          <cell r="DN26569">
            <v>0</v>
          </cell>
        </row>
        <row r="26570">
          <cell r="E26570">
            <v>0</v>
          </cell>
          <cell r="F26570">
            <v>0</v>
          </cell>
          <cell r="DN26570">
            <v>0</v>
          </cell>
        </row>
        <row r="26571">
          <cell r="E26571">
            <v>0</v>
          </cell>
          <cell r="F26571">
            <v>0</v>
          </cell>
          <cell r="DN26571">
            <v>0</v>
          </cell>
        </row>
        <row r="26572">
          <cell r="E26572">
            <v>0</v>
          </cell>
          <cell r="F26572">
            <v>0</v>
          </cell>
          <cell r="DN26572">
            <v>0</v>
          </cell>
        </row>
        <row r="26573">
          <cell r="E26573">
            <v>0</v>
          </cell>
          <cell r="F26573">
            <v>0</v>
          </cell>
          <cell r="DN26573">
            <v>0</v>
          </cell>
        </row>
        <row r="26574">
          <cell r="E26574">
            <v>0</v>
          </cell>
          <cell r="F26574">
            <v>0</v>
          </cell>
          <cell r="DN26574">
            <v>0</v>
          </cell>
        </row>
        <row r="26575">
          <cell r="E26575">
            <v>0</v>
          </cell>
          <cell r="F26575">
            <v>0</v>
          </cell>
          <cell r="DN26575">
            <v>0</v>
          </cell>
        </row>
        <row r="26576">
          <cell r="E26576">
            <v>0</v>
          </cell>
          <cell r="F26576">
            <v>0</v>
          </cell>
          <cell r="DN26576">
            <v>0</v>
          </cell>
        </row>
        <row r="26577">
          <cell r="E26577">
            <v>0</v>
          </cell>
          <cell r="F26577">
            <v>0</v>
          </cell>
          <cell r="DN26577">
            <v>0</v>
          </cell>
        </row>
        <row r="26578">
          <cell r="E26578">
            <v>0</v>
          </cell>
          <cell r="F26578">
            <v>0</v>
          </cell>
          <cell r="DN26578">
            <v>0</v>
          </cell>
        </row>
        <row r="26579">
          <cell r="E26579">
            <v>0</v>
          </cell>
          <cell r="F26579">
            <v>0</v>
          </cell>
          <cell r="DN26579">
            <v>0</v>
          </cell>
        </row>
        <row r="26580">
          <cell r="E26580">
            <v>0</v>
          </cell>
          <cell r="F26580">
            <v>0</v>
          </cell>
          <cell r="DN26580">
            <v>0</v>
          </cell>
        </row>
        <row r="26581">
          <cell r="E26581">
            <v>0</v>
          </cell>
          <cell r="F26581">
            <v>0</v>
          </cell>
          <cell r="DN26581">
            <v>0</v>
          </cell>
        </row>
        <row r="26582">
          <cell r="E26582">
            <v>0</v>
          </cell>
          <cell r="F26582">
            <v>0</v>
          </cell>
          <cell r="DN26582">
            <v>0</v>
          </cell>
        </row>
        <row r="26583">
          <cell r="E26583">
            <v>0</v>
          </cell>
          <cell r="F26583">
            <v>0</v>
          </cell>
          <cell r="DN26583">
            <v>0</v>
          </cell>
        </row>
        <row r="26584">
          <cell r="E26584">
            <v>0</v>
          </cell>
          <cell r="F26584">
            <v>0</v>
          </cell>
          <cell r="DN26584">
            <v>0</v>
          </cell>
        </row>
        <row r="26585">
          <cell r="E26585">
            <v>0</v>
          </cell>
          <cell r="F26585">
            <v>0</v>
          </cell>
          <cell r="DN26585">
            <v>0</v>
          </cell>
        </row>
        <row r="26586">
          <cell r="E26586">
            <v>0</v>
          </cell>
          <cell r="F26586">
            <v>0</v>
          </cell>
          <cell r="DN26586">
            <v>0</v>
          </cell>
        </row>
        <row r="26587">
          <cell r="E26587">
            <v>0</v>
          </cell>
          <cell r="F26587">
            <v>0</v>
          </cell>
          <cell r="DN26587">
            <v>0</v>
          </cell>
        </row>
        <row r="26588">
          <cell r="E26588">
            <v>0</v>
          </cell>
          <cell r="F26588">
            <v>0</v>
          </cell>
          <cell r="DN26588">
            <v>0</v>
          </cell>
        </row>
        <row r="26589">
          <cell r="E26589">
            <v>0</v>
          </cell>
          <cell r="F26589">
            <v>0</v>
          </cell>
          <cell r="DN26589">
            <v>0</v>
          </cell>
        </row>
        <row r="26590">
          <cell r="E26590">
            <v>0</v>
          </cell>
          <cell r="F26590">
            <v>0</v>
          </cell>
          <cell r="DN26590">
            <v>0</v>
          </cell>
        </row>
        <row r="26591">
          <cell r="E26591">
            <v>0</v>
          </cell>
          <cell r="F26591">
            <v>0</v>
          </cell>
          <cell r="DN26591">
            <v>0</v>
          </cell>
        </row>
        <row r="26592">
          <cell r="E26592">
            <v>0</v>
          </cell>
          <cell r="F26592">
            <v>0</v>
          </cell>
          <cell r="DN26592">
            <v>0</v>
          </cell>
        </row>
        <row r="26593">
          <cell r="E26593">
            <v>0</v>
          </cell>
          <cell r="F26593">
            <v>0</v>
          </cell>
          <cell r="DN26593">
            <v>0</v>
          </cell>
        </row>
        <row r="26594">
          <cell r="E26594">
            <v>0</v>
          </cell>
          <cell r="F26594">
            <v>0</v>
          </cell>
          <cell r="DN26594">
            <v>0</v>
          </cell>
        </row>
        <row r="26595">
          <cell r="E26595">
            <v>0</v>
          </cell>
          <cell r="F26595">
            <v>0</v>
          </cell>
          <cell r="DN26595">
            <v>0</v>
          </cell>
        </row>
        <row r="26596">
          <cell r="E26596">
            <v>0</v>
          </cell>
          <cell r="F26596">
            <v>0</v>
          </cell>
          <cell r="DN26596">
            <v>0</v>
          </cell>
        </row>
        <row r="26597">
          <cell r="E26597">
            <v>0</v>
          </cell>
          <cell r="F26597">
            <v>0</v>
          </cell>
          <cell r="DN26597">
            <v>0</v>
          </cell>
        </row>
        <row r="26598">
          <cell r="E26598">
            <v>0</v>
          </cell>
          <cell r="F26598">
            <v>0</v>
          </cell>
          <cell r="DN26598">
            <v>0</v>
          </cell>
        </row>
        <row r="26599">
          <cell r="E26599">
            <v>0</v>
          </cell>
          <cell r="F26599">
            <v>0</v>
          </cell>
          <cell r="DN26599">
            <v>0</v>
          </cell>
        </row>
        <row r="26600">
          <cell r="E26600">
            <v>0</v>
          </cell>
          <cell r="F26600">
            <v>0</v>
          </cell>
          <cell r="DN26600">
            <v>0</v>
          </cell>
        </row>
        <row r="26601">
          <cell r="E26601">
            <v>0</v>
          </cell>
          <cell r="F26601">
            <v>0</v>
          </cell>
          <cell r="DN26601">
            <v>0</v>
          </cell>
        </row>
        <row r="26602">
          <cell r="E26602">
            <v>0</v>
          </cell>
          <cell r="F26602">
            <v>0</v>
          </cell>
          <cell r="DN26602">
            <v>0</v>
          </cell>
        </row>
        <row r="26603">
          <cell r="E26603">
            <v>0</v>
          </cell>
          <cell r="F26603">
            <v>0</v>
          </cell>
          <cell r="DN26603">
            <v>0</v>
          </cell>
        </row>
        <row r="26604">
          <cell r="E26604">
            <v>0</v>
          </cell>
          <cell r="F26604">
            <v>0</v>
          </cell>
          <cell r="DN26604">
            <v>0</v>
          </cell>
        </row>
        <row r="26605">
          <cell r="E26605">
            <v>0</v>
          </cell>
          <cell r="F26605">
            <v>0</v>
          </cell>
          <cell r="DN26605">
            <v>0</v>
          </cell>
        </row>
        <row r="26606">
          <cell r="E26606">
            <v>0</v>
          </cell>
          <cell r="F26606">
            <v>0</v>
          </cell>
          <cell r="DN26606">
            <v>0</v>
          </cell>
        </row>
        <row r="26607">
          <cell r="E26607">
            <v>0</v>
          </cell>
          <cell r="F26607">
            <v>0</v>
          </cell>
          <cell r="DN26607">
            <v>0</v>
          </cell>
        </row>
        <row r="26608">
          <cell r="E26608">
            <v>0</v>
          </cell>
          <cell r="F26608">
            <v>0</v>
          </cell>
          <cell r="DN26608">
            <v>0</v>
          </cell>
        </row>
        <row r="26609">
          <cell r="E26609">
            <v>0</v>
          </cell>
          <cell r="F26609">
            <v>0</v>
          </cell>
          <cell r="DN26609">
            <v>0</v>
          </cell>
        </row>
        <row r="26610">
          <cell r="E26610">
            <v>0</v>
          </cell>
          <cell r="F26610">
            <v>0</v>
          </cell>
          <cell r="DN26610">
            <v>0</v>
          </cell>
        </row>
        <row r="26611">
          <cell r="E26611">
            <v>0</v>
          </cell>
          <cell r="F26611">
            <v>0</v>
          </cell>
          <cell r="DN26611">
            <v>0</v>
          </cell>
        </row>
        <row r="26612">
          <cell r="E26612">
            <v>0</v>
          </cell>
          <cell r="F26612">
            <v>0</v>
          </cell>
          <cell r="DN26612">
            <v>0</v>
          </cell>
        </row>
        <row r="26613">
          <cell r="E26613">
            <v>0</v>
          </cell>
          <cell r="F26613">
            <v>0</v>
          </cell>
          <cell r="DN26613">
            <v>0</v>
          </cell>
        </row>
        <row r="26614">
          <cell r="E26614">
            <v>0</v>
          </cell>
          <cell r="F26614">
            <v>0</v>
          </cell>
          <cell r="DN26614">
            <v>0</v>
          </cell>
        </row>
        <row r="26615">
          <cell r="E26615">
            <v>0</v>
          </cell>
          <cell r="F26615">
            <v>0</v>
          </cell>
          <cell r="DN26615">
            <v>0</v>
          </cell>
        </row>
        <row r="26616">
          <cell r="E26616">
            <v>0</v>
          </cell>
          <cell r="F26616">
            <v>0</v>
          </cell>
          <cell r="DN26616">
            <v>0</v>
          </cell>
        </row>
        <row r="26617">
          <cell r="E26617">
            <v>0</v>
          </cell>
          <cell r="F26617">
            <v>0</v>
          </cell>
          <cell r="DN26617">
            <v>0</v>
          </cell>
        </row>
        <row r="26618">
          <cell r="E26618">
            <v>0</v>
          </cell>
          <cell r="F26618">
            <v>0</v>
          </cell>
          <cell r="DN26618">
            <v>0</v>
          </cell>
        </row>
        <row r="26619">
          <cell r="E26619">
            <v>0</v>
          </cell>
          <cell r="F26619">
            <v>0</v>
          </cell>
          <cell r="DN26619">
            <v>0</v>
          </cell>
        </row>
        <row r="26620">
          <cell r="E26620">
            <v>0</v>
          </cell>
          <cell r="F26620">
            <v>0</v>
          </cell>
          <cell r="DN26620">
            <v>0</v>
          </cell>
        </row>
        <row r="26621">
          <cell r="E26621">
            <v>0</v>
          </cell>
          <cell r="F26621">
            <v>0</v>
          </cell>
          <cell r="DN26621">
            <v>0</v>
          </cell>
        </row>
        <row r="26622">
          <cell r="E26622">
            <v>0</v>
          </cell>
          <cell r="F26622">
            <v>0</v>
          </cell>
          <cell r="DN26622">
            <v>0</v>
          </cell>
        </row>
        <row r="26623">
          <cell r="E26623">
            <v>0</v>
          </cell>
          <cell r="F26623">
            <v>0</v>
          </cell>
          <cell r="DN26623">
            <v>0</v>
          </cell>
        </row>
        <row r="26624">
          <cell r="E26624">
            <v>0</v>
          </cell>
          <cell r="F26624">
            <v>0</v>
          </cell>
          <cell r="DN26624">
            <v>0</v>
          </cell>
        </row>
        <row r="26625">
          <cell r="E26625">
            <v>0</v>
          </cell>
          <cell r="F26625">
            <v>0</v>
          </cell>
          <cell r="DN26625">
            <v>0</v>
          </cell>
        </row>
        <row r="26626">
          <cell r="E26626">
            <v>0</v>
          </cell>
          <cell r="F26626">
            <v>0</v>
          </cell>
          <cell r="DN26626">
            <v>0</v>
          </cell>
        </row>
        <row r="26627">
          <cell r="E26627">
            <v>0</v>
          </cell>
          <cell r="F26627">
            <v>0</v>
          </cell>
          <cell r="DN26627">
            <v>0</v>
          </cell>
        </row>
        <row r="26628">
          <cell r="E26628">
            <v>0</v>
          </cell>
          <cell r="F26628">
            <v>0</v>
          </cell>
          <cell r="DN26628">
            <v>0</v>
          </cell>
        </row>
        <row r="26629">
          <cell r="E26629">
            <v>0</v>
          </cell>
          <cell r="F26629">
            <v>0</v>
          </cell>
          <cell r="DN26629">
            <v>0</v>
          </cell>
        </row>
        <row r="26630">
          <cell r="E26630">
            <v>0</v>
          </cell>
          <cell r="F26630">
            <v>0</v>
          </cell>
          <cell r="DN26630">
            <v>0</v>
          </cell>
        </row>
        <row r="26631">
          <cell r="E26631">
            <v>0</v>
          </cell>
          <cell r="F26631">
            <v>0</v>
          </cell>
          <cell r="DN26631">
            <v>0</v>
          </cell>
        </row>
        <row r="26632">
          <cell r="E26632">
            <v>0</v>
          </cell>
          <cell r="F26632">
            <v>0</v>
          </cell>
          <cell r="DN26632">
            <v>0</v>
          </cell>
        </row>
        <row r="26633">
          <cell r="E26633">
            <v>0</v>
          </cell>
          <cell r="F26633">
            <v>0</v>
          </cell>
          <cell r="DN26633">
            <v>0</v>
          </cell>
        </row>
        <row r="26634">
          <cell r="E26634">
            <v>0</v>
          </cell>
          <cell r="F26634">
            <v>0</v>
          </cell>
          <cell r="DN26634">
            <v>0</v>
          </cell>
        </row>
        <row r="26635">
          <cell r="E26635">
            <v>0</v>
          </cell>
          <cell r="F26635">
            <v>0</v>
          </cell>
          <cell r="DN26635">
            <v>0</v>
          </cell>
        </row>
        <row r="26636">
          <cell r="E26636">
            <v>0</v>
          </cell>
          <cell r="F26636">
            <v>0</v>
          </cell>
          <cell r="DN26636">
            <v>0</v>
          </cell>
        </row>
        <row r="26637">
          <cell r="E26637">
            <v>0</v>
          </cell>
          <cell r="F26637">
            <v>0</v>
          </cell>
          <cell r="DN26637">
            <v>0</v>
          </cell>
        </row>
        <row r="26638">
          <cell r="E26638">
            <v>0</v>
          </cell>
          <cell r="F26638">
            <v>0</v>
          </cell>
          <cell r="DN26638">
            <v>0</v>
          </cell>
        </row>
        <row r="26639">
          <cell r="E26639">
            <v>0</v>
          </cell>
          <cell r="F26639">
            <v>0</v>
          </cell>
          <cell r="DN26639">
            <v>0</v>
          </cell>
        </row>
        <row r="26640">
          <cell r="E26640">
            <v>0</v>
          </cell>
          <cell r="F26640">
            <v>0</v>
          </cell>
          <cell r="DN26640">
            <v>0</v>
          </cell>
        </row>
        <row r="26641">
          <cell r="E26641">
            <v>0</v>
          </cell>
          <cell r="F26641">
            <v>0</v>
          </cell>
          <cell r="DN26641">
            <v>0</v>
          </cell>
        </row>
        <row r="26642">
          <cell r="E26642">
            <v>0</v>
          </cell>
          <cell r="F26642">
            <v>0</v>
          </cell>
          <cell r="DN26642">
            <v>0</v>
          </cell>
        </row>
        <row r="26643">
          <cell r="E26643">
            <v>0</v>
          </cell>
          <cell r="F26643">
            <v>0</v>
          </cell>
          <cell r="DN26643">
            <v>0</v>
          </cell>
        </row>
        <row r="26644">
          <cell r="E26644">
            <v>0</v>
          </cell>
          <cell r="F26644">
            <v>0</v>
          </cell>
          <cell r="DN26644">
            <v>0</v>
          </cell>
        </row>
        <row r="26645">
          <cell r="E26645">
            <v>0</v>
          </cell>
          <cell r="F26645">
            <v>0</v>
          </cell>
          <cell r="DN26645">
            <v>0</v>
          </cell>
        </row>
        <row r="26646">
          <cell r="E26646">
            <v>0</v>
          </cell>
          <cell r="F26646">
            <v>0</v>
          </cell>
          <cell r="DN26646">
            <v>0</v>
          </cell>
        </row>
        <row r="26647">
          <cell r="E26647">
            <v>0</v>
          </cell>
          <cell r="F26647">
            <v>0</v>
          </cell>
          <cell r="DN26647">
            <v>0</v>
          </cell>
        </row>
        <row r="26648">
          <cell r="E26648">
            <v>0</v>
          </cell>
          <cell r="F26648">
            <v>0</v>
          </cell>
          <cell r="DN26648">
            <v>0</v>
          </cell>
        </row>
        <row r="26649">
          <cell r="E26649">
            <v>0</v>
          </cell>
          <cell r="F26649">
            <v>0</v>
          </cell>
          <cell r="DN26649">
            <v>0</v>
          </cell>
        </row>
        <row r="26650">
          <cell r="E26650">
            <v>0</v>
          </cell>
          <cell r="F26650">
            <v>0</v>
          </cell>
          <cell r="DN26650">
            <v>0</v>
          </cell>
        </row>
        <row r="26651">
          <cell r="E26651">
            <v>0</v>
          </cell>
          <cell r="F26651">
            <v>0</v>
          </cell>
          <cell r="DN26651">
            <v>0</v>
          </cell>
        </row>
        <row r="26652">
          <cell r="E26652">
            <v>0</v>
          </cell>
          <cell r="F26652">
            <v>0</v>
          </cell>
          <cell r="DN26652">
            <v>0</v>
          </cell>
        </row>
        <row r="26653">
          <cell r="E26653">
            <v>0</v>
          </cell>
          <cell r="F26653">
            <v>0</v>
          </cell>
          <cell r="DN26653">
            <v>0</v>
          </cell>
        </row>
        <row r="26654">
          <cell r="E26654">
            <v>0</v>
          </cell>
          <cell r="F26654">
            <v>0</v>
          </cell>
          <cell r="DN26654">
            <v>0</v>
          </cell>
        </row>
        <row r="26655">
          <cell r="E26655">
            <v>0</v>
          </cell>
          <cell r="F26655">
            <v>0</v>
          </cell>
          <cell r="DN26655">
            <v>0</v>
          </cell>
        </row>
        <row r="26656">
          <cell r="E26656">
            <v>0</v>
          </cell>
          <cell r="F26656">
            <v>0</v>
          </cell>
          <cell r="DN26656">
            <v>0</v>
          </cell>
        </row>
        <row r="26657">
          <cell r="E26657">
            <v>0</v>
          </cell>
          <cell r="F26657">
            <v>0</v>
          </cell>
          <cell r="DN26657">
            <v>0</v>
          </cell>
        </row>
        <row r="26658">
          <cell r="E26658">
            <v>0</v>
          </cell>
          <cell r="F26658">
            <v>0</v>
          </cell>
          <cell r="DN26658">
            <v>0</v>
          </cell>
        </row>
        <row r="26659">
          <cell r="E26659">
            <v>0</v>
          </cell>
          <cell r="F26659">
            <v>0</v>
          </cell>
          <cell r="DN26659">
            <v>0</v>
          </cell>
        </row>
        <row r="26660">
          <cell r="E26660">
            <v>0</v>
          </cell>
          <cell r="F26660">
            <v>0</v>
          </cell>
          <cell r="DN26660">
            <v>0</v>
          </cell>
        </row>
        <row r="26661">
          <cell r="E26661">
            <v>0</v>
          </cell>
          <cell r="F26661">
            <v>0</v>
          </cell>
          <cell r="DN26661">
            <v>0</v>
          </cell>
        </row>
        <row r="26662">
          <cell r="E26662">
            <v>0</v>
          </cell>
          <cell r="F26662">
            <v>0</v>
          </cell>
          <cell r="DN26662">
            <v>0</v>
          </cell>
        </row>
        <row r="26663">
          <cell r="E26663">
            <v>0</v>
          </cell>
          <cell r="F26663">
            <v>0</v>
          </cell>
          <cell r="DN26663">
            <v>0</v>
          </cell>
        </row>
        <row r="26664">
          <cell r="E26664">
            <v>0</v>
          </cell>
          <cell r="F26664">
            <v>0</v>
          </cell>
          <cell r="DN26664">
            <v>0</v>
          </cell>
        </row>
        <row r="26665">
          <cell r="E26665">
            <v>0</v>
          </cell>
          <cell r="F26665">
            <v>0</v>
          </cell>
          <cell r="DN26665">
            <v>0</v>
          </cell>
        </row>
        <row r="26666">
          <cell r="E26666">
            <v>0</v>
          </cell>
          <cell r="F26666">
            <v>0</v>
          </cell>
          <cell r="DN26666">
            <v>0</v>
          </cell>
        </row>
        <row r="26667">
          <cell r="E26667">
            <v>0</v>
          </cell>
          <cell r="F26667">
            <v>0</v>
          </cell>
          <cell r="DN26667">
            <v>0</v>
          </cell>
        </row>
        <row r="26668">
          <cell r="E26668">
            <v>0</v>
          </cell>
          <cell r="F26668">
            <v>0</v>
          </cell>
          <cell r="DN26668">
            <v>0</v>
          </cell>
        </row>
        <row r="26669">
          <cell r="E26669">
            <v>0</v>
          </cell>
          <cell r="F26669">
            <v>0</v>
          </cell>
          <cell r="DN26669">
            <v>0</v>
          </cell>
        </row>
        <row r="26670">
          <cell r="E26670">
            <v>0</v>
          </cell>
          <cell r="F26670">
            <v>0</v>
          </cell>
          <cell r="DN26670">
            <v>0</v>
          </cell>
        </row>
        <row r="26671">
          <cell r="E26671">
            <v>0</v>
          </cell>
          <cell r="F26671">
            <v>0</v>
          </cell>
          <cell r="DN26671">
            <v>0</v>
          </cell>
        </row>
        <row r="26672">
          <cell r="E26672">
            <v>0</v>
          </cell>
          <cell r="F26672">
            <v>0</v>
          </cell>
          <cell r="DN26672">
            <v>0</v>
          </cell>
        </row>
        <row r="26673">
          <cell r="E26673">
            <v>0</v>
          </cell>
          <cell r="F26673">
            <v>0</v>
          </cell>
          <cell r="DN26673">
            <v>0</v>
          </cell>
        </row>
        <row r="26674">
          <cell r="E26674">
            <v>0</v>
          </cell>
          <cell r="F26674">
            <v>0</v>
          </cell>
          <cell r="DN26674">
            <v>0</v>
          </cell>
        </row>
        <row r="26675">
          <cell r="E26675">
            <v>0</v>
          </cell>
          <cell r="F26675">
            <v>0</v>
          </cell>
          <cell r="DN26675">
            <v>0</v>
          </cell>
        </row>
        <row r="26676">
          <cell r="E26676">
            <v>0</v>
          </cell>
          <cell r="F26676">
            <v>0</v>
          </cell>
          <cell r="DN26676">
            <v>0</v>
          </cell>
        </row>
        <row r="26677">
          <cell r="E26677">
            <v>0</v>
          </cell>
          <cell r="F26677">
            <v>0</v>
          </cell>
          <cell r="DN26677">
            <v>0</v>
          </cell>
        </row>
        <row r="26678">
          <cell r="E26678">
            <v>0</v>
          </cell>
          <cell r="F26678">
            <v>0</v>
          </cell>
          <cell r="DN26678">
            <v>0</v>
          </cell>
        </row>
        <row r="26679">
          <cell r="E26679">
            <v>0</v>
          </cell>
          <cell r="F26679">
            <v>0</v>
          </cell>
          <cell r="DN26679">
            <v>0</v>
          </cell>
        </row>
        <row r="26680">
          <cell r="E26680">
            <v>0</v>
          </cell>
          <cell r="F26680">
            <v>0</v>
          </cell>
          <cell r="DN26680">
            <v>0</v>
          </cell>
        </row>
        <row r="26681">
          <cell r="E26681">
            <v>0</v>
          </cell>
          <cell r="F26681">
            <v>0</v>
          </cell>
          <cell r="DN26681">
            <v>0</v>
          </cell>
        </row>
        <row r="26682">
          <cell r="E26682">
            <v>0</v>
          </cell>
          <cell r="F26682">
            <v>0</v>
          </cell>
          <cell r="DN26682">
            <v>0</v>
          </cell>
        </row>
        <row r="26683">
          <cell r="E26683">
            <v>0</v>
          </cell>
          <cell r="F26683">
            <v>0</v>
          </cell>
          <cell r="DN26683">
            <v>0</v>
          </cell>
        </row>
        <row r="26684">
          <cell r="E26684">
            <v>0</v>
          </cell>
          <cell r="F26684">
            <v>0</v>
          </cell>
          <cell r="DN26684">
            <v>0</v>
          </cell>
        </row>
        <row r="26685">
          <cell r="E26685">
            <v>0</v>
          </cell>
          <cell r="F26685">
            <v>0</v>
          </cell>
          <cell r="DN26685">
            <v>0</v>
          </cell>
        </row>
        <row r="26686">
          <cell r="E26686">
            <v>0</v>
          </cell>
          <cell r="F26686">
            <v>0</v>
          </cell>
          <cell r="DN26686">
            <v>0</v>
          </cell>
        </row>
        <row r="26687">
          <cell r="E26687">
            <v>0</v>
          </cell>
          <cell r="F26687">
            <v>0</v>
          </cell>
          <cell r="DN26687">
            <v>0</v>
          </cell>
        </row>
        <row r="26688">
          <cell r="E26688">
            <v>0</v>
          </cell>
          <cell r="F26688">
            <v>0</v>
          </cell>
          <cell r="DN26688">
            <v>0</v>
          </cell>
        </row>
        <row r="26689">
          <cell r="E26689">
            <v>0</v>
          </cell>
          <cell r="F26689">
            <v>0</v>
          </cell>
          <cell r="DN26689">
            <v>0</v>
          </cell>
        </row>
        <row r="26690">
          <cell r="E26690">
            <v>0</v>
          </cell>
          <cell r="F26690">
            <v>0</v>
          </cell>
          <cell r="DN26690">
            <v>0</v>
          </cell>
        </row>
        <row r="26691">
          <cell r="E26691">
            <v>0</v>
          </cell>
          <cell r="F26691">
            <v>0</v>
          </cell>
          <cell r="DN26691">
            <v>0</v>
          </cell>
        </row>
        <row r="26692">
          <cell r="E26692">
            <v>0</v>
          </cell>
          <cell r="F26692">
            <v>0</v>
          </cell>
          <cell r="DN26692">
            <v>0</v>
          </cell>
        </row>
        <row r="26693">
          <cell r="E26693">
            <v>0</v>
          </cell>
          <cell r="F26693">
            <v>0</v>
          </cell>
          <cell r="DN26693">
            <v>0</v>
          </cell>
        </row>
        <row r="26694">
          <cell r="E26694">
            <v>0</v>
          </cell>
          <cell r="F26694">
            <v>0</v>
          </cell>
          <cell r="DN26694">
            <v>0</v>
          </cell>
        </row>
        <row r="26695">
          <cell r="E26695">
            <v>0</v>
          </cell>
          <cell r="F26695">
            <v>0</v>
          </cell>
          <cell r="DN26695">
            <v>0</v>
          </cell>
        </row>
        <row r="26696">
          <cell r="E26696">
            <v>0</v>
          </cell>
          <cell r="F26696">
            <v>0</v>
          </cell>
          <cell r="DN26696">
            <v>0</v>
          </cell>
        </row>
        <row r="26697">
          <cell r="E26697">
            <v>0</v>
          </cell>
          <cell r="F26697">
            <v>0</v>
          </cell>
          <cell r="DN26697">
            <v>0</v>
          </cell>
        </row>
        <row r="26698">
          <cell r="E26698">
            <v>0</v>
          </cell>
          <cell r="F26698">
            <v>0</v>
          </cell>
          <cell r="DN26698">
            <v>0</v>
          </cell>
        </row>
        <row r="26699">
          <cell r="E26699">
            <v>0</v>
          </cell>
          <cell r="F26699">
            <v>0</v>
          </cell>
          <cell r="DN26699">
            <v>0</v>
          </cell>
        </row>
        <row r="26700">
          <cell r="E26700">
            <v>0</v>
          </cell>
          <cell r="F26700">
            <v>0</v>
          </cell>
          <cell r="DN26700">
            <v>0</v>
          </cell>
        </row>
        <row r="26701">
          <cell r="E26701">
            <v>0</v>
          </cell>
          <cell r="F26701">
            <v>0</v>
          </cell>
          <cell r="DN26701">
            <v>0</v>
          </cell>
        </row>
        <row r="26702">
          <cell r="E26702">
            <v>0</v>
          </cell>
          <cell r="F26702">
            <v>0</v>
          </cell>
          <cell r="DN26702">
            <v>0</v>
          </cell>
        </row>
        <row r="26703">
          <cell r="E26703">
            <v>0</v>
          </cell>
          <cell r="F26703">
            <v>0</v>
          </cell>
          <cell r="DN26703">
            <v>0</v>
          </cell>
        </row>
        <row r="26704">
          <cell r="E26704">
            <v>0</v>
          </cell>
          <cell r="F26704">
            <v>0</v>
          </cell>
          <cell r="DN26704">
            <v>0</v>
          </cell>
        </row>
        <row r="26705">
          <cell r="E26705">
            <v>0</v>
          </cell>
          <cell r="F26705">
            <v>0</v>
          </cell>
          <cell r="DN26705">
            <v>0</v>
          </cell>
        </row>
        <row r="26706">
          <cell r="E26706">
            <v>0</v>
          </cell>
          <cell r="F26706">
            <v>0</v>
          </cell>
          <cell r="DN26706">
            <v>0</v>
          </cell>
        </row>
        <row r="26707">
          <cell r="E26707">
            <v>0</v>
          </cell>
          <cell r="F26707">
            <v>0</v>
          </cell>
          <cell r="DN26707">
            <v>0</v>
          </cell>
        </row>
        <row r="26708">
          <cell r="E26708">
            <v>0</v>
          </cell>
          <cell r="F26708">
            <v>0</v>
          </cell>
          <cell r="DN26708">
            <v>0</v>
          </cell>
        </row>
        <row r="26709">
          <cell r="E26709">
            <v>0</v>
          </cell>
          <cell r="F26709">
            <v>0</v>
          </cell>
          <cell r="DN26709">
            <v>0</v>
          </cell>
        </row>
        <row r="26710">
          <cell r="E26710">
            <v>0</v>
          </cell>
          <cell r="F26710">
            <v>0</v>
          </cell>
          <cell r="DN26710">
            <v>0</v>
          </cell>
        </row>
        <row r="26711">
          <cell r="E26711">
            <v>0</v>
          </cell>
          <cell r="F26711">
            <v>0</v>
          </cell>
          <cell r="DN26711">
            <v>0</v>
          </cell>
        </row>
        <row r="26712">
          <cell r="E26712">
            <v>0</v>
          </cell>
          <cell r="F26712">
            <v>0</v>
          </cell>
          <cell r="DN26712">
            <v>0</v>
          </cell>
        </row>
        <row r="26713">
          <cell r="E26713">
            <v>0</v>
          </cell>
          <cell r="F26713">
            <v>0</v>
          </cell>
          <cell r="DN26713">
            <v>0</v>
          </cell>
        </row>
        <row r="26714">
          <cell r="E26714">
            <v>0</v>
          </cell>
          <cell r="F26714">
            <v>0</v>
          </cell>
          <cell r="DN26714">
            <v>0</v>
          </cell>
        </row>
        <row r="26715">
          <cell r="E26715">
            <v>0</v>
          </cell>
          <cell r="F26715">
            <v>0</v>
          </cell>
          <cell r="DN26715">
            <v>0</v>
          </cell>
        </row>
        <row r="26716">
          <cell r="E26716">
            <v>0</v>
          </cell>
          <cell r="F26716">
            <v>0</v>
          </cell>
          <cell r="DN26716">
            <v>0</v>
          </cell>
        </row>
        <row r="26717">
          <cell r="E26717">
            <v>0</v>
          </cell>
          <cell r="F26717">
            <v>0</v>
          </cell>
          <cell r="DN26717">
            <v>0</v>
          </cell>
        </row>
        <row r="26718">
          <cell r="E26718">
            <v>0</v>
          </cell>
          <cell r="F26718">
            <v>0</v>
          </cell>
          <cell r="DN26718">
            <v>0</v>
          </cell>
        </row>
        <row r="26719">
          <cell r="E26719">
            <v>0</v>
          </cell>
          <cell r="F26719">
            <v>0</v>
          </cell>
          <cell r="DN26719">
            <v>0</v>
          </cell>
        </row>
        <row r="26720">
          <cell r="E26720">
            <v>0</v>
          </cell>
          <cell r="F26720">
            <v>0</v>
          </cell>
          <cell r="DN26720">
            <v>0</v>
          </cell>
        </row>
        <row r="26721">
          <cell r="E26721">
            <v>0</v>
          </cell>
          <cell r="F26721">
            <v>0</v>
          </cell>
          <cell r="DN26721">
            <v>0</v>
          </cell>
        </row>
        <row r="26722">
          <cell r="E26722">
            <v>0</v>
          </cell>
          <cell r="F26722">
            <v>0</v>
          </cell>
          <cell r="DN26722">
            <v>0</v>
          </cell>
        </row>
        <row r="26723">
          <cell r="E26723">
            <v>0</v>
          </cell>
          <cell r="F26723">
            <v>0</v>
          </cell>
          <cell r="DN26723">
            <v>0</v>
          </cell>
        </row>
        <row r="26724">
          <cell r="E26724">
            <v>0</v>
          </cell>
          <cell r="F26724">
            <v>0</v>
          </cell>
          <cell r="DN26724">
            <v>0</v>
          </cell>
        </row>
        <row r="26725">
          <cell r="E26725">
            <v>0</v>
          </cell>
          <cell r="F26725">
            <v>0</v>
          </cell>
          <cell r="DN26725">
            <v>0</v>
          </cell>
        </row>
        <row r="26726">
          <cell r="E26726">
            <v>0</v>
          </cell>
          <cell r="F26726">
            <v>0</v>
          </cell>
          <cell r="DN26726">
            <v>0</v>
          </cell>
        </row>
        <row r="26727">
          <cell r="E26727">
            <v>0</v>
          </cell>
          <cell r="F26727">
            <v>0</v>
          </cell>
          <cell r="DN26727">
            <v>0</v>
          </cell>
        </row>
        <row r="26728">
          <cell r="E26728">
            <v>0</v>
          </cell>
          <cell r="F26728">
            <v>0</v>
          </cell>
          <cell r="DN26728">
            <v>0</v>
          </cell>
        </row>
        <row r="26729">
          <cell r="E26729">
            <v>0</v>
          </cell>
          <cell r="F26729">
            <v>0</v>
          </cell>
          <cell r="DN26729">
            <v>0</v>
          </cell>
        </row>
        <row r="26730">
          <cell r="E26730">
            <v>0</v>
          </cell>
          <cell r="F26730">
            <v>0</v>
          </cell>
          <cell r="DN26730">
            <v>0</v>
          </cell>
        </row>
        <row r="26731">
          <cell r="E26731">
            <v>0</v>
          </cell>
          <cell r="F26731">
            <v>0</v>
          </cell>
          <cell r="DN26731">
            <v>0</v>
          </cell>
        </row>
        <row r="26732">
          <cell r="E26732">
            <v>0</v>
          </cell>
          <cell r="F26732">
            <v>0</v>
          </cell>
          <cell r="DN26732">
            <v>0</v>
          </cell>
        </row>
        <row r="26733">
          <cell r="E26733">
            <v>0</v>
          </cell>
          <cell r="F26733">
            <v>0</v>
          </cell>
          <cell r="DN26733">
            <v>0</v>
          </cell>
        </row>
        <row r="26734">
          <cell r="E26734">
            <v>0</v>
          </cell>
          <cell r="F26734">
            <v>0</v>
          </cell>
          <cell r="DN26734">
            <v>0</v>
          </cell>
        </row>
        <row r="26735">
          <cell r="E26735">
            <v>0</v>
          </cell>
          <cell r="F26735">
            <v>0</v>
          </cell>
          <cell r="DN26735">
            <v>0</v>
          </cell>
        </row>
        <row r="26736">
          <cell r="E26736">
            <v>0</v>
          </cell>
          <cell r="F26736">
            <v>0</v>
          </cell>
          <cell r="DN26736">
            <v>0</v>
          </cell>
        </row>
        <row r="26737">
          <cell r="E26737">
            <v>0</v>
          </cell>
          <cell r="F26737">
            <v>0</v>
          </cell>
          <cell r="DN26737">
            <v>0</v>
          </cell>
        </row>
        <row r="26738">
          <cell r="E26738">
            <v>0</v>
          </cell>
          <cell r="F26738">
            <v>0</v>
          </cell>
          <cell r="DN26738">
            <v>0</v>
          </cell>
        </row>
        <row r="26739">
          <cell r="E26739">
            <v>0</v>
          </cell>
          <cell r="F26739">
            <v>0</v>
          </cell>
          <cell r="DN26739">
            <v>0</v>
          </cell>
        </row>
        <row r="26740">
          <cell r="E26740">
            <v>0</v>
          </cell>
          <cell r="F26740">
            <v>0</v>
          </cell>
          <cell r="DN26740">
            <v>0</v>
          </cell>
        </row>
        <row r="26741">
          <cell r="E26741">
            <v>0</v>
          </cell>
          <cell r="F26741">
            <v>0</v>
          </cell>
          <cell r="DN26741">
            <v>0</v>
          </cell>
        </row>
        <row r="26742">
          <cell r="E26742">
            <v>0</v>
          </cell>
          <cell r="F26742">
            <v>0</v>
          </cell>
          <cell r="DN26742">
            <v>0</v>
          </cell>
        </row>
        <row r="26743">
          <cell r="E26743">
            <v>0</v>
          </cell>
          <cell r="F26743">
            <v>0</v>
          </cell>
          <cell r="DN26743">
            <v>0</v>
          </cell>
        </row>
        <row r="26744">
          <cell r="E26744">
            <v>0</v>
          </cell>
          <cell r="F26744">
            <v>0</v>
          </cell>
          <cell r="DN26744">
            <v>0</v>
          </cell>
        </row>
        <row r="26745">
          <cell r="E26745">
            <v>0</v>
          </cell>
          <cell r="F26745">
            <v>0</v>
          </cell>
          <cell r="DN26745">
            <v>0</v>
          </cell>
        </row>
        <row r="26746">
          <cell r="E26746">
            <v>0</v>
          </cell>
          <cell r="F26746">
            <v>0</v>
          </cell>
          <cell r="DN26746">
            <v>0</v>
          </cell>
        </row>
        <row r="26747">
          <cell r="E26747">
            <v>0</v>
          </cell>
          <cell r="F26747">
            <v>0</v>
          </cell>
          <cell r="DN26747">
            <v>0</v>
          </cell>
        </row>
        <row r="26748">
          <cell r="E26748">
            <v>0</v>
          </cell>
          <cell r="F26748">
            <v>0</v>
          </cell>
          <cell r="DN26748">
            <v>0</v>
          </cell>
        </row>
        <row r="26749">
          <cell r="E26749">
            <v>0</v>
          </cell>
          <cell r="F26749">
            <v>0</v>
          </cell>
          <cell r="DN26749">
            <v>0</v>
          </cell>
        </row>
        <row r="26750">
          <cell r="E26750">
            <v>0</v>
          </cell>
          <cell r="F26750">
            <v>0</v>
          </cell>
          <cell r="DN26750">
            <v>0</v>
          </cell>
        </row>
        <row r="26751">
          <cell r="E26751">
            <v>0</v>
          </cell>
          <cell r="F26751">
            <v>0</v>
          </cell>
          <cell r="DN26751">
            <v>0</v>
          </cell>
        </row>
        <row r="26752">
          <cell r="E26752">
            <v>0</v>
          </cell>
          <cell r="F26752">
            <v>0</v>
          </cell>
          <cell r="DN26752">
            <v>0</v>
          </cell>
        </row>
        <row r="26753">
          <cell r="E26753">
            <v>0</v>
          </cell>
          <cell r="F26753">
            <v>0</v>
          </cell>
          <cell r="DN26753">
            <v>0</v>
          </cell>
        </row>
        <row r="26754">
          <cell r="E26754">
            <v>0</v>
          </cell>
          <cell r="F26754">
            <v>0</v>
          </cell>
          <cell r="DN26754">
            <v>0</v>
          </cell>
        </row>
        <row r="26755">
          <cell r="E26755">
            <v>0</v>
          </cell>
          <cell r="F26755">
            <v>0</v>
          </cell>
          <cell r="DN26755">
            <v>0</v>
          </cell>
        </row>
        <row r="26756">
          <cell r="E26756">
            <v>0</v>
          </cell>
          <cell r="F26756">
            <v>0</v>
          </cell>
          <cell r="DN26756">
            <v>0</v>
          </cell>
        </row>
        <row r="26757">
          <cell r="E26757">
            <v>0</v>
          </cell>
          <cell r="F26757">
            <v>0</v>
          </cell>
          <cell r="DN26757">
            <v>0</v>
          </cell>
        </row>
        <row r="26758">
          <cell r="E26758">
            <v>0</v>
          </cell>
          <cell r="F26758">
            <v>0</v>
          </cell>
          <cell r="DN26758">
            <v>0</v>
          </cell>
        </row>
        <row r="26759">
          <cell r="E26759">
            <v>0</v>
          </cell>
          <cell r="F26759">
            <v>0</v>
          </cell>
          <cell r="DN26759">
            <v>0</v>
          </cell>
        </row>
        <row r="26760">
          <cell r="E26760">
            <v>0</v>
          </cell>
          <cell r="F26760">
            <v>0</v>
          </cell>
          <cell r="DN26760">
            <v>0</v>
          </cell>
        </row>
        <row r="26761">
          <cell r="E26761">
            <v>0</v>
          </cell>
          <cell r="F26761">
            <v>0</v>
          </cell>
          <cell r="DN26761">
            <v>0</v>
          </cell>
        </row>
        <row r="26762">
          <cell r="E26762">
            <v>0</v>
          </cell>
          <cell r="F26762">
            <v>0</v>
          </cell>
          <cell r="DN26762">
            <v>0</v>
          </cell>
        </row>
        <row r="26763">
          <cell r="E26763">
            <v>0</v>
          </cell>
          <cell r="F26763">
            <v>0</v>
          </cell>
          <cell r="DN26763">
            <v>0</v>
          </cell>
        </row>
        <row r="26764">
          <cell r="E26764">
            <v>0</v>
          </cell>
          <cell r="F26764">
            <v>0</v>
          </cell>
          <cell r="DN26764">
            <v>0</v>
          </cell>
        </row>
        <row r="26765">
          <cell r="E26765">
            <v>0</v>
          </cell>
          <cell r="F26765">
            <v>0</v>
          </cell>
          <cell r="DN26765">
            <v>0</v>
          </cell>
        </row>
        <row r="26766">
          <cell r="E26766">
            <v>0</v>
          </cell>
          <cell r="F26766">
            <v>0</v>
          </cell>
          <cell r="DN26766">
            <v>0</v>
          </cell>
        </row>
        <row r="26767">
          <cell r="E26767">
            <v>0</v>
          </cell>
          <cell r="F26767">
            <v>0</v>
          </cell>
          <cell r="DN26767">
            <v>0</v>
          </cell>
        </row>
        <row r="26768">
          <cell r="E26768">
            <v>0</v>
          </cell>
          <cell r="F26768">
            <v>0</v>
          </cell>
          <cell r="DN26768">
            <v>0</v>
          </cell>
        </row>
        <row r="26769">
          <cell r="E26769">
            <v>0</v>
          </cell>
          <cell r="F26769">
            <v>0</v>
          </cell>
          <cell r="DN26769">
            <v>0</v>
          </cell>
        </row>
        <row r="26770">
          <cell r="E26770">
            <v>0</v>
          </cell>
          <cell r="F26770">
            <v>0</v>
          </cell>
          <cell r="DN26770">
            <v>0</v>
          </cell>
        </row>
        <row r="26771">
          <cell r="E26771">
            <v>0</v>
          </cell>
          <cell r="F26771">
            <v>0</v>
          </cell>
          <cell r="DN26771">
            <v>0</v>
          </cell>
        </row>
        <row r="26772">
          <cell r="E26772">
            <v>0</v>
          </cell>
          <cell r="F26772">
            <v>0</v>
          </cell>
          <cell r="DN26772">
            <v>0</v>
          </cell>
        </row>
        <row r="26773">
          <cell r="E26773">
            <v>0</v>
          </cell>
          <cell r="F26773">
            <v>0</v>
          </cell>
          <cell r="DN26773">
            <v>0</v>
          </cell>
        </row>
        <row r="26774">
          <cell r="E26774">
            <v>0</v>
          </cell>
          <cell r="F26774">
            <v>0</v>
          </cell>
          <cell r="DN26774">
            <v>0</v>
          </cell>
        </row>
        <row r="26775">
          <cell r="E26775">
            <v>0</v>
          </cell>
          <cell r="F26775">
            <v>0</v>
          </cell>
          <cell r="DN26775">
            <v>0</v>
          </cell>
        </row>
        <row r="26776">
          <cell r="E26776">
            <v>0</v>
          </cell>
          <cell r="F26776">
            <v>0</v>
          </cell>
          <cell r="DN26776">
            <v>0</v>
          </cell>
        </row>
        <row r="26777">
          <cell r="E26777">
            <v>0</v>
          </cell>
          <cell r="F26777">
            <v>0</v>
          </cell>
          <cell r="DN26777">
            <v>0</v>
          </cell>
        </row>
        <row r="26778">
          <cell r="E26778">
            <v>0</v>
          </cell>
          <cell r="F26778">
            <v>0</v>
          </cell>
          <cell r="DN26778">
            <v>0</v>
          </cell>
        </row>
        <row r="26779">
          <cell r="E26779">
            <v>0</v>
          </cell>
          <cell r="F26779">
            <v>0</v>
          </cell>
          <cell r="DN26779">
            <v>0</v>
          </cell>
        </row>
        <row r="26780">
          <cell r="E26780">
            <v>0</v>
          </cell>
          <cell r="F26780">
            <v>0</v>
          </cell>
          <cell r="DN26780">
            <v>0</v>
          </cell>
        </row>
        <row r="26781">
          <cell r="E26781">
            <v>0</v>
          </cell>
          <cell r="F26781">
            <v>0</v>
          </cell>
          <cell r="DN26781">
            <v>0</v>
          </cell>
        </row>
        <row r="26782">
          <cell r="E26782">
            <v>0</v>
          </cell>
          <cell r="F26782">
            <v>0</v>
          </cell>
          <cell r="DN26782">
            <v>0</v>
          </cell>
        </row>
        <row r="26783">
          <cell r="E26783">
            <v>0</v>
          </cell>
          <cell r="F26783">
            <v>0</v>
          </cell>
          <cell r="DN26783">
            <v>0</v>
          </cell>
        </row>
        <row r="26784">
          <cell r="E26784">
            <v>0</v>
          </cell>
          <cell r="F26784">
            <v>0</v>
          </cell>
          <cell r="DN26784">
            <v>0</v>
          </cell>
        </row>
        <row r="26785">
          <cell r="E26785">
            <v>0</v>
          </cell>
          <cell r="F26785">
            <v>0</v>
          </cell>
          <cell r="DN26785">
            <v>0</v>
          </cell>
        </row>
        <row r="26786">
          <cell r="E26786">
            <v>0</v>
          </cell>
          <cell r="F26786">
            <v>0</v>
          </cell>
          <cell r="DN26786">
            <v>0</v>
          </cell>
        </row>
        <row r="26787">
          <cell r="E26787">
            <v>0</v>
          </cell>
          <cell r="F26787">
            <v>0</v>
          </cell>
          <cell r="DN26787">
            <v>0</v>
          </cell>
        </row>
        <row r="26788">
          <cell r="E26788">
            <v>0</v>
          </cell>
          <cell r="F26788">
            <v>0</v>
          </cell>
          <cell r="DN26788">
            <v>0</v>
          </cell>
        </row>
        <row r="26789">
          <cell r="E26789">
            <v>0</v>
          </cell>
          <cell r="F26789">
            <v>0</v>
          </cell>
          <cell r="DN26789">
            <v>0</v>
          </cell>
        </row>
        <row r="26790">
          <cell r="E26790">
            <v>0</v>
          </cell>
          <cell r="F26790">
            <v>0</v>
          </cell>
          <cell r="DN26790">
            <v>0</v>
          </cell>
        </row>
        <row r="26791">
          <cell r="E26791">
            <v>0</v>
          </cell>
          <cell r="F26791">
            <v>0</v>
          </cell>
          <cell r="DN26791">
            <v>0</v>
          </cell>
        </row>
        <row r="26792">
          <cell r="E26792">
            <v>0</v>
          </cell>
          <cell r="F26792">
            <v>0</v>
          </cell>
          <cell r="DN26792">
            <v>0</v>
          </cell>
        </row>
        <row r="26793">
          <cell r="E26793">
            <v>0</v>
          </cell>
          <cell r="F26793">
            <v>0</v>
          </cell>
          <cell r="DN26793">
            <v>0</v>
          </cell>
        </row>
        <row r="26794">
          <cell r="E26794">
            <v>0</v>
          </cell>
          <cell r="F26794">
            <v>0</v>
          </cell>
          <cell r="DN26794">
            <v>0</v>
          </cell>
        </row>
        <row r="26795">
          <cell r="E26795">
            <v>0</v>
          </cell>
          <cell r="F26795">
            <v>0</v>
          </cell>
          <cell r="DN26795">
            <v>0</v>
          </cell>
        </row>
        <row r="26796">
          <cell r="E26796">
            <v>0</v>
          </cell>
          <cell r="F26796">
            <v>0</v>
          </cell>
          <cell r="DN26796">
            <v>0</v>
          </cell>
        </row>
        <row r="26797">
          <cell r="E26797">
            <v>0</v>
          </cell>
          <cell r="F26797">
            <v>0</v>
          </cell>
          <cell r="DN26797">
            <v>0</v>
          </cell>
        </row>
        <row r="26798">
          <cell r="E26798">
            <v>0</v>
          </cell>
          <cell r="F26798">
            <v>0</v>
          </cell>
          <cell r="DN26798">
            <v>0</v>
          </cell>
        </row>
        <row r="26799">
          <cell r="E26799">
            <v>0</v>
          </cell>
          <cell r="F26799">
            <v>0</v>
          </cell>
          <cell r="DN26799">
            <v>0</v>
          </cell>
        </row>
        <row r="26800">
          <cell r="E26800">
            <v>0</v>
          </cell>
          <cell r="F26800">
            <v>0</v>
          </cell>
          <cell r="DN26800">
            <v>0</v>
          </cell>
        </row>
        <row r="26801">
          <cell r="E26801">
            <v>0</v>
          </cell>
          <cell r="F26801">
            <v>0</v>
          </cell>
          <cell r="DN26801">
            <v>0</v>
          </cell>
        </row>
        <row r="26802">
          <cell r="E26802">
            <v>0</v>
          </cell>
          <cell r="F26802">
            <v>0</v>
          </cell>
          <cell r="DN26802">
            <v>0</v>
          </cell>
        </row>
        <row r="26803">
          <cell r="E26803">
            <v>0</v>
          </cell>
          <cell r="F26803">
            <v>0</v>
          </cell>
          <cell r="DN26803">
            <v>0</v>
          </cell>
        </row>
        <row r="26804">
          <cell r="E26804">
            <v>0</v>
          </cell>
          <cell r="F26804">
            <v>0</v>
          </cell>
          <cell r="DN26804">
            <v>0</v>
          </cell>
        </row>
        <row r="26805">
          <cell r="E26805">
            <v>0</v>
          </cell>
          <cell r="F26805">
            <v>0</v>
          </cell>
          <cell r="DN26805">
            <v>0</v>
          </cell>
        </row>
        <row r="26806">
          <cell r="E26806">
            <v>0</v>
          </cell>
          <cell r="F26806">
            <v>0</v>
          </cell>
          <cell r="DN26806">
            <v>0</v>
          </cell>
        </row>
        <row r="26807">
          <cell r="E26807">
            <v>0</v>
          </cell>
          <cell r="F26807">
            <v>0</v>
          </cell>
          <cell r="DN26807">
            <v>0</v>
          </cell>
        </row>
        <row r="26808">
          <cell r="E26808">
            <v>0</v>
          </cell>
          <cell r="F26808">
            <v>0</v>
          </cell>
          <cell r="DN26808">
            <v>0</v>
          </cell>
        </row>
        <row r="26809">
          <cell r="E26809">
            <v>0</v>
          </cell>
          <cell r="F26809">
            <v>0</v>
          </cell>
          <cell r="DN26809">
            <v>0</v>
          </cell>
        </row>
        <row r="26810">
          <cell r="E26810">
            <v>0</v>
          </cell>
          <cell r="F26810">
            <v>0</v>
          </cell>
          <cell r="DN26810">
            <v>0</v>
          </cell>
        </row>
        <row r="26811">
          <cell r="E26811">
            <v>0</v>
          </cell>
          <cell r="F26811">
            <v>0</v>
          </cell>
          <cell r="DN26811">
            <v>0</v>
          </cell>
        </row>
        <row r="26812">
          <cell r="E26812">
            <v>0</v>
          </cell>
          <cell r="F26812">
            <v>0</v>
          </cell>
          <cell r="DN26812">
            <v>0</v>
          </cell>
        </row>
        <row r="26813">
          <cell r="E26813">
            <v>0</v>
          </cell>
          <cell r="F26813">
            <v>0</v>
          </cell>
          <cell r="DN26813">
            <v>0</v>
          </cell>
        </row>
        <row r="26814">
          <cell r="E26814">
            <v>0</v>
          </cell>
          <cell r="F26814">
            <v>0</v>
          </cell>
          <cell r="DN26814">
            <v>0</v>
          </cell>
        </row>
        <row r="26815">
          <cell r="E26815">
            <v>0</v>
          </cell>
          <cell r="F26815">
            <v>0</v>
          </cell>
          <cell r="DN26815">
            <v>0</v>
          </cell>
        </row>
        <row r="26816">
          <cell r="E26816">
            <v>0</v>
          </cell>
          <cell r="F26816">
            <v>0</v>
          </cell>
          <cell r="DN26816">
            <v>0</v>
          </cell>
        </row>
        <row r="26817">
          <cell r="E26817">
            <v>0</v>
          </cell>
          <cell r="F26817">
            <v>0</v>
          </cell>
          <cell r="DN26817">
            <v>0</v>
          </cell>
        </row>
        <row r="26818">
          <cell r="E26818">
            <v>0</v>
          </cell>
          <cell r="F26818">
            <v>0</v>
          </cell>
          <cell r="DN26818">
            <v>0</v>
          </cell>
        </row>
        <row r="26819">
          <cell r="E26819">
            <v>0</v>
          </cell>
          <cell r="F26819">
            <v>0</v>
          </cell>
          <cell r="DN26819">
            <v>0</v>
          </cell>
        </row>
        <row r="26820">
          <cell r="E26820">
            <v>0</v>
          </cell>
          <cell r="F26820">
            <v>0</v>
          </cell>
          <cell r="DN26820">
            <v>0</v>
          </cell>
        </row>
        <row r="26821">
          <cell r="E26821">
            <v>0</v>
          </cell>
          <cell r="F26821">
            <v>0</v>
          </cell>
          <cell r="DN26821">
            <v>0</v>
          </cell>
        </row>
        <row r="26822">
          <cell r="E26822">
            <v>0</v>
          </cell>
          <cell r="F26822">
            <v>0</v>
          </cell>
          <cell r="DN26822">
            <v>0</v>
          </cell>
        </row>
        <row r="26823">
          <cell r="E26823">
            <v>0</v>
          </cell>
          <cell r="F26823">
            <v>0</v>
          </cell>
          <cell r="DN26823">
            <v>0</v>
          </cell>
        </row>
        <row r="26824">
          <cell r="E26824">
            <v>0</v>
          </cell>
          <cell r="F26824">
            <v>0</v>
          </cell>
          <cell r="DN26824">
            <v>0</v>
          </cell>
        </row>
        <row r="26825">
          <cell r="E26825">
            <v>0</v>
          </cell>
          <cell r="F26825">
            <v>0</v>
          </cell>
          <cell r="DN26825">
            <v>0</v>
          </cell>
        </row>
        <row r="26826">
          <cell r="E26826">
            <v>0</v>
          </cell>
          <cell r="F26826">
            <v>0</v>
          </cell>
          <cell r="DN26826">
            <v>0</v>
          </cell>
        </row>
        <row r="26827">
          <cell r="E26827">
            <v>0</v>
          </cell>
          <cell r="F26827">
            <v>0</v>
          </cell>
          <cell r="DN26827">
            <v>0</v>
          </cell>
        </row>
        <row r="26828">
          <cell r="E26828">
            <v>0</v>
          </cell>
          <cell r="F26828">
            <v>0</v>
          </cell>
          <cell r="DN26828">
            <v>0</v>
          </cell>
        </row>
        <row r="26829">
          <cell r="E26829">
            <v>0</v>
          </cell>
          <cell r="F26829">
            <v>0</v>
          </cell>
          <cell r="DN26829">
            <v>0</v>
          </cell>
        </row>
        <row r="26830">
          <cell r="E26830">
            <v>0</v>
          </cell>
          <cell r="F26830">
            <v>0</v>
          </cell>
          <cell r="DN26830">
            <v>0</v>
          </cell>
        </row>
        <row r="26831">
          <cell r="E26831">
            <v>0</v>
          </cell>
          <cell r="F26831">
            <v>0</v>
          </cell>
          <cell r="DN26831">
            <v>0</v>
          </cell>
        </row>
        <row r="26832">
          <cell r="E26832">
            <v>0</v>
          </cell>
          <cell r="F26832">
            <v>0</v>
          </cell>
          <cell r="DN26832">
            <v>0</v>
          </cell>
        </row>
        <row r="26833">
          <cell r="E26833">
            <v>0</v>
          </cell>
          <cell r="F26833">
            <v>0</v>
          </cell>
          <cell r="DN26833">
            <v>0</v>
          </cell>
        </row>
        <row r="26834">
          <cell r="E26834">
            <v>0</v>
          </cell>
          <cell r="F26834">
            <v>0</v>
          </cell>
          <cell r="DN26834">
            <v>0</v>
          </cell>
        </row>
        <row r="26835">
          <cell r="E26835">
            <v>0</v>
          </cell>
          <cell r="F26835">
            <v>0</v>
          </cell>
          <cell r="DN26835">
            <v>0</v>
          </cell>
        </row>
        <row r="26836">
          <cell r="E26836">
            <v>0</v>
          </cell>
          <cell r="F26836">
            <v>0</v>
          </cell>
          <cell r="DN26836">
            <v>0</v>
          </cell>
        </row>
        <row r="26837">
          <cell r="E26837">
            <v>0</v>
          </cell>
          <cell r="F26837">
            <v>0</v>
          </cell>
          <cell r="DN26837">
            <v>0</v>
          </cell>
        </row>
        <row r="26838">
          <cell r="E26838">
            <v>0</v>
          </cell>
          <cell r="F26838">
            <v>0</v>
          </cell>
          <cell r="DN26838">
            <v>0</v>
          </cell>
        </row>
        <row r="26839">
          <cell r="E26839">
            <v>0</v>
          </cell>
          <cell r="F26839">
            <v>0</v>
          </cell>
          <cell r="DN26839">
            <v>0</v>
          </cell>
        </row>
        <row r="26840">
          <cell r="E26840">
            <v>0</v>
          </cell>
          <cell r="F26840">
            <v>0</v>
          </cell>
          <cell r="DN26840">
            <v>0</v>
          </cell>
        </row>
        <row r="26841">
          <cell r="E26841">
            <v>0</v>
          </cell>
          <cell r="F26841">
            <v>0</v>
          </cell>
          <cell r="DN26841">
            <v>0</v>
          </cell>
        </row>
        <row r="26842">
          <cell r="E26842">
            <v>0</v>
          </cell>
          <cell r="F26842">
            <v>0</v>
          </cell>
          <cell r="DN26842">
            <v>0</v>
          </cell>
        </row>
        <row r="26843">
          <cell r="E26843">
            <v>0</v>
          </cell>
          <cell r="F26843">
            <v>0</v>
          </cell>
          <cell r="DN26843">
            <v>0</v>
          </cell>
        </row>
        <row r="26844">
          <cell r="E26844">
            <v>0</v>
          </cell>
          <cell r="F26844">
            <v>0</v>
          </cell>
          <cell r="DN26844">
            <v>0</v>
          </cell>
        </row>
        <row r="26845">
          <cell r="E26845">
            <v>0</v>
          </cell>
          <cell r="F26845">
            <v>0</v>
          </cell>
          <cell r="DN26845">
            <v>0</v>
          </cell>
        </row>
        <row r="26846">
          <cell r="E26846">
            <v>0</v>
          </cell>
          <cell r="F26846">
            <v>0</v>
          </cell>
          <cell r="DN26846">
            <v>0</v>
          </cell>
        </row>
        <row r="26847">
          <cell r="E26847">
            <v>0</v>
          </cell>
          <cell r="F26847">
            <v>0</v>
          </cell>
          <cell r="DN26847">
            <v>0</v>
          </cell>
        </row>
        <row r="26848">
          <cell r="E26848">
            <v>0</v>
          </cell>
          <cell r="F26848">
            <v>0</v>
          </cell>
          <cell r="DN26848">
            <v>0</v>
          </cell>
        </row>
        <row r="26849">
          <cell r="E26849">
            <v>0</v>
          </cell>
          <cell r="F26849">
            <v>0</v>
          </cell>
          <cell r="DN26849">
            <v>0</v>
          </cell>
        </row>
        <row r="26850">
          <cell r="E26850">
            <v>0</v>
          </cell>
          <cell r="F26850">
            <v>0</v>
          </cell>
          <cell r="DN26850">
            <v>0</v>
          </cell>
        </row>
        <row r="26851">
          <cell r="E26851">
            <v>0</v>
          </cell>
          <cell r="F26851">
            <v>0</v>
          </cell>
          <cell r="DN26851">
            <v>0</v>
          </cell>
        </row>
        <row r="26852">
          <cell r="E26852">
            <v>0</v>
          </cell>
          <cell r="F26852">
            <v>0</v>
          </cell>
          <cell r="DN26852">
            <v>0</v>
          </cell>
        </row>
        <row r="26853">
          <cell r="E26853">
            <v>0</v>
          </cell>
          <cell r="F26853">
            <v>0</v>
          </cell>
          <cell r="DN26853">
            <v>0</v>
          </cell>
        </row>
        <row r="26854">
          <cell r="E26854">
            <v>0</v>
          </cell>
          <cell r="F26854">
            <v>0</v>
          </cell>
          <cell r="DN26854">
            <v>0</v>
          </cell>
        </row>
        <row r="26855">
          <cell r="E26855">
            <v>0</v>
          </cell>
          <cell r="F26855">
            <v>0</v>
          </cell>
          <cell r="DN26855">
            <v>0</v>
          </cell>
        </row>
        <row r="26856">
          <cell r="E26856">
            <v>0</v>
          </cell>
          <cell r="F26856">
            <v>0</v>
          </cell>
          <cell r="DN26856">
            <v>0</v>
          </cell>
        </row>
        <row r="26857">
          <cell r="E26857">
            <v>0</v>
          </cell>
          <cell r="F26857">
            <v>0</v>
          </cell>
          <cell r="DN26857">
            <v>0</v>
          </cell>
        </row>
        <row r="26858">
          <cell r="E26858">
            <v>0</v>
          </cell>
          <cell r="F26858">
            <v>0</v>
          </cell>
          <cell r="DN26858">
            <v>0</v>
          </cell>
        </row>
        <row r="26859">
          <cell r="E26859">
            <v>0</v>
          </cell>
          <cell r="F26859">
            <v>0</v>
          </cell>
          <cell r="DN26859">
            <v>0</v>
          </cell>
        </row>
        <row r="26860">
          <cell r="E26860">
            <v>0</v>
          </cell>
          <cell r="F26860">
            <v>0</v>
          </cell>
          <cell r="DN26860">
            <v>0</v>
          </cell>
        </row>
        <row r="26861">
          <cell r="E26861">
            <v>0</v>
          </cell>
          <cell r="F26861">
            <v>0</v>
          </cell>
          <cell r="DN26861">
            <v>0</v>
          </cell>
        </row>
        <row r="26862">
          <cell r="E26862">
            <v>0</v>
          </cell>
          <cell r="F26862">
            <v>0</v>
          </cell>
          <cell r="DN26862">
            <v>0</v>
          </cell>
        </row>
        <row r="26863">
          <cell r="E26863">
            <v>0</v>
          </cell>
          <cell r="F26863">
            <v>0</v>
          </cell>
          <cell r="DN26863">
            <v>0</v>
          </cell>
        </row>
        <row r="26864">
          <cell r="E26864">
            <v>0</v>
          </cell>
          <cell r="F26864">
            <v>0</v>
          </cell>
          <cell r="DN26864">
            <v>0</v>
          </cell>
        </row>
        <row r="26865">
          <cell r="E26865">
            <v>0</v>
          </cell>
          <cell r="F26865">
            <v>0</v>
          </cell>
          <cell r="DN26865">
            <v>0</v>
          </cell>
        </row>
        <row r="26866">
          <cell r="E26866">
            <v>0</v>
          </cell>
          <cell r="F26866">
            <v>0</v>
          </cell>
          <cell r="DN26866">
            <v>0</v>
          </cell>
        </row>
        <row r="26867">
          <cell r="E26867">
            <v>0</v>
          </cell>
          <cell r="F26867">
            <v>0</v>
          </cell>
          <cell r="DN26867">
            <v>0</v>
          </cell>
        </row>
        <row r="26868">
          <cell r="E26868">
            <v>0</v>
          </cell>
          <cell r="F26868">
            <v>0</v>
          </cell>
          <cell r="DN26868">
            <v>0</v>
          </cell>
        </row>
        <row r="26869">
          <cell r="E26869">
            <v>0</v>
          </cell>
          <cell r="F26869">
            <v>0</v>
          </cell>
          <cell r="DN26869">
            <v>0</v>
          </cell>
        </row>
        <row r="26870">
          <cell r="E26870">
            <v>0</v>
          </cell>
          <cell r="F26870">
            <v>0</v>
          </cell>
          <cell r="DN26870">
            <v>0</v>
          </cell>
        </row>
        <row r="26871">
          <cell r="E26871">
            <v>0</v>
          </cell>
          <cell r="F26871">
            <v>0</v>
          </cell>
          <cell r="DN26871">
            <v>0</v>
          </cell>
        </row>
        <row r="26872">
          <cell r="E26872">
            <v>0</v>
          </cell>
          <cell r="F26872">
            <v>0</v>
          </cell>
          <cell r="DN26872">
            <v>0</v>
          </cell>
        </row>
        <row r="26873">
          <cell r="E26873">
            <v>0</v>
          </cell>
          <cell r="F26873">
            <v>0</v>
          </cell>
          <cell r="DN26873">
            <v>0</v>
          </cell>
        </row>
        <row r="26874">
          <cell r="E26874">
            <v>0</v>
          </cell>
          <cell r="F26874">
            <v>0</v>
          </cell>
          <cell r="DN26874">
            <v>0</v>
          </cell>
        </row>
        <row r="26875">
          <cell r="E26875">
            <v>0</v>
          </cell>
          <cell r="F26875">
            <v>0</v>
          </cell>
          <cell r="DN26875">
            <v>0</v>
          </cell>
        </row>
        <row r="26876">
          <cell r="E26876">
            <v>0</v>
          </cell>
          <cell r="F26876">
            <v>0</v>
          </cell>
          <cell r="DN26876">
            <v>0</v>
          </cell>
        </row>
        <row r="26877">
          <cell r="E26877">
            <v>0</v>
          </cell>
          <cell r="F26877">
            <v>0</v>
          </cell>
          <cell r="DN26877">
            <v>0</v>
          </cell>
        </row>
        <row r="26878">
          <cell r="E26878">
            <v>0</v>
          </cell>
          <cell r="F26878">
            <v>0</v>
          </cell>
          <cell r="DN26878">
            <v>0</v>
          </cell>
        </row>
        <row r="26879">
          <cell r="E26879">
            <v>0</v>
          </cell>
          <cell r="F26879">
            <v>0</v>
          </cell>
          <cell r="DN26879">
            <v>0</v>
          </cell>
        </row>
        <row r="26880">
          <cell r="E26880">
            <v>0</v>
          </cell>
          <cell r="F26880">
            <v>0</v>
          </cell>
          <cell r="DN26880">
            <v>0</v>
          </cell>
        </row>
        <row r="26881">
          <cell r="E26881">
            <v>0</v>
          </cell>
          <cell r="F26881">
            <v>0</v>
          </cell>
          <cell r="DN26881">
            <v>0</v>
          </cell>
        </row>
        <row r="26882">
          <cell r="E26882">
            <v>0</v>
          </cell>
          <cell r="F26882">
            <v>0</v>
          </cell>
          <cell r="DN26882">
            <v>0</v>
          </cell>
        </row>
        <row r="26883">
          <cell r="E26883">
            <v>0</v>
          </cell>
          <cell r="F26883">
            <v>0</v>
          </cell>
          <cell r="DN26883">
            <v>0</v>
          </cell>
        </row>
        <row r="26884">
          <cell r="E26884">
            <v>0</v>
          </cell>
          <cell r="F26884">
            <v>0</v>
          </cell>
          <cell r="DN26884">
            <v>0</v>
          </cell>
        </row>
        <row r="26885">
          <cell r="E26885">
            <v>0</v>
          </cell>
          <cell r="F26885">
            <v>0</v>
          </cell>
          <cell r="DN26885">
            <v>0</v>
          </cell>
        </row>
        <row r="26886">
          <cell r="E26886">
            <v>0</v>
          </cell>
          <cell r="F26886">
            <v>0</v>
          </cell>
          <cell r="DN26886">
            <v>0</v>
          </cell>
        </row>
        <row r="26887">
          <cell r="E26887">
            <v>0</v>
          </cell>
          <cell r="F26887">
            <v>0</v>
          </cell>
          <cell r="DN26887">
            <v>0</v>
          </cell>
        </row>
        <row r="26888">
          <cell r="E26888">
            <v>0</v>
          </cell>
          <cell r="F26888">
            <v>0</v>
          </cell>
          <cell r="DN26888">
            <v>0</v>
          </cell>
        </row>
        <row r="26889">
          <cell r="E26889">
            <v>0</v>
          </cell>
          <cell r="F26889">
            <v>0</v>
          </cell>
          <cell r="DN26889">
            <v>0</v>
          </cell>
        </row>
        <row r="26890">
          <cell r="E26890">
            <v>0</v>
          </cell>
          <cell r="F26890">
            <v>0</v>
          </cell>
          <cell r="DN26890">
            <v>0</v>
          </cell>
        </row>
        <row r="26891">
          <cell r="E26891">
            <v>0</v>
          </cell>
          <cell r="F26891">
            <v>0</v>
          </cell>
          <cell r="DN26891">
            <v>0</v>
          </cell>
        </row>
        <row r="26892">
          <cell r="E26892">
            <v>0</v>
          </cell>
          <cell r="F26892">
            <v>0</v>
          </cell>
          <cell r="DN26892">
            <v>0</v>
          </cell>
        </row>
        <row r="26893">
          <cell r="E26893">
            <v>0</v>
          </cell>
          <cell r="F26893">
            <v>0</v>
          </cell>
          <cell r="DN26893">
            <v>0</v>
          </cell>
        </row>
        <row r="26894">
          <cell r="E26894">
            <v>0</v>
          </cell>
          <cell r="F26894">
            <v>0</v>
          </cell>
          <cell r="DN26894">
            <v>0</v>
          </cell>
        </row>
        <row r="26895">
          <cell r="E26895">
            <v>0</v>
          </cell>
          <cell r="F26895">
            <v>0</v>
          </cell>
          <cell r="DN26895">
            <v>0</v>
          </cell>
        </row>
        <row r="26896">
          <cell r="E26896">
            <v>0</v>
          </cell>
          <cell r="F26896">
            <v>0</v>
          </cell>
          <cell r="DN26896">
            <v>0</v>
          </cell>
        </row>
        <row r="26897">
          <cell r="E26897">
            <v>0</v>
          </cell>
          <cell r="F26897">
            <v>0</v>
          </cell>
          <cell r="DN26897">
            <v>0</v>
          </cell>
        </row>
        <row r="26898">
          <cell r="E26898">
            <v>0</v>
          </cell>
          <cell r="F26898">
            <v>0</v>
          </cell>
          <cell r="DN26898">
            <v>0</v>
          </cell>
        </row>
        <row r="26899">
          <cell r="E26899">
            <v>0</v>
          </cell>
          <cell r="F26899">
            <v>0</v>
          </cell>
          <cell r="DN26899">
            <v>0</v>
          </cell>
        </row>
        <row r="26900">
          <cell r="E26900">
            <v>0</v>
          </cell>
          <cell r="F26900">
            <v>0</v>
          </cell>
          <cell r="DN26900">
            <v>0</v>
          </cell>
        </row>
        <row r="26901">
          <cell r="E26901">
            <v>0</v>
          </cell>
          <cell r="F26901">
            <v>0</v>
          </cell>
          <cell r="DN26901">
            <v>0</v>
          </cell>
        </row>
        <row r="26902">
          <cell r="E26902">
            <v>0</v>
          </cell>
          <cell r="F26902">
            <v>0</v>
          </cell>
          <cell r="DN26902">
            <v>0</v>
          </cell>
        </row>
        <row r="26903">
          <cell r="E26903">
            <v>0</v>
          </cell>
          <cell r="F26903">
            <v>0</v>
          </cell>
          <cell r="DN26903">
            <v>0</v>
          </cell>
        </row>
        <row r="26904">
          <cell r="E26904">
            <v>0</v>
          </cell>
          <cell r="F26904">
            <v>0</v>
          </cell>
          <cell r="DN26904">
            <v>0</v>
          </cell>
        </row>
        <row r="26905">
          <cell r="E26905">
            <v>0</v>
          </cell>
          <cell r="F26905">
            <v>0</v>
          </cell>
          <cell r="DN26905">
            <v>0</v>
          </cell>
        </row>
        <row r="26906">
          <cell r="E26906">
            <v>0</v>
          </cell>
          <cell r="F26906">
            <v>0</v>
          </cell>
          <cell r="DN26906">
            <v>0</v>
          </cell>
        </row>
        <row r="26907">
          <cell r="E26907">
            <v>0</v>
          </cell>
          <cell r="F26907">
            <v>0</v>
          </cell>
          <cell r="DN26907">
            <v>0</v>
          </cell>
        </row>
        <row r="26908">
          <cell r="E26908">
            <v>0</v>
          </cell>
          <cell r="F26908">
            <v>0</v>
          </cell>
          <cell r="DN26908">
            <v>0</v>
          </cell>
        </row>
        <row r="26909">
          <cell r="E26909">
            <v>0</v>
          </cell>
          <cell r="F26909">
            <v>0</v>
          </cell>
          <cell r="DN26909">
            <v>0</v>
          </cell>
        </row>
        <row r="26910">
          <cell r="E26910">
            <v>0</v>
          </cell>
          <cell r="F26910">
            <v>0</v>
          </cell>
          <cell r="DN26910">
            <v>0</v>
          </cell>
        </row>
        <row r="26911">
          <cell r="E26911">
            <v>0</v>
          </cell>
          <cell r="F26911">
            <v>0</v>
          </cell>
          <cell r="DN26911">
            <v>0</v>
          </cell>
        </row>
        <row r="26912">
          <cell r="E26912">
            <v>0</v>
          </cell>
          <cell r="F26912">
            <v>0</v>
          </cell>
          <cell r="DN26912">
            <v>0</v>
          </cell>
        </row>
        <row r="26913">
          <cell r="E26913">
            <v>0</v>
          </cell>
          <cell r="F26913">
            <v>0</v>
          </cell>
          <cell r="DN26913">
            <v>0</v>
          </cell>
        </row>
        <row r="26914">
          <cell r="E26914">
            <v>0</v>
          </cell>
          <cell r="F26914">
            <v>0</v>
          </cell>
          <cell r="DN26914">
            <v>0</v>
          </cell>
        </row>
        <row r="26915">
          <cell r="E26915">
            <v>0</v>
          </cell>
          <cell r="F26915">
            <v>0</v>
          </cell>
          <cell r="DN26915">
            <v>0</v>
          </cell>
        </row>
        <row r="26916">
          <cell r="E26916">
            <v>0</v>
          </cell>
          <cell r="F26916">
            <v>0</v>
          </cell>
          <cell r="DN26916">
            <v>0</v>
          </cell>
        </row>
        <row r="26917">
          <cell r="E26917">
            <v>0</v>
          </cell>
          <cell r="F26917">
            <v>0</v>
          </cell>
          <cell r="DN26917">
            <v>0</v>
          </cell>
        </row>
        <row r="26918">
          <cell r="E26918">
            <v>0</v>
          </cell>
          <cell r="F26918">
            <v>0</v>
          </cell>
          <cell r="DN26918">
            <v>0</v>
          </cell>
        </row>
        <row r="26919">
          <cell r="E26919">
            <v>0</v>
          </cell>
          <cell r="F26919">
            <v>0</v>
          </cell>
          <cell r="DN26919">
            <v>0</v>
          </cell>
        </row>
        <row r="26920">
          <cell r="E26920">
            <v>0</v>
          </cell>
          <cell r="F26920">
            <v>0</v>
          </cell>
          <cell r="DN26920">
            <v>0</v>
          </cell>
        </row>
        <row r="26921">
          <cell r="E26921">
            <v>0</v>
          </cell>
          <cell r="F26921">
            <v>0</v>
          </cell>
          <cell r="DN26921">
            <v>0</v>
          </cell>
        </row>
        <row r="26922">
          <cell r="E26922">
            <v>0</v>
          </cell>
          <cell r="F26922">
            <v>0</v>
          </cell>
          <cell r="DN26922">
            <v>0</v>
          </cell>
        </row>
        <row r="26923">
          <cell r="E26923">
            <v>0</v>
          </cell>
          <cell r="F26923">
            <v>0</v>
          </cell>
          <cell r="DN26923">
            <v>0</v>
          </cell>
        </row>
        <row r="26924">
          <cell r="E26924">
            <v>0</v>
          </cell>
          <cell r="F26924">
            <v>0</v>
          </cell>
          <cell r="DN26924">
            <v>0</v>
          </cell>
        </row>
        <row r="26925">
          <cell r="E26925">
            <v>0</v>
          </cell>
          <cell r="F26925">
            <v>0</v>
          </cell>
          <cell r="DN26925">
            <v>0</v>
          </cell>
        </row>
        <row r="26926">
          <cell r="E26926">
            <v>0</v>
          </cell>
          <cell r="F26926">
            <v>0</v>
          </cell>
          <cell r="DN26926">
            <v>0</v>
          </cell>
        </row>
        <row r="26927">
          <cell r="E26927">
            <v>0</v>
          </cell>
          <cell r="F26927">
            <v>0</v>
          </cell>
          <cell r="DN26927">
            <v>0</v>
          </cell>
        </row>
        <row r="26928">
          <cell r="E26928">
            <v>0</v>
          </cell>
          <cell r="F26928">
            <v>0</v>
          </cell>
          <cell r="DN26928">
            <v>0</v>
          </cell>
        </row>
        <row r="26929">
          <cell r="E26929">
            <v>0</v>
          </cell>
          <cell r="F26929">
            <v>0</v>
          </cell>
          <cell r="DN26929">
            <v>0</v>
          </cell>
        </row>
        <row r="26930">
          <cell r="E26930">
            <v>0</v>
          </cell>
          <cell r="F26930">
            <v>0</v>
          </cell>
          <cell r="DN26930">
            <v>0</v>
          </cell>
        </row>
        <row r="26931">
          <cell r="E26931">
            <v>0</v>
          </cell>
          <cell r="F26931">
            <v>0</v>
          </cell>
          <cell r="DN26931">
            <v>0</v>
          </cell>
        </row>
        <row r="26932">
          <cell r="E26932">
            <v>0</v>
          </cell>
          <cell r="F26932">
            <v>0</v>
          </cell>
          <cell r="DN26932">
            <v>0</v>
          </cell>
        </row>
        <row r="26933">
          <cell r="E26933">
            <v>0</v>
          </cell>
          <cell r="F26933">
            <v>0</v>
          </cell>
          <cell r="DN26933">
            <v>0</v>
          </cell>
        </row>
        <row r="26934">
          <cell r="E26934">
            <v>0</v>
          </cell>
          <cell r="F26934">
            <v>0</v>
          </cell>
          <cell r="DN26934">
            <v>0</v>
          </cell>
        </row>
        <row r="26935">
          <cell r="E26935">
            <v>0</v>
          </cell>
          <cell r="F26935">
            <v>0</v>
          </cell>
          <cell r="DN26935">
            <v>0</v>
          </cell>
        </row>
        <row r="26936">
          <cell r="E26936">
            <v>0</v>
          </cell>
          <cell r="F26936">
            <v>0</v>
          </cell>
          <cell r="DN26936">
            <v>0</v>
          </cell>
        </row>
        <row r="26937">
          <cell r="E26937">
            <v>0</v>
          </cell>
          <cell r="F26937">
            <v>0</v>
          </cell>
          <cell r="DN26937">
            <v>0</v>
          </cell>
        </row>
        <row r="26938">
          <cell r="E26938">
            <v>0</v>
          </cell>
          <cell r="F26938">
            <v>0</v>
          </cell>
          <cell r="DN26938">
            <v>0</v>
          </cell>
        </row>
        <row r="26939">
          <cell r="E26939">
            <v>0</v>
          </cell>
          <cell r="F26939">
            <v>0</v>
          </cell>
          <cell r="DN26939">
            <v>0</v>
          </cell>
        </row>
        <row r="26940">
          <cell r="E26940">
            <v>0</v>
          </cell>
          <cell r="F26940">
            <v>0</v>
          </cell>
          <cell r="DN26940">
            <v>0</v>
          </cell>
        </row>
        <row r="26941">
          <cell r="E26941">
            <v>0</v>
          </cell>
          <cell r="F26941">
            <v>0</v>
          </cell>
          <cell r="DN26941">
            <v>0</v>
          </cell>
        </row>
        <row r="26942">
          <cell r="E26942">
            <v>0</v>
          </cell>
          <cell r="F26942">
            <v>0</v>
          </cell>
          <cell r="DN26942">
            <v>0</v>
          </cell>
        </row>
        <row r="26943">
          <cell r="E26943">
            <v>0</v>
          </cell>
          <cell r="F26943">
            <v>0</v>
          </cell>
          <cell r="DN26943">
            <v>0</v>
          </cell>
        </row>
        <row r="26944">
          <cell r="E26944">
            <v>0</v>
          </cell>
          <cell r="F26944">
            <v>0</v>
          </cell>
          <cell r="DN26944">
            <v>0</v>
          </cell>
        </row>
        <row r="26945">
          <cell r="E26945">
            <v>0</v>
          </cell>
          <cell r="F26945">
            <v>0</v>
          </cell>
          <cell r="DN26945">
            <v>0</v>
          </cell>
        </row>
        <row r="26946">
          <cell r="E26946">
            <v>0</v>
          </cell>
          <cell r="F26946">
            <v>0</v>
          </cell>
          <cell r="DN26946">
            <v>0</v>
          </cell>
        </row>
        <row r="26947">
          <cell r="E26947">
            <v>0</v>
          </cell>
          <cell r="F26947">
            <v>0</v>
          </cell>
          <cell r="DN26947">
            <v>0</v>
          </cell>
        </row>
        <row r="26948">
          <cell r="E26948">
            <v>0</v>
          </cell>
          <cell r="F26948">
            <v>0</v>
          </cell>
          <cell r="DN26948">
            <v>0</v>
          </cell>
        </row>
        <row r="26949">
          <cell r="E26949">
            <v>0</v>
          </cell>
          <cell r="F26949">
            <v>0</v>
          </cell>
          <cell r="DN26949">
            <v>0</v>
          </cell>
        </row>
        <row r="26950">
          <cell r="E26950">
            <v>0</v>
          </cell>
          <cell r="F26950">
            <v>0</v>
          </cell>
          <cell r="DN26950">
            <v>0</v>
          </cell>
        </row>
        <row r="26951">
          <cell r="E26951">
            <v>0</v>
          </cell>
          <cell r="F26951">
            <v>0</v>
          </cell>
          <cell r="DN26951">
            <v>0</v>
          </cell>
        </row>
        <row r="26952">
          <cell r="E26952">
            <v>0</v>
          </cell>
          <cell r="F26952">
            <v>0</v>
          </cell>
          <cell r="DN26952">
            <v>0</v>
          </cell>
        </row>
        <row r="26953">
          <cell r="E26953">
            <v>0</v>
          </cell>
          <cell r="F26953">
            <v>0</v>
          </cell>
          <cell r="DN26953">
            <v>0</v>
          </cell>
        </row>
        <row r="26954">
          <cell r="E26954">
            <v>0</v>
          </cell>
          <cell r="F26954">
            <v>0</v>
          </cell>
          <cell r="DN26954">
            <v>0</v>
          </cell>
        </row>
        <row r="26955">
          <cell r="E26955">
            <v>0</v>
          </cell>
          <cell r="F26955">
            <v>0</v>
          </cell>
          <cell r="DN26955">
            <v>0</v>
          </cell>
        </row>
        <row r="26956">
          <cell r="E26956">
            <v>0</v>
          </cell>
          <cell r="F26956">
            <v>0</v>
          </cell>
          <cell r="DN26956">
            <v>0</v>
          </cell>
        </row>
        <row r="26957">
          <cell r="E26957">
            <v>0</v>
          </cell>
          <cell r="F26957">
            <v>0</v>
          </cell>
          <cell r="DN26957">
            <v>0</v>
          </cell>
        </row>
        <row r="26958">
          <cell r="E26958">
            <v>0</v>
          </cell>
          <cell r="F26958">
            <v>0</v>
          </cell>
          <cell r="DN26958">
            <v>0</v>
          </cell>
        </row>
        <row r="26959">
          <cell r="E26959">
            <v>0</v>
          </cell>
          <cell r="F26959">
            <v>0</v>
          </cell>
          <cell r="DN26959">
            <v>0</v>
          </cell>
        </row>
        <row r="26960">
          <cell r="E26960">
            <v>0</v>
          </cell>
          <cell r="F26960">
            <v>0</v>
          </cell>
          <cell r="DN26960">
            <v>0</v>
          </cell>
        </row>
        <row r="26961">
          <cell r="E26961">
            <v>0</v>
          </cell>
          <cell r="F26961">
            <v>0</v>
          </cell>
          <cell r="DN26961">
            <v>0</v>
          </cell>
        </row>
        <row r="26962">
          <cell r="E26962">
            <v>0</v>
          </cell>
          <cell r="F26962">
            <v>0</v>
          </cell>
          <cell r="DN26962">
            <v>0</v>
          </cell>
        </row>
        <row r="26963">
          <cell r="E26963">
            <v>0</v>
          </cell>
          <cell r="F26963">
            <v>0</v>
          </cell>
          <cell r="DN26963">
            <v>0</v>
          </cell>
        </row>
        <row r="26964">
          <cell r="E26964">
            <v>0</v>
          </cell>
          <cell r="F26964">
            <v>0</v>
          </cell>
          <cell r="DN26964">
            <v>0</v>
          </cell>
        </row>
        <row r="26965">
          <cell r="E26965">
            <v>0</v>
          </cell>
          <cell r="F26965">
            <v>0</v>
          </cell>
          <cell r="DN26965">
            <v>0</v>
          </cell>
        </row>
        <row r="26966">
          <cell r="E26966">
            <v>0</v>
          </cell>
          <cell r="F26966">
            <v>0</v>
          </cell>
          <cell r="DN26966">
            <v>0</v>
          </cell>
        </row>
        <row r="26967">
          <cell r="E26967">
            <v>0</v>
          </cell>
          <cell r="F26967">
            <v>0</v>
          </cell>
          <cell r="DN26967">
            <v>0</v>
          </cell>
        </row>
        <row r="26968">
          <cell r="E26968">
            <v>0</v>
          </cell>
          <cell r="F26968">
            <v>0</v>
          </cell>
          <cell r="DN26968">
            <v>0</v>
          </cell>
        </row>
        <row r="26969">
          <cell r="E26969">
            <v>0</v>
          </cell>
          <cell r="F26969">
            <v>0</v>
          </cell>
          <cell r="DN26969">
            <v>0</v>
          </cell>
        </row>
        <row r="26970">
          <cell r="E26970">
            <v>0</v>
          </cell>
          <cell r="F26970">
            <v>0</v>
          </cell>
          <cell r="DN26970">
            <v>0</v>
          </cell>
        </row>
        <row r="26971">
          <cell r="E26971">
            <v>0</v>
          </cell>
          <cell r="F26971">
            <v>0</v>
          </cell>
          <cell r="DN26971">
            <v>0</v>
          </cell>
        </row>
        <row r="26972">
          <cell r="E26972">
            <v>0</v>
          </cell>
          <cell r="F26972">
            <v>0</v>
          </cell>
          <cell r="DN26972">
            <v>0</v>
          </cell>
        </row>
        <row r="26973">
          <cell r="E26973">
            <v>0</v>
          </cell>
          <cell r="F26973">
            <v>0</v>
          </cell>
          <cell r="DN26973">
            <v>0</v>
          </cell>
        </row>
        <row r="26974">
          <cell r="E26974">
            <v>0</v>
          </cell>
          <cell r="F26974">
            <v>0</v>
          </cell>
          <cell r="DN26974">
            <v>0</v>
          </cell>
        </row>
        <row r="26975">
          <cell r="E26975">
            <v>0</v>
          </cell>
          <cell r="F26975">
            <v>0</v>
          </cell>
          <cell r="DN26975">
            <v>0</v>
          </cell>
        </row>
        <row r="26976">
          <cell r="E26976">
            <v>0</v>
          </cell>
          <cell r="F26976">
            <v>0</v>
          </cell>
          <cell r="DN26976">
            <v>0</v>
          </cell>
        </row>
        <row r="26977">
          <cell r="E26977">
            <v>0</v>
          </cell>
          <cell r="F26977">
            <v>0</v>
          </cell>
          <cell r="DN26977">
            <v>0</v>
          </cell>
        </row>
        <row r="26978">
          <cell r="E26978">
            <v>0</v>
          </cell>
          <cell r="F26978">
            <v>0</v>
          </cell>
          <cell r="DN26978">
            <v>0</v>
          </cell>
        </row>
        <row r="26979">
          <cell r="E26979">
            <v>0</v>
          </cell>
          <cell r="F26979">
            <v>0</v>
          </cell>
          <cell r="DN26979">
            <v>0</v>
          </cell>
        </row>
        <row r="26980">
          <cell r="E26980">
            <v>0</v>
          </cell>
          <cell r="F26980">
            <v>0</v>
          </cell>
          <cell r="DN26980">
            <v>0</v>
          </cell>
        </row>
        <row r="26981">
          <cell r="E26981">
            <v>0</v>
          </cell>
          <cell r="F26981">
            <v>0</v>
          </cell>
          <cell r="DN26981">
            <v>0</v>
          </cell>
        </row>
        <row r="26982">
          <cell r="E26982">
            <v>0</v>
          </cell>
          <cell r="F26982">
            <v>0</v>
          </cell>
          <cell r="DN26982">
            <v>0</v>
          </cell>
        </row>
        <row r="26983">
          <cell r="E26983">
            <v>0</v>
          </cell>
          <cell r="F26983">
            <v>0</v>
          </cell>
          <cell r="DN26983">
            <v>0</v>
          </cell>
        </row>
        <row r="26984">
          <cell r="E26984">
            <v>0</v>
          </cell>
          <cell r="F26984">
            <v>0</v>
          </cell>
          <cell r="DN26984">
            <v>0</v>
          </cell>
        </row>
        <row r="26985">
          <cell r="E26985">
            <v>0</v>
          </cell>
          <cell r="F26985">
            <v>0</v>
          </cell>
          <cell r="DN26985">
            <v>0</v>
          </cell>
        </row>
        <row r="26986">
          <cell r="E26986">
            <v>0</v>
          </cell>
          <cell r="F26986">
            <v>0</v>
          </cell>
          <cell r="DN26986">
            <v>0</v>
          </cell>
        </row>
        <row r="26987">
          <cell r="E26987">
            <v>0</v>
          </cell>
          <cell r="F26987">
            <v>0</v>
          </cell>
          <cell r="DN26987">
            <v>0</v>
          </cell>
        </row>
        <row r="26988">
          <cell r="E26988">
            <v>0</v>
          </cell>
          <cell r="F26988">
            <v>0</v>
          </cell>
          <cell r="DN26988">
            <v>0</v>
          </cell>
        </row>
        <row r="26989">
          <cell r="E26989">
            <v>0</v>
          </cell>
          <cell r="F26989">
            <v>0</v>
          </cell>
          <cell r="DN26989">
            <v>0</v>
          </cell>
        </row>
        <row r="26990">
          <cell r="E26990">
            <v>0</v>
          </cell>
          <cell r="F26990">
            <v>0</v>
          </cell>
          <cell r="DN26990">
            <v>0</v>
          </cell>
        </row>
        <row r="26991">
          <cell r="E26991">
            <v>0</v>
          </cell>
          <cell r="F26991">
            <v>0</v>
          </cell>
          <cell r="DN26991">
            <v>0</v>
          </cell>
        </row>
        <row r="26992">
          <cell r="E26992">
            <v>0</v>
          </cell>
          <cell r="F26992">
            <v>0</v>
          </cell>
          <cell r="DN26992">
            <v>0</v>
          </cell>
        </row>
        <row r="26993">
          <cell r="E26993">
            <v>0</v>
          </cell>
          <cell r="F26993">
            <v>0</v>
          </cell>
          <cell r="DN26993">
            <v>0</v>
          </cell>
        </row>
        <row r="26994">
          <cell r="E26994">
            <v>0</v>
          </cell>
          <cell r="F26994">
            <v>0</v>
          </cell>
          <cell r="DN26994">
            <v>0</v>
          </cell>
        </row>
        <row r="26995">
          <cell r="E26995">
            <v>0</v>
          </cell>
          <cell r="F26995">
            <v>0</v>
          </cell>
          <cell r="DN26995">
            <v>0</v>
          </cell>
        </row>
        <row r="26996">
          <cell r="E26996">
            <v>0</v>
          </cell>
          <cell r="F26996">
            <v>0</v>
          </cell>
          <cell r="DN26996">
            <v>0</v>
          </cell>
        </row>
        <row r="26997">
          <cell r="E26997">
            <v>0</v>
          </cell>
          <cell r="F26997">
            <v>0</v>
          </cell>
          <cell r="DN26997">
            <v>0</v>
          </cell>
        </row>
        <row r="26998">
          <cell r="E26998">
            <v>0</v>
          </cell>
          <cell r="F26998">
            <v>0</v>
          </cell>
          <cell r="DN26998">
            <v>0</v>
          </cell>
        </row>
        <row r="26999">
          <cell r="E26999">
            <v>0</v>
          </cell>
          <cell r="F26999">
            <v>0</v>
          </cell>
          <cell r="DN26999">
            <v>0</v>
          </cell>
        </row>
        <row r="27000">
          <cell r="E27000">
            <v>0</v>
          </cell>
          <cell r="F27000">
            <v>0</v>
          </cell>
          <cell r="DN27000">
            <v>0</v>
          </cell>
        </row>
        <row r="27001">
          <cell r="E27001">
            <v>0</v>
          </cell>
          <cell r="F27001">
            <v>0</v>
          </cell>
          <cell r="DN27001">
            <v>0</v>
          </cell>
        </row>
        <row r="27002">
          <cell r="E27002">
            <v>0</v>
          </cell>
          <cell r="F27002">
            <v>0</v>
          </cell>
          <cell r="DN27002">
            <v>0</v>
          </cell>
        </row>
        <row r="27003">
          <cell r="E27003">
            <v>0</v>
          </cell>
          <cell r="F27003">
            <v>0</v>
          </cell>
          <cell r="DN27003">
            <v>0</v>
          </cell>
        </row>
        <row r="27004">
          <cell r="E27004">
            <v>0</v>
          </cell>
          <cell r="F27004">
            <v>0</v>
          </cell>
          <cell r="DN27004">
            <v>0</v>
          </cell>
        </row>
        <row r="27005">
          <cell r="E27005">
            <v>0</v>
          </cell>
          <cell r="F27005">
            <v>0</v>
          </cell>
          <cell r="DN27005">
            <v>0</v>
          </cell>
        </row>
        <row r="27006">
          <cell r="E27006">
            <v>0</v>
          </cell>
          <cell r="F27006">
            <v>0</v>
          </cell>
          <cell r="DN27006">
            <v>0</v>
          </cell>
        </row>
        <row r="27007">
          <cell r="E27007">
            <v>0</v>
          </cell>
          <cell r="F27007">
            <v>0</v>
          </cell>
          <cell r="DN27007">
            <v>0</v>
          </cell>
        </row>
        <row r="27008">
          <cell r="E27008">
            <v>0</v>
          </cell>
          <cell r="F27008">
            <v>0</v>
          </cell>
          <cell r="DN27008">
            <v>0</v>
          </cell>
        </row>
        <row r="27009">
          <cell r="E27009">
            <v>0</v>
          </cell>
          <cell r="F27009">
            <v>0</v>
          </cell>
          <cell r="DN27009">
            <v>0</v>
          </cell>
        </row>
        <row r="27010">
          <cell r="E27010">
            <v>0</v>
          </cell>
          <cell r="F27010">
            <v>0</v>
          </cell>
          <cell r="DN27010">
            <v>0</v>
          </cell>
        </row>
        <row r="27011">
          <cell r="E27011">
            <v>0</v>
          </cell>
          <cell r="F27011">
            <v>0</v>
          </cell>
          <cell r="DN27011">
            <v>0</v>
          </cell>
        </row>
        <row r="27012">
          <cell r="E27012">
            <v>0</v>
          </cell>
          <cell r="F27012">
            <v>0</v>
          </cell>
          <cell r="DN27012">
            <v>0</v>
          </cell>
        </row>
        <row r="27013">
          <cell r="E27013">
            <v>0</v>
          </cell>
          <cell r="F27013">
            <v>0</v>
          </cell>
          <cell r="DN27013">
            <v>0</v>
          </cell>
        </row>
        <row r="27014">
          <cell r="E27014">
            <v>0</v>
          </cell>
          <cell r="F27014">
            <v>0</v>
          </cell>
          <cell r="DN27014">
            <v>0</v>
          </cell>
        </row>
        <row r="27015">
          <cell r="E27015">
            <v>0</v>
          </cell>
          <cell r="F27015">
            <v>0</v>
          </cell>
          <cell r="DN27015">
            <v>0</v>
          </cell>
        </row>
        <row r="27016">
          <cell r="E27016">
            <v>0</v>
          </cell>
          <cell r="F27016">
            <v>0</v>
          </cell>
          <cell r="DN27016">
            <v>0</v>
          </cell>
        </row>
        <row r="27017">
          <cell r="E27017">
            <v>0</v>
          </cell>
          <cell r="F27017">
            <v>0</v>
          </cell>
          <cell r="DN27017">
            <v>0</v>
          </cell>
        </row>
        <row r="27018">
          <cell r="E27018">
            <v>0</v>
          </cell>
          <cell r="F27018">
            <v>0</v>
          </cell>
          <cell r="DN27018">
            <v>0</v>
          </cell>
        </row>
        <row r="27019">
          <cell r="E27019">
            <v>0</v>
          </cell>
          <cell r="F27019">
            <v>0</v>
          </cell>
          <cell r="DN27019">
            <v>0</v>
          </cell>
        </row>
        <row r="27020">
          <cell r="E27020">
            <v>0</v>
          </cell>
          <cell r="F27020">
            <v>0</v>
          </cell>
          <cell r="DN27020">
            <v>0</v>
          </cell>
        </row>
        <row r="27021">
          <cell r="E27021">
            <v>0</v>
          </cell>
          <cell r="F27021">
            <v>0</v>
          </cell>
          <cell r="DN27021">
            <v>0</v>
          </cell>
        </row>
        <row r="27022">
          <cell r="E27022">
            <v>0</v>
          </cell>
          <cell r="F27022">
            <v>0</v>
          </cell>
          <cell r="DN27022">
            <v>0</v>
          </cell>
        </row>
        <row r="27023">
          <cell r="E27023">
            <v>0</v>
          </cell>
          <cell r="F27023">
            <v>0</v>
          </cell>
          <cell r="DN27023">
            <v>0</v>
          </cell>
        </row>
        <row r="27024">
          <cell r="E27024">
            <v>0</v>
          </cell>
          <cell r="F27024">
            <v>0</v>
          </cell>
          <cell r="DN27024">
            <v>0</v>
          </cell>
        </row>
        <row r="27025">
          <cell r="E27025">
            <v>0</v>
          </cell>
          <cell r="F27025">
            <v>0</v>
          </cell>
          <cell r="DN27025">
            <v>0</v>
          </cell>
        </row>
        <row r="27026">
          <cell r="E27026">
            <v>0</v>
          </cell>
          <cell r="F27026">
            <v>0</v>
          </cell>
          <cell r="DN27026">
            <v>0</v>
          </cell>
        </row>
        <row r="27027">
          <cell r="E27027">
            <v>0</v>
          </cell>
          <cell r="F27027">
            <v>0</v>
          </cell>
          <cell r="DN27027">
            <v>0</v>
          </cell>
        </row>
        <row r="27028">
          <cell r="E27028">
            <v>0</v>
          </cell>
          <cell r="F27028">
            <v>0</v>
          </cell>
          <cell r="DN27028">
            <v>0</v>
          </cell>
        </row>
        <row r="27029">
          <cell r="E27029">
            <v>0</v>
          </cell>
          <cell r="F27029">
            <v>0</v>
          </cell>
          <cell r="DN27029">
            <v>0</v>
          </cell>
        </row>
        <row r="27030">
          <cell r="E27030">
            <v>0</v>
          </cell>
          <cell r="F27030">
            <v>0</v>
          </cell>
          <cell r="DN27030">
            <v>0</v>
          </cell>
        </row>
        <row r="27031">
          <cell r="E27031">
            <v>0</v>
          </cell>
          <cell r="F27031">
            <v>0</v>
          </cell>
          <cell r="DN27031">
            <v>0</v>
          </cell>
        </row>
        <row r="27032">
          <cell r="E27032">
            <v>0</v>
          </cell>
          <cell r="F27032">
            <v>0</v>
          </cell>
          <cell r="DN27032">
            <v>0</v>
          </cell>
        </row>
        <row r="27033">
          <cell r="E27033">
            <v>0</v>
          </cell>
          <cell r="F27033">
            <v>0</v>
          </cell>
          <cell r="DN27033">
            <v>0</v>
          </cell>
        </row>
        <row r="27034">
          <cell r="E27034">
            <v>0</v>
          </cell>
          <cell r="F27034">
            <v>0</v>
          </cell>
          <cell r="DN27034">
            <v>0</v>
          </cell>
        </row>
        <row r="27035">
          <cell r="E27035">
            <v>0</v>
          </cell>
          <cell r="F27035">
            <v>0</v>
          </cell>
          <cell r="DN27035">
            <v>0</v>
          </cell>
        </row>
        <row r="27036">
          <cell r="E27036">
            <v>0</v>
          </cell>
          <cell r="F27036">
            <v>0</v>
          </cell>
          <cell r="DN27036">
            <v>0</v>
          </cell>
        </row>
        <row r="27037">
          <cell r="E27037">
            <v>0</v>
          </cell>
          <cell r="F27037">
            <v>0</v>
          </cell>
          <cell r="DN27037">
            <v>0</v>
          </cell>
        </row>
        <row r="27038">
          <cell r="E27038">
            <v>0</v>
          </cell>
          <cell r="F27038">
            <v>0</v>
          </cell>
          <cell r="DN27038">
            <v>0</v>
          </cell>
        </row>
        <row r="27039">
          <cell r="E27039">
            <v>0</v>
          </cell>
          <cell r="F27039">
            <v>0</v>
          </cell>
          <cell r="DN27039">
            <v>0</v>
          </cell>
        </row>
        <row r="27040">
          <cell r="E27040">
            <v>0</v>
          </cell>
          <cell r="F27040">
            <v>0</v>
          </cell>
          <cell r="DN27040">
            <v>0</v>
          </cell>
        </row>
        <row r="27041">
          <cell r="E27041">
            <v>0</v>
          </cell>
          <cell r="F27041">
            <v>0</v>
          </cell>
          <cell r="DN27041">
            <v>0</v>
          </cell>
        </row>
        <row r="27042">
          <cell r="E27042">
            <v>0</v>
          </cell>
          <cell r="F27042">
            <v>0</v>
          </cell>
          <cell r="DN27042">
            <v>0</v>
          </cell>
        </row>
        <row r="27043">
          <cell r="E27043">
            <v>0</v>
          </cell>
          <cell r="F27043">
            <v>0</v>
          </cell>
          <cell r="DN27043">
            <v>0</v>
          </cell>
        </row>
        <row r="27044">
          <cell r="E27044">
            <v>0</v>
          </cell>
          <cell r="F27044">
            <v>0</v>
          </cell>
          <cell r="DN27044">
            <v>0</v>
          </cell>
        </row>
        <row r="27045">
          <cell r="E27045">
            <v>0</v>
          </cell>
          <cell r="F27045">
            <v>0</v>
          </cell>
          <cell r="DN27045">
            <v>0</v>
          </cell>
        </row>
        <row r="27046">
          <cell r="E27046">
            <v>0</v>
          </cell>
          <cell r="F27046">
            <v>0</v>
          </cell>
          <cell r="DN27046">
            <v>0</v>
          </cell>
        </row>
        <row r="27047">
          <cell r="E27047">
            <v>0</v>
          </cell>
          <cell r="F27047">
            <v>0</v>
          </cell>
          <cell r="DN27047">
            <v>0</v>
          </cell>
        </row>
        <row r="27048">
          <cell r="E27048">
            <v>0</v>
          </cell>
          <cell r="F27048">
            <v>0</v>
          </cell>
          <cell r="DN27048">
            <v>0</v>
          </cell>
        </row>
        <row r="27049">
          <cell r="E27049">
            <v>0</v>
          </cell>
          <cell r="F27049">
            <v>0</v>
          </cell>
          <cell r="DN27049">
            <v>0</v>
          </cell>
        </row>
        <row r="27050">
          <cell r="E27050">
            <v>0</v>
          </cell>
          <cell r="F27050">
            <v>0</v>
          </cell>
          <cell r="DN27050">
            <v>0</v>
          </cell>
        </row>
        <row r="27051">
          <cell r="E27051">
            <v>0</v>
          </cell>
          <cell r="F27051">
            <v>0</v>
          </cell>
          <cell r="DN27051">
            <v>0</v>
          </cell>
        </row>
        <row r="27052">
          <cell r="E27052">
            <v>0</v>
          </cell>
          <cell r="F27052">
            <v>0</v>
          </cell>
          <cell r="DN27052">
            <v>0</v>
          </cell>
        </row>
        <row r="27053">
          <cell r="E27053">
            <v>0</v>
          </cell>
          <cell r="F27053">
            <v>0</v>
          </cell>
          <cell r="DN27053">
            <v>0</v>
          </cell>
        </row>
        <row r="27054">
          <cell r="E27054">
            <v>0</v>
          </cell>
          <cell r="F27054">
            <v>0</v>
          </cell>
          <cell r="DN27054">
            <v>0</v>
          </cell>
        </row>
        <row r="27055">
          <cell r="E27055">
            <v>0</v>
          </cell>
          <cell r="F27055">
            <v>0</v>
          </cell>
          <cell r="DN27055">
            <v>0</v>
          </cell>
        </row>
        <row r="27056">
          <cell r="E27056">
            <v>0</v>
          </cell>
          <cell r="F27056">
            <v>0</v>
          </cell>
          <cell r="DN27056">
            <v>0</v>
          </cell>
        </row>
        <row r="27057">
          <cell r="E27057">
            <v>0</v>
          </cell>
          <cell r="F27057">
            <v>0</v>
          </cell>
          <cell r="DN27057">
            <v>0</v>
          </cell>
        </row>
        <row r="27058">
          <cell r="E27058">
            <v>0</v>
          </cell>
          <cell r="F27058">
            <v>0</v>
          </cell>
          <cell r="DN27058">
            <v>0</v>
          </cell>
        </row>
        <row r="27059">
          <cell r="E27059">
            <v>0</v>
          </cell>
          <cell r="F27059">
            <v>0</v>
          </cell>
          <cell r="DN27059">
            <v>0</v>
          </cell>
        </row>
        <row r="27060">
          <cell r="E27060">
            <v>0</v>
          </cell>
          <cell r="F27060">
            <v>0</v>
          </cell>
          <cell r="DN27060">
            <v>0</v>
          </cell>
        </row>
        <row r="27061">
          <cell r="E27061">
            <v>0</v>
          </cell>
          <cell r="F27061">
            <v>0</v>
          </cell>
          <cell r="DN27061">
            <v>0</v>
          </cell>
        </row>
        <row r="27062">
          <cell r="E27062">
            <v>0</v>
          </cell>
          <cell r="F27062">
            <v>0</v>
          </cell>
          <cell r="DN27062">
            <v>0</v>
          </cell>
        </row>
        <row r="27063">
          <cell r="E27063">
            <v>0</v>
          </cell>
          <cell r="F27063">
            <v>0</v>
          </cell>
          <cell r="DN27063">
            <v>0</v>
          </cell>
        </row>
        <row r="27064">
          <cell r="E27064">
            <v>0</v>
          </cell>
          <cell r="F27064">
            <v>0</v>
          </cell>
          <cell r="DN27064">
            <v>0</v>
          </cell>
        </row>
        <row r="27065">
          <cell r="E27065">
            <v>0</v>
          </cell>
          <cell r="F27065">
            <v>0</v>
          </cell>
          <cell r="DN27065">
            <v>0</v>
          </cell>
        </row>
        <row r="27066">
          <cell r="E27066">
            <v>0</v>
          </cell>
          <cell r="F27066">
            <v>0</v>
          </cell>
          <cell r="DN27066">
            <v>0</v>
          </cell>
        </row>
        <row r="27067">
          <cell r="E27067">
            <v>0</v>
          </cell>
          <cell r="F27067">
            <v>0</v>
          </cell>
          <cell r="DN27067">
            <v>0</v>
          </cell>
        </row>
        <row r="27068">
          <cell r="E27068">
            <v>0</v>
          </cell>
          <cell r="F27068">
            <v>0</v>
          </cell>
          <cell r="DN27068">
            <v>0</v>
          </cell>
        </row>
        <row r="27069">
          <cell r="E27069">
            <v>0</v>
          </cell>
          <cell r="F27069">
            <v>0</v>
          </cell>
          <cell r="DN27069">
            <v>0</v>
          </cell>
        </row>
        <row r="27070">
          <cell r="E27070">
            <v>0</v>
          </cell>
          <cell r="F27070">
            <v>0</v>
          </cell>
          <cell r="DN27070">
            <v>0</v>
          </cell>
        </row>
        <row r="27071">
          <cell r="E27071">
            <v>0</v>
          </cell>
          <cell r="F27071">
            <v>0</v>
          </cell>
          <cell r="DN27071">
            <v>0</v>
          </cell>
        </row>
        <row r="27072">
          <cell r="E27072">
            <v>0</v>
          </cell>
          <cell r="F27072">
            <v>0</v>
          </cell>
          <cell r="DN27072">
            <v>0</v>
          </cell>
        </row>
        <row r="27073">
          <cell r="E27073">
            <v>0</v>
          </cell>
          <cell r="F27073">
            <v>0</v>
          </cell>
          <cell r="DN27073">
            <v>0</v>
          </cell>
        </row>
        <row r="27074">
          <cell r="E27074">
            <v>0</v>
          </cell>
          <cell r="F27074">
            <v>0</v>
          </cell>
          <cell r="DN27074">
            <v>0</v>
          </cell>
        </row>
        <row r="27075">
          <cell r="E27075">
            <v>0</v>
          </cell>
          <cell r="F27075">
            <v>0</v>
          </cell>
          <cell r="DN27075">
            <v>0</v>
          </cell>
        </row>
        <row r="27076">
          <cell r="E27076">
            <v>0</v>
          </cell>
          <cell r="F27076">
            <v>0</v>
          </cell>
          <cell r="DN27076">
            <v>0</v>
          </cell>
        </row>
        <row r="27077">
          <cell r="E27077">
            <v>0</v>
          </cell>
          <cell r="F27077">
            <v>0</v>
          </cell>
          <cell r="DN27077">
            <v>0</v>
          </cell>
        </row>
        <row r="27078">
          <cell r="E27078">
            <v>0</v>
          </cell>
          <cell r="F27078">
            <v>0</v>
          </cell>
          <cell r="DN27078">
            <v>0</v>
          </cell>
        </row>
        <row r="27079">
          <cell r="E27079">
            <v>0</v>
          </cell>
          <cell r="F27079">
            <v>0</v>
          </cell>
          <cell r="DN27079">
            <v>0</v>
          </cell>
        </row>
        <row r="27080">
          <cell r="E27080">
            <v>0</v>
          </cell>
          <cell r="F27080">
            <v>0</v>
          </cell>
          <cell r="DN27080">
            <v>0</v>
          </cell>
        </row>
        <row r="27081">
          <cell r="E27081">
            <v>0</v>
          </cell>
          <cell r="F27081">
            <v>0</v>
          </cell>
          <cell r="DN27081">
            <v>0</v>
          </cell>
        </row>
        <row r="27082">
          <cell r="E27082">
            <v>0</v>
          </cell>
          <cell r="F27082">
            <v>0</v>
          </cell>
          <cell r="DN27082">
            <v>0</v>
          </cell>
        </row>
        <row r="27083">
          <cell r="E27083">
            <v>0</v>
          </cell>
          <cell r="F27083">
            <v>0</v>
          </cell>
          <cell r="DN27083">
            <v>0</v>
          </cell>
        </row>
        <row r="27084">
          <cell r="E27084">
            <v>0</v>
          </cell>
          <cell r="F27084">
            <v>0</v>
          </cell>
          <cell r="DN27084">
            <v>0</v>
          </cell>
        </row>
        <row r="27085">
          <cell r="E27085">
            <v>0</v>
          </cell>
          <cell r="F27085">
            <v>0</v>
          </cell>
          <cell r="DN27085">
            <v>0</v>
          </cell>
        </row>
        <row r="27086">
          <cell r="E27086">
            <v>0</v>
          </cell>
          <cell r="F27086">
            <v>0</v>
          </cell>
          <cell r="DN27086">
            <v>0</v>
          </cell>
        </row>
        <row r="27087">
          <cell r="E27087">
            <v>0</v>
          </cell>
          <cell r="F27087">
            <v>0</v>
          </cell>
          <cell r="DN27087">
            <v>0</v>
          </cell>
        </row>
        <row r="27088">
          <cell r="E27088">
            <v>0</v>
          </cell>
          <cell r="F27088">
            <v>0</v>
          </cell>
          <cell r="DN27088">
            <v>0</v>
          </cell>
        </row>
        <row r="27089">
          <cell r="E27089">
            <v>0</v>
          </cell>
          <cell r="F27089">
            <v>0</v>
          </cell>
          <cell r="DN27089">
            <v>0</v>
          </cell>
        </row>
        <row r="27090">
          <cell r="E27090">
            <v>0</v>
          </cell>
          <cell r="F27090">
            <v>0</v>
          </cell>
          <cell r="DN27090">
            <v>0</v>
          </cell>
        </row>
        <row r="27091">
          <cell r="E27091">
            <v>0</v>
          </cell>
          <cell r="F27091">
            <v>0</v>
          </cell>
          <cell r="DN27091">
            <v>0</v>
          </cell>
        </row>
        <row r="27092">
          <cell r="E27092">
            <v>0</v>
          </cell>
          <cell r="F27092">
            <v>0</v>
          </cell>
          <cell r="DN27092">
            <v>0</v>
          </cell>
        </row>
        <row r="27093">
          <cell r="E27093">
            <v>0</v>
          </cell>
          <cell r="F27093">
            <v>0</v>
          </cell>
          <cell r="DN27093">
            <v>0</v>
          </cell>
        </row>
        <row r="27094">
          <cell r="E27094">
            <v>0</v>
          </cell>
          <cell r="F27094">
            <v>0</v>
          </cell>
          <cell r="DN27094">
            <v>0</v>
          </cell>
        </row>
        <row r="27095">
          <cell r="E27095">
            <v>0</v>
          </cell>
          <cell r="F27095">
            <v>0</v>
          </cell>
          <cell r="DN27095">
            <v>0</v>
          </cell>
        </row>
        <row r="27096">
          <cell r="E27096">
            <v>0</v>
          </cell>
          <cell r="F27096">
            <v>0</v>
          </cell>
          <cell r="DN27096">
            <v>0</v>
          </cell>
        </row>
        <row r="27097">
          <cell r="E27097">
            <v>0</v>
          </cell>
          <cell r="F27097">
            <v>0</v>
          </cell>
          <cell r="DN27097">
            <v>0</v>
          </cell>
        </row>
        <row r="27098">
          <cell r="E27098">
            <v>0</v>
          </cell>
          <cell r="F27098">
            <v>0</v>
          </cell>
          <cell r="DN27098">
            <v>0</v>
          </cell>
        </row>
        <row r="27099">
          <cell r="E27099">
            <v>0</v>
          </cell>
          <cell r="F27099">
            <v>0</v>
          </cell>
          <cell r="DN27099">
            <v>0</v>
          </cell>
        </row>
        <row r="27100">
          <cell r="E27100">
            <v>0</v>
          </cell>
          <cell r="F27100">
            <v>0</v>
          </cell>
          <cell r="DN27100">
            <v>0</v>
          </cell>
        </row>
        <row r="27101">
          <cell r="E27101">
            <v>0</v>
          </cell>
          <cell r="F27101">
            <v>0</v>
          </cell>
          <cell r="DN27101">
            <v>0</v>
          </cell>
        </row>
        <row r="27102">
          <cell r="E27102">
            <v>0</v>
          </cell>
          <cell r="F27102">
            <v>0</v>
          </cell>
          <cell r="DN27102">
            <v>0</v>
          </cell>
        </row>
        <row r="27103">
          <cell r="E27103">
            <v>0</v>
          </cell>
          <cell r="F27103">
            <v>0</v>
          </cell>
          <cell r="DN27103">
            <v>0</v>
          </cell>
        </row>
        <row r="27104">
          <cell r="E27104">
            <v>0</v>
          </cell>
          <cell r="F27104">
            <v>0</v>
          </cell>
          <cell r="DN27104">
            <v>0</v>
          </cell>
        </row>
        <row r="27105">
          <cell r="E27105">
            <v>0</v>
          </cell>
          <cell r="F27105">
            <v>0</v>
          </cell>
          <cell r="DN27105">
            <v>0</v>
          </cell>
        </row>
        <row r="27106">
          <cell r="E27106">
            <v>0</v>
          </cell>
          <cell r="F27106">
            <v>0</v>
          </cell>
          <cell r="DN27106">
            <v>0</v>
          </cell>
        </row>
        <row r="27107">
          <cell r="E27107">
            <v>0</v>
          </cell>
          <cell r="F27107">
            <v>0</v>
          </cell>
          <cell r="DN27107">
            <v>0</v>
          </cell>
        </row>
        <row r="27108">
          <cell r="E27108">
            <v>0</v>
          </cell>
          <cell r="F27108">
            <v>0</v>
          </cell>
          <cell r="DN27108">
            <v>0</v>
          </cell>
        </row>
        <row r="27109">
          <cell r="E27109">
            <v>0</v>
          </cell>
          <cell r="F27109">
            <v>0</v>
          </cell>
          <cell r="DN27109">
            <v>0</v>
          </cell>
        </row>
        <row r="27110">
          <cell r="E27110">
            <v>0</v>
          </cell>
          <cell r="F27110">
            <v>0</v>
          </cell>
          <cell r="DN27110">
            <v>0</v>
          </cell>
        </row>
        <row r="27111">
          <cell r="E27111">
            <v>0</v>
          </cell>
          <cell r="F27111">
            <v>0</v>
          </cell>
          <cell r="DN27111">
            <v>0</v>
          </cell>
        </row>
        <row r="27112">
          <cell r="E27112">
            <v>0</v>
          </cell>
          <cell r="F27112">
            <v>0</v>
          </cell>
          <cell r="DN27112">
            <v>0</v>
          </cell>
        </row>
        <row r="27113">
          <cell r="E27113">
            <v>0</v>
          </cell>
          <cell r="F27113">
            <v>0</v>
          </cell>
          <cell r="DN27113">
            <v>0</v>
          </cell>
        </row>
        <row r="27114">
          <cell r="E27114">
            <v>0</v>
          </cell>
          <cell r="F27114">
            <v>0</v>
          </cell>
          <cell r="DN27114">
            <v>0</v>
          </cell>
        </row>
        <row r="27115">
          <cell r="E27115">
            <v>0</v>
          </cell>
          <cell r="F27115">
            <v>0</v>
          </cell>
          <cell r="DN27115">
            <v>0</v>
          </cell>
        </row>
        <row r="27116">
          <cell r="E27116">
            <v>0</v>
          </cell>
          <cell r="F27116">
            <v>0</v>
          </cell>
          <cell r="DN27116">
            <v>0</v>
          </cell>
        </row>
        <row r="27117">
          <cell r="E27117">
            <v>0</v>
          </cell>
          <cell r="F27117">
            <v>0</v>
          </cell>
          <cell r="DN27117">
            <v>0</v>
          </cell>
        </row>
        <row r="27118">
          <cell r="E27118">
            <v>0</v>
          </cell>
          <cell r="F27118">
            <v>0</v>
          </cell>
          <cell r="DN27118">
            <v>0</v>
          </cell>
        </row>
        <row r="27119">
          <cell r="E27119">
            <v>0</v>
          </cell>
          <cell r="F27119">
            <v>0</v>
          </cell>
          <cell r="DN27119">
            <v>0</v>
          </cell>
        </row>
        <row r="27120">
          <cell r="E27120">
            <v>0</v>
          </cell>
          <cell r="F27120">
            <v>0</v>
          </cell>
          <cell r="DN27120">
            <v>0</v>
          </cell>
        </row>
        <row r="27121">
          <cell r="E27121">
            <v>0</v>
          </cell>
          <cell r="F27121">
            <v>0</v>
          </cell>
          <cell r="DN27121">
            <v>0</v>
          </cell>
        </row>
        <row r="27122">
          <cell r="E27122">
            <v>0</v>
          </cell>
          <cell r="F27122">
            <v>0</v>
          </cell>
          <cell r="DN27122">
            <v>0</v>
          </cell>
        </row>
        <row r="27123">
          <cell r="E27123">
            <v>0</v>
          </cell>
          <cell r="F27123">
            <v>0</v>
          </cell>
          <cell r="DN27123">
            <v>0</v>
          </cell>
        </row>
        <row r="27124">
          <cell r="E27124">
            <v>0</v>
          </cell>
          <cell r="F27124">
            <v>0</v>
          </cell>
          <cell r="DN27124">
            <v>0</v>
          </cell>
        </row>
        <row r="27125">
          <cell r="E27125">
            <v>0</v>
          </cell>
          <cell r="F27125">
            <v>0</v>
          </cell>
          <cell r="DN27125">
            <v>0</v>
          </cell>
        </row>
        <row r="27126">
          <cell r="E27126">
            <v>0</v>
          </cell>
          <cell r="F27126">
            <v>0</v>
          </cell>
          <cell r="DN27126">
            <v>0</v>
          </cell>
        </row>
        <row r="27127">
          <cell r="E27127">
            <v>0</v>
          </cell>
          <cell r="F27127">
            <v>0</v>
          </cell>
          <cell r="DN27127">
            <v>0</v>
          </cell>
        </row>
        <row r="27128">
          <cell r="E27128">
            <v>0</v>
          </cell>
          <cell r="F27128">
            <v>0</v>
          </cell>
          <cell r="DN27128">
            <v>0</v>
          </cell>
        </row>
        <row r="27129">
          <cell r="E27129">
            <v>0</v>
          </cell>
          <cell r="F27129">
            <v>0</v>
          </cell>
          <cell r="DN27129">
            <v>0</v>
          </cell>
        </row>
        <row r="27130">
          <cell r="E27130">
            <v>0</v>
          </cell>
          <cell r="F27130">
            <v>0</v>
          </cell>
          <cell r="DN27130">
            <v>0</v>
          </cell>
        </row>
        <row r="27131">
          <cell r="E27131">
            <v>0</v>
          </cell>
          <cell r="F27131">
            <v>0</v>
          </cell>
          <cell r="DN27131">
            <v>0</v>
          </cell>
        </row>
        <row r="27132">
          <cell r="E27132">
            <v>0</v>
          </cell>
          <cell r="F27132">
            <v>0</v>
          </cell>
          <cell r="DN27132">
            <v>0</v>
          </cell>
        </row>
        <row r="27133">
          <cell r="E27133">
            <v>0</v>
          </cell>
          <cell r="F27133">
            <v>0</v>
          </cell>
          <cell r="DN27133">
            <v>0</v>
          </cell>
        </row>
        <row r="27134">
          <cell r="E27134">
            <v>0</v>
          </cell>
          <cell r="F27134">
            <v>0</v>
          </cell>
          <cell r="DN27134">
            <v>0</v>
          </cell>
        </row>
        <row r="27135">
          <cell r="E27135">
            <v>0</v>
          </cell>
          <cell r="F27135">
            <v>0</v>
          </cell>
          <cell r="DN27135">
            <v>0</v>
          </cell>
        </row>
        <row r="27136">
          <cell r="E27136">
            <v>0</v>
          </cell>
          <cell r="F27136">
            <v>0</v>
          </cell>
          <cell r="DN27136">
            <v>0</v>
          </cell>
        </row>
        <row r="27137">
          <cell r="E27137">
            <v>0</v>
          </cell>
          <cell r="F27137">
            <v>0</v>
          </cell>
          <cell r="DN27137">
            <v>0</v>
          </cell>
        </row>
        <row r="27138">
          <cell r="E27138">
            <v>0</v>
          </cell>
          <cell r="F27138">
            <v>0</v>
          </cell>
          <cell r="DN27138">
            <v>0</v>
          </cell>
        </row>
        <row r="27139">
          <cell r="E27139">
            <v>0</v>
          </cell>
          <cell r="F27139">
            <v>0</v>
          </cell>
          <cell r="DN27139">
            <v>0</v>
          </cell>
        </row>
        <row r="27140">
          <cell r="E27140">
            <v>0</v>
          </cell>
          <cell r="F27140">
            <v>0</v>
          </cell>
          <cell r="DN27140">
            <v>0</v>
          </cell>
        </row>
        <row r="27141">
          <cell r="E27141">
            <v>0</v>
          </cell>
          <cell r="F27141">
            <v>0</v>
          </cell>
          <cell r="DN27141">
            <v>0</v>
          </cell>
        </row>
        <row r="27142">
          <cell r="E27142">
            <v>0</v>
          </cell>
          <cell r="F27142">
            <v>0</v>
          </cell>
          <cell r="DN27142">
            <v>0</v>
          </cell>
        </row>
        <row r="27143">
          <cell r="E27143">
            <v>0</v>
          </cell>
          <cell r="F27143">
            <v>0</v>
          </cell>
          <cell r="DN27143">
            <v>0</v>
          </cell>
        </row>
        <row r="27144">
          <cell r="E27144">
            <v>0</v>
          </cell>
          <cell r="F27144">
            <v>0</v>
          </cell>
          <cell r="DN27144">
            <v>0</v>
          </cell>
        </row>
        <row r="27145">
          <cell r="E27145">
            <v>0</v>
          </cell>
          <cell r="F27145">
            <v>0</v>
          </cell>
          <cell r="DN27145">
            <v>0</v>
          </cell>
        </row>
        <row r="27146">
          <cell r="E27146">
            <v>0</v>
          </cell>
          <cell r="F27146">
            <v>0</v>
          </cell>
          <cell r="DN27146">
            <v>0</v>
          </cell>
        </row>
        <row r="27147">
          <cell r="E27147">
            <v>0</v>
          </cell>
          <cell r="F27147">
            <v>0</v>
          </cell>
          <cell r="DN27147">
            <v>0</v>
          </cell>
        </row>
        <row r="27148">
          <cell r="E27148">
            <v>0</v>
          </cell>
          <cell r="F27148">
            <v>0</v>
          </cell>
          <cell r="DN27148">
            <v>0</v>
          </cell>
        </row>
        <row r="27149">
          <cell r="E27149">
            <v>0</v>
          </cell>
          <cell r="F27149">
            <v>0</v>
          </cell>
          <cell r="DN27149">
            <v>0</v>
          </cell>
        </row>
        <row r="27150">
          <cell r="E27150">
            <v>0</v>
          </cell>
          <cell r="F27150">
            <v>0</v>
          </cell>
          <cell r="DN27150">
            <v>0</v>
          </cell>
        </row>
        <row r="27151">
          <cell r="E27151">
            <v>0</v>
          </cell>
          <cell r="F27151">
            <v>0</v>
          </cell>
          <cell r="DN27151">
            <v>0</v>
          </cell>
        </row>
        <row r="27152">
          <cell r="E27152">
            <v>0</v>
          </cell>
          <cell r="F27152">
            <v>0</v>
          </cell>
          <cell r="DN27152">
            <v>0</v>
          </cell>
        </row>
        <row r="27153">
          <cell r="E27153">
            <v>0</v>
          </cell>
          <cell r="F27153">
            <v>0</v>
          </cell>
          <cell r="DN27153">
            <v>0</v>
          </cell>
        </row>
        <row r="27154">
          <cell r="E27154">
            <v>0</v>
          </cell>
          <cell r="F27154">
            <v>0</v>
          </cell>
          <cell r="DN27154">
            <v>0</v>
          </cell>
        </row>
        <row r="27155">
          <cell r="E27155">
            <v>0</v>
          </cell>
          <cell r="F27155">
            <v>0</v>
          </cell>
          <cell r="DN27155">
            <v>0</v>
          </cell>
        </row>
        <row r="27156">
          <cell r="E27156">
            <v>0</v>
          </cell>
          <cell r="F27156">
            <v>0</v>
          </cell>
          <cell r="DN27156">
            <v>0</v>
          </cell>
        </row>
        <row r="27157">
          <cell r="E27157">
            <v>0</v>
          </cell>
          <cell r="F27157">
            <v>0</v>
          </cell>
          <cell r="DN27157">
            <v>0</v>
          </cell>
        </row>
        <row r="27158">
          <cell r="E27158">
            <v>0</v>
          </cell>
          <cell r="F27158">
            <v>0</v>
          </cell>
          <cell r="DN27158">
            <v>0</v>
          </cell>
        </row>
        <row r="27159">
          <cell r="E27159">
            <v>0</v>
          </cell>
          <cell r="F27159">
            <v>0</v>
          </cell>
          <cell r="DN27159">
            <v>0</v>
          </cell>
        </row>
        <row r="27160">
          <cell r="E27160">
            <v>0</v>
          </cell>
          <cell r="F27160">
            <v>0</v>
          </cell>
          <cell r="DN27160">
            <v>0</v>
          </cell>
        </row>
        <row r="27161">
          <cell r="E27161">
            <v>0</v>
          </cell>
          <cell r="F27161">
            <v>0</v>
          </cell>
          <cell r="DN27161">
            <v>0</v>
          </cell>
        </row>
        <row r="27162">
          <cell r="E27162">
            <v>0</v>
          </cell>
          <cell r="F27162">
            <v>0</v>
          </cell>
          <cell r="DN27162">
            <v>0</v>
          </cell>
        </row>
        <row r="27163">
          <cell r="E27163">
            <v>0</v>
          </cell>
          <cell r="F27163">
            <v>0</v>
          </cell>
          <cell r="DN27163">
            <v>0</v>
          </cell>
        </row>
        <row r="27164">
          <cell r="E27164">
            <v>0</v>
          </cell>
          <cell r="F27164">
            <v>0</v>
          </cell>
          <cell r="DN27164">
            <v>0</v>
          </cell>
        </row>
        <row r="27165">
          <cell r="E27165">
            <v>0</v>
          </cell>
          <cell r="F27165">
            <v>0</v>
          </cell>
          <cell r="DN27165">
            <v>0</v>
          </cell>
        </row>
        <row r="27166">
          <cell r="E27166">
            <v>0</v>
          </cell>
          <cell r="F27166">
            <v>0</v>
          </cell>
          <cell r="DN27166">
            <v>0</v>
          </cell>
        </row>
        <row r="27167">
          <cell r="E27167">
            <v>0</v>
          </cell>
          <cell r="F27167">
            <v>0</v>
          </cell>
          <cell r="DN27167">
            <v>0</v>
          </cell>
        </row>
        <row r="27168">
          <cell r="E27168">
            <v>0</v>
          </cell>
          <cell r="F27168">
            <v>0</v>
          </cell>
          <cell r="DN27168">
            <v>0</v>
          </cell>
        </row>
        <row r="27169">
          <cell r="E27169">
            <v>0</v>
          </cell>
          <cell r="F27169">
            <v>0</v>
          </cell>
          <cell r="DN27169">
            <v>0</v>
          </cell>
        </row>
        <row r="27170">
          <cell r="E27170">
            <v>0</v>
          </cell>
          <cell r="F27170">
            <v>0</v>
          </cell>
          <cell r="DN27170">
            <v>0</v>
          </cell>
        </row>
        <row r="27171">
          <cell r="E27171">
            <v>0</v>
          </cell>
          <cell r="F27171">
            <v>0</v>
          </cell>
          <cell r="DN27171">
            <v>0</v>
          </cell>
        </row>
        <row r="27172">
          <cell r="E27172">
            <v>0</v>
          </cell>
          <cell r="F27172">
            <v>0</v>
          </cell>
          <cell r="DN27172">
            <v>0</v>
          </cell>
        </row>
        <row r="27173">
          <cell r="E27173">
            <v>0</v>
          </cell>
          <cell r="F27173">
            <v>0</v>
          </cell>
          <cell r="DN27173">
            <v>0</v>
          </cell>
        </row>
        <row r="27174">
          <cell r="E27174">
            <v>0</v>
          </cell>
          <cell r="F27174">
            <v>0</v>
          </cell>
          <cell r="DN27174">
            <v>0</v>
          </cell>
        </row>
        <row r="27175">
          <cell r="E27175">
            <v>0</v>
          </cell>
          <cell r="F27175">
            <v>0</v>
          </cell>
          <cell r="DN27175">
            <v>0</v>
          </cell>
        </row>
        <row r="27176">
          <cell r="E27176">
            <v>0</v>
          </cell>
          <cell r="F27176">
            <v>0</v>
          </cell>
          <cell r="DN27176">
            <v>0</v>
          </cell>
        </row>
        <row r="27177">
          <cell r="E27177">
            <v>0</v>
          </cell>
          <cell r="F27177">
            <v>0</v>
          </cell>
          <cell r="DN27177">
            <v>0</v>
          </cell>
        </row>
        <row r="27178">
          <cell r="E27178">
            <v>0</v>
          </cell>
          <cell r="F27178">
            <v>0</v>
          </cell>
          <cell r="DN27178">
            <v>0</v>
          </cell>
        </row>
        <row r="27179">
          <cell r="E27179">
            <v>0</v>
          </cell>
          <cell r="F27179">
            <v>0</v>
          </cell>
          <cell r="DN27179">
            <v>0</v>
          </cell>
        </row>
        <row r="27180">
          <cell r="E27180">
            <v>0</v>
          </cell>
          <cell r="F27180">
            <v>0</v>
          </cell>
          <cell r="DN27180">
            <v>0</v>
          </cell>
        </row>
        <row r="27181">
          <cell r="E27181">
            <v>0</v>
          </cell>
          <cell r="F27181">
            <v>0</v>
          </cell>
          <cell r="DN27181">
            <v>0</v>
          </cell>
        </row>
        <row r="27182">
          <cell r="E27182">
            <v>0</v>
          </cell>
          <cell r="F27182">
            <v>0</v>
          </cell>
          <cell r="DN27182">
            <v>0</v>
          </cell>
        </row>
        <row r="27183">
          <cell r="E27183">
            <v>0</v>
          </cell>
          <cell r="F27183">
            <v>0</v>
          </cell>
          <cell r="DN27183">
            <v>0</v>
          </cell>
        </row>
        <row r="27184">
          <cell r="E27184">
            <v>0</v>
          </cell>
          <cell r="F27184">
            <v>0</v>
          </cell>
          <cell r="DN27184">
            <v>0</v>
          </cell>
        </row>
        <row r="27185">
          <cell r="E27185">
            <v>0</v>
          </cell>
          <cell r="F27185">
            <v>0</v>
          </cell>
          <cell r="DN27185">
            <v>0</v>
          </cell>
        </row>
        <row r="27186">
          <cell r="E27186">
            <v>0</v>
          </cell>
          <cell r="F27186">
            <v>0</v>
          </cell>
          <cell r="DN27186">
            <v>0</v>
          </cell>
        </row>
        <row r="27187">
          <cell r="E27187">
            <v>0</v>
          </cell>
          <cell r="F27187">
            <v>0</v>
          </cell>
          <cell r="DN27187">
            <v>0</v>
          </cell>
        </row>
        <row r="27188">
          <cell r="E27188">
            <v>0</v>
          </cell>
          <cell r="F27188">
            <v>0</v>
          </cell>
          <cell r="DN27188">
            <v>0</v>
          </cell>
        </row>
        <row r="27189">
          <cell r="E27189">
            <v>0</v>
          </cell>
          <cell r="F27189">
            <v>0</v>
          </cell>
          <cell r="DN27189">
            <v>0</v>
          </cell>
        </row>
        <row r="27190">
          <cell r="E27190">
            <v>0</v>
          </cell>
          <cell r="F27190">
            <v>0</v>
          </cell>
          <cell r="DN27190">
            <v>0</v>
          </cell>
        </row>
        <row r="27191">
          <cell r="E27191">
            <v>0</v>
          </cell>
          <cell r="F27191">
            <v>0</v>
          </cell>
          <cell r="DN27191">
            <v>0</v>
          </cell>
        </row>
        <row r="27192">
          <cell r="E27192">
            <v>0</v>
          </cell>
          <cell r="F27192">
            <v>0</v>
          </cell>
          <cell r="DN27192">
            <v>0</v>
          </cell>
        </row>
        <row r="27193">
          <cell r="E27193">
            <v>0</v>
          </cell>
          <cell r="F27193">
            <v>0</v>
          </cell>
          <cell r="DN27193">
            <v>0</v>
          </cell>
        </row>
        <row r="27194">
          <cell r="E27194">
            <v>0</v>
          </cell>
          <cell r="F27194">
            <v>0</v>
          </cell>
          <cell r="DN27194">
            <v>0</v>
          </cell>
        </row>
        <row r="27195">
          <cell r="E27195">
            <v>0</v>
          </cell>
          <cell r="F27195">
            <v>0</v>
          </cell>
          <cell r="DN27195">
            <v>0</v>
          </cell>
        </row>
        <row r="27196">
          <cell r="E27196">
            <v>0</v>
          </cell>
          <cell r="F27196">
            <v>0</v>
          </cell>
          <cell r="DN27196">
            <v>0</v>
          </cell>
        </row>
        <row r="27197">
          <cell r="E27197">
            <v>0</v>
          </cell>
          <cell r="F27197">
            <v>0</v>
          </cell>
          <cell r="DN27197">
            <v>0</v>
          </cell>
        </row>
        <row r="27198">
          <cell r="E27198">
            <v>0</v>
          </cell>
          <cell r="F27198">
            <v>0</v>
          </cell>
          <cell r="DN27198">
            <v>0</v>
          </cell>
        </row>
        <row r="27199">
          <cell r="E27199">
            <v>0</v>
          </cell>
          <cell r="F27199">
            <v>0</v>
          </cell>
          <cell r="DN27199">
            <v>0</v>
          </cell>
        </row>
        <row r="27200">
          <cell r="E27200">
            <v>0</v>
          </cell>
          <cell r="F27200">
            <v>0</v>
          </cell>
          <cell r="DN27200">
            <v>0</v>
          </cell>
        </row>
        <row r="27201">
          <cell r="E27201">
            <v>0</v>
          </cell>
          <cell r="F27201">
            <v>0</v>
          </cell>
          <cell r="DN27201">
            <v>0</v>
          </cell>
        </row>
        <row r="27202">
          <cell r="E27202">
            <v>0</v>
          </cell>
          <cell r="F27202">
            <v>0</v>
          </cell>
          <cell r="DN27202">
            <v>0</v>
          </cell>
        </row>
        <row r="27203">
          <cell r="E27203">
            <v>0</v>
          </cell>
          <cell r="F27203">
            <v>0</v>
          </cell>
          <cell r="DN27203">
            <v>0</v>
          </cell>
        </row>
        <row r="27204">
          <cell r="E27204">
            <v>0</v>
          </cell>
          <cell r="F27204">
            <v>0</v>
          </cell>
          <cell r="DN27204">
            <v>0</v>
          </cell>
        </row>
        <row r="27205">
          <cell r="E27205">
            <v>0</v>
          </cell>
          <cell r="F27205">
            <v>0</v>
          </cell>
          <cell r="DN27205">
            <v>0</v>
          </cell>
        </row>
        <row r="27206">
          <cell r="E27206">
            <v>0</v>
          </cell>
          <cell r="F27206">
            <v>0</v>
          </cell>
          <cell r="DN27206">
            <v>0</v>
          </cell>
        </row>
        <row r="27207">
          <cell r="E27207">
            <v>0</v>
          </cell>
          <cell r="F27207">
            <v>0</v>
          </cell>
          <cell r="DN27207">
            <v>0</v>
          </cell>
        </row>
        <row r="27208">
          <cell r="E27208">
            <v>0</v>
          </cell>
          <cell r="F27208">
            <v>0</v>
          </cell>
          <cell r="DN27208">
            <v>0</v>
          </cell>
        </row>
        <row r="27209">
          <cell r="E27209">
            <v>0</v>
          </cell>
          <cell r="F27209">
            <v>0</v>
          </cell>
          <cell r="DN27209">
            <v>0</v>
          </cell>
        </row>
        <row r="27210">
          <cell r="E27210">
            <v>0</v>
          </cell>
          <cell r="F27210">
            <v>0</v>
          </cell>
          <cell r="DN27210">
            <v>0</v>
          </cell>
        </row>
        <row r="27211">
          <cell r="E27211">
            <v>0</v>
          </cell>
          <cell r="F27211">
            <v>0</v>
          </cell>
          <cell r="DN27211">
            <v>0</v>
          </cell>
        </row>
        <row r="27212">
          <cell r="E27212">
            <v>0</v>
          </cell>
          <cell r="F27212">
            <v>0</v>
          </cell>
          <cell r="DN27212">
            <v>0</v>
          </cell>
        </row>
        <row r="27213">
          <cell r="E27213">
            <v>0</v>
          </cell>
          <cell r="F27213">
            <v>0</v>
          </cell>
          <cell r="DN27213">
            <v>0</v>
          </cell>
        </row>
        <row r="27214">
          <cell r="E27214">
            <v>0</v>
          </cell>
          <cell r="F27214">
            <v>0</v>
          </cell>
          <cell r="DN27214">
            <v>0</v>
          </cell>
        </row>
        <row r="27215">
          <cell r="E27215">
            <v>0</v>
          </cell>
          <cell r="F27215">
            <v>0</v>
          </cell>
          <cell r="DN27215">
            <v>0</v>
          </cell>
        </row>
        <row r="27216">
          <cell r="E27216">
            <v>0</v>
          </cell>
          <cell r="F27216">
            <v>0</v>
          </cell>
          <cell r="DN27216">
            <v>0</v>
          </cell>
        </row>
        <row r="27217">
          <cell r="E27217">
            <v>0</v>
          </cell>
          <cell r="F27217">
            <v>0</v>
          </cell>
          <cell r="DN27217">
            <v>0</v>
          </cell>
        </row>
        <row r="27218">
          <cell r="E27218">
            <v>0</v>
          </cell>
          <cell r="F27218">
            <v>0</v>
          </cell>
          <cell r="DN27218">
            <v>0</v>
          </cell>
        </row>
        <row r="27219">
          <cell r="E27219">
            <v>0</v>
          </cell>
          <cell r="F27219">
            <v>0</v>
          </cell>
          <cell r="DN27219">
            <v>0</v>
          </cell>
        </row>
        <row r="27220">
          <cell r="E27220">
            <v>0</v>
          </cell>
          <cell r="F27220">
            <v>0</v>
          </cell>
          <cell r="DN27220">
            <v>0</v>
          </cell>
        </row>
        <row r="27221">
          <cell r="E27221">
            <v>0</v>
          </cell>
          <cell r="F27221">
            <v>0</v>
          </cell>
          <cell r="DN27221">
            <v>0</v>
          </cell>
        </row>
        <row r="27222">
          <cell r="E27222">
            <v>0</v>
          </cell>
          <cell r="F27222">
            <v>0</v>
          </cell>
          <cell r="DN27222">
            <v>0</v>
          </cell>
        </row>
        <row r="27223">
          <cell r="E27223">
            <v>0</v>
          </cell>
          <cell r="F27223">
            <v>0</v>
          </cell>
          <cell r="DN27223">
            <v>0</v>
          </cell>
        </row>
        <row r="27224">
          <cell r="E27224">
            <v>0</v>
          </cell>
          <cell r="F27224">
            <v>0</v>
          </cell>
          <cell r="DN27224">
            <v>0</v>
          </cell>
        </row>
        <row r="27225">
          <cell r="E27225">
            <v>0</v>
          </cell>
          <cell r="F27225">
            <v>0</v>
          </cell>
          <cell r="DN27225">
            <v>0</v>
          </cell>
        </row>
        <row r="27226">
          <cell r="E27226">
            <v>0</v>
          </cell>
          <cell r="F27226">
            <v>0</v>
          </cell>
          <cell r="DN27226">
            <v>0</v>
          </cell>
        </row>
        <row r="27227">
          <cell r="E27227">
            <v>0</v>
          </cell>
          <cell r="F27227">
            <v>0</v>
          </cell>
          <cell r="DN27227">
            <v>0</v>
          </cell>
        </row>
        <row r="27228">
          <cell r="E27228">
            <v>0</v>
          </cell>
          <cell r="F27228">
            <v>0</v>
          </cell>
          <cell r="DN27228">
            <v>0</v>
          </cell>
        </row>
        <row r="27229">
          <cell r="E27229">
            <v>0</v>
          </cell>
          <cell r="F27229">
            <v>0</v>
          </cell>
          <cell r="DN27229">
            <v>0</v>
          </cell>
        </row>
        <row r="27230">
          <cell r="E27230">
            <v>0</v>
          </cell>
          <cell r="F27230">
            <v>0</v>
          </cell>
          <cell r="DN27230">
            <v>0</v>
          </cell>
        </row>
        <row r="27231">
          <cell r="E27231">
            <v>0</v>
          </cell>
          <cell r="F27231">
            <v>0</v>
          </cell>
          <cell r="DN27231">
            <v>0</v>
          </cell>
        </row>
        <row r="27232">
          <cell r="E27232">
            <v>0</v>
          </cell>
          <cell r="F27232">
            <v>0</v>
          </cell>
          <cell r="DN27232">
            <v>0</v>
          </cell>
        </row>
        <row r="27233">
          <cell r="E27233">
            <v>0</v>
          </cell>
          <cell r="F27233">
            <v>0</v>
          </cell>
          <cell r="DN27233">
            <v>0</v>
          </cell>
        </row>
        <row r="27234">
          <cell r="E27234">
            <v>0</v>
          </cell>
          <cell r="F27234">
            <v>0</v>
          </cell>
          <cell r="DN27234">
            <v>0</v>
          </cell>
        </row>
        <row r="27235">
          <cell r="E27235">
            <v>0</v>
          </cell>
          <cell r="F27235">
            <v>0</v>
          </cell>
          <cell r="DN27235">
            <v>0</v>
          </cell>
        </row>
        <row r="27236">
          <cell r="E27236">
            <v>0</v>
          </cell>
          <cell r="F27236">
            <v>0</v>
          </cell>
          <cell r="DN27236">
            <v>0</v>
          </cell>
        </row>
        <row r="27237">
          <cell r="E27237">
            <v>0</v>
          </cell>
          <cell r="F27237">
            <v>0</v>
          </cell>
          <cell r="DN27237">
            <v>0</v>
          </cell>
        </row>
        <row r="27238">
          <cell r="E27238">
            <v>0</v>
          </cell>
          <cell r="F27238">
            <v>0</v>
          </cell>
          <cell r="DN27238">
            <v>0</v>
          </cell>
        </row>
        <row r="27239">
          <cell r="E27239">
            <v>0</v>
          </cell>
          <cell r="F27239">
            <v>0</v>
          </cell>
          <cell r="DN27239">
            <v>0</v>
          </cell>
        </row>
        <row r="27240">
          <cell r="E27240">
            <v>0</v>
          </cell>
          <cell r="F27240">
            <v>0</v>
          </cell>
          <cell r="DN27240">
            <v>0</v>
          </cell>
        </row>
        <row r="27241">
          <cell r="E27241">
            <v>0</v>
          </cell>
          <cell r="F27241">
            <v>0</v>
          </cell>
          <cell r="DN27241">
            <v>0</v>
          </cell>
        </row>
        <row r="27242">
          <cell r="E27242">
            <v>0</v>
          </cell>
          <cell r="F27242">
            <v>0</v>
          </cell>
          <cell r="DN27242">
            <v>0</v>
          </cell>
        </row>
        <row r="27243">
          <cell r="E27243">
            <v>0</v>
          </cell>
          <cell r="F27243">
            <v>0</v>
          </cell>
          <cell r="DN27243">
            <v>0</v>
          </cell>
        </row>
        <row r="27244">
          <cell r="E27244">
            <v>0</v>
          </cell>
          <cell r="F27244">
            <v>0</v>
          </cell>
          <cell r="DN27244">
            <v>0</v>
          </cell>
        </row>
        <row r="27245">
          <cell r="E27245">
            <v>0</v>
          </cell>
          <cell r="F27245">
            <v>0</v>
          </cell>
          <cell r="DN27245">
            <v>0</v>
          </cell>
        </row>
        <row r="27246">
          <cell r="E27246">
            <v>0</v>
          </cell>
          <cell r="F27246">
            <v>0</v>
          </cell>
          <cell r="DN27246">
            <v>0</v>
          </cell>
        </row>
        <row r="27247">
          <cell r="E27247">
            <v>0</v>
          </cell>
          <cell r="F27247">
            <v>0</v>
          </cell>
          <cell r="DN27247">
            <v>0</v>
          </cell>
        </row>
        <row r="27248">
          <cell r="E27248">
            <v>0</v>
          </cell>
          <cell r="F27248">
            <v>0</v>
          </cell>
          <cell r="DN27248">
            <v>0</v>
          </cell>
        </row>
        <row r="27249">
          <cell r="E27249">
            <v>0</v>
          </cell>
          <cell r="F27249">
            <v>0</v>
          </cell>
          <cell r="DN27249">
            <v>0</v>
          </cell>
        </row>
        <row r="27250">
          <cell r="E27250">
            <v>0</v>
          </cell>
          <cell r="F27250">
            <v>0</v>
          </cell>
          <cell r="DN27250">
            <v>0</v>
          </cell>
        </row>
        <row r="27251">
          <cell r="E27251">
            <v>0</v>
          </cell>
          <cell r="F27251">
            <v>0</v>
          </cell>
          <cell r="DN27251">
            <v>0</v>
          </cell>
        </row>
        <row r="27252">
          <cell r="E27252">
            <v>0</v>
          </cell>
          <cell r="F27252">
            <v>0</v>
          </cell>
          <cell r="DN27252">
            <v>0</v>
          </cell>
        </row>
        <row r="27253">
          <cell r="E27253">
            <v>0</v>
          </cell>
          <cell r="F27253">
            <v>0</v>
          </cell>
          <cell r="DN27253">
            <v>0</v>
          </cell>
        </row>
        <row r="27254">
          <cell r="E27254">
            <v>0</v>
          </cell>
          <cell r="F27254">
            <v>0</v>
          </cell>
          <cell r="DN27254">
            <v>0</v>
          </cell>
        </row>
        <row r="27255">
          <cell r="E27255">
            <v>0</v>
          </cell>
          <cell r="F27255">
            <v>0</v>
          </cell>
          <cell r="DN27255">
            <v>0</v>
          </cell>
        </row>
        <row r="27256">
          <cell r="E27256">
            <v>0</v>
          </cell>
          <cell r="F27256">
            <v>0</v>
          </cell>
          <cell r="DN27256">
            <v>0</v>
          </cell>
        </row>
        <row r="27257">
          <cell r="E27257">
            <v>0</v>
          </cell>
          <cell r="F27257">
            <v>0</v>
          </cell>
          <cell r="DN27257">
            <v>0</v>
          </cell>
        </row>
        <row r="27258">
          <cell r="E27258">
            <v>0</v>
          </cell>
          <cell r="F27258">
            <v>0</v>
          </cell>
          <cell r="DN27258">
            <v>0</v>
          </cell>
        </row>
        <row r="27259">
          <cell r="E27259">
            <v>0</v>
          </cell>
          <cell r="F27259">
            <v>0</v>
          </cell>
          <cell r="DN27259">
            <v>0</v>
          </cell>
        </row>
        <row r="27260">
          <cell r="E27260">
            <v>0</v>
          </cell>
          <cell r="F27260">
            <v>0</v>
          </cell>
          <cell r="DN27260">
            <v>0</v>
          </cell>
        </row>
        <row r="27261">
          <cell r="E27261">
            <v>0</v>
          </cell>
          <cell r="F27261">
            <v>0</v>
          </cell>
          <cell r="DN27261">
            <v>0</v>
          </cell>
        </row>
        <row r="27262">
          <cell r="E27262">
            <v>0</v>
          </cell>
          <cell r="F27262">
            <v>0</v>
          </cell>
          <cell r="DN27262">
            <v>0</v>
          </cell>
        </row>
        <row r="27263">
          <cell r="E27263">
            <v>0</v>
          </cell>
          <cell r="F27263">
            <v>0</v>
          </cell>
          <cell r="DN27263">
            <v>0</v>
          </cell>
        </row>
        <row r="27264">
          <cell r="E27264">
            <v>0</v>
          </cell>
          <cell r="F27264">
            <v>0</v>
          </cell>
          <cell r="DN27264">
            <v>0</v>
          </cell>
        </row>
        <row r="27265">
          <cell r="E27265">
            <v>0</v>
          </cell>
          <cell r="F27265">
            <v>0</v>
          </cell>
          <cell r="DN27265">
            <v>0</v>
          </cell>
        </row>
        <row r="27266">
          <cell r="E27266">
            <v>0</v>
          </cell>
          <cell r="F27266">
            <v>0</v>
          </cell>
          <cell r="DN27266">
            <v>0</v>
          </cell>
        </row>
        <row r="27267">
          <cell r="E27267">
            <v>0</v>
          </cell>
          <cell r="F27267">
            <v>0</v>
          </cell>
          <cell r="DN27267">
            <v>0</v>
          </cell>
        </row>
        <row r="27268">
          <cell r="E27268">
            <v>0</v>
          </cell>
          <cell r="F27268">
            <v>0</v>
          </cell>
          <cell r="DN27268">
            <v>0</v>
          </cell>
        </row>
        <row r="27269">
          <cell r="E27269">
            <v>0</v>
          </cell>
          <cell r="F27269">
            <v>0</v>
          </cell>
          <cell r="DN27269">
            <v>0</v>
          </cell>
        </row>
        <row r="27270">
          <cell r="E27270">
            <v>0</v>
          </cell>
          <cell r="F27270">
            <v>0</v>
          </cell>
          <cell r="DN27270">
            <v>0</v>
          </cell>
        </row>
        <row r="27271">
          <cell r="E27271">
            <v>0</v>
          </cell>
          <cell r="F27271">
            <v>0</v>
          </cell>
          <cell r="DN27271">
            <v>0</v>
          </cell>
        </row>
        <row r="27272">
          <cell r="E27272">
            <v>0</v>
          </cell>
          <cell r="F27272">
            <v>0</v>
          </cell>
          <cell r="DN27272">
            <v>0</v>
          </cell>
        </row>
        <row r="27273">
          <cell r="E27273">
            <v>0</v>
          </cell>
          <cell r="F27273">
            <v>0</v>
          </cell>
          <cell r="DN27273">
            <v>0</v>
          </cell>
        </row>
        <row r="27274">
          <cell r="E27274">
            <v>0</v>
          </cell>
          <cell r="F27274">
            <v>0</v>
          </cell>
          <cell r="DN27274">
            <v>0</v>
          </cell>
        </row>
        <row r="27275">
          <cell r="E27275">
            <v>0</v>
          </cell>
          <cell r="F27275">
            <v>0</v>
          </cell>
          <cell r="DN27275">
            <v>0</v>
          </cell>
        </row>
        <row r="27276">
          <cell r="E27276">
            <v>0</v>
          </cell>
          <cell r="F27276">
            <v>0</v>
          </cell>
          <cell r="DN27276">
            <v>0</v>
          </cell>
        </row>
        <row r="27277">
          <cell r="E27277">
            <v>0</v>
          </cell>
          <cell r="F27277">
            <v>0</v>
          </cell>
          <cell r="DN27277">
            <v>0</v>
          </cell>
        </row>
        <row r="27278">
          <cell r="E27278">
            <v>0</v>
          </cell>
          <cell r="F27278">
            <v>0</v>
          </cell>
          <cell r="DN27278">
            <v>0</v>
          </cell>
        </row>
        <row r="27279">
          <cell r="E27279">
            <v>0</v>
          </cell>
          <cell r="F27279">
            <v>0</v>
          </cell>
          <cell r="DN27279">
            <v>0</v>
          </cell>
        </row>
        <row r="27280">
          <cell r="E27280">
            <v>0</v>
          </cell>
          <cell r="F27280">
            <v>0</v>
          </cell>
          <cell r="DN27280">
            <v>0</v>
          </cell>
        </row>
        <row r="27281">
          <cell r="E27281">
            <v>0</v>
          </cell>
          <cell r="F27281">
            <v>0</v>
          </cell>
          <cell r="DN27281">
            <v>0</v>
          </cell>
        </row>
        <row r="27282">
          <cell r="E27282">
            <v>0</v>
          </cell>
          <cell r="F27282">
            <v>0</v>
          </cell>
          <cell r="DN27282">
            <v>0</v>
          </cell>
        </row>
        <row r="27283">
          <cell r="E27283">
            <v>0</v>
          </cell>
          <cell r="F27283">
            <v>0</v>
          </cell>
          <cell r="DN27283">
            <v>0</v>
          </cell>
        </row>
        <row r="27284">
          <cell r="E27284">
            <v>0</v>
          </cell>
          <cell r="F27284">
            <v>0</v>
          </cell>
          <cell r="DN27284">
            <v>0</v>
          </cell>
        </row>
        <row r="27285">
          <cell r="E27285">
            <v>0</v>
          </cell>
          <cell r="F27285">
            <v>0</v>
          </cell>
          <cell r="DN27285">
            <v>0</v>
          </cell>
        </row>
        <row r="27286">
          <cell r="E27286">
            <v>0</v>
          </cell>
          <cell r="F27286">
            <v>0</v>
          </cell>
          <cell r="DN27286">
            <v>0</v>
          </cell>
        </row>
        <row r="27287">
          <cell r="E27287">
            <v>0</v>
          </cell>
          <cell r="F27287">
            <v>0</v>
          </cell>
          <cell r="DN27287">
            <v>0</v>
          </cell>
        </row>
        <row r="27288">
          <cell r="E27288">
            <v>0</v>
          </cell>
          <cell r="F27288">
            <v>0</v>
          </cell>
          <cell r="DN27288">
            <v>0</v>
          </cell>
        </row>
        <row r="27289">
          <cell r="E27289">
            <v>0</v>
          </cell>
          <cell r="F27289">
            <v>0</v>
          </cell>
          <cell r="DN27289">
            <v>0</v>
          </cell>
        </row>
        <row r="27290">
          <cell r="E27290">
            <v>0</v>
          </cell>
          <cell r="F27290">
            <v>0</v>
          </cell>
          <cell r="DN27290">
            <v>0</v>
          </cell>
        </row>
        <row r="27291">
          <cell r="E27291">
            <v>0</v>
          </cell>
          <cell r="F27291">
            <v>0</v>
          </cell>
          <cell r="DN27291">
            <v>0</v>
          </cell>
        </row>
        <row r="27292">
          <cell r="E27292">
            <v>0</v>
          </cell>
          <cell r="F27292">
            <v>0</v>
          </cell>
          <cell r="DN27292">
            <v>0</v>
          </cell>
        </row>
        <row r="27293">
          <cell r="E27293">
            <v>0</v>
          </cell>
          <cell r="F27293">
            <v>0</v>
          </cell>
          <cell r="DN27293">
            <v>0</v>
          </cell>
        </row>
        <row r="27294">
          <cell r="E27294">
            <v>0</v>
          </cell>
          <cell r="F27294">
            <v>0</v>
          </cell>
          <cell r="DN27294">
            <v>0</v>
          </cell>
        </row>
        <row r="27295">
          <cell r="E27295">
            <v>0</v>
          </cell>
          <cell r="F27295">
            <v>0</v>
          </cell>
          <cell r="DN27295">
            <v>0</v>
          </cell>
        </row>
        <row r="27296">
          <cell r="E27296">
            <v>0</v>
          </cell>
          <cell r="F27296">
            <v>0</v>
          </cell>
          <cell r="DN27296">
            <v>0</v>
          </cell>
        </row>
        <row r="27297">
          <cell r="E27297">
            <v>0</v>
          </cell>
          <cell r="F27297">
            <v>0</v>
          </cell>
          <cell r="DN27297">
            <v>0</v>
          </cell>
        </row>
        <row r="27298">
          <cell r="E27298">
            <v>0</v>
          </cell>
          <cell r="F27298">
            <v>0</v>
          </cell>
          <cell r="DN27298">
            <v>0</v>
          </cell>
        </row>
        <row r="27299">
          <cell r="E27299">
            <v>0</v>
          </cell>
          <cell r="F27299">
            <v>0</v>
          </cell>
          <cell r="DN27299">
            <v>0</v>
          </cell>
        </row>
        <row r="27300">
          <cell r="E27300">
            <v>0</v>
          </cell>
          <cell r="F27300">
            <v>0</v>
          </cell>
          <cell r="DN27300">
            <v>0</v>
          </cell>
        </row>
        <row r="27301">
          <cell r="E27301">
            <v>0</v>
          </cell>
          <cell r="F27301">
            <v>0</v>
          </cell>
          <cell r="DN27301">
            <v>0</v>
          </cell>
        </row>
        <row r="27302">
          <cell r="E27302">
            <v>0</v>
          </cell>
          <cell r="F27302">
            <v>0</v>
          </cell>
          <cell r="DN27302">
            <v>0</v>
          </cell>
        </row>
        <row r="27303">
          <cell r="E27303">
            <v>0</v>
          </cell>
          <cell r="F27303">
            <v>0</v>
          </cell>
          <cell r="DN27303">
            <v>0</v>
          </cell>
        </row>
        <row r="27304">
          <cell r="E27304">
            <v>0</v>
          </cell>
          <cell r="F27304">
            <v>0</v>
          </cell>
          <cell r="DN27304">
            <v>0</v>
          </cell>
        </row>
        <row r="27305">
          <cell r="E27305">
            <v>0</v>
          </cell>
          <cell r="F27305">
            <v>0</v>
          </cell>
          <cell r="DN27305">
            <v>0</v>
          </cell>
        </row>
        <row r="27306">
          <cell r="E27306">
            <v>0</v>
          </cell>
          <cell r="F27306">
            <v>0</v>
          </cell>
          <cell r="DN27306">
            <v>0</v>
          </cell>
        </row>
        <row r="27307">
          <cell r="E27307">
            <v>0</v>
          </cell>
          <cell r="F27307">
            <v>0</v>
          </cell>
          <cell r="DN27307">
            <v>0</v>
          </cell>
        </row>
        <row r="27308">
          <cell r="E27308">
            <v>0</v>
          </cell>
          <cell r="F27308">
            <v>0</v>
          </cell>
          <cell r="DN27308">
            <v>0</v>
          </cell>
        </row>
        <row r="27309">
          <cell r="E27309">
            <v>0</v>
          </cell>
          <cell r="F27309">
            <v>0</v>
          </cell>
          <cell r="DN27309">
            <v>0</v>
          </cell>
        </row>
        <row r="27310">
          <cell r="E27310">
            <v>0</v>
          </cell>
          <cell r="F27310">
            <v>0</v>
          </cell>
          <cell r="DN27310">
            <v>0</v>
          </cell>
        </row>
        <row r="27311">
          <cell r="E27311">
            <v>0</v>
          </cell>
          <cell r="F27311">
            <v>0</v>
          </cell>
          <cell r="DN27311">
            <v>0</v>
          </cell>
        </row>
        <row r="27312">
          <cell r="E27312">
            <v>0</v>
          </cell>
          <cell r="F27312">
            <v>0</v>
          </cell>
          <cell r="DN27312">
            <v>0</v>
          </cell>
        </row>
        <row r="27313">
          <cell r="E27313">
            <v>0</v>
          </cell>
          <cell r="F27313">
            <v>0</v>
          </cell>
          <cell r="DN27313">
            <v>0</v>
          </cell>
        </row>
        <row r="27314">
          <cell r="E27314">
            <v>0</v>
          </cell>
          <cell r="F27314">
            <v>0</v>
          </cell>
          <cell r="DN27314">
            <v>0</v>
          </cell>
        </row>
        <row r="27315">
          <cell r="E27315">
            <v>0</v>
          </cell>
          <cell r="F27315">
            <v>0</v>
          </cell>
          <cell r="DN27315">
            <v>0</v>
          </cell>
        </row>
        <row r="27316">
          <cell r="E27316">
            <v>0</v>
          </cell>
          <cell r="F27316">
            <v>0</v>
          </cell>
          <cell r="DN27316">
            <v>0</v>
          </cell>
        </row>
        <row r="27317">
          <cell r="E27317">
            <v>0</v>
          </cell>
          <cell r="F27317">
            <v>0</v>
          </cell>
          <cell r="DN27317">
            <v>0</v>
          </cell>
        </row>
        <row r="27318">
          <cell r="E27318">
            <v>0</v>
          </cell>
          <cell r="F27318">
            <v>0</v>
          </cell>
          <cell r="DN27318">
            <v>0</v>
          </cell>
        </row>
        <row r="27319">
          <cell r="E27319">
            <v>0</v>
          </cell>
          <cell r="F27319">
            <v>0</v>
          </cell>
          <cell r="DN27319">
            <v>0</v>
          </cell>
        </row>
        <row r="27320">
          <cell r="E27320">
            <v>0</v>
          </cell>
          <cell r="F27320">
            <v>0</v>
          </cell>
          <cell r="DN27320">
            <v>0</v>
          </cell>
        </row>
        <row r="27321">
          <cell r="E27321">
            <v>0</v>
          </cell>
          <cell r="F27321">
            <v>0</v>
          </cell>
          <cell r="DN27321">
            <v>0</v>
          </cell>
        </row>
        <row r="27322">
          <cell r="E27322">
            <v>0</v>
          </cell>
          <cell r="F27322">
            <v>0</v>
          </cell>
          <cell r="DN27322">
            <v>0</v>
          </cell>
        </row>
        <row r="27323">
          <cell r="E27323">
            <v>0</v>
          </cell>
          <cell r="F27323">
            <v>0</v>
          </cell>
          <cell r="DN27323">
            <v>0</v>
          </cell>
        </row>
        <row r="27324">
          <cell r="E27324">
            <v>0</v>
          </cell>
          <cell r="F27324">
            <v>0</v>
          </cell>
          <cell r="DN27324">
            <v>0</v>
          </cell>
        </row>
        <row r="27325">
          <cell r="E27325">
            <v>0</v>
          </cell>
          <cell r="F27325">
            <v>0</v>
          </cell>
          <cell r="DN27325">
            <v>0</v>
          </cell>
        </row>
        <row r="27326">
          <cell r="E27326">
            <v>0</v>
          </cell>
          <cell r="F27326">
            <v>0</v>
          </cell>
          <cell r="DN27326">
            <v>0</v>
          </cell>
        </row>
        <row r="27327">
          <cell r="E27327">
            <v>0</v>
          </cell>
          <cell r="F27327">
            <v>0</v>
          </cell>
          <cell r="DN27327">
            <v>0</v>
          </cell>
        </row>
        <row r="27328">
          <cell r="E27328">
            <v>0</v>
          </cell>
          <cell r="F27328">
            <v>0</v>
          </cell>
          <cell r="DN27328">
            <v>0</v>
          </cell>
        </row>
        <row r="27329">
          <cell r="E27329">
            <v>0</v>
          </cell>
          <cell r="F27329">
            <v>0</v>
          </cell>
          <cell r="DN27329">
            <v>0</v>
          </cell>
        </row>
        <row r="27330">
          <cell r="E27330">
            <v>0</v>
          </cell>
          <cell r="F27330">
            <v>0</v>
          </cell>
          <cell r="DN27330">
            <v>0</v>
          </cell>
        </row>
        <row r="27331">
          <cell r="E27331">
            <v>0</v>
          </cell>
          <cell r="F27331">
            <v>0</v>
          </cell>
          <cell r="DN27331">
            <v>0</v>
          </cell>
        </row>
        <row r="27332">
          <cell r="E27332">
            <v>0</v>
          </cell>
          <cell r="F27332">
            <v>0</v>
          </cell>
          <cell r="DN27332">
            <v>0</v>
          </cell>
        </row>
        <row r="27333">
          <cell r="E27333">
            <v>0</v>
          </cell>
          <cell r="F27333">
            <v>0</v>
          </cell>
          <cell r="DN27333">
            <v>0</v>
          </cell>
        </row>
        <row r="27334">
          <cell r="E27334">
            <v>0</v>
          </cell>
          <cell r="F27334">
            <v>0</v>
          </cell>
          <cell r="DN27334">
            <v>0</v>
          </cell>
        </row>
        <row r="27335">
          <cell r="E27335">
            <v>0</v>
          </cell>
          <cell r="F27335">
            <v>0</v>
          </cell>
          <cell r="DN27335">
            <v>0</v>
          </cell>
        </row>
        <row r="27336">
          <cell r="E27336">
            <v>0</v>
          </cell>
          <cell r="F27336">
            <v>0</v>
          </cell>
          <cell r="DN27336">
            <v>0</v>
          </cell>
        </row>
        <row r="27337">
          <cell r="E27337">
            <v>0</v>
          </cell>
          <cell r="F27337">
            <v>0</v>
          </cell>
          <cell r="DN27337">
            <v>0</v>
          </cell>
        </row>
        <row r="27338">
          <cell r="E27338">
            <v>0</v>
          </cell>
          <cell r="F27338">
            <v>0</v>
          </cell>
          <cell r="DN27338">
            <v>0</v>
          </cell>
        </row>
        <row r="27339">
          <cell r="E27339">
            <v>0</v>
          </cell>
          <cell r="F27339">
            <v>0</v>
          </cell>
          <cell r="DN27339">
            <v>0</v>
          </cell>
        </row>
        <row r="27340">
          <cell r="E27340">
            <v>0</v>
          </cell>
          <cell r="F27340">
            <v>0</v>
          </cell>
          <cell r="DN27340">
            <v>0</v>
          </cell>
        </row>
        <row r="27341">
          <cell r="E27341">
            <v>0</v>
          </cell>
          <cell r="F27341">
            <v>0</v>
          </cell>
          <cell r="DN27341">
            <v>0</v>
          </cell>
        </row>
        <row r="27342">
          <cell r="E27342">
            <v>0</v>
          </cell>
          <cell r="F27342">
            <v>0</v>
          </cell>
          <cell r="DN27342">
            <v>0</v>
          </cell>
        </row>
        <row r="27343">
          <cell r="E27343">
            <v>0</v>
          </cell>
          <cell r="F27343">
            <v>0</v>
          </cell>
          <cell r="DN27343">
            <v>0</v>
          </cell>
        </row>
        <row r="27344">
          <cell r="E27344">
            <v>0</v>
          </cell>
          <cell r="F27344">
            <v>0</v>
          </cell>
          <cell r="DN27344">
            <v>0</v>
          </cell>
        </row>
        <row r="27345">
          <cell r="E27345">
            <v>0</v>
          </cell>
          <cell r="F27345">
            <v>0</v>
          </cell>
          <cell r="DN27345">
            <v>0</v>
          </cell>
        </row>
        <row r="27346">
          <cell r="E27346">
            <v>0</v>
          </cell>
          <cell r="F27346">
            <v>0</v>
          </cell>
          <cell r="DN27346">
            <v>0</v>
          </cell>
        </row>
        <row r="27347">
          <cell r="E27347">
            <v>0</v>
          </cell>
          <cell r="F27347">
            <v>0</v>
          </cell>
          <cell r="DN27347">
            <v>0</v>
          </cell>
        </row>
        <row r="27348">
          <cell r="E27348">
            <v>0</v>
          </cell>
          <cell r="F27348">
            <v>0</v>
          </cell>
          <cell r="DN27348">
            <v>0</v>
          </cell>
        </row>
        <row r="27349">
          <cell r="E27349">
            <v>0</v>
          </cell>
          <cell r="F27349">
            <v>0</v>
          </cell>
          <cell r="DN27349">
            <v>0</v>
          </cell>
        </row>
        <row r="27350">
          <cell r="E27350">
            <v>0</v>
          </cell>
          <cell r="F27350">
            <v>0</v>
          </cell>
          <cell r="DN27350">
            <v>0</v>
          </cell>
        </row>
        <row r="27351">
          <cell r="E27351">
            <v>0</v>
          </cell>
          <cell r="F27351">
            <v>0</v>
          </cell>
          <cell r="DN27351">
            <v>0</v>
          </cell>
        </row>
        <row r="27352">
          <cell r="E27352">
            <v>0</v>
          </cell>
          <cell r="F27352">
            <v>0</v>
          </cell>
          <cell r="DN27352">
            <v>0</v>
          </cell>
        </row>
        <row r="27353">
          <cell r="E27353">
            <v>0</v>
          </cell>
          <cell r="F27353">
            <v>0</v>
          </cell>
          <cell r="DN27353">
            <v>0</v>
          </cell>
        </row>
        <row r="27354">
          <cell r="E27354">
            <v>0</v>
          </cell>
          <cell r="F27354">
            <v>0</v>
          </cell>
          <cell r="DN27354">
            <v>0</v>
          </cell>
        </row>
        <row r="27355">
          <cell r="E27355">
            <v>0</v>
          </cell>
          <cell r="F27355">
            <v>0</v>
          </cell>
          <cell r="DN27355">
            <v>0</v>
          </cell>
        </row>
        <row r="27356">
          <cell r="E27356">
            <v>0</v>
          </cell>
          <cell r="F27356">
            <v>0</v>
          </cell>
          <cell r="DN27356">
            <v>0</v>
          </cell>
        </row>
        <row r="27357">
          <cell r="E27357">
            <v>0</v>
          </cell>
          <cell r="F27357">
            <v>0</v>
          </cell>
          <cell r="DN27357">
            <v>0</v>
          </cell>
        </row>
        <row r="27358">
          <cell r="E27358">
            <v>0</v>
          </cell>
          <cell r="F27358">
            <v>0</v>
          </cell>
          <cell r="DN27358">
            <v>0</v>
          </cell>
        </row>
        <row r="27359">
          <cell r="E27359">
            <v>0</v>
          </cell>
          <cell r="F27359">
            <v>0</v>
          </cell>
          <cell r="DN27359">
            <v>0</v>
          </cell>
        </row>
        <row r="27360">
          <cell r="E27360">
            <v>0</v>
          </cell>
          <cell r="F27360">
            <v>0</v>
          </cell>
          <cell r="DN27360">
            <v>0</v>
          </cell>
        </row>
        <row r="27361">
          <cell r="E27361">
            <v>0</v>
          </cell>
          <cell r="F27361">
            <v>0</v>
          </cell>
          <cell r="DN27361">
            <v>0</v>
          </cell>
        </row>
        <row r="27362">
          <cell r="E27362">
            <v>0</v>
          </cell>
          <cell r="F27362">
            <v>0</v>
          </cell>
          <cell r="DN27362">
            <v>0</v>
          </cell>
        </row>
        <row r="27363">
          <cell r="E27363">
            <v>0</v>
          </cell>
          <cell r="F27363">
            <v>0</v>
          </cell>
          <cell r="DN27363">
            <v>0</v>
          </cell>
        </row>
        <row r="27364">
          <cell r="E27364">
            <v>0</v>
          </cell>
          <cell r="F27364">
            <v>0</v>
          </cell>
          <cell r="DN27364">
            <v>0</v>
          </cell>
        </row>
        <row r="27365">
          <cell r="E27365">
            <v>0</v>
          </cell>
          <cell r="F27365">
            <v>0</v>
          </cell>
          <cell r="DN27365">
            <v>0</v>
          </cell>
        </row>
        <row r="27366">
          <cell r="E27366">
            <v>0</v>
          </cell>
          <cell r="F27366">
            <v>0</v>
          </cell>
          <cell r="DN27366">
            <v>0</v>
          </cell>
        </row>
        <row r="27367">
          <cell r="E27367">
            <v>0</v>
          </cell>
          <cell r="F27367">
            <v>0</v>
          </cell>
          <cell r="DN27367">
            <v>0</v>
          </cell>
        </row>
        <row r="27368">
          <cell r="E27368">
            <v>0</v>
          </cell>
          <cell r="F27368">
            <v>0</v>
          </cell>
          <cell r="DN27368">
            <v>0</v>
          </cell>
        </row>
        <row r="27369">
          <cell r="E27369">
            <v>0</v>
          </cell>
          <cell r="F27369">
            <v>0</v>
          </cell>
          <cell r="DN27369">
            <v>0</v>
          </cell>
        </row>
        <row r="27370">
          <cell r="E27370">
            <v>0</v>
          </cell>
          <cell r="F27370">
            <v>0</v>
          </cell>
          <cell r="DN27370">
            <v>0</v>
          </cell>
        </row>
        <row r="27371">
          <cell r="E27371">
            <v>0</v>
          </cell>
          <cell r="F27371">
            <v>0</v>
          </cell>
          <cell r="DN27371">
            <v>0</v>
          </cell>
        </row>
        <row r="27372">
          <cell r="E27372">
            <v>0</v>
          </cell>
          <cell r="F27372">
            <v>0</v>
          </cell>
          <cell r="DN27372">
            <v>0</v>
          </cell>
        </row>
        <row r="27373">
          <cell r="E27373">
            <v>0</v>
          </cell>
          <cell r="F27373">
            <v>0</v>
          </cell>
          <cell r="DN27373">
            <v>0</v>
          </cell>
        </row>
        <row r="27374">
          <cell r="E27374">
            <v>0</v>
          </cell>
          <cell r="F27374">
            <v>0</v>
          </cell>
          <cell r="DN27374">
            <v>0</v>
          </cell>
        </row>
        <row r="27375">
          <cell r="E27375">
            <v>0</v>
          </cell>
          <cell r="F27375">
            <v>0</v>
          </cell>
          <cell r="DN27375">
            <v>0</v>
          </cell>
        </row>
        <row r="27376">
          <cell r="E27376">
            <v>0</v>
          </cell>
          <cell r="F27376">
            <v>0</v>
          </cell>
          <cell r="DN27376">
            <v>0</v>
          </cell>
        </row>
        <row r="27377">
          <cell r="E27377">
            <v>0</v>
          </cell>
          <cell r="F27377">
            <v>0</v>
          </cell>
          <cell r="DN27377">
            <v>0</v>
          </cell>
        </row>
        <row r="27378">
          <cell r="E27378">
            <v>0</v>
          </cell>
          <cell r="F27378">
            <v>0</v>
          </cell>
          <cell r="DN27378">
            <v>0</v>
          </cell>
        </row>
        <row r="27379">
          <cell r="E27379">
            <v>0</v>
          </cell>
          <cell r="F27379">
            <v>0</v>
          </cell>
          <cell r="DN27379">
            <v>0</v>
          </cell>
        </row>
        <row r="27380">
          <cell r="E27380">
            <v>0</v>
          </cell>
          <cell r="F27380">
            <v>0</v>
          </cell>
          <cell r="DN27380">
            <v>0</v>
          </cell>
        </row>
        <row r="27381">
          <cell r="E27381">
            <v>0</v>
          </cell>
          <cell r="F27381">
            <v>0</v>
          </cell>
          <cell r="DN27381">
            <v>0</v>
          </cell>
        </row>
        <row r="27382">
          <cell r="E27382">
            <v>0</v>
          </cell>
          <cell r="F27382">
            <v>0</v>
          </cell>
          <cell r="DN27382">
            <v>0</v>
          </cell>
        </row>
        <row r="27383">
          <cell r="E27383">
            <v>0</v>
          </cell>
          <cell r="F27383">
            <v>0</v>
          </cell>
          <cell r="DN27383">
            <v>0</v>
          </cell>
        </row>
        <row r="27384">
          <cell r="E27384">
            <v>0</v>
          </cell>
          <cell r="F27384">
            <v>0</v>
          </cell>
          <cell r="DN27384">
            <v>0</v>
          </cell>
        </row>
        <row r="27385">
          <cell r="E27385">
            <v>0</v>
          </cell>
          <cell r="F27385">
            <v>0</v>
          </cell>
          <cell r="DN27385">
            <v>0</v>
          </cell>
        </row>
        <row r="27386">
          <cell r="E27386">
            <v>0</v>
          </cell>
          <cell r="F27386">
            <v>0</v>
          </cell>
          <cell r="DN27386">
            <v>0</v>
          </cell>
        </row>
        <row r="27387">
          <cell r="E27387">
            <v>0</v>
          </cell>
          <cell r="F27387">
            <v>0</v>
          </cell>
          <cell r="DN27387">
            <v>0</v>
          </cell>
        </row>
        <row r="27388">
          <cell r="E27388">
            <v>0</v>
          </cell>
          <cell r="F27388">
            <v>0</v>
          </cell>
          <cell r="DN27388">
            <v>0</v>
          </cell>
        </row>
        <row r="27389">
          <cell r="E27389">
            <v>0</v>
          </cell>
          <cell r="F27389">
            <v>0</v>
          </cell>
          <cell r="DN27389">
            <v>0</v>
          </cell>
        </row>
        <row r="27390">
          <cell r="E27390">
            <v>0</v>
          </cell>
          <cell r="F27390">
            <v>0</v>
          </cell>
          <cell r="DN27390">
            <v>0</v>
          </cell>
        </row>
        <row r="27391">
          <cell r="E27391">
            <v>0</v>
          </cell>
          <cell r="F27391">
            <v>0</v>
          </cell>
          <cell r="DN27391">
            <v>0</v>
          </cell>
        </row>
        <row r="27392">
          <cell r="E27392">
            <v>0</v>
          </cell>
          <cell r="F27392">
            <v>0</v>
          </cell>
          <cell r="DN27392">
            <v>0</v>
          </cell>
        </row>
        <row r="27393">
          <cell r="E27393">
            <v>0</v>
          </cell>
          <cell r="F27393">
            <v>0</v>
          </cell>
          <cell r="DN27393">
            <v>0</v>
          </cell>
        </row>
        <row r="27394">
          <cell r="E27394">
            <v>0</v>
          </cell>
          <cell r="F27394">
            <v>0</v>
          </cell>
          <cell r="DN27394">
            <v>0</v>
          </cell>
        </row>
        <row r="27395">
          <cell r="E27395">
            <v>0</v>
          </cell>
          <cell r="F27395">
            <v>0</v>
          </cell>
          <cell r="DN27395">
            <v>0</v>
          </cell>
        </row>
        <row r="27396">
          <cell r="E27396">
            <v>0</v>
          </cell>
          <cell r="F27396">
            <v>0</v>
          </cell>
          <cell r="DN27396">
            <v>0</v>
          </cell>
        </row>
        <row r="27397">
          <cell r="E27397">
            <v>0</v>
          </cell>
          <cell r="F27397">
            <v>0</v>
          </cell>
          <cell r="DN27397">
            <v>0</v>
          </cell>
        </row>
        <row r="27398">
          <cell r="E27398">
            <v>0</v>
          </cell>
          <cell r="F27398">
            <v>0</v>
          </cell>
          <cell r="DN27398">
            <v>0</v>
          </cell>
        </row>
        <row r="27399">
          <cell r="E27399">
            <v>0</v>
          </cell>
          <cell r="F27399">
            <v>0</v>
          </cell>
          <cell r="DN27399">
            <v>0</v>
          </cell>
        </row>
        <row r="27400">
          <cell r="E27400">
            <v>0</v>
          </cell>
          <cell r="F27400">
            <v>0</v>
          </cell>
          <cell r="DN27400">
            <v>0</v>
          </cell>
        </row>
        <row r="27401">
          <cell r="E27401">
            <v>0</v>
          </cell>
          <cell r="F27401">
            <v>0</v>
          </cell>
          <cell r="DN27401">
            <v>0</v>
          </cell>
        </row>
        <row r="27402">
          <cell r="E27402">
            <v>0</v>
          </cell>
          <cell r="F27402">
            <v>0</v>
          </cell>
          <cell r="DN27402">
            <v>0</v>
          </cell>
        </row>
        <row r="27403">
          <cell r="E27403">
            <v>0</v>
          </cell>
          <cell r="F27403">
            <v>0</v>
          </cell>
          <cell r="DN27403">
            <v>0</v>
          </cell>
        </row>
        <row r="27404">
          <cell r="E27404">
            <v>0</v>
          </cell>
          <cell r="F27404">
            <v>0</v>
          </cell>
          <cell r="DN27404">
            <v>0</v>
          </cell>
        </row>
        <row r="27405">
          <cell r="E27405">
            <v>0</v>
          </cell>
          <cell r="F27405">
            <v>0</v>
          </cell>
          <cell r="DN27405">
            <v>0</v>
          </cell>
        </row>
        <row r="27406">
          <cell r="E27406">
            <v>0</v>
          </cell>
          <cell r="F27406">
            <v>0</v>
          </cell>
          <cell r="DN27406">
            <v>0</v>
          </cell>
        </row>
        <row r="27407">
          <cell r="E27407">
            <v>0</v>
          </cell>
          <cell r="F27407">
            <v>0</v>
          </cell>
          <cell r="DN27407">
            <v>0</v>
          </cell>
        </row>
        <row r="27408">
          <cell r="E27408">
            <v>0</v>
          </cell>
          <cell r="F27408">
            <v>0</v>
          </cell>
          <cell r="DN27408">
            <v>0</v>
          </cell>
        </row>
        <row r="27409">
          <cell r="E27409">
            <v>0</v>
          </cell>
          <cell r="F27409">
            <v>0</v>
          </cell>
          <cell r="DN27409">
            <v>0</v>
          </cell>
        </row>
        <row r="27410">
          <cell r="E27410">
            <v>0</v>
          </cell>
          <cell r="F27410">
            <v>0</v>
          </cell>
          <cell r="DN27410">
            <v>0</v>
          </cell>
        </row>
        <row r="27411">
          <cell r="E27411">
            <v>0</v>
          </cell>
          <cell r="F27411">
            <v>0</v>
          </cell>
          <cell r="DN27411">
            <v>0</v>
          </cell>
        </row>
        <row r="27412">
          <cell r="E27412">
            <v>0</v>
          </cell>
          <cell r="F27412">
            <v>0</v>
          </cell>
          <cell r="DN27412">
            <v>0</v>
          </cell>
        </row>
        <row r="27413">
          <cell r="E27413">
            <v>0</v>
          </cell>
          <cell r="F27413">
            <v>0</v>
          </cell>
          <cell r="DN27413">
            <v>0</v>
          </cell>
        </row>
        <row r="27414">
          <cell r="E27414">
            <v>0</v>
          </cell>
          <cell r="F27414">
            <v>0</v>
          </cell>
          <cell r="DN27414">
            <v>0</v>
          </cell>
        </row>
        <row r="27415">
          <cell r="E27415">
            <v>0</v>
          </cell>
          <cell r="F27415">
            <v>0</v>
          </cell>
          <cell r="DN27415">
            <v>0</v>
          </cell>
        </row>
        <row r="27416">
          <cell r="E27416">
            <v>0</v>
          </cell>
          <cell r="F27416">
            <v>0</v>
          </cell>
          <cell r="DN27416">
            <v>0</v>
          </cell>
        </row>
        <row r="27417">
          <cell r="E27417">
            <v>0</v>
          </cell>
          <cell r="F27417">
            <v>0</v>
          </cell>
          <cell r="DN27417">
            <v>0</v>
          </cell>
        </row>
        <row r="27418">
          <cell r="E27418">
            <v>0</v>
          </cell>
          <cell r="F27418">
            <v>0</v>
          </cell>
          <cell r="DN27418">
            <v>0</v>
          </cell>
        </row>
        <row r="27419">
          <cell r="E27419">
            <v>0</v>
          </cell>
          <cell r="F27419">
            <v>0</v>
          </cell>
          <cell r="DN27419">
            <v>0</v>
          </cell>
        </row>
        <row r="27420">
          <cell r="E27420">
            <v>0</v>
          </cell>
          <cell r="F27420">
            <v>0</v>
          </cell>
          <cell r="DN27420">
            <v>0</v>
          </cell>
        </row>
        <row r="27421">
          <cell r="E27421">
            <v>0</v>
          </cell>
          <cell r="F27421">
            <v>0</v>
          </cell>
          <cell r="DN27421">
            <v>0</v>
          </cell>
        </row>
        <row r="27422">
          <cell r="E27422">
            <v>0</v>
          </cell>
          <cell r="F27422">
            <v>0</v>
          </cell>
          <cell r="DN27422">
            <v>0</v>
          </cell>
        </row>
        <row r="27423">
          <cell r="E27423">
            <v>0</v>
          </cell>
          <cell r="F27423">
            <v>0</v>
          </cell>
          <cell r="DN27423">
            <v>0</v>
          </cell>
        </row>
        <row r="27424">
          <cell r="E27424">
            <v>0</v>
          </cell>
          <cell r="F27424">
            <v>0</v>
          </cell>
          <cell r="DN27424">
            <v>0</v>
          </cell>
        </row>
        <row r="27425">
          <cell r="E27425">
            <v>0</v>
          </cell>
          <cell r="F27425">
            <v>0</v>
          </cell>
          <cell r="DN27425">
            <v>0</v>
          </cell>
        </row>
        <row r="27426">
          <cell r="E27426">
            <v>0</v>
          </cell>
          <cell r="F27426">
            <v>0</v>
          </cell>
          <cell r="DN27426">
            <v>0</v>
          </cell>
        </row>
        <row r="27427">
          <cell r="E27427">
            <v>0</v>
          </cell>
          <cell r="F27427">
            <v>0</v>
          </cell>
          <cell r="DN27427">
            <v>0</v>
          </cell>
        </row>
        <row r="27428">
          <cell r="E27428">
            <v>0</v>
          </cell>
          <cell r="F27428">
            <v>0</v>
          </cell>
          <cell r="DN27428">
            <v>0</v>
          </cell>
        </row>
        <row r="27429">
          <cell r="E27429">
            <v>0</v>
          </cell>
          <cell r="F27429">
            <v>0</v>
          </cell>
          <cell r="DN27429">
            <v>0</v>
          </cell>
        </row>
        <row r="27430">
          <cell r="E27430">
            <v>0</v>
          </cell>
          <cell r="F27430">
            <v>0</v>
          </cell>
          <cell r="DN27430">
            <v>0</v>
          </cell>
        </row>
        <row r="27431">
          <cell r="E27431">
            <v>0</v>
          </cell>
          <cell r="F27431">
            <v>0</v>
          </cell>
          <cell r="DN27431">
            <v>0</v>
          </cell>
        </row>
        <row r="27432">
          <cell r="E27432">
            <v>0</v>
          </cell>
          <cell r="F27432">
            <v>0</v>
          </cell>
          <cell r="DN27432">
            <v>0</v>
          </cell>
        </row>
        <row r="27433">
          <cell r="E27433">
            <v>0</v>
          </cell>
          <cell r="F27433">
            <v>0</v>
          </cell>
          <cell r="DN27433">
            <v>0</v>
          </cell>
        </row>
        <row r="27434">
          <cell r="E27434">
            <v>0</v>
          </cell>
          <cell r="F27434">
            <v>0</v>
          </cell>
          <cell r="DN27434">
            <v>0</v>
          </cell>
        </row>
        <row r="27435">
          <cell r="E27435">
            <v>0</v>
          </cell>
          <cell r="F27435">
            <v>0</v>
          </cell>
          <cell r="DN27435">
            <v>0</v>
          </cell>
        </row>
        <row r="27436">
          <cell r="E27436">
            <v>0</v>
          </cell>
          <cell r="F27436">
            <v>0</v>
          </cell>
          <cell r="DN27436">
            <v>0</v>
          </cell>
        </row>
        <row r="27437">
          <cell r="E27437">
            <v>0</v>
          </cell>
          <cell r="F27437">
            <v>0</v>
          </cell>
          <cell r="DN27437">
            <v>0</v>
          </cell>
        </row>
        <row r="27438">
          <cell r="E27438">
            <v>0</v>
          </cell>
          <cell r="F27438">
            <v>0</v>
          </cell>
          <cell r="DN27438">
            <v>0</v>
          </cell>
        </row>
        <row r="27439">
          <cell r="E27439">
            <v>0</v>
          </cell>
          <cell r="F27439">
            <v>0</v>
          </cell>
          <cell r="DN27439">
            <v>0</v>
          </cell>
        </row>
        <row r="27440">
          <cell r="E27440">
            <v>0</v>
          </cell>
          <cell r="F27440">
            <v>0</v>
          </cell>
          <cell r="DN27440">
            <v>0</v>
          </cell>
        </row>
        <row r="27441">
          <cell r="E27441">
            <v>0</v>
          </cell>
          <cell r="F27441">
            <v>0</v>
          </cell>
          <cell r="DN27441">
            <v>0</v>
          </cell>
        </row>
        <row r="27442">
          <cell r="E27442">
            <v>0</v>
          </cell>
          <cell r="F27442">
            <v>0</v>
          </cell>
          <cell r="DN27442">
            <v>0</v>
          </cell>
        </row>
        <row r="27443">
          <cell r="E27443">
            <v>0</v>
          </cell>
          <cell r="F27443">
            <v>0</v>
          </cell>
          <cell r="DN27443">
            <v>0</v>
          </cell>
        </row>
        <row r="27444">
          <cell r="E27444">
            <v>0</v>
          </cell>
          <cell r="F27444">
            <v>0</v>
          </cell>
          <cell r="DN27444">
            <v>0</v>
          </cell>
        </row>
        <row r="27445">
          <cell r="E27445">
            <v>0</v>
          </cell>
          <cell r="F27445">
            <v>0</v>
          </cell>
          <cell r="DN27445">
            <v>0</v>
          </cell>
        </row>
        <row r="27446">
          <cell r="E27446">
            <v>0</v>
          </cell>
          <cell r="F27446">
            <v>0</v>
          </cell>
          <cell r="DN27446">
            <v>0</v>
          </cell>
        </row>
        <row r="27447">
          <cell r="E27447">
            <v>0</v>
          </cell>
          <cell r="F27447">
            <v>0</v>
          </cell>
          <cell r="DN27447">
            <v>0</v>
          </cell>
        </row>
        <row r="27448">
          <cell r="E27448">
            <v>0</v>
          </cell>
          <cell r="F27448">
            <v>0</v>
          </cell>
          <cell r="DN27448">
            <v>0</v>
          </cell>
        </row>
        <row r="27449">
          <cell r="E27449">
            <v>0</v>
          </cell>
          <cell r="F27449">
            <v>0</v>
          </cell>
          <cell r="DN27449">
            <v>0</v>
          </cell>
        </row>
        <row r="27450">
          <cell r="E27450">
            <v>0</v>
          </cell>
          <cell r="F27450">
            <v>0</v>
          </cell>
          <cell r="DN27450">
            <v>0</v>
          </cell>
        </row>
        <row r="27451">
          <cell r="E27451">
            <v>0</v>
          </cell>
          <cell r="F27451">
            <v>0</v>
          </cell>
          <cell r="DN27451">
            <v>0</v>
          </cell>
        </row>
        <row r="27452">
          <cell r="E27452">
            <v>0</v>
          </cell>
          <cell r="F27452">
            <v>0</v>
          </cell>
          <cell r="DN27452">
            <v>0</v>
          </cell>
        </row>
        <row r="27453">
          <cell r="E27453">
            <v>0</v>
          </cell>
          <cell r="F27453">
            <v>0</v>
          </cell>
          <cell r="DN27453">
            <v>0</v>
          </cell>
        </row>
        <row r="27454">
          <cell r="E27454">
            <v>0</v>
          </cell>
          <cell r="F27454">
            <v>0</v>
          </cell>
          <cell r="DN27454">
            <v>0</v>
          </cell>
        </row>
        <row r="27455">
          <cell r="E27455">
            <v>0</v>
          </cell>
          <cell r="F27455">
            <v>0</v>
          </cell>
          <cell r="DN27455">
            <v>0</v>
          </cell>
        </row>
        <row r="27456">
          <cell r="E27456">
            <v>0</v>
          </cell>
          <cell r="F27456">
            <v>0</v>
          </cell>
          <cell r="DN27456">
            <v>0</v>
          </cell>
        </row>
        <row r="27457">
          <cell r="E27457">
            <v>0</v>
          </cell>
          <cell r="F27457">
            <v>0</v>
          </cell>
          <cell r="DN27457">
            <v>0</v>
          </cell>
        </row>
        <row r="27458">
          <cell r="E27458">
            <v>0</v>
          </cell>
          <cell r="F27458">
            <v>0</v>
          </cell>
          <cell r="DN27458">
            <v>0</v>
          </cell>
        </row>
        <row r="27459">
          <cell r="E27459">
            <v>0</v>
          </cell>
          <cell r="F27459">
            <v>0</v>
          </cell>
          <cell r="DN27459">
            <v>0</v>
          </cell>
        </row>
        <row r="27460">
          <cell r="E27460">
            <v>0</v>
          </cell>
          <cell r="F27460">
            <v>0</v>
          </cell>
          <cell r="DN27460">
            <v>0</v>
          </cell>
        </row>
        <row r="27461">
          <cell r="E27461">
            <v>0</v>
          </cell>
          <cell r="F27461">
            <v>0</v>
          </cell>
          <cell r="DN27461">
            <v>0</v>
          </cell>
        </row>
        <row r="27462">
          <cell r="E27462">
            <v>0</v>
          </cell>
          <cell r="F27462">
            <v>0</v>
          </cell>
          <cell r="DN27462">
            <v>0</v>
          </cell>
        </row>
        <row r="27463">
          <cell r="E27463">
            <v>0</v>
          </cell>
          <cell r="F27463">
            <v>0</v>
          </cell>
          <cell r="DN27463">
            <v>0</v>
          </cell>
        </row>
        <row r="27464">
          <cell r="E27464">
            <v>0</v>
          </cell>
          <cell r="F27464">
            <v>0</v>
          </cell>
          <cell r="DN27464">
            <v>0</v>
          </cell>
        </row>
        <row r="27465">
          <cell r="E27465">
            <v>0</v>
          </cell>
          <cell r="F27465">
            <v>0</v>
          </cell>
          <cell r="DN27465">
            <v>0</v>
          </cell>
        </row>
        <row r="27466">
          <cell r="E27466">
            <v>0</v>
          </cell>
          <cell r="F27466">
            <v>0</v>
          </cell>
          <cell r="DN27466">
            <v>0</v>
          </cell>
        </row>
        <row r="27467">
          <cell r="E27467">
            <v>0</v>
          </cell>
          <cell r="F27467">
            <v>0</v>
          </cell>
          <cell r="DN27467">
            <v>0</v>
          </cell>
        </row>
        <row r="27468">
          <cell r="E27468">
            <v>0</v>
          </cell>
          <cell r="F27468">
            <v>0</v>
          </cell>
          <cell r="DN27468">
            <v>0</v>
          </cell>
        </row>
        <row r="27469">
          <cell r="E27469">
            <v>0</v>
          </cell>
          <cell r="F27469">
            <v>0</v>
          </cell>
          <cell r="DN27469">
            <v>0</v>
          </cell>
        </row>
        <row r="27470">
          <cell r="E27470">
            <v>0</v>
          </cell>
          <cell r="F27470">
            <v>0</v>
          </cell>
          <cell r="DN27470">
            <v>0</v>
          </cell>
        </row>
        <row r="27471">
          <cell r="E27471">
            <v>0</v>
          </cell>
          <cell r="F27471">
            <v>0</v>
          </cell>
          <cell r="DN27471">
            <v>0</v>
          </cell>
        </row>
        <row r="27472">
          <cell r="E27472">
            <v>0</v>
          </cell>
          <cell r="F27472">
            <v>0</v>
          </cell>
          <cell r="DN27472">
            <v>0</v>
          </cell>
        </row>
        <row r="27473">
          <cell r="E27473">
            <v>0</v>
          </cell>
          <cell r="F27473">
            <v>0</v>
          </cell>
          <cell r="DN27473">
            <v>0</v>
          </cell>
        </row>
        <row r="27474">
          <cell r="E27474">
            <v>0</v>
          </cell>
          <cell r="F27474">
            <v>0</v>
          </cell>
          <cell r="DN27474">
            <v>0</v>
          </cell>
        </row>
        <row r="27475">
          <cell r="E27475">
            <v>0</v>
          </cell>
          <cell r="F27475">
            <v>0</v>
          </cell>
          <cell r="DN27475">
            <v>0</v>
          </cell>
        </row>
        <row r="27476">
          <cell r="E27476">
            <v>0</v>
          </cell>
          <cell r="F27476">
            <v>0</v>
          </cell>
          <cell r="DN27476">
            <v>0</v>
          </cell>
        </row>
        <row r="27477">
          <cell r="E27477">
            <v>0</v>
          </cell>
          <cell r="F27477">
            <v>0</v>
          </cell>
          <cell r="DN27477">
            <v>0</v>
          </cell>
        </row>
        <row r="27478">
          <cell r="E27478">
            <v>0</v>
          </cell>
          <cell r="F27478">
            <v>0</v>
          </cell>
          <cell r="DN27478">
            <v>0</v>
          </cell>
        </row>
        <row r="27479">
          <cell r="E27479">
            <v>0</v>
          </cell>
          <cell r="F27479">
            <v>0</v>
          </cell>
          <cell r="DN27479">
            <v>0</v>
          </cell>
        </row>
        <row r="27480">
          <cell r="E27480">
            <v>0</v>
          </cell>
          <cell r="F27480">
            <v>0</v>
          </cell>
          <cell r="DN27480">
            <v>0</v>
          </cell>
        </row>
        <row r="27481">
          <cell r="E27481">
            <v>0</v>
          </cell>
          <cell r="F27481">
            <v>0</v>
          </cell>
          <cell r="DN27481">
            <v>0</v>
          </cell>
        </row>
        <row r="27482">
          <cell r="E27482">
            <v>0</v>
          </cell>
          <cell r="F27482">
            <v>0</v>
          </cell>
          <cell r="DN27482">
            <v>0</v>
          </cell>
        </row>
        <row r="27483">
          <cell r="E27483">
            <v>0</v>
          </cell>
          <cell r="F27483">
            <v>0</v>
          </cell>
          <cell r="DN27483">
            <v>0</v>
          </cell>
        </row>
        <row r="27484">
          <cell r="E27484">
            <v>0</v>
          </cell>
          <cell r="F27484">
            <v>0</v>
          </cell>
          <cell r="DN27484">
            <v>0</v>
          </cell>
        </row>
        <row r="27485">
          <cell r="E27485">
            <v>0</v>
          </cell>
          <cell r="F27485">
            <v>0</v>
          </cell>
          <cell r="DN27485">
            <v>0</v>
          </cell>
        </row>
        <row r="27486">
          <cell r="E27486">
            <v>0</v>
          </cell>
          <cell r="F27486">
            <v>0</v>
          </cell>
          <cell r="DN27486">
            <v>0</v>
          </cell>
        </row>
        <row r="27487">
          <cell r="E27487">
            <v>0</v>
          </cell>
          <cell r="F27487">
            <v>0</v>
          </cell>
          <cell r="DN27487">
            <v>0</v>
          </cell>
        </row>
        <row r="27488">
          <cell r="E27488">
            <v>0</v>
          </cell>
          <cell r="F27488">
            <v>0</v>
          </cell>
          <cell r="DN27488">
            <v>0</v>
          </cell>
        </row>
        <row r="27489">
          <cell r="E27489">
            <v>0</v>
          </cell>
          <cell r="F27489">
            <v>0</v>
          </cell>
          <cell r="DN27489">
            <v>0</v>
          </cell>
        </row>
        <row r="27490">
          <cell r="E27490">
            <v>0</v>
          </cell>
          <cell r="F27490">
            <v>0</v>
          </cell>
          <cell r="DN27490">
            <v>0</v>
          </cell>
        </row>
        <row r="27491">
          <cell r="E27491">
            <v>0</v>
          </cell>
          <cell r="F27491">
            <v>0</v>
          </cell>
          <cell r="DN27491">
            <v>0</v>
          </cell>
        </row>
        <row r="27492">
          <cell r="E27492">
            <v>0</v>
          </cell>
          <cell r="F27492">
            <v>0</v>
          </cell>
          <cell r="DN27492">
            <v>0</v>
          </cell>
        </row>
        <row r="27493">
          <cell r="E27493">
            <v>0</v>
          </cell>
          <cell r="F27493">
            <v>0</v>
          </cell>
          <cell r="DN27493">
            <v>0</v>
          </cell>
        </row>
        <row r="27494">
          <cell r="E27494">
            <v>0</v>
          </cell>
          <cell r="F27494">
            <v>0</v>
          </cell>
          <cell r="DN27494">
            <v>0</v>
          </cell>
        </row>
        <row r="27495">
          <cell r="E27495">
            <v>0</v>
          </cell>
          <cell r="F27495">
            <v>0</v>
          </cell>
          <cell r="DN27495">
            <v>0</v>
          </cell>
        </row>
        <row r="27496">
          <cell r="E27496">
            <v>0</v>
          </cell>
          <cell r="F27496">
            <v>0</v>
          </cell>
          <cell r="DN27496">
            <v>0</v>
          </cell>
        </row>
        <row r="27497">
          <cell r="E27497">
            <v>0</v>
          </cell>
          <cell r="F27497">
            <v>0</v>
          </cell>
          <cell r="DN27497">
            <v>0</v>
          </cell>
        </row>
        <row r="27498">
          <cell r="E27498">
            <v>0</v>
          </cell>
          <cell r="F27498">
            <v>0</v>
          </cell>
          <cell r="DN27498">
            <v>0</v>
          </cell>
        </row>
        <row r="27499">
          <cell r="E27499">
            <v>0</v>
          </cell>
          <cell r="F27499">
            <v>0</v>
          </cell>
          <cell r="DN27499">
            <v>0</v>
          </cell>
        </row>
        <row r="27500">
          <cell r="E27500">
            <v>0</v>
          </cell>
          <cell r="F27500">
            <v>0</v>
          </cell>
          <cell r="DN27500">
            <v>0</v>
          </cell>
        </row>
        <row r="27501">
          <cell r="E27501">
            <v>0</v>
          </cell>
          <cell r="F27501">
            <v>0</v>
          </cell>
          <cell r="DN27501">
            <v>0</v>
          </cell>
        </row>
        <row r="27502">
          <cell r="E27502">
            <v>0</v>
          </cell>
          <cell r="F27502">
            <v>0</v>
          </cell>
          <cell r="DN27502">
            <v>0</v>
          </cell>
        </row>
        <row r="27503">
          <cell r="E27503">
            <v>0</v>
          </cell>
          <cell r="F27503">
            <v>0</v>
          </cell>
          <cell r="DN27503">
            <v>0</v>
          </cell>
        </row>
        <row r="27504">
          <cell r="E27504">
            <v>0</v>
          </cell>
          <cell r="F27504">
            <v>0</v>
          </cell>
          <cell r="DN27504">
            <v>0</v>
          </cell>
        </row>
        <row r="27505">
          <cell r="E27505">
            <v>0</v>
          </cell>
          <cell r="F27505">
            <v>0</v>
          </cell>
          <cell r="DN27505">
            <v>0</v>
          </cell>
        </row>
        <row r="27506">
          <cell r="E27506">
            <v>0</v>
          </cell>
          <cell r="F27506">
            <v>0</v>
          </cell>
          <cell r="DN27506">
            <v>0</v>
          </cell>
        </row>
        <row r="27507">
          <cell r="E27507">
            <v>0</v>
          </cell>
          <cell r="F27507">
            <v>0</v>
          </cell>
          <cell r="DN27507">
            <v>0</v>
          </cell>
        </row>
        <row r="27508">
          <cell r="E27508">
            <v>0</v>
          </cell>
          <cell r="F27508">
            <v>0</v>
          </cell>
          <cell r="DN27508">
            <v>0</v>
          </cell>
        </row>
        <row r="27509">
          <cell r="E27509">
            <v>0</v>
          </cell>
          <cell r="F27509">
            <v>0</v>
          </cell>
          <cell r="DN27509">
            <v>0</v>
          </cell>
        </row>
        <row r="27510">
          <cell r="E27510">
            <v>0</v>
          </cell>
          <cell r="F27510">
            <v>0</v>
          </cell>
          <cell r="DN27510">
            <v>0</v>
          </cell>
        </row>
        <row r="27511">
          <cell r="E27511">
            <v>0</v>
          </cell>
          <cell r="F27511">
            <v>0</v>
          </cell>
          <cell r="DN27511">
            <v>0</v>
          </cell>
        </row>
        <row r="27512">
          <cell r="E27512">
            <v>0</v>
          </cell>
          <cell r="F27512">
            <v>0</v>
          </cell>
          <cell r="DN27512">
            <v>0</v>
          </cell>
        </row>
        <row r="27513">
          <cell r="E27513">
            <v>0</v>
          </cell>
          <cell r="F27513">
            <v>0</v>
          </cell>
          <cell r="DN27513">
            <v>0</v>
          </cell>
        </row>
        <row r="27514">
          <cell r="E27514">
            <v>0</v>
          </cell>
          <cell r="F27514">
            <v>0</v>
          </cell>
          <cell r="DN27514">
            <v>0</v>
          </cell>
        </row>
        <row r="27515">
          <cell r="E27515">
            <v>0</v>
          </cell>
          <cell r="F27515">
            <v>0</v>
          </cell>
          <cell r="DN27515">
            <v>0</v>
          </cell>
        </row>
        <row r="27516">
          <cell r="E27516">
            <v>0</v>
          </cell>
          <cell r="F27516">
            <v>0</v>
          </cell>
          <cell r="DN27516">
            <v>0</v>
          </cell>
        </row>
        <row r="27517">
          <cell r="E27517">
            <v>0</v>
          </cell>
          <cell r="F27517">
            <v>0</v>
          </cell>
          <cell r="DN27517">
            <v>0</v>
          </cell>
        </row>
        <row r="27518">
          <cell r="E27518">
            <v>0</v>
          </cell>
          <cell r="F27518">
            <v>0</v>
          </cell>
          <cell r="DN27518">
            <v>0</v>
          </cell>
        </row>
        <row r="27519">
          <cell r="E27519">
            <v>0</v>
          </cell>
          <cell r="F27519">
            <v>0</v>
          </cell>
          <cell r="DN27519">
            <v>0</v>
          </cell>
        </row>
        <row r="27520">
          <cell r="E27520">
            <v>0</v>
          </cell>
          <cell r="F27520">
            <v>0</v>
          </cell>
          <cell r="DN27520">
            <v>0</v>
          </cell>
        </row>
        <row r="27521">
          <cell r="E27521">
            <v>0</v>
          </cell>
          <cell r="F27521">
            <v>0</v>
          </cell>
          <cell r="DN27521">
            <v>0</v>
          </cell>
        </row>
        <row r="27522">
          <cell r="E27522">
            <v>0</v>
          </cell>
          <cell r="F27522">
            <v>0</v>
          </cell>
          <cell r="DN27522">
            <v>0</v>
          </cell>
        </row>
        <row r="27523">
          <cell r="E27523">
            <v>0</v>
          </cell>
          <cell r="F27523">
            <v>0</v>
          </cell>
          <cell r="DN27523">
            <v>0</v>
          </cell>
        </row>
        <row r="27524">
          <cell r="E27524">
            <v>0</v>
          </cell>
          <cell r="F27524">
            <v>0</v>
          </cell>
          <cell r="DN27524">
            <v>0</v>
          </cell>
        </row>
        <row r="27525">
          <cell r="E27525">
            <v>0</v>
          </cell>
          <cell r="F27525">
            <v>0</v>
          </cell>
          <cell r="DN27525">
            <v>0</v>
          </cell>
        </row>
        <row r="27526">
          <cell r="E27526">
            <v>0</v>
          </cell>
          <cell r="F27526">
            <v>0</v>
          </cell>
          <cell r="DN27526">
            <v>0</v>
          </cell>
        </row>
        <row r="27527">
          <cell r="E27527">
            <v>0</v>
          </cell>
          <cell r="F27527">
            <v>0</v>
          </cell>
          <cell r="DN27527">
            <v>0</v>
          </cell>
        </row>
        <row r="27528">
          <cell r="E27528">
            <v>0</v>
          </cell>
          <cell r="F27528">
            <v>0</v>
          </cell>
          <cell r="DN27528">
            <v>0</v>
          </cell>
        </row>
        <row r="27529">
          <cell r="E27529">
            <v>0</v>
          </cell>
          <cell r="F27529">
            <v>0</v>
          </cell>
          <cell r="DN27529">
            <v>0</v>
          </cell>
        </row>
        <row r="27530">
          <cell r="E27530">
            <v>0</v>
          </cell>
          <cell r="F27530">
            <v>0</v>
          </cell>
          <cell r="DN27530">
            <v>0</v>
          </cell>
        </row>
        <row r="27531">
          <cell r="E27531">
            <v>0</v>
          </cell>
          <cell r="F27531">
            <v>0</v>
          </cell>
          <cell r="DN27531">
            <v>0</v>
          </cell>
        </row>
        <row r="27532">
          <cell r="E27532">
            <v>0</v>
          </cell>
          <cell r="F27532">
            <v>0</v>
          </cell>
          <cell r="DN27532">
            <v>0</v>
          </cell>
        </row>
        <row r="27533">
          <cell r="E27533">
            <v>0</v>
          </cell>
          <cell r="F27533">
            <v>0</v>
          </cell>
          <cell r="DN27533">
            <v>0</v>
          </cell>
        </row>
        <row r="27534">
          <cell r="E27534">
            <v>0</v>
          </cell>
          <cell r="F27534">
            <v>0</v>
          </cell>
          <cell r="DN27534">
            <v>0</v>
          </cell>
        </row>
        <row r="27535">
          <cell r="E27535">
            <v>0</v>
          </cell>
          <cell r="F27535">
            <v>0</v>
          </cell>
          <cell r="DN27535">
            <v>0</v>
          </cell>
        </row>
        <row r="27536">
          <cell r="E27536">
            <v>0</v>
          </cell>
          <cell r="F27536">
            <v>0</v>
          </cell>
          <cell r="DN27536">
            <v>0</v>
          </cell>
        </row>
        <row r="27537">
          <cell r="E27537">
            <v>0</v>
          </cell>
          <cell r="F27537">
            <v>0</v>
          </cell>
          <cell r="DN27537">
            <v>0</v>
          </cell>
        </row>
        <row r="27538">
          <cell r="E27538">
            <v>0</v>
          </cell>
          <cell r="F27538">
            <v>0</v>
          </cell>
          <cell r="DN27538">
            <v>0</v>
          </cell>
        </row>
        <row r="27539">
          <cell r="E27539">
            <v>0</v>
          </cell>
          <cell r="F27539">
            <v>0</v>
          </cell>
          <cell r="DN27539">
            <v>0</v>
          </cell>
        </row>
        <row r="27540">
          <cell r="E27540">
            <v>0</v>
          </cell>
          <cell r="F27540">
            <v>0</v>
          </cell>
          <cell r="DN27540">
            <v>0</v>
          </cell>
        </row>
        <row r="27541">
          <cell r="E27541">
            <v>0</v>
          </cell>
          <cell r="F27541">
            <v>0</v>
          </cell>
          <cell r="DN27541">
            <v>0</v>
          </cell>
        </row>
        <row r="27542">
          <cell r="E27542">
            <v>0</v>
          </cell>
          <cell r="F27542">
            <v>0</v>
          </cell>
          <cell r="DN27542">
            <v>0</v>
          </cell>
        </row>
        <row r="27543">
          <cell r="E27543">
            <v>0</v>
          </cell>
          <cell r="F27543">
            <v>0</v>
          </cell>
          <cell r="DN27543">
            <v>0</v>
          </cell>
        </row>
        <row r="27544">
          <cell r="E27544">
            <v>0</v>
          </cell>
          <cell r="F27544">
            <v>0</v>
          </cell>
          <cell r="DN27544">
            <v>0</v>
          </cell>
        </row>
        <row r="27545">
          <cell r="E27545">
            <v>0</v>
          </cell>
          <cell r="F27545">
            <v>0</v>
          </cell>
          <cell r="DN27545">
            <v>0</v>
          </cell>
        </row>
        <row r="27546">
          <cell r="E27546">
            <v>0</v>
          </cell>
          <cell r="F27546">
            <v>0</v>
          </cell>
          <cell r="DN27546">
            <v>0</v>
          </cell>
        </row>
        <row r="27547">
          <cell r="E27547">
            <v>0</v>
          </cell>
          <cell r="F27547">
            <v>0</v>
          </cell>
          <cell r="DN27547">
            <v>0</v>
          </cell>
        </row>
        <row r="27548">
          <cell r="E27548">
            <v>0</v>
          </cell>
          <cell r="F27548">
            <v>0</v>
          </cell>
          <cell r="DN27548">
            <v>0</v>
          </cell>
        </row>
        <row r="27549">
          <cell r="E27549">
            <v>0</v>
          </cell>
          <cell r="F27549">
            <v>0</v>
          </cell>
          <cell r="DN27549">
            <v>0</v>
          </cell>
        </row>
        <row r="27550">
          <cell r="E27550">
            <v>0</v>
          </cell>
          <cell r="F27550">
            <v>0</v>
          </cell>
          <cell r="DN27550">
            <v>0</v>
          </cell>
        </row>
        <row r="27551">
          <cell r="E27551">
            <v>0</v>
          </cell>
          <cell r="F27551">
            <v>0</v>
          </cell>
          <cell r="DN27551">
            <v>0</v>
          </cell>
        </row>
        <row r="27552">
          <cell r="E27552">
            <v>0</v>
          </cell>
          <cell r="F27552">
            <v>0</v>
          </cell>
          <cell r="DN27552">
            <v>0</v>
          </cell>
        </row>
        <row r="27553">
          <cell r="E27553">
            <v>0</v>
          </cell>
          <cell r="F27553">
            <v>0</v>
          </cell>
          <cell r="DN27553">
            <v>0</v>
          </cell>
        </row>
        <row r="27554">
          <cell r="E27554">
            <v>0</v>
          </cell>
          <cell r="F27554">
            <v>0</v>
          </cell>
          <cell r="DN27554">
            <v>0</v>
          </cell>
        </row>
        <row r="27555">
          <cell r="E27555">
            <v>0</v>
          </cell>
          <cell r="F27555">
            <v>0</v>
          </cell>
          <cell r="DN27555">
            <v>0</v>
          </cell>
        </row>
        <row r="27556">
          <cell r="E27556">
            <v>0</v>
          </cell>
          <cell r="F27556">
            <v>0</v>
          </cell>
          <cell r="DN27556">
            <v>0</v>
          </cell>
        </row>
        <row r="27557">
          <cell r="E27557">
            <v>0</v>
          </cell>
          <cell r="F27557">
            <v>0</v>
          </cell>
          <cell r="DN27557">
            <v>0</v>
          </cell>
        </row>
        <row r="27558">
          <cell r="E27558">
            <v>0</v>
          </cell>
          <cell r="F27558">
            <v>0</v>
          </cell>
          <cell r="DN27558">
            <v>0</v>
          </cell>
        </row>
        <row r="27559">
          <cell r="E27559">
            <v>0</v>
          </cell>
          <cell r="F27559">
            <v>0</v>
          </cell>
          <cell r="DN27559">
            <v>0</v>
          </cell>
        </row>
        <row r="27560">
          <cell r="E27560">
            <v>0</v>
          </cell>
          <cell r="F27560">
            <v>0</v>
          </cell>
          <cell r="DN27560">
            <v>0</v>
          </cell>
        </row>
        <row r="27561">
          <cell r="E27561">
            <v>0</v>
          </cell>
          <cell r="F27561">
            <v>0</v>
          </cell>
          <cell r="DN27561">
            <v>0</v>
          </cell>
        </row>
        <row r="27562">
          <cell r="E27562">
            <v>0</v>
          </cell>
          <cell r="F27562">
            <v>0</v>
          </cell>
          <cell r="DN27562">
            <v>0</v>
          </cell>
        </row>
        <row r="27563">
          <cell r="E27563">
            <v>0</v>
          </cell>
          <cell r="F27563">
            <v>0</v>
          </cell>
          <cell r="DN27563">
            <v>0</v>
          </cell>
        </row>
        <row r="27564">
          <cell r="E27564">
            <v>0</v>
          </cell>
          <cell r="F27564">
            <v>0</v>
          </cell>
          <cell r="DN27564">
            <v>0</v>
          </cell>
        </row>
        <row r="27565">
          <cell r="E27565">
            <v>0</v>
          </cell>
          <cell r="F27565">
            <v>0</v>
          </cell>
          <cell r="DN27565">
            <v>0</v>
          </cell>
        </row>
        <row r="27566">
          <cell r="E27566">
            <v>0</v>
          </cell>
          <cell r="F27566">
            <v>0</v>
          </cell>
          <cell r="DN27566">
            <v>0</v>
          </cell>
        </row>
        <row r="27567">
          <cell r="E27567">
            <v>0</v>
          </cell>
          <cell r="F27567">
            <v>0</v>
          </cell>
          <cell r="DN27567">
            <v>0</v>
          </cell>
        </row>
        <row r="27568">
          <cell r="E27568">
            <v>0</v>
          </cell>
          <cell r="F27568">
            <v>0</v>
          </cell>
          <cell r="DN27568">
            <v>0</v>
          </cell>
        </row>
        <row r="27569">
          <cell r="E27569">
            <v>0</v>
          </cell>
          <cell r="F27569">
            <v>0</v>
          </cell>
          <cell r="DN27569">
            <v>0</v>
          </cell>
        </row>
        <row r="27570">
          <cell r="E27570">
            <v>0</v>
          </cell>
          <cell r="F27570">
            <v>0</v>
          </cell>
          <cell r="DN27570">
            <v>0</v>
          </cell>
        </row>
        <row r="27571">
          <cell r="E27571">
            <v>0</v>
          </cell>
          <cell r="F27571">
            <v>0</v>
          </cell>
          <cell r="DN27571">
            <v>0</v>
          </cell>
        </row>
        <row r="27572">
          <cell r="E27572">
            <v>0</v>
          </cell>
          <cell r="F27572">
            <v>0</v>
          </cell>
          <cell r="DN27572">
            <v>0</v>
          </cell>
        </row>
        <row r="27573">
          <cell r="E27573">
            <v>0</v>
          </cell>
          <cell r="F27573">
            <v>0</v>
          </cell>
          <cell r="DN27573">
            <v>0</v>
          </cell>
        </row>
        <row r="27574">
          <cell r="E27574">
            <v>0</v>
          </cell>
          <cell r="F27574">
            <v>0</v>
          </cell>
          <cell r="DN27574">
            <v>0</v>
          </cell>
        </row>
        <row r="27575">
          <cell r="E27575">
            <v>0</v>
          </cell>
          <cell r="F27575">
            <v>0</v>
          </cell>
          <cell r="DN27575">
            <v>0</v>
          </cell>
        </row>
        <row r="27576">
          <cell r="E27576">
            <v>0</v>
          </cell>
          <cell r="F27576">
            <v>0</v>
          </cell>
          <cell r="DN27576">
            <v>0</v>
          </cell>
        </row>
        <row r="27577">
          <cell r="E27577">
            <v>0</v>
          </cell>
          <cell r="F27577">
            <v>0</v>
          </cell>
          <cell r="DN27577">
            <v>0</v>
          </cell>
        </row>
        <row r="27578">
          <cell r="E27578">
            <v>0</v>
          </cell>
          <cell r="F27578">
            <v>0</v>
          </cell>
          <cell r="DN27578">
            <v>0</v>
          </cell>
        </row>
        <row r="27579">
          <cell r="E27579">
            <v>0</v>
          </cell>
          <cell r="F27579">
            <v>0</v>
          </cell>
          <cell r="DN27579">
            <v>0</v>
          </cell>
        </row>
        <row r="27580">
          <cell r="E27580">
            <v>0</v>
          </cell>
          <cell r="F27580">
            <v>0</v>
          </cell>
          <cell r="DN27580">
            <v>0</v>
          </cell>
        </row>
        <row r="27581">
          <cell r="E27581">
            <v>0</v>
          </cell>
          <cell r="F27581">
            <v>0</v>
          </cell>
          <cell r="DN27581">
            <v>0</v>
          </cell>
        </row>
        <row r="27582">
          <cell r="E27582">
            <v>0</v>
          </cell>
          <cell r="F27582">
            <v>0</v>
          </cell>
          <cell r="DN27582">
            <v>0</v>
          </cell>
        </row>
        <row r="27583">
          <cell r="E27583">
            <v>0</v>
          </cell>
          <cell r="F27583">
            <v>0</v>
          </cell>
          <cell r="DN27583">
            <v>0</v>
          </cell>
        </row>
        <row r="27584">
          <cell r="E27584">
            <v>0</v>
          </cell>
          <cell r="F27584">
            <v>0</v>
          </cell>
          <cell r="DN27584">
            <v>0</v>
          </cell>
        </row>
        <row r="27585">
          <cell r="E27585">
            <v>0</v>
          </cell>
          <cell r="F27585">
            <v>0</v>
          </cell>
          <cell r="DN27585">
            <v>0</v>
          </cell>
        </row>
        <row r="27586">
          <cell r="E27586">
            <v>0</v>
          </cell>
          <cell r="F27586">
            <v>0</v>
          </cell>
          <cell r="DN27586">
            <v>0</v>
          </cell>
        </row>
        <row r="27587">
          <cell r="E27587">
            <v>0</v>
          </cell>
          <cell r="F27587">
            <v>0</v>
          </cell>
          <cell r="DN27587">
            <v>0</v>
          </cell>
        </row>
        <row r="27588">
          <cell r="E27588">
            <v>0</v>
          </cell>
          <cell r="F27588">
            <v>0</v>
          </cell>
          <cell r="DN27588">
            <v>0</v>
          </cell>
        </row>
        <row r="27589">
          <cell r="E27589">
            <v>0</v>
          </cell>
          <cell r="F27589">
            <v>0</v>
          </cell>
          <cell r="DN27589">
            <v>0</v>
          </cell>
        </row>
        <row r="27590">
          <cell r="E27590">
            <v>0</v>
          </cell>
          <cell r="F27590">
            <v>0</v>
          </cell>
          <cell r="DN27590">
            <v>0</v>
          </cell>
        </row>
        <row r="27591">
          <cell r="E27591">
            <v>0</v>
          </cell>
          <cell r="F27591">
            <v>0</v>
          </cell>
          <cell r="DN27591">
            <v>0</v>
          </cell>
        </row>
        <row r="27592">
          <cell r="E27592">
            <v>0</v>
          </cell>
          <cell r="F27592">
            <v>0</v>
          </cell>
          <cell r="DN27592">
            <v>0</v>
          </cell>
        </row>
        <row r="27593">
          <cell r="E27593">
            <v>0</v>
          </cell>
          <cell r="F27593">
            <v>0</v>
          </cell>
          <cell r="DN27593">
            <v>0</v>
          </cell>
        </row>
        <row r="27594">
          <cell r="E27594">
            <v>0</v>
          </cell>
          <cell r="F27594">
            <v>0</v>
          </cell>
          <cell r="DN27594">
            <v>0</v>
          </cell>
        </row>
        <row r="27595">
          <cell r="E27595">
            <v>0</v>
          </cell>
          <cell r="F27595">
            <v>0</v>
          </cell>
          <cell r="DN27595">
            <v>0</v>
          </cell>
        </row>
        <row r="27596">
          <cell r="E27596">
            <v>0</v>
          </cell>
          <cell r="F27596">
            <v>0</v>
          </cell>
          <cell r="DN27596">
            <v>0</v>
          </cell>
        </row>
        <row r="27597">
          <cell r="E27597">
            <v>0</v>
          </cell>
          <cell r="F27597">
            <v>0</v>
          </cell>
          <cell r="DN27597">
            <v>0</v>
          </cell>
        </row>
        <row r="27598">
          <cell r="E27598">
            <v>0</v>
          </cell>
          <cell r="F27598">
            <v>0</v>
          </cell>
          <cell r="DN27598">
            <v>0</v>
          </cell>
        </row>
        <row r="27599">
          <cell r="E27599">
            <v>0</v>
          </cell>
          <cell r="F27599">
            <v>0</v>
          </cell>
          <cell r="DN27599">
            <v>0</v>
          </cell>
        </row>
        <row r="27600">
          <cell r="E27600">
            <v>0</v>
          </cell>
          <cell r="F27600">
            <v>0</v>
          </cell>
          <cell r="DN27600">
            <v>0</v>
          </cell>
        </row>
        <row r="27601">
          <cell r="E27601">
            <v>0</v>
          </cell>
          <cell r="F27601">
            <v>0</v>
          </cell>
          <cell r="DN27601">
            <v>0</v>
          </cell>
        </row>
        <row r="27602">
          <cell r="E27602">
            <v>0</v>
          </cell>
          <cell r="F27602">
            <v>0</v>
          </cell>
          <cell r="DN27602">
            <v>0</v>
          </cell>
        </row>
        <row r="27603">
          <cell r="E27603">
            <v>0</v>
          </cell>
          <cell r="F27603">
            <v>0</v>
          </cell>
          <cell r="DN27603">
            <v>0</v>
          </cell>
        </row>
        <row r="27604">
          <cell r="E27604">
            <v>0</v>
          </cell>
          <cell r="F27604">
            <v>0</v>
          </cell>
          <cell r="DN27604">
            <v>0</v>
          </cell>
        </row>
        <row r="27605">
          <cell r="E27605">
            <v>0</v>
          </cell>
          <cell r="F27605">
            <v>0</v>
          </cell>
          <cell r="DN27605">
            <v>0</v>
          </cell>
        </row>
        <row r="27606">
          <cell r="E27606">
            <v>0</v>
          </cell>
          <cell r="F27606">
            <v>0</v>
          </cell>
          <cell r="DN27606">
            <v>0</v>
          </cell>
        </row>
        <row r="27607">
          <cell r="E27607">
            <v>0</v>
          </cell>
          <cell r="F27607">
            <v>0</v>
          </cell>
          <cell r="DN27607">
            <v>0</v>
          </cell>
        </row>
        <row r="27608">
          <cell r="E27608">
            <v>0</v>
          </cell>
          <cell r="F27608">
            <v>0</v>
          </cell>
          <cell r="DN27608">
            <v>0</v>
          </cell>
        </row>
        <row r="27609">
          <cell r="E27609">
            <v>0</v>
          </cell>
          <cell r="F27609">
            <v>0</v>
          </cell>
          <cell r="DN27609">
            <v>0</v>
          </cell>
        </row>
        <row r="27610">
          <cell r="E27610">
            <v>0</v>
          </cell>
          <cell r="F27610">
            <v>0</v>
          </cell>
          <cell r="DN27610">
            <v>0</v>
          </cell>
        </row>
        <row r="27611">
          <cell r="E27611">
            <v>0</v>
          </cell>
          <cell r="F27611">
            <v>0</v>
          </cell>
          <cell r="DN27611">
            <v>0</v>
          </cell>
        </row>
        <row r="27612">
          <cell r="E27612">
            <v>0</v>
          </cell>
          <cell r="F27612">
            <v>0</v>
          </cell>
          <cell r="DN27612">
            <v>0</v>
          </cell>
        </row>
        <row r="27613">
          <cell r="E27613">
            <v>0</v>
          </cell>
          <cell r="F27613">
            <v>0</v>
          </cell>
          <cell r="DN27613">
            <v>0</v>
          </cell>
        </row>
        <row r="27614">
          <cell r="E27614">
            <v>0</v>
          </cell>
          <cell r="F27614">
            <v>0</v>
          </cell>
          <cell r="DN27614">
            <v>0</v>
          </cell>
        </row>
        <row r="27615">
          <cell r="E27615">
            <v>0</v>
          </cell>
          <cell r="F27615">
            <v>0</v>
          </cell>
          <cell r="DN27615">
            <v>0</v>
          </cell>
        </row>
        <row r="27616">
          <cell r="E27616">
            <v>0</v>
          </cell>
          <cell r="F27616">
            <v>0</v>
          </cell>
          <cell r="DN27616">
            <v>0</v>
          </cell>
        </row>
        <row r="27617">
          <cell r="E27617">
            <v>0</v>
          </cell>
          <cell r="F27617">
            <v>0</v>
          </cell>
          <cell r="DN27617">
            <v>0</v>
          </cell>
        </row>
        <row r="27618">
          <cell r="E27618">
            <v>0</v>
          </cell>
          <cell r="F27618">
            <v>0</v>
          </cell>
          <cell r="DN27618">
            <v>0</v>
          </cell>
        </row>
        <row r="27619">
          <cell r="E27619">
            <v>0</v>
          </cell>
          <cell r="F27619">
            <v>0</v>
          </cell>
          <cell r="DN27619">
            <v>0</v>
          </cell>
        </row>
        <row r="27620">
          <cell r="E27620">
            <v>0</v>
          </cell>
          <cell r="F27620">
            <v>0</v>
          </cell>
          <cell r="DN27620">
            <v>0</v>
          </cell>
        </row>
        <row r="27621">
          <cell r="E27621">
            <v>0</v>
          </cell>
          <cell r="F27621">
            <v>0</v>
          </cell>
          <cell r="DN27621">
            <v>0</v>
          </cell>
        </row>
        <row r="27622">
          <cell r="E27622">
            <v>0</v>
          </cell>
          <cell r="F27622">
            <v>0</v>
          </cell>
          <cell r="DN27622">
            <v>0</v>
          </cell>
        </row>
        <row r="27623">
          <cell r="E27623">
            <v>0</v>
          </cell>
          <cell r="F27623">
            <v>0</v>
          </cell>
          <cell r="DN27623">
            <v>0</v>
          </cell>
        </row>
        <row r="27624">
          <cell r="E27624">
            <v>0</v>
          </cell>
          <cell r="F27624">
            <v>0</v>
          </cell>
          <cell r="DN27624">
            <v>0</v>
          </cell>
        </row>
        <row r="27625">
          <cell r="E27625">
            <v>0</v>
          </cell>
          <cell r="F27625">
            <v>0</v>
          </cell>
          <cell r="DN27625">
            <v>0</v>
          </cell>
        </row>
        <row r="27626">
          <cell r="E27626">
            <v>0</v>
          </cell>
          <cell r="F27626">
            <v>0</v>
          </cell>
          <cell r="DN27626">
            <v>0</v>
          </cell>
        </row>
        <row r="27627">
          <cell r="E27627">
            <v>0</v>
          </cell>
          <cell r="F27627">
            <v>0</v>
          </cell>
          <cell r="DN27627">
            <v>0</v>
          </cell>
        </row>
        <row r="27628">
          <cell r="E27628">
            <v>0</v>
          </cell>
          <cell r="F27628">
            <v>0</v>
          </cell>
          <cell r="DN27628">
            <v>0</v>
          </cell>
        </row>
        <row r="27629">
          <cell r="E27629">
            <v>0</v>
          </cell>
          <cell r="F27629">
            <v>0</v>
          </cell>
          <cell r="DN27629">
            <v>0</v>
          </cell>
        </row>
        <row r="27630">
          <cell r="E27630">
            <v>0</v>
          </cell>
          <cell r="F27630">
            <v>0</v>
          </cell>
          <cell r="DN27630">
            <v>0</v>
          </cell>
        </row>
        <row r="27631">
          <cell r="E27631">
            <v>0</v>
          </cell>
          <cell r="F27631">
            <v>0</v>
          </cell>
          <cell r="DN27631">
            <v>0</v>
          </cell>
        </row>
        <row r="27632">
          <cell r="E27632">
            <v>0</v>
          </cell>
          <cell r="F27632">
            <v>0</v>
          </cell>
          <cell r="DN27632">
            <v>0</v>
          </cell>
        </row>
        <row r="27633">
          <cell r="E27633">
            <v>0</v>
          </cell>
          <cell r="F27633">
            <v>0</v>
          </cell>
          <cell r="DN27633">
            <v>0</v>
          </cell>
        </row>
        <row r="27634">
          <cell r="E27634">
            <v>0</v>
          </cell>
          <cell r="F27634">
            <v>0</v>
          </cell>
          <cell r="DN27634">
            <v>0</v>
          </cell>
        </row>
        <row r="27635">
          <cell r="E27635">
            <v>0</v>
          </cell>
          <cell r="F27635">
            <v>0</v>
          </cell>
          <cell r="DN27635">
            <v>0</v>
          </cell>
        </row>
        <row r="27636">
          <cell r="E27636">
            <v>0</v>
          </cell>
          <cell r="F27636">
            <v>0</v>
          </cell>
          <cell r="DN27636">
            <v>0</v>
          </cell>
        </row>
        <row r="27637">
          <cell r="E27637">
            <v>0</v>
          </cell>
          <cell r="F27637">
            <v>0</v>
          </cell>
          <cell r="DN27637">
            <v>0</v>
          </cell>
        </row>
        <row r="27638">
          <cell r="E27638">
            <v>0</v>
          </cell>
          <cell r="F27638">
            <v>0</v>
          </cell>
          <cell r="DN27638">
            <v>0</v>
          </cell>
        </row>
        <row r="27639">
          <cell r="E27639">
            <v>0</v>
          </cell>
          <cell r="F27639">
            <v>0</v>
          </cell>
          <cell r="DN27639">
            <v>0</v>
          </cell>
        </row>
        <row r="27640">
          <cell r="E27640">
            <v>0</v>
          </cell>
          <cell r="F27640">
            <v>0</v>
          </cell>
          <cell r="DN27640">
            <v>0</v>
          </cell>
        </row>
        <row r="27641">
          <cell r="E27641">
            <v>0</v>
          </cell>
          <cell r="F27641">
            <v>0</v>
          </cell>
          <cell r="DN27641">
            <v>0</v>
          </cell>
        </row>
        <row r="27642">
          <cell r="E27642">
            <v>0</v>
          </cell>
          <cell r="F27642">
            <v>0</v>
          </cell>
          <cell r="DN27642">
            <v>0</v>
          </cell>
        </row>
        <row r="27643">
          <cell r="E27643">
            <v>0</v>
          </cell>
          <cell r="F27643">
            <v>0</v>
          </cell>
          <cell r="DN27643">
            <v>0</v>
          </cell>
        </row>
        <row r="27644">
          <cell r="E27644">
            <v>0</v>
          </cell>
          <cell r="F27644">
            <v>0</v>
          </cell>
          <cell r="DN27644">
            <v>0</v>
          </cell>
        </row>
        <row r="27645">
          <cell r="E27645">
            <v>0</v>
          </cell>
          <cell r="F27645">
            <v>0</v>
          </cell>
          <cell r="DN27645">
            <v>0</v>
          </cell>
        </row>
        <row r="27646">
          <cell r="E27646">
            <v>0</v>
          </cell>
          <cell r="F27646">
            <v>0</v>
          </cell>
          <cell r="DN27646">
            <v>0</v>
          </cell>
        </row>
        <row r="27647">
          <cell r="E27647">
            <v>0</v>
          </cell>
          <cell r="F27647">
            <v>0</v>
          </cell>
          <cell r="DN27647">
            <v>0</v>
          </cell>
        </row>
        <row r="27648">
          <cell r="E27648">
            <v>0</v>
          </cell>
          <cell r="F27648">
            <v>0</v>
          </cell>
          <cell r="DN27648">
            <v>0</v>
          </cell>
        </row>
        <row r="27649">
          <cell r="E27649">
            <v>0</v>
          </cell>
          <cell r="F27649">
            <v>0</v>
          </cell>
          <cell r="DN27649">
            <v>0</v>
          </cell>
        </row>
        <row r="27650">
          <cell r="E27650">
            <v>0</v>
          </cell>
          <cell r="F27650">
            <v>0</v>
          </cell>
          <cell r="DN27650">
            <v>0</v>
          </cell>
        </row>
        <row r="27651">
          <cell r="E27651">
            <v>0</v>
          </cell>
          <cell r="F27651">
            <v>0</v>
          </cell>
          <cell r="DN27651">
            <v>0</v>
          </cell>
        </row>
        <row r="27652">
          <cell r="E27652">
            <v>0</v>
          </cell>
          <cell r="F27652">
            <v>0</v>
          </cell>
          <cell r="DN27652">
            <v>0</v>
          </cell>
        </row>
        <row r="27653">
          <cell r="E27653">
            <v>0</v>
          </cell>
          <cell r="F27653">
            <v>0</v>
          </cell>
          <cell r="DN27653">
            <v>0</v>
          </cell>
        </row>
        <row r="27654">
          <cell r="E27654">
            <v>0</v>
          </cell>
          <cell r="F27654">
            <v>0</v>
          </cell>
          <cell r="DN27654">
            <v>0</v>
          </cell>
        </row>
        <row r="27655">
          <cell r="E27655">
            <v>0</v>
          </cell>
          <cell r="F27655">
            <v>0</v>
          </cell>
          <cell r="DN27655">
            <v>0</v>
          </cell>
        </row>
        <row r="27656">
          <cell r="E27656">
            <v>0</v>
          </cell>
          <cell r="F27656">
            <v>0</v>
          </cell>
          <cell r="DN27656">
            <v>0</v>
          </cell>
        </row>
        <row r="27657">
          <cell r="E27657">
            <v>0</v>
          </cell>
          <cell r="F27657">
            <v>0</v>
          </cell>
          <cell r="DN27657">
            <v>0</v>
          </cell>
        </row>
        <row r="27658">
          <cell r="E27658">
            <v>0</v>
          </cell>
          <cell r="F27658">
            <v>0</v>
          </cell>
          <cell r="DN27658">
            <v>0</v>
          </cell>
        </row>
        <row r="27659">
          <cell r="E27659">
            <v>0</v>
          </cell>
          <cell r="F27659">
            <v>0</v>
          </cell>
          <cell r="DN27659">
            <v>0</v>
          </cell>
        </row>
        <row r="27660">
          <cell r="E27660">
            <v>0</v>
          </cell>
          <cell r="F27660">
            <v>0</v>
          </cell>
          <cell r="DN27660">
            <v>0</v>
          </cell>
        </row>
        <row r="27661">
          <cell r="E27661">
            <v>0</v>
          </cell>
          <cell r="F27661">
            <v>0</v>
          </cell>
          <cell r="DN27661">
            <v>0</v>
          </cell>
        </row>
        <row r="27662">
          <cell r="E27662">
            <v>0</v>
          </cell>
          <cell r="F27662">
            <v>0</v>
          </cell>
          <cell r="DN27662">
            <v>0</v>
          </cell>
        </row>
        <row r="27663">
          <cell r="E27663">
            <v>0</v>
          </cell>
          <cell r="F27663">
            <v>0</v>
          </cell>
          <cell r="DN27663">
            <v>0</v>
          </cell>
        </row>
        <row r="27664">
          <cell r="E27664">
            <v>0</v>
          </cell>
          <cell r="F27664">
            <v>0</v>
          </cell>
          <cell r="DN27664">
            <v>0</v>
          </cell>
        </row>
        <row r="27665">
          <cell r="E27665">
            <v>0</v>
          </cell>
          <cell r="F27665">
            <v>0</v>
          </cell>
          <cell r="DN27665">
            <v>0</v>
          </cell>
        </row>
        <row r="27666">
          <cell r="E27666">
            <v>0</v>
          </cell>
          <cell r="F27666">
            <v>0</v>
          </cell>
          <cell r="DN27666">
            <v>0</v>
          </cell>
        </row>
        <row r="27667">
          <cell r="E27667">
            <v>0</v>
          </cell>
          <cell r="F27667">
            <v>0</v>
          </cell>
          <cell r="DN27667">
            <v>0</v>
          </cell>
        </row>
        <row r="27668">
          <cell r="E27668">
            <v>0</v>
          </cell>
          <cell r="F27668">
            <v>0</v>
          </cell>
          <cell r="DN27668">
            <v>0</v>
          </cell>
        </row>
        <row r="27669">
          <cell r="E27669">
            <v>0</v>
          </cell>
          <cell r="F27669">
            <v>0</v>
          </cell>
          <cell r="DN27669">
            <v>0</v>
          </cell>
        </row>
        <row r="27670">
          <cell r="E27670">
            <v>0</v>
          </cell>
          <cell r="F27670">
            <v>0</v>
          </cell>
          <cell r="DN27670">
            <v>0</v>
          </cell>
        </row>
        <row r="27671">
          <cell r="E27671">
            <v>0</v>
          </cell>
          <cell r="F27671">
            <v>0</v>
          </cell>
          <cell r="DN27671">
            <v>0</v>
          </cell>
        </row>
        <row r="27672">
          <cell r="E27672">
            <v>0</v>
          </cell>
          <cell r="F27672">
            <v>0</v>
          </cell>
          <cell r="DN27672">
            <v>0</v>
          </cell>
        </row>
        <row r="27673">
          <cell r="E27673">
            <v>0</v>
          </cell>
          <cell r="F27673">
            <v>0</v>
          </cell>
          <cell r="DN27673">
            <v>0</v>
          </cell>
        </row>
        <row r="27674">
          <cell r="E27674">
            <v>0</v>
          </cell>
          <cell r="F27674">
            <v>0</v>
          </cell>
          <cell r="DN27674">
            <v>0</v>
          </cell>
        </row>
        <row r="27675">
          <cell r="E27675">
            <v>0</v>
          </cell>
          <cell r="F27675">
            <v>0</v>
          </cell>
          <cell r="DN27675">
            <v>0</v>
          </cell>
        </row>
        <row r="27676">
          <cell r="E27676">
            <v>0</v>
          </cell>
          <cell r="F27676">
            <v>0</v>
          </cell>
          <cell r="DN27676">
            <v>0</v>
          </cell>
        </row>
        <row r="27677">
          <cell r="E27677">
            <v>0</v>
          </cell>
          <cell r="F27677">
            <v>0</v>
          </cell>
          <cell r="DN27677">
            <v>0</v>
          </cell>
        </row>
        <row r="27678">
          <cell r="E27678">
            <v>0</v>
          </cell>
          <cell r="F27678">
            <v>0</v>
          </cell>
          <cell r="DN27678">
            <v>0</v>
          </cell>
        </row>
        <row r="27679">
          <cell r="E27679">
            <v>0</v>
          </cell>
          <cell r="F27679">
            <v>0</v>
          </cell>
          <cell r="DN27679">
            <v>0</v>
          </cell>
        </row>
        <row r="27680">
          <cell r="E27680">
            <v>0</v>
          </cell>
          <cell r="F27680">
            <v>0</v>
          </cell>
          <cell r="DN27680">
            <v>0</v>
          </cell>
        </row>
        <row r="27681">
          <cell r="E27681">
            <v>0</v>
          </cell>
          <cell r="F27681">
            <v>0</v>
          </cell>
          <cell r="DN27681">
            <v>0</v>
          </cell>
        </row>
        <row r="27682">
          <cell r="E27682">
            <v>0</v>
          </cell>
          <cell r="F27682">
            <v>0</v>
          </cell>
          <cell r="DN27682">
            <v>0</v>
          </cell>
        </row>
        <row r="27683">
          <cell r="E27683">
            <v>0</v>
          </cell>
          <cell r="F27683">
            <v>0</v>
          </cell>
          <cell r="DN27683">
            <v>0</v>
          </cell>
        </row>
        <row r="27684">
          <cell r="E27684">
            <v>0</v>
          </cell>
          <cell r="F27684">
            <v>0</v>
          </cell>
          <cell r="DN27684">
            <v>0</v>
          </cell>
        </row>
        <row r="27685">
          <cell r="E27685">
            <v>0</v>
          </cell>
          <cell r="F27685">
            <v>0</v>
          </cell>
          <cell r="DN27685">
            <v>0</v>
          </cell>
        </row>
        <row r="27686">
          <cell r="E27686">
            <v>0</v>
          </cell>
          <cell r="F27686">
            <v>0</v>
          </cell>
          <cell r="DN27686">
            <v>0</v>
          </cell>
        </row>
        <row r="27687">
          <cell r="E27687">
            <v>0</v>
          </cell>
          <cell r="F27687">
            <v>0</v>
          </cell>
          <cell r="DN27687">
            <v>0</v>
          </cell>
        </row>
        <row r="27688">
          <cell r="E27688">
            <v>0</v>
          </cell>
          <cell r="F27688">
            <v>0</v>
          </cell>
          <cell r="DN27688">
            <v>0</v>
          </cell>
        </row>
        <row r="27689">
          <cell r="E27689">
            <v>0</v>
          </cell>
          <cell r="F27689">
            <v>0</v>
          </cell>
          <cell r="DN27689">
            <v>0</v>
          </cell>
        </row>
        <row r="27690">
          <cell r="E27690">
            <v>0</v>
          </cell>
          <cell r="F27690">
            <v>0</v>
          </cell>
          <cell r="DN27690">
            <v>0</v>
          </cell>
        </row>
        <row r="27691">
          <cell r="E27691">
            <v>0</v>
          </cell>
          <cell r="F27691">
            <v>0</v>
          </cell>
          <cell r="DN27691">
            <v>0</v>
          </cell>
        </row>
        <row r="27692">
          <cell r="E27692">
            <v>0</v>
          </cell>
          <cell r="F27692">
            <v>0</v>
          </cell>
          <cell r="DN27692">
            <v>0</v>
          </cell>
        </row>
        <row r="27693">
          <cell r="E27693">
            <v>0</v>
          </cell>
          <cell r="F27693">
            <v>0</v>
          </cell>
          <cell r="DN27693">
            <v>0</v>
          </cell>
        </row>
        <row r="27694">
          <cell r="E27694">
            <v>0</v>
          </cell>
          <cell r="F27694">
            <v>0</v>
          </cell>
          <cell r="DN27694">
            <v>0</v>
          </cell>
        </row>
        <row r="27695">
          <cell r="E27695">
            <v>0</v>
          </cell>
          <cell r="F27695">
            <v>0</v>
          </cell>
          <cell r="DN27695">
            <v>0</v>
          </cell>
        </row>
        <row r="27696">
          <cell r="E27696">
            <v>0</v>
          </cell>
          <cell r="F27696">
            <v>0</v>
          </cell>
          <cell r="DN27696">
            <v>0</v>
          </cell>
        </row>
        <row r="27697">
          <cell r="E27697">
            <v>0</v>
          </cell>
          <cell r="F27697">
            <v>0</v>
          </cell>
          <cell r="DN27697">
            <v>0</v>
          </cell>
        </row>
        <row r="27698">
          <cell r="E27698">
            <v>0</v>
          </cell>
          <cell r="F27698">
            <v>0</v>
          </cell>
          <cell r="DN27698">
            <v>0</v>
          </cell>
        </row>
        <row r="27699">
          <cell r="E27699">
            <v>0</v>
          </cell>
          <cell r="F27699">
            <v>0</v>
          </cell>
          <cell r="DN27699">
            <v>0</v>
          </cell>
        </row>
        <row r="27700">
          <cell r="E27700">
            <v>0</v>
          </cell>
          <cell r="F27700">
            <v>0</v>
          </cell>
          <cell r="DN27700">
            <v>0</v>
          </cell>
        </row>
        <row r="27701">
          <cell r="E27701">
            <v>0</v>
          </cell>
          <cell r="F27701">
            <v>0</v>
          </cell>
          <cell r="DN27701">
            <v>0</v>
          </cell>
        </row>
        <row r="27702">
          <cell r="E27702">
            <v>0</v>
          </cell>
          <cell r="F27702">
            <v>0</v>
          </cell>
          <cell r="DN27702">
            <v>0</v>
          </cell>
        </row>
        <row r="27703">
          <cell r="E27703">
            <v>0</v>
          </cell>
          <cell r="F27703">
            <v>0</v>
          </cell>
          <cell r="DN27703">
            <v>0</v>
          </cell>
        </row>
        <row r="27704">
          <cell r="E27704">
            <v>0</v>
          </cell>
          <cell r="F27704">
            <v>0</v>
          </cell>
          <cell r="DN27704">
            <v>0</v>
          </cell>
        </row>
        <row r="27705">
          <cell r="E27705">
            <v>0</v>
          </cell>
          <cell r="F27705">
            <v>0</v>
          </cell>
          <cell r="DN27705">
            <v>0</v>
          </cell>
        </row>
        <row r="27706">
          <cell r="E27706">
            <v>0</v>
          </cell>
          <cell r="F27706">
            <v>0</v>
          </cell>
          <cell r="DN27706">
            <v>0</v>
          </cell>
        </row>
        <row r="27707">
          <cell r="E27707">
            <v>0</v>
          </cell>
          <cell r="F27707">
            <v>0</v>
          </cell>
          <cell r="DN27707">
            <v>0</v>
          </cell>
        </row>
        <row r="27708">
          <cell r="E27708">
            <v>0</v>
          </cell>
          <cell r="F27708">
            <v>0</v>
          </cell>
          <cell r="DN27708">
            <v>0</v>
          </cell>
        </row>
        <row r="27709">
          <cell r="E27709">
            <v>0</v>
          </cell>
          <cell r="F27709">
            <v>0</v>
          </cell>
          <cell r="DN27709">
            <v>0</v>
          </cell>
        </row>
        <row r="27710">
          <cell r="E27710">
            <v>0</v>
          </cell>
          <cell r="F27710">
            <v>0</v>
          </cell>
          <cell r="DN27710">
            <v>0</v>
          </cell>
        </row>
        <row r="27711">
          <cell r="E27711">
            <v>0</v>
          </cell>
          <cell r="F27711">
            <v>0</v>
          </cell>
          <cell r="DN27711">
            <v>0</v>
          </cell>
        </row>
        <row r="27712">
          <cell r="E27712">
            <v>0</v>
          </cell>
          <cell r="F27712">
            <v>0</v>
          </cell>
          <cell r="DN27712">
            <v>0</v>
          </cell>
        </row>
        <row r="27713">
          <cell r="E27713">
            <v>0</v>
          </cell>
          <cell r="F27713">
            <v>0</v>
          </cell>
          <cell r="DN27713">
            <v>0</v>
          </cell>
        </row>
        <row r="27714">
          <cell r="E27714">
            <v>0</v>
          </cell>
          <cell r="F27714">
            <v>0</v>
          </cell>
          <cell r="DN27714">
            <v>0</v>
          </cell>
        </row>
        <row r="27715">
          <cell r="E27715">
            <v>0</v>
          </cell>
          <cell r="F27715">
            <v>0</v>
          </cell>
          <cell r="DN27715">
            <v>0</v>
          </cell>
        </row>
        <row r="27716">
          <cell r="E27716">
            <v>0</v>
          </cell>
          <cell r="F27716">
            <v>0</v>
          </cell>
          <cell r="DN27716">
            <v>0</v>
          </cell>
        </row>
        <row r="27717">
          <cell r="E27717">
            <v>0</v>
          </cell>
          <cell r="F27717">
            <v>0</v>
          </cell>
          <cell r="DN27717">
            <v>0</v>
          </cell>
        </row>
        <row r="27718">
          <cell r="E27718">
            <v>0</v>
          </cell>
          <cell r="F27718">
            <v>0</v>
          </cell>
          <cell r="DN27718">
            <v>0</v>
          </cell>
        </row>
        <row r="27719">
          <cell r="E27719">
            <v>0</v>
          </cell>
          <cell r="F27719">
            <v>0</v>
          </cell>
          <cell r="DN27719">
            <v>0</v>
          </cell>
        </row>
        <row r="27720">
          <cell r="E27720">
            <v>0</v>
          </cell>
          <cell r="F27720">
            <v>0</v>
          </cell>
          <cell r="DN27720">
            <v>0</v>
          </cell>
        </row>
        <row r="27721">
          <cell r="E27721">
            <v>0</v>
          </cell>
          <cell r="F27721">
            <v>0</v>
          </cell>
          <cell r="DN27721">
            <v>0</v>
          </cell>
        </row>
        <row r="27722">
          <cell r="E27722">
            <v>0</v>
          </cell>
          <cell r="F27722">
            <v>0</v>
          </cell>
          <cell r="DN27722">
            <v>0</v>
          </cell>
        </row>
        <row r="27723">
          <cell r="E27723">
            <v>0</v>
          </cell>
          <cell r="F27723">
            <v>0</v>
          </cell>
          <cell r="DN27723">
            <v>0</v>
          </cell>
        </row>
        <row r="27724">
          <cell r="E27724">
            <v>0</v>
          </cell>
          <cell r="F27724">
            <v>0</v>
          </cell>
          <cell r="DN27724">
            <v>0</v>
          </cell>
        </row>
        <row r="27725">
          <cell r="E27725">
            <v>0</v>
          </cell>
          <cell r="F27725">
            <v>0</v>
          </cell>
          <cell r="DN27725">
            <v>0</v>
          </cell>
        </row>
        <row r="27726">
          <cell r="E27726">
            <v>0</v>
          </cell>
          <cell r="F27726">
            <v>0</v>
          </cell>
          <cell r="DN27726">
            <v>0</v>
          </cell>
        </row>
        <row r="27727">
          <cell r="E27727">
            <v>0</v>
          </cell>
          <cell r="F27727">
            <v>0</v>
          </cell>
          <cell r="DN27727">
            <v>0</v>
          </cell>
        </row>
        <row r="27728">
          <cell r="E27728">
            <v>0</v>
          </cell>
          <cell r="F27728">
            <v>0</v>
          </cell>
          <cell r="DN27728">
            <v>0</v>
          </cell>
        </row>
        <row r="27729">
          <cell r="E27729">
            <v>0</v>
          </cell>
          <cell r="F27729">
            <v>0</v>
          </cell>
          <cell r="DN27729">
            <v>0</v>
          </cell>
        </row>
        <row r="27730">
          <cell r="E27730">
            <v>0</v>
          </cell>
          <cell r="F27730">
            <v>0</v>
          </cell>
          <cell r="DN27730">
            <v>0</v>
          </cell>
        </row>
        <row r="27731">
          <cell r="E27731">
            <v>0</v>
          </cell>
          <cell r="F27731">
            <v>0</v>
          </cell>
          <cell r="DN27731">
            <v>0</v>
          </cell>
        </row>
        <row r="27732">
          <cell r="E27732">
            <v>0</v>
          </cell>
          <cell r="F27732">
            <v>0</v>
          </cell>
          <cell r="DN27732">
            <v>0</v>
          </cell>
        </row>
        <row r="27733">
          <cell r="E27733">
            <v>0</v>
          </cell>
          <cell r="F27733">
            <v>0</v>
          </cell>
          <cell r="DN27733">
            <v>0</v>
          </cell>
        </row>
        <row r="27734">
          <cell r="E27734">
            <v>0</v>
          </cell>
          <cell r="F27734">
            <v>0</v>
          </cell>
          <cell r="DN27734">
            <v>0</v>
          </cell>
        </row>
        <row r="27735">
          <cell r="E27735">
            <v>0</v>
          </cell>
          <cell r="F27735">
            <v>0</v>
          </cell>
          <cell r="DN27735">
            <v>0</v>
          </cell>
        </row>
        <row r="27736">
          <cell r="E27736">
            <v>0</v>
          </cell>
          <cell r="F27736">
            <v>0</v>
          </cell>
          <cell r="DN27736">
            <v>0</v>
          </cell>
        </row>
        <row r="27737">
          <cell r="E27737">
            <v>0</v>
          </cell>
          <cell r="F27737">
            <v>0</v>
          </cell>
          <cell r="DN27737">
            <v>0</v>
          </cell>
        </row>
        <row r="27738">
          <cell r="E27738">
            <v>0</v>
          </cell>
          <cell r="F27738">
            <v>0</v>
          </cell>
          <cell r="DN27738">
            <v>0</v>
          </cell>
        </row>
        <row r="27739">
          <cell r="E27739">
            <v>0</v>
          </cell>
          <cell r="F27739">
            <v>0</v>
          </cell>
          <cell r="DN27739">
            <v>0</v>
          </cell>
        </row>
        <row r="27740">
          <cell r="E27740">
            <v>0</v>
          </cell>
          <cell r="F27740">
            <v>0</v>
          </cell>
          <cell r="DN27740">
            <v>0</v>
          </cell>
        </row>
        <row r="27741">
          <cell r="E27741">
            <v>0</v>
          </cell>
          <cell r="F27741">
            <v>0</v>
          </cell>
          <cell r="DN27741">
            <v>0</v>
          </cell>
        </row>
        <row r="27742">
          <cell r="E27742">
            <v>0</v>
          </cell>
          <cell r="F27742">
            <v>0</v>
          </cell>
          <cell r="DN27742">
            <v>0</v>
          </cell>
        </row>
        <row r="27743">
          <cell r="E27743">
            <v>0</v>
          </cell>
          <cell r="F27743">
            <v>0</v>
          </cell>
          <cell r="DN27743">
            <v>0</v>
          </cell>
        </row>
        <row r="27744">
          <cell r="E27744">
            <v>0</v>
          </cell>
          <cell r="F27744">
            <v>0</v>
          </cell>
          <cell r="DN27744">
            <v>0</v>
          </cell>
        </row>
        <row r="27745">
          <cell r="E27745">
            <v>0</v>
          </cell>
          <cell r="F27745">
            <v>0</v>
          </cell>
          <cell r="DN27745">
            <v>0</v>
          </cell>
        </row>
        <row r="27746">
          <cell r="E27746">
            <v>0</v>
          </cell>
          <cell r="F27746">
            <v>0</v>
          </cell>
          <cell r="DN27746">
            <v>0</v>
          </cell>
        </row>
        <row r="27747">
          <cell r="E27747">
            <v>0</v>
          </cell>
          <cell r="F27747">
            <v>0</v>
          </cell>
          <cell r="DN27747">
            <v>0</v>
          </cell>
        </row>
        <row r="27748">
          <cell r="E27748">
            <v>0</v>
          </cell>
          <cell r="F27748">
            <v>0</v>
          </cell>
          <cell r="DN27748">
            <v>0</v>
          </cell>
        </row>
        <row r="27749">
          <cell r="E27749">
            <v>0</v>
          </cell>
          <cell r="F27749">
            <v>0</v>
          </cell>
          <cell r="DN27749">
            <v>0</v>
          </cell>
        </row>
        <row r="27750">
          <cell r="E27750">
            <v>0</v>
          </cell>
          <cell r="F27750">
            <v>0</v>
          </cell>
          <cell r="DN27750">
            <v>0</v>
          </cell>
        </row>
        <row r="27751">
          <cell r="E27751">
            <v>0</v>
          </cell>
          <cell r="F27751">
            <v>0</v>
          </cell>
          <cell r="DN27751">
            <v>0</v>
          </cell>
        </row>
        <row r="27752">
          <cell r="E27752">
            <v>0</v>
          </cell>
          <cell r="F27752">
            <v>0</v>
          </cell>
          <cell r="DN27752">
            <v>0</v>
          </cell>
        </row>
        <row r="27753">
          <cell r="E27753">
            <v>0</v>
          </cell>
          <cell r="F27753">
            <v>0</v>
          </cell>
          <cell r="DN27753">
            <v>0</v>
          </cell>
        </row>
        <row r="27754">
          <cell r="E27754">
            <v>0</v>
          </cell>
          <cell r="F27754">
            <v>0</v>
          </cell>
          <cell r="DN27754">
            <v>0</v>
          </cell>
        </row>
        <row r="27755">
          <cell r="E27755">
            <v>0</v>
          </cell>
          <cell r="F27755">
            <v>0</v>
          </cell>
          <cell r="DN27755">
            <v>0</v>
          </cell>
        </row>
        <row r="27756">
          <cell r="E27756">
            <v>0</v>
          </cell>
          <cell r="F27756">
            <v>0</v>
          </cell>
          <cell r="DN27756">
            <v>0</v>
          </cell>
        </row>
        <row r="27757">
          <cell r="E27757">
            <v>0</v>
          </cell>
          <cell r="F27757">
            <v>0</v>
          </cell>
          <cell r="DN27757">
            <v>0</v>
          </cell>
        </row>
        <row r="27758">
          <cell r="E27758">
            <v>0</v>
          </cell>
          <cell r="F27758">
            <v>0</v>
          </cell>
          <cell r="DN27758">
            <v>0</v>
          </cell>
        </row>
        <row r="27759">
          <cell r="E27759">
            <v>0</v>
          </cell>
          <cell r="F27759">
            <v>0</v>
          </cell>
          <cell r="DN27759">
            <v>0</v>
          </cell>
        </row>
        <row r="27760">
          <cell r="E27760">
            <v>0</v>
          </cell>
          <cell r="F27760">
            <v>0</v>
          </cell>
          <cell r="DN27760">
            <v>0</v>
          </cell>
        </row>
        <row r="27761">
          <cell r="E27761">
            <v>0</v>
          </cell>
          <cell r="F27761">
            <v>0</v>
          </cell>
          <cell r="DN27761">
            <v>0</v>
          </cell>
        </row>
        <row r="27762">
          <cell r="E27762">
            <v>0</v>
          </cell>
          <cell r="F27762">
            <v>0</v>
          </cell>
          <cell r="DN27762">
            <v>0</v>
          </cell>
        </row>
        <row r="27763">
          <cell r="E27763">
            <v>0</v>
          </cell>
          <cell r="F27763">
            <v>0</v>
          </cell>
          <cell r="DN27763">
            <v>0</v>
          </cell>
        </row>
        <row r="27764">
          <cell r="E27764">
            <v>0</v>
          </cell>
          <cell r="F27764">
            <v>0</v>
          </cell>
          <cell r="DN27764">
            <v>0</v>
          </cell>
        </row>
        <row r="27765">
          <cell r="E27765">
            <v>0</v>
          </cell>
          <cell r="F27765">
            <v>0</v>
          </cell>
          <cell r="DN27765">
            <v>0</v>
          </cell>
        </row>
        <row r="27766">
          <cell r="E27766">
            <v>0</v>
          </cell>
          <cell r="F27766">
            <v>0</v>
          </cell>
          <cell r="DN27766">
            <v>0</v>
          </cell>
        </row>
        <row r="27767">
          <cell r="E27767">
            <v>0</v>
          </cell>
          <cell r="F27767">
            <v>0</v>
          </cell>
          <cell r="DN27767">
            <v>0</v>
          </cell>
        </row>
        <row r="27768">
          <cell r="E27768">
            <v>0</v>
          </cell>
          <cell r="F27768">
            <v>0</v>
          </cell>
          <cell r="DN27768">
            <v>0</v>
          </cell>
        </row>
        <row r="27769">
          <cell r="E27769">
            <v>0</v>
          </cell>
          <cell r="F27769">
            <v>0</v>
          </cell>
          <cell r="DN27769">
            <v>0</v>
          </cell>
        </row>
        <row r="27770">
          <cell r="E27770">
            <v>0</v>
          </cell>
          <cell r="F27770">
            <v>0</v>
          </cell>
          <cell r="DN27770">
            <v>0</v>
          </cell>
        </row>
        <row r="27771">
          <cell r="E27771">
            <v>0</v>
          </cell>
          <cell r="F27771">
            <v>0</v>
          </cell>
          <cell r="DN27771">
            <v>0</v>
          </cell>
        </row>
        <row r="27772">
          <cell r="E27772">
            <v>0</v>
          </cell>
          <cell r="F27772">
            <v>0</v>
          </cell>
          <cell r="DN27772">
            <v>0</v>
          </cell>
        </row>
        <row r="27773">
          <cell r="E27773">
            <v>0</v>
          </cell>
          <cell r="F27773">
            <v>0</v>
          </cell>
          <cell r="DN27773">
            <v>0</v>
          </cell>
        </row>
        <row r="27774">
          <cell r="E27774">
            <v>0</v>
          </cell>
          <cell r="F27774">
            <v>0</v>
          </cell>
          <cell r="DN27774">
            <v>0</v>
          </cell>
        </row>
        <row r="27775">
          <cell r="E27775">
            <v>0</v>
          </cell>
          <cell r="F27775">
            <v>0</v>
          </cell>
          <cell r="DN27775">
            <v>0</v>
          </cell>
        </row>
        <row r="27776">
          <cell r="E27776">
            <v>0</v>
          </cell>
          <cell r="F27776">
            <v>0</v>
          </cell>
          <cell r="DN27776">
            <v>0</v>
          </cell>
        </row>
        <row r="27777">
          <cell r="E27777">
            <v>0</v>
          </cell>
          <cell r="F27777">
            <v>0</v>
          </cell>
          <cell r="DN27777">
            <v>0</v>
          </cell>
        </row>
        <row r="27778">
          <cell r="E27778">
            <v>0</v>
          </cell>
          <cell r="F27778">
            <v>0</v>
          </cell>
          <cell r="DN27778">
            <v>0</v>
          </cell>
        </row>
        <row r="27779">
          <cell r="E27779">
            <v>0</v>
          </cell>
          <cell r="F27779">
            <v>0</v>
          </cell>
          <cell r="DN27779">
            <v>0</v>
          </cell>
        </row>
        <row r="27780">
          <cell r="E27780">
            <v>0</v>
          </cell>
          <cell r="F27780">
            <v>0</v>
          </cell>
          <cell r="DN27780">
            <v>0</v>
          </cell>
        </row>
        <row r="27781">
          <cell r="E27781">
            <v>0</v>
          </cell>
          <cell r="F27781">
            <v>0</v>
          </cell>
          <cell r="DN27781">
            <v>0</v>
          </cell>
        </row>
        <row r="27782">
          <cell r="E27782">
            <v>0</v>
          </cell>
          <cell r="F27782">
            <v>0</v>
          </cell>
          <cell r="DN27782">
            <v>0</v>
          </cell>
        </row>
        <row r="27783">
          <cell r="E27783">
            <v>0</v>
          </cell>
          <cell r="F27783">
            <v>0</v>
          </cell>
          <cell r="DN27783">
            <v>0</v>
          </cell>
        </row>
        <row r="27784">
          <cell r="E27784">
            <v>0</v>
          </cell>
          <cell r="F27784">
            <v>0</v>
          </cell>
          <cell r="DN27784">
            <v>0</v>
          </cell>
        </row>
        <row r="27785">
          <cell r="E27785">
            <v>0</v>
          </cell>
          <cell r="F27785">
            <v>0</v>
          </cell>
          <cell r="DN27785">
            <v>0</v>
          </cell>
        </row>
        <row r="27786">
          <cell r="E27786">
            <v>0</v>
          </cell>
          <cell r="F27786">
            <v>0</v>
          </cell>
          <cell r="DN27786">
            <v>0</v>
          </cell>
        </row>
        <row r="27787">
          <cell r="E27787">
            <v>0</v>
          </cell>
          <cell r="F27787">
            <v>0</v>
          </cell>
          <cell r="DN27787">
            <v>0</v>
          </cell>
        </row>
        <row r="27788">
          <cell r="E27788">
            <v>0</v>
          </cell>
          <cell r="F27788">
            <v>0</v>
          </cell>
          <cell r="DN27788">
            <v>0</v>
          </cell>
        </row>
        <row r="27789">
          <cell r="E27789">
            <v>0</v>
          </cell>
          <cell r="F27789">
            <v>0</v>
          </cell>
          <cell r="DN27789">
            <v>0</v>
          </cell>
        </row>
        <row r="27790">
          <cell r="E27790">
            <v>0</v>
          </cell>
          <cell r="F27790">
            <v>0</v>
          </cell>
          <cell r="DN27790">
            <v>0</v>
          </cell>
        </row>
        <row r="27791">
          <cell r="E27791">
            <v>0</v>
          </cell>
          <cell r="F27791">
            <v>0</v>
          </cell>
          <cell r="DN27791">
            <v>0</v>
          </cell>
        </row>
        <row r="27792">
          <cell r="E27792">
            <v>0</v>
          </cell>
          <cell r="F27792">
            <v>0</v>
          </cell>
          <cell r="DN27792">
            <v>0</v>
          </cell>
        </row>
        <row r="27793">
          <cell r="E27793">
            <v>0</v>
          </cell>
          <cell r="F27793">
            <v>0</v>
          </cell>
          <cell r="DN27793">
            <v>0</v>
          </cell>
        </row>
        <row r="27794">
          <cell r="E27794">
            <v>0</v>
          </cell>
          <cell r="F27794">
            <v>0</v>
          </cell>
          <cell r="DN27794">
            <v>0</v>
          </cell>
        </row>
        <row r="27795">
          <cell r="E27795">
            <v>0</v>
          </cell>
          <cell r="F27795">
            <v>0</v>
          </cell>
          <cell r="DN27795">
            <v>0</v>
          </cell>
        </row>
        <row r="27796">
          <cell r="E27796">
            <v>0</v>
          </cell>
          <cell r="F27796">
            <v>0</v>
          </cell>
          <cell r="DN27796">
            <v>0</v>
          </cell>
        </row>
        <row r="27797">
          <cell r="E27797">
            <v>0</v>
          </cell>
          <cell r="F27797">
            <v>0</v>
          </cell>
          <cell r="DN27797">
            <v>0</v>
          </cell>
        </row>
        <row r="27798">
          <cell r="E27798">
            <v>0</v>
          </cell>
          <cell r="F27798">
            <v>0</v>
          </cell>
          <cell r="DN27798">
            <v>0</v>
          </cell>
        </row>
        <row r="27799">
          <cell r="E27799">
            <v>0</v>
          </cell>
          <cell r="F27799">
            <v>0</v>
          </cell>
          <cell r="DN27799">
            <v>0</v>
          </cell>
        </row>
        <row r="27800">
          <cell r="E27800">
            <v>0</v>
          </cell>
          <cell r="F27800">
            <v>0</v>
          </cell>
          <cell r="DN27800">
            <v>0</v>
          </cell>
        </row>
        <row r="27801">
          <cell r="E27801">
            <v>0</v>
          </cell>
          <cell r="F27801">
            <v>0</v>
          </cell>
          <cell r="DN27801">
            <v>0</v>
          </cell>
        </row>
        <row r="27802">
          <cell r="E27802">
            <v>0</v>
          </cell>
          <cell r="F27802">
            <v>0</v>
          </cell>
          <cell r="DN27802">
            <v>0</v>
          </cell>
        </row>
        <row r="27803">
          <cell r="E27803">
            <v>0</v>
          </cell>
          <cell r="F27803">
            <v>0</v>
          </cell>
          <cell r="DN27803">
            <v>0</v>
          </cell>
        </row>
        <row r="27804">
          <cell r="E27804">
            <v>0</v>
          </cell>
          <cell r="F27804">
            <v>0</v>
          </cell>
          <cell r="DN27804">
            <v>0</v>
          </cell>
        </row>
        <row r="27805">
          <cell r="E27805">
            <v>0</v>
          </cell>
          <cell r="F27805">
            <v>0</v>
          </cell>
          <cell r="DN27805">
            <v>0</v>
          </cell>
        </row>
        <row r="27806">
          <cell r="E27806">
            <v>0</v>
          </cell>
          <cell r="F27806">
            <v>0</v>
          </cell>
          <cell r="DN27806">
            <v>0</v>
          </cell>
        </row>
        <row r="27807">
          <cell r="E27807">
            <v>0</v>
          </cell>
          <cell r="F27807">
            <v>0</v>
          </cell>
          <cell r="DN27807">
            <v>0</v>
          </cell>
        </row>
        <row r="27808">
          <cell r="E27808">
            <v>0</v>
          </cell>
          <cell r="F27808">
            <v>0</v>
          </cell>
          <cell r="DN27808">
            <v>0</v>
          </cell>
        </row>
        <row r="27809">
          <cell r="E27809">
            <v>0</v>
          </cell>
          <cell r="F27809">
            <v>0</v>
          </cell>
          <cell r="DN27809">
            <v>0</v>
          </cell>
        </row>
        <row r="27810">
          <cell r="E27810">
            <v>0</v>
          </cell>
          <cell r="F27810">
            <v>0</v>
          </cell>
          <cell r="DN27810">
            <v>0</v>
          </cell>
        </row>
        <row r="27811">
          <cell r="E27811">
            <v>0</v>
          </cell>
          <cell r="F27811">
            <v>0</v>
          </cell>
          <cell r="DN27811">
            <v>0</v>
          </cell>
        </row>
        <row r="27812">
          <cell r="E27812">
            <v>0</v>
          </cell>
          <cell r="F27812">
            <v>0</v>
          </cell>
          <cell r="DN27812">
            <v>0</v>
          </cell>
        </row>
        <row r="27813">
          <cell r="E27813">
            <v>0</v>
          </cell>
          <cell r="F27813">
            <v>0</v>
          </cell>
          <cell r="DN27813">
            <v>0</v>
          </cell>
        </row>
        <row r="27814">
          <cell r="E27814">
            <v>0</v>
          </cell>
          <cell r="F27814">
            <v>0</v>
          </cell>
          <cell r="DN27814">
            <v>0</v>
          </cell>
        </row>
        <row r="27815">
          <cell r="E27815">
            <v>0</v>
          </cell>
          <cell r="F27815">
            <v>0</v>
          </cell>
          <cell r="DN27815">
            <v>0</v>
          </cell>
        </row>
        <row r="27816">
          <cell r="E27816">
            <v>0</v>
          </cell>
          <cell r="F27816">
            <v>0</v>
          </cell>
          <cell r="DN27816">
            <v>0</v>
          </cell>
        </row>
        <row r="27817">
          <cell r="E27817">
            <v>0</v>
          </cell>
          <cell r="F27817">
            <v>0</v>
          </cell>
          <cell r="DN27817">
            <v>0</v>
          </cell>
        </row>
        <row r="27818">
          <cell r="E27818">
            <v>0</v>
          </cell>
          <cell r="F27818">
            <v>0</v>
          </cell>
          <cell r="DN27818">
            <v>0</v>
          </cell>
        </row>
        <row r="27819">
          <cell r="E27819">
            <v>0</v>
          </cell>
          <cell r="F27819">
            <v>0</v>
          </cell>
          <cell r="DN27819">
            <v>0</v>
          </cell>
        </row>
        <row r="27820">
          <cell r="E27820">
            <v>0</v>
          </cell>
          <cell r="F27820">
            <v>0</v>
          </cell>
          <cell r="DN27820">
            <v>0</v>
          </cell>
        </row>
        <row r="27821">
          <cell r="E27821">
            <v>0</v>
          </cell>
          <cell r="F27821">
            <v>0</v>
          </cell>
          <cell r="DN27821">
            <v>0</v>
          </cell>
        </row>
        <row r="27822">
          <cell r="E27822">
            <v>0</v>
          </cell>
          <cell r="F27822">
            <v>0</v>
          </cell>
          <cell r="DN27822">
            <v>0</v>
          </cell>
        </row>
        <row r="27823">
          <cell r="E27823">
            <v>0</v>
          </cell>
          <cell r="F27823">
            <v>0</v>
          </cell>
          <cell r="DN27823">
            <v>0</v>
          </cell>
        </row>
        <row r="27824">
          <cell r="E27824">
            <v>0</v>
          </cell>
          <cell r="F27824">
            <v>0</v>
          </cell>
          <cell r="DN27824">
            <v>0</v>
          </cell>
        </row>
        <row r="27825">
          <cell r="E27825">
            <v>0</v>
          </cell>
          <cell r="F27825">
            <v>0</v>
          </cell>
          <cell r="DN27825">
            <v>0</v>
          </cell>
        </row>
        <row r="27826">
          <cell r="E27826">
            <v>0</v>
          </cell>
          <cell r="F27826">
            <v>0</v>
          </cell>
          <cell r="DN27826">
            <v>0</v>
          </cell>
        </row>
        <row r="27827">
          <cell r="E27827">
            <v>0</v>
          </cell>
          <cell r="F27827">
            <v>0</v>
          </cell>
          <cell r="DN27827">
            <v>0</v>
          </cell>
        </row>
        <row r="27828">
          <cell r="E27828">
            <v>0</v>
          </cell>
          <cell r="F27828">
            <v>0</v>
          </cell>
          <cell r="DN27828">
            <v>0</v>
          </cell>
        </row>
        <row r="27829">
          <cell r="E27829">
            <v>0</v>
          </cell>
          <cell r="F27829">
            <v>0</v>
          </cell>
          <cell r="DN27829">
            <v>0</v>
          </cell>
        </row>
        <row r="27830">
          <cell r="E27830">
            <v>0</v>
          </cell>
          <cell r="F27830">
            <v>0</v>
          </cell>
          <cell r="DN27830">
            <v>0</v>
          </cell>
        </row>
        <row r="27831">
          <cell r="E27831">
            <v>0</v>
          </cell>
          <cell r="F27831">
            <v>0</v>
          </cell>
          <cell r="DN27831">
            <v>0</v>
          </cell>
        </row>
        <row r="27832">
          <cell r="E27832">
            <v>0</v>
          </cell>
          <cell r="F27832">
            <v>0</v>
          </cell>
          <cell r="DN27832">
            <v>0</v>
          </cell>
        </row>
        <row r="27833">
          <cell r="E27833">
            <v>0</v>
          </cell>
          <cell r="F27833">
            <v>0</v>
          </cell>
          <cell r="DN27833">
            <v>0</v>
          </cell>
        </row>
        <row r="27834">
          <cell r="E27834">
            <v>0</v>
          </cell>
          <cell r="F27834">
            <v>0</v>
          </cell>
          <cell r="DN27834">
            <v>0</v>
          </cell>
        </row>
        <row r="27835">
          <cell r="E27835">
            <v>0</v>
          </cell>
          <cell r="F27835">
            <v>0</v>
          </cell>
          <cell r="DN27835">
            <v>0</v>
          </cell>
        </row>
        <row r="27836">
          <cell r="E27836">
            <v>0</v>
          </cell>
          <cell r="F27836">
            <v>0</v>
          </cell>
          <cell r="DN27836">
            <v>0</v>
          </cell>
        </row>
        <row r="27837">
          <cell r="E27837">
            <v>0</v>
          </cell>
          <cell r="F27837">
            <v>0</v>
          </cell>
          <cell r="DN27837">
            <v>0</v>
          </cell>
        </row>
        <row r="27838">
          <cell r="E27838">
            <v>0</v>
          </cell>
          <cell r="F27838">
            <v>0</v>
          </cell>
          <cell r="DN27838">
            <v>0</v>
          </cell>
        </row>
        <row r="27839">
          <cell r="E27839">
            <v>0</v>
          </cell>
          <cell r="F27839">
            <v>0</v>
          </cell>
          <cell r="DN27839">
            <v>0</v>
          </cell>
        </row>
        <row r="27840">
          <cell r="E27840">
            <v>0</v>
          </cell>
          <cell r="F27840">
            <v>0</v>
          </cell>
          <cell r="DN27840">
            <v>0</v>
          </cell>
        </row>
        <row r="27841">
          <cell r="E27841">
            <v>0</v>
          </cell>
          <cell r="F27841">
            <v>0</v>
          </cell>
          <cell r="DN27841">
            <v>0</v>
          </cell>
        </row>
        <row r="27842">
          <cell r="E27842">
            <v>0</v>
          </cell>
          <cell r="F27842">
            <v>0</v>
          </cell>
          <cell r="DN27842">
            <v>0</v>
          </cell>
        </row>
        <row r="27843">
          <cell r="E27843">
            <v>0</v>
          </cell>
          <cell r="F27843">
            <v>0</v>
          </cell>
          <cell r="DN27843">
            <v>0</v>
          </cell>
        </row>
        <row r="27844">
          <cell r="E27844">
            <v>0</v>
          </cell>
          <cell r="F27844">
            <v>0</v>
          </cell>
          <cell r="DN27844">
            <v>0</v>
          </cell>
        </row>
        <row r="27845">
          <cell r="E27845">
            <v>0</v>
          </cell>
          <cell r="F27845">
            <v>0</v>
          </cell>
          <cell r="DN27845">
            <v>0</v>
          </cell>
        </row>
        <row r="27846">
          <cell r="E27846">
            <v>0</v>
          </cell>
          <cell r="F27846">
            <v>0</v>
          </cell>
          <cell r="DN27846">
            <v>0</v>
          </cell>
        </row>
        <row r="27847">
          <cell r="E27847">
            <v>0</v>
          </cell>
          <cell r="F27847">
            <v>0</v>
          </cell>
          <cell r="DN27847">
            <v>0</v>
          </cell>
        </row>
        <row r="27848">
          <cell r="E27848">
            <v>0</v>
          </cell>
          <cell r="F27848">
            <v>0</v>
          </cell>
          <cell r="DN27848">
            <v>0</v>
          </cell>
        </row>
        <row r="27849">
          <cell r="E27849">
            <v>0</v>
          </cell>
          <cell r="F27849">
            <v>0</v>
          </cell>
          <cell r="DN27849">
            <v>0</v>
          </cell>
        </row>
        <row r="27850">
          <cell r="E27850">
            <v>0</v>
          </cell>
          <cell r="F27850">
            <v>0</v>
          </cell>
          <cell r="DN27850">
            <v>0</v>
          </cell>
        </row>
        <row r="27851">
          <cell r="E27851">
            <v>0</v>
          </cell>
          <cell r="F27851">
            <v>0</v>
          </cell>
          <cell r="DN27851">
            <v>0</v>
          </cell>
        </row>
        <row r="27852">
          <cell r="E27852">
            <v>0</v>
          </cell>
          <cell r="F27852">
            <v>0</v>
          </cell>
          <cell r="DN27852">
            <v>0</v>
          </cell>
        </row>
        <row r="27853">
          <cell r="E27853">
            <v>0</v>
          </cell>
          <cell r="F27853">
            <v>0</v>
          </cell>
          <cell r="DN27853">
            <v>0</v>
          </cell>
        </row>
        <row r="27854">
          <cell r="E27854">
            <v>0</v>
          </cell>
          <cell r="F27854">
            <v>0</v>
          </cell>
          <cell r="DN27854">
            <v>0</v>
          </cell>
        </row>
        <row r="27855">
          <cell r="E27855">
            <v>0</v>
          </cell>
          <cell r="F27855">
            <v>0</v>
          </cell>
          <cell r="DN27855">
            <v>0</v>
          </cell>
        </row>
        <row r="27856">
          <cell r="E27856">
            <v>0</v>
          </cell>
          <cell r="F27856">
            <v>0</v>
          </cell>
          <cell r="DN27856">
            <v>0</v>
          </cell>
        </row>
        <row r="27857">
          <cell r="E27857">
            <v>0</v>
          </cell>
          <cell r="F27857">
            <v>0</v>
          </cell>
          <cell r="DN27857">
            <v>0</v>
          </cell>
        </row>
        <row r="27858">
          <cell r="E27858">
            <v>0</v>
          </cell>
          <cell r="F27858">
            <v>0</v>
          </cell>
          <cell r="DN27858">
            <v>0</v>
          </cell>
        </row>
        <row r="27859">
          <cell r="E27859">
            <v>0</v>
          </cell>
          <cell r="F27859">
            <v>0</v>
          </cell>
          <cell r="DN27859">
            <v>0</v>
          </cell>
        </row>
        <row r="27860">
          <cell r="E27860">
            <v>0</v>
          </cell>
          <cell r="F27860">
            <v>0</v>
          </cell>
          <cell r="DN27860">
            <v>0</v>
          </cell>
        </row>
        <row r="27861">
          <cell r="E27861">
            <v>0</v>
          </cell>
          <cell r="F27861">
            <v>0</v>
          </cell>
          <cell r="DN27861">
            <v>0</v>
          </cell>
        </row>
        <row r="27862">
          <cell r="E27862">
            <v>0</v>
          </cell>
          <cell r="F27862">
            <v>0</v>
          </cell>
          <cell r="DN27862">
            <v>0</v>
          </cell>
        </row>
        <row r="27863">
          <cell r="E27863">
            <v>0</v>
          </cell>
          <cell r="F27863">
            <v>0</v>
          </cell>
          <cell r="DN27863">
            <v>0</v>
          </cell>
        </row>
        <row r="27864">
          <cell r="E27864">
            <v>0</v>
          </cell>
          <cell r="F27864">
            <v>0</v>
          </cell>
          <cell r="DN27864">
            <v>0</v>
          </cell>
        </row>
        <row r="27865">
          <cell r="E27865">
            <v>0</v>
          </cell>
          <cell r="F27865">
            <v>0</v>
          </cell>
          <cell r="DN27865">
            <v>0</v>
          </cell>
        </row>
        <row r="27866">
          <cell r="E27866">
            <v>0</v>
          </cell>
          <cell r="F27866">
            <v>0</v>
          </cell>
          <cell r="DN27866">
            <v>0</v>
          </cell>
        </row>
        <row r="27867">
          <cell r="E27867">
            <v>0</v>
          </cell>
          <cell r="F27867">
            <v>0</v>
          </cell>
          <cell r="DN27867">
            <v>0</v>
          </cell>
        </row>
        <row r="27868">
          <cell r="E27868">
            <v>0</v>
          </cell>
          <cell r="F27868">
            <v>0</v>
          </cell>
          <cell r="DN27868">
            <v>0</v>
          </cell>
        </row>
        <row r="27869">
          <cell r="E27869">
            <v>0</v>
          </cell>
          <cell r="F27869">
            <v>0</v>
          </cell>
          <cell r="DN27869">
            <v>0</v>
          </cell>
        </row>
        <row r="27870">
          <cell r="E27870">
            <v>0</v>
          </cell>
          <cell r="F27870">
            <v>0</v>
          </cell>
          <cell r="DN27870">
            <v>0</v>
          </cell>
        </row>
        <row r="27871">
          <cell r="E27871">
            <v>0</v>
          </cell>
          <cell r="F27871">
            <v>0</v>
          </cell>
          <cell r="DN27871">
            <v>0</v>
          </cell>
        </row>
        <row r="27872">
          <cell r="E27872">
            <v>0</v>
          </cell>
          <cell r="F27872">
            <v>0</v>
          </cell>
          <cell r="DN27872">
            <v>0</v>
          </cell>
        </row>
        <row r="27873">
          <cell r="E27873">
            <v>0</v>
          </cell>
          <cell r="F27873">
            <v>0</v>
          </cell>
          <cell r="DN27873">
            <v>0</v>
          </cell>
        </row>
        <row r="27874">
          <cell r="E27874">
            <v>0</v>
          </cell>
          <cell r="F27874">
            <v>0</v>
          </cell>
          <cell r="DN27874">
            <v>0</v>
          </cell>
        </row>
        <row r="27875">
          <cell r="E27875">
            <v>0</v>
          </cell>
          <cell r="F27875">
            <v>0</v>
          </cell>
          <cell r="DN27875">
            <v>0</v>
          </cell>
        </row>
        <row r="27876">
          <cell r="E27876">
            <v>0</v>
          </cell>
          <cell r="F27876">
            <v>0</v>
          </cell>
          <cell r="DN27876">
            <v>0</v>
          </cell>
        </row>
        <row r="27877">
          <cell r="E27877">
            <v>0</v>
          </cell>
          <cell r="F27877">
            <v>0</v>
          </cell>
          <cell r="DN27877">
            <v>0</v>
          </cell>
        </row>
        <row r="27878">
          <cell r="E27878">
            <v>0</v>
          </cell>
          <cell r="F27878">
            <v>0</v>
          </cell>
          <cell r="DN27878">
            <v>0</v>
          </cell>
        </row>
        <row r="27879">
          <cell r="E27879">
            <v>0</v>
          </cell>
          <cell r="F27879">
            <v>0</v>
          </cell>
          <cell r="DN27879">
            <v>0</v>
          </cell>
        </row>
        <row r="27880">
          <cell r="E27880">
            <v>0</v>
          </cell>
          <cell r="F27880">
            <v>0</v>
          </cell>
          <cell r="DN27880">
            <v>0</v>
          </cell>
        </row>
        <row r="27881">
          <cell r="E27881">
            <v>0</v>
          </cell>
          <cell r="F27881">
            <v>0</v>
          </cell>
          <cell r="DN27881">
            <v>0</v>
          </cell>
        </row>
        <row r="27882">
          <cell r="E27882">
            <v>0</v>
          </cell>
          <cell r="F27882">
            <v>0</v>
          </cell>
          <cell r="DN27882">
            <v>0</v>
          </cell>
        </row>
        <row r="27883">
          <cell r="E27883">
            <v>0</v>
          </cell>
          <cell r="F27883">
            <v>0</v>
          </cell>
          <cell r="DN27883">
            <v>0</v>
          </cell>
        </row>
        <row r="27884">
          <cell r="E27884">
            <v>0</v>
          </cell>
          <cell r="F27884">
            <v>0</v>
          </cell>
          <cell r="DN27884">
            <v>0</v>
          </cell>
        </row>
        <row r="27885">
          <cell r="E27885">
            <v>0</v>
          </cell>
          <cell r="F27885">
            <v>0</v>
          </cell>
          <cell r="DN27885">
            <v>0</v>
          </cell>
        </row>
        <row r="27886">
          <cell r="E27886">
            <v>0</v>
          </cell>
          <cell r="F27886">
            <v>0</v>
          </cell>
          <cell r="DN27886">
            <v>0</v>
          </cell>
        </row>
        <row r="27887">
          <cell r="E27887">
            <v>0</v>
          </cell>
          <cell r="F27887">
            <v>0</v>
          </cell>
          <cell r="DN27887">
            <v>0</v>
          </cell>
        </row>
        <row r="27888">
          <cell r="E27888">
            <v>0</v>
          </cell>
          <cell r="F27888">
            <v>0</v>
          </cell>
          <cell r="DN27888">
            <v>0</v>
          </cell>
        </row>
        <row r="27889">
          <cell r="E27889">
            <v>0</v>
          </cell>
          <cell r="F27889">
            <v>0</v>
          </cell>
          <cell r="DN27889">
            <v>0</v>
          </cell>
        </row>
        <row r="27890">
          <cell r="E27890">
            <v>0</v>
          </cell>
          <cell r="F27890">
            <v>0</v>
          </cell>
          <cell r="DN27890">
            <v>0</v>
          </cell>
        </row>
        <row r="27891">
          <cell r="E27891">
            <v>0</v>
          </cell>
          <cell r="F27891">
            <v>0</v>
          </cell>
          <cell r="DN27891">
            <v>0</v>
          </cell>
        </row>
        <row r="27892">
          <cell r="E27892">
            <v>0</v>
          </cell>
          <cell r="F27892">
            <v>0</v>
          </cell>
          <cell r="DN27892">
            <v>0</v>
          </cell>
        </row>
        <row r="27893">
          <cell r="E27893">
            <v>0</v>
          </cell>
          <cell r="F27893">
            <v>0</v>
          </cell>
          <cell r="DN27893">
            <v>0</v>
          </cell>
        </row>
        <row r="27894">
          <cell r="E27894">
            <v>0</v>
          </cell>
          <cell r="F27894">
            <v>0</v>
          </cell>
          <cell r="DN27894">
            <v>0</v>
          </cell>
        </row>
        <row r="27895">
          <cell r="E27895">
            <v>0</v>
          </cell>
          <cell r="F27895">
            <v>0</v>
          </cell>
          <cell r="DN27895">
            <v>0</v>
          </cell>
        </row>
        <row r="27896">
          <cell r="E27896">
            <v>0</v>
          </cell>
          <cell r="F27896">
            <v>0</v>
          </cell>
          <cell r="DN27896">
            <v>0</v>
          </cell>
        </row>
        <row r="27897">
          <cell r="E27897">
            <v>0</v>
          </cell>
          <cell r="F27897">
            <v>0</v>
          </cell>
          <cell r="DN27897">
            <v>0</v>
          </cell>
        </row>
        <row r="27898">
          <cell r="E27898">
            <v>0</v>
          </cell>
          <cell r="F27898">
            <v>0</v>
          </cell>
          <cell r="DN27898">
            <v>0</v>
          </cell>
        </row>
        <row r="27899">
          <cell r="E27899">
            <v>0</v>
          </cell>
          <cell r="F27899">
            <v>0</v>
          </cell>
          <cell r="DN27899">
            <v>0</v>
          </cell>
        </row>
        <row r="27900">
          <cell r="E27900">
            <v>0</v>
          </cell>
          <cell r="F27900">
            <v>0</v>
          </cell>
          <cell r="DN27900">
            <v>0</v>
          </cell>
        </row>
        <row r="27901">
          <cell r="E27901">
            <v>0</v>
          </cell>
          <cell r="F27901">
            <v>0</v>
          </cell>
          <cell r="DN27901">
            <v>0</v>
          </cell>
        </row>
        <row r="27902">
          <cell r="E27902">
            <v>0</v>
          </cell>
          <cell r="F27902">
            <v>0</v>
          </cell>
          <cell r="DN27902">
            <v>0</v>
          </cell>
        </row>
        <row r="27903">
          <cell r="E27903">
            <v>0</v>
          </cell>
          <cell r="F27903">
            <v>0</v>
          </cell>
          <cell r="DN27903">
            <v>0</v>
          </cell>
        </row>
        <row r="27904">
          <cell r="E27904">
            <v>0</v>
          </cell>
          <cell r="F27904">
            <v>0</v>
          </cell>
          <cell r="DN27904">
            <v>0</v>
          </cell>
        </row>
        <row r="27905">
          <cell r="E27905">
            <v>0</v>
          </cell>
          <cell r="F27905">
            <v>0</v>
          </cell>
          <cell r="DN27905">
            <v>0</v>
          </cell>
        </row>
        <row r="27906">
          <cell r="E27906">
            <v>0</v>
          </cell>
          <cell r="F27906">
            <v>0</v>
          </cell>
          <cell r="DN27906">
            <v>0</v>
          </cell>
        </row>
        <row r="27907">
          <cell r="E27907">
            <v>0</v>
          </cell>
          <cell r="F27907">
            <v>0</v>
          </cell>
          <cell r="DN27907">
            <v>0</v>
          </cell>
        </row>
        <row r="27908">
          <cell r="E27908">
            <v>0</v>
          </cell>
          <cell r="F27908">
            <v>0</v>
          </cell>
          <cell r="DN27908">
            <v>0</v>
          </cell>
        </row>
        <row r="27909">
          <cell r="E27909">
            <v>0</v>
          </cell>
          <cell r="F27909">
            <v>0</v>
          </cell>
          <cell r="DN27909">
            <v>0</v>
          </cell>
        </row>
        <row r="27910">
          <cell r="E27910">
            <v>0</v>
          </cell>
          <cell r="F27910">
            <v>0</v>
          </cell>
          <cell r="DN27910">
            <v>0</v>
          </cell>
        </row>
        <row r="27911">
          <cell r="E27911">
            <v>0</v>
          </cell>
          <cell r="F27911">
            <v>0</v>
          </cell>
          <cell r="DN27911">
            <v>0</v>
          </cell>
        </row>
        <row r="27912">
          <cell r="E27912">
            <v>0</v>
          </cell>
          <cell r="F27912">
            <v>0</v>
          </cell>
          <cell r="DN27912">
            <v>0</v>
          </cell>
        </row>
        <row r="27913">
          <cell r="E27913">
            <v>0</v>
          </cell>
          <cell r="F27913">
            <v>0</v>
          </cell>
          <cell r="DN27913">
            <v>0</v>
          </cell>
        </row>
        <row r="27914">
          <cell r="E27914">
            <v>0</v>
          </cell>
          <cell r="F27914">
            <v>0</v>
          </cell>
          <cell r="DN27914">
            <v>0</v>
          </cell>
        </row>
        <row r="27915">
          <cell r="E27915">
            <v>0</v>
          </cell>
          <cell r="F27915">
            <v>0</v>
          </cell>
          <cell r="DN27915">
            <v>0</v>
          </cell>
        </row>
        <row r="27916">
          <cell r="E27916">
            <v>0</v>
          </cell>
          <cell r="F27916">
            <v>0</v>
          </cell>
          <cell r="DN27916">
            <v>0</v>
          </cell>
        </row>
        <row r="27917">
          <cell r="E27917">
            <v>0</v>
          </cell>
          <cell r="F27917">
            <v>0</v>
          </cell>
          <cell r="DN27917">
            <v>0</v>
          </cell>
        </row>
        <row r="27918">
          <cell r="E27918">
            <v>0</v>
          </cell>
          <cell r="F27918">
            <v>0</v>
          </cell>
          <cell r="DN27918">
            <v>0</v>
          </cell>
        </row>
        <row r="27919">
          <cell r="E27919">
            <v>0</v>
          </cell>
          <cell r="F27919">
            <v>0</v>
          </cell>
          <cell r="DN27919">
            <v>0</v>
          </cell>
        </row>
        <row r="27920">
          <cell r="E27920">
            <v>0</v>
          </cell>
          <cell r="F27920">
            <v>0</v>
          </cell>
          <cell r="DN27920">
            <v>0</v>
          </cell>
        </row>
        <row r="27921">
          <cell r="E27921">
            <v>0</v>
          </cell>
          <cell r="F27921">
            <v>0</v>
          </cell>
          <cell r="DN27921">
            <v>0</v>
          </cell>
        </row>
        <row r="27922">
          <cell r="E27922">
            <v>0</v>
          </cell>
          <cell r="F27922">
            <v>0</v>
          </cell>
          <cell r="DN27922">
            <v>0</v>
          </cell>
        </row>
        <row r="27923">
          <cell r="E27923">
            <v>0</v>
          </cell>
          <cell r="F27923">
            <v>0</v>
          </cell>
          <cell r="DN27923">
            <v>0</v>
          </cell>
        </row>
        <row r="27924">
          <cell r="E27924">
            <v>0</v>
          </cell>
          <cell r="F27924">
            <v>0</v>
          </cell>
          <cell r="DN27924">
            <v>0</v>
          </cell>
        </row>
        <row r="27925">
          <cell r="E27925">
            <v>0</v>
          </cell>
          <cell r="F27925">
            <v>0</v>
          </cell>
          <cell r="DN27925">
            <v>0</v>
          </cell>
        </row>
        <row r="27926">
          <cell r="E27926">
            <v>0</v>
          </cell>
          <cell r="F27926">
            <v>0</v>
          </cell>
          <cell r="DN27926">
            <v>0</v>
          </cell>
        </row>
        <row r="27927">
          <cell r="E27927">
            <v>0</v>
          </cell>
          <cell r="F27927">
            <v>0</v>
          </cell>
          <cell r="DN27927">
            <v>0</v>
          </cell>
        </row>
        <row r="27928">
          <cell r="E27928">
            <v>0</v>
          </cell>
          <cell r="F27928">
            <v>0</v>
          </cell>
          <cell r="DN27928">
            <v>0</v>
          </cell>
        </row>
        <row r="27929">
          <cell r="E27929">
            <v>0</v>
          </cell>
          <cell r="F27929">
            <v>0</v>
          </cell>
          <cell r="DN27929">
            <v>0</v>
          </cell>
        </row>
        <row r="27930">
          <cell r="E27930">
            <v>0</v>
          </cell>
          <cell r="F27930">
            <v>0</v>
          </cell>
          <cell r="DN27930">
            <v>0</v>
          </cell>
        </row>
        <row r="27931">
          <cell r="E27931">
            <v>0</v>
          </cell>
          <cell r="F27931">
            <v>0</v>
          </cell>
          <cell r="DN27931">
            <v>0</v>
          </cell>
        </row>
        <row r="27932">
          <cell r="E27932">
            <v>0</v>
          </cell>
          <cell r="F27932">
            <v>0</v>
          </cell>
          <cell r="DN27932">
            <v>0</v>
          </cell>
        </row>
        <row r="27933">
          <cell r="E27933">
            <v>0</v>
          </cell>
          <cell r="F27933">
            <v>0</v>
          </cell>
          <cell r="DN27933">
            <v>0</v>
          </cell>
        </row>
        <row r="27934">
          <cell r="E27934">
            <v>0</v>
          </cell>
          <cell r="F27934">
            <v>0</v>
          </cell>
          <cell r="DN27934">
            <v>0</v>
          </cell>
        </row>
        <row r="27935">
          <cell r="E27935">
            <v>0</v>
          </cell>
          <cell r="F27935">
            <v>0</v>
          </cell>
          <cell r="DN27935">
            <v>0</v>
          </cell>
        </row>
        <row r="27936">
          <cell r="E27936">
            <v>0</v>
          </cell>
          <cell r="F27936">
            <v>0</v>
          </cell>
          <cell r="DN27936">
            <v>0</v>
          </cell>
        </row>
        <row r="27937">
          <cell r="E27937">
            <v>0</v>
          </cell>
          <cell r="F27937">
            <v>0</v>
          </cell>
          <cell r="DN27937">
            <v>0</v>
          </cell>
        </row>
        <row r="27938">
          <cell r="E27938">
            <v>0</v>
          </cell>
          <cell r="F27938">
            <v>0</v>
          </cell>
          <cell r="DN27938">
            <v>0</v>
          </cell>
        </row>
        <row r="27939">
          <cell r="E27939">
            <v>0</v>
          </cell>
          <cell r="F27939">
            <v>0</v>
          </cell>
          <cell r="DN27939">
            <v>0</v>
          </cell>
        </row>
        <row r="27940">
          <cell r="E27940">
            <v>0</v>
          </cell>
          <cell r="F27940">
            <v>0</v>
          </cell>
          <cell r="DN27940">
            <v>0</v>
          </cell>
        </row>
        <row r="27941">
          <cell r="E27941">
            <v>0</v>
          </cell>
          <cell r="F27941">
            <v>0</v>
          </cell>
          <cell r="DN27941">
            <v>0</v>
          </cell>
        </row>
        <row r="27942">
          <cell r="E27942">
            <v>0</v>
          </cell>
          <cell r="F27942">
            <v>0</v>
          </cell>
          <cell r="DN27942">
            <v>0</v>
          </cell>
        </row>
        <row r="27943">
          <cell r="E27943">
            <v>0</v>
          </cell>
          <cell r="F27943">
            <v>0</v>
          </cell>
          <cell r="DN27943">
            <v>0</v>
          </cell>
        </row>
        <row r="27944">
          <cell r="E27944">
            <v>0</v>
          </cell>
          <cell r="F27944">
            <v>0</v>
          </cell>
          <cell r="DN27944">
            <v>0</v>
          </cell>
        </row>
        <row r="27945">
          <cell r="E27945">
            <v>0</v>
          </cell>
          <cell r="F27945">
            <v>0</v>
          </cell>
          <cell r="DN27945">
            <v>0</v>
          </cell>
        </row>
        <row r="27946">
          <cell r="E27946">
            <v>0</v>
          </cell>
          <cell r="F27946">
            <v>0</v>
          </cell>
          <cell r="DN27946">
            <v>0</v>
          </cell>
        </row>
        <row r="27947">
          <cell r="E27947">
            <v>0</v>
          </cell>
          <cell r="F27947">
            <v>0</v>
          </cell>
          <cell r="DN27947">
            <v>0</v>
          </cell>
        </row>
        <row r="27948">
          <cell r="E27948">
            <v>0</v>
          </cell>
          <cell r="F27948">
            <v>0</v>
          </cell>
          <cell r="DN27948">
            <v>0</v>
          </cell>
        </row>
        <row r="27949">
          <cell r="E27949">
            <v>0</v>
          </cell>
          <cell r="F27949">
            <v>0</v>
          </cell>
          <cell r="DN27949">
            <v>0</v>
          </cell>
        </row>
        <row r="27950">
          <cell r="E27950">
            <v>0</v>
          </cell>
          <cell r="F27950">
            <v>0</v>
          </cell>
          <cell r="DN27950">
            <v>0</v>
          </cell>
        </row>
        <row r="27951">
          <cell r="E27951">
            <v>0</v>
          </cell>
          <cell r="F27951">
            <v>0</v>
          </cell>
          <cell r="DN27951">
            <v>0</v>
          </cell>
        </row>
        <row r="27952">
          <cell r="E27952">
            <v>0</v>
          </cell>
          <cell r="F27952">
            <v>0</v>
          </cell>
          <cell r="DN27952">
            <v>0</v>
          </cell>
        </row>
        <row r="27953">
          <cell r="E27953">
            <v>0</v>
          </cell>
          <cell r="F27953">
            <v>0</v>
          </cell>
          <cell r="DN27953">
            <v>0</v>
          </cell>
        </row>
        <row r="27954">
          <cell r="E27954">
            <v>0</v>
          </cell>
          <cell r="F27954">
            <v>0</v>
          </cell>
          <cell r="DN27954">
            <v>0</v>
          </cell>
        </row>
        <row r="27955">
          <cell r="E27955">
            <v>0</v>
          </cell>
          <cell r="F27955">
            <v>0</v>
          </cell>
          <cell r="DN27955">
            <v>0</v>
          </cell>
        </row>
        <row r="27956">
          <cell r="E27956">
            <v>0</v>
          </cell>
          <cell r="F27956">
            <v>0</v>
          </cell>
          <cell r="DN27956">
            <v>0</v>
          </cell>
        </row>
        <row r="27957">
          <cell r="E27957">
            <v>0</v>
          </cell>
          <cell r="F27957">
            <v>0</v>
          </cell>
          <cell r="DN27957">
            <v>0</v>
          </cell>
        </row>
        <row r="27958">
          <cell r="E27958">
            <v>0</v>
          </cell>
          <cell r="F27958">
            <v>0</v>
          </cell>
          <cell r="DN27958">
            <v>0</v>
          </cell>
        </row>
        <row r="27959">
          <cell r="E27959">
            <v>0</v>
          </cell>
          <cell r="F27959">
            <v>0</v>
          </cell>
          <cell r="DN27959">
            <v>0</v>
          </cell>
        </row>
        <row r="27960">
          <cell r="E27960">
            <v>0</v>
          </cell>
          <cell r="F27960">
            <v>0</v>
          </cell>
          <cell r="DN27960">
            <v>0</v>
          </cell>
        </row>
        <row r="27961">
          <cell r="E27961">
            <v>0</v>
          </cell>
          <cell r="F27961">
            <v>0</v>
          </cell>
          <cell r="DN27961">
            <v>0</v>
          </cell>
        </row>
        <row r="27962">
          <cell r="E27962">
            <v>0</v>
          </cell>
          <cell r="F27962">
            <v>0</v>
          </cell>
          <cell r="DN27962">
            <v>0</v>
          </cell>
        </row>
        <row r="27963">
          <cell r="E27963">
            <v>0</v>
          </cell>
          <cell r="F27963">
            <v>0</v>
          </cell>
          <cell r="DN27963">
            <v>0</v>
          </cell>
        </row>
        <row r="27964">
          <cell r="E27964">
            <v>0</v>
          </cell>
          <cell r="F27964">
            <v>0</v>
          </cell>
          <cell r="DN27964">
            <v>0</v>
          </cell>
        </row>
        <row r="27965">
          <cell r="E27965">
            <v>0</v>
          </cell>
          <cell r="F27965">
            <v>0</v>
          </cell>
          <cell r="DN27965">
            <v>0</v>
          </cell>
        </row>
        <row r="27966">
          <cell r="E27966">
            <v>0</v>
          </cell>
          <cell r="F27966">
            <v>0</v>
          </cell>
          <cell r="DN27966">
            <v>0</v>
          </cell>
        </row>
        <row r="27967">
          <cell r="E27967">
            <v>0</v>
          </cell>
          <cell r="F27967">
            <v>0</v>
          </cell>
          <cell r="DN27967">
            <v>0</v>
          </cell>
        </row>
        <row r="27968">
          <cell r="E27968">
            <v>0</v>
          </cell>
          <cell r="F27968">
            <v>0</v>
          </cell>
          <cell r="DN27968">
            <v>0</v>
          </cell>
        </row>
        <row r="27969">
          <cell r="E27969">
            <v>0</v>
          </cell>
          <cell r="F27969">
            <v>0</v>
          </cell>
          <cell r="DN27969">
            <v>0</v>
          </cell>
        </row>
        <row r="27970">
          <cell r="E27970">
            <v>0</v>
          </cell>
          <cell r="F27970">
            <v>0</v>
          </cell>
          <cell r="DN27970">
            <v>0</v>
          </cell>
        </row>
        <row r="27971">
          <cell r="E27971">
            <v>0</v>
          </cell>
          <cell r="F27971">
            <v>0</v>
          </cell>
          <cell r="DN27971">
            <v>0</v>
          </cell>
        </row>
        <row r="27972">
          <cell r="E27972">
            <v>0</v>
          </cell>
          <cell r="F27972">
            <v>0</v>
          </cell>
          <cell r="DN27972">
            <v>0</v>
          </cell>
        </row>
        <row r="27973">
          <cell r="E27973">
            <v>0</v>
          </cell>
          <cell r="F27973">
            <v>0</v>
          </cell>
          <cell r="DN27973">
            <v>0</v>
          </cell>
        </row>
        <row r="27974">
          <cell r="E27974">
            <v>0</v>
          </cell>
          <cell r="F27974">
            <v>0</v>
          </cell>
          <cell r="DN27974">
            <v>0</v>
          </cell>
        </row>
        <row r="27975">
          <cell r="E27975">
            <v>0</v>
          </cell>
          <cell r="F27975">
            <v>0</v>
          </cell>
          <cell r="DN27975">
            <v>0</v>
          </cell>
        </row>
        <row r="27976">
          <cell r="E27976">
            <v>0</v>
          </cell>
          <cell r="F27976">
            <v>0</v>
          </cell>
          <cell r="DN27976">
            <v>0</v>
          </cell>
        </row>
        <row r="27977">
          <cell r="E27977">
            <v>0</v>
          </cell>
          <cell r="F27977">
            <v>0</v>
          </cell>
          <cell r="DN27977">
            <v>0</v>
          </cell>
        </row>
        <row r="27978">
          <cell r="E27978">
            <v>0</v>
          </cell>
          <cell r="F27978">
            <v>0</v>
          </cell>
          <cell r="DN27978">
            <v>0</v>
          </cell>
        </row>
        <row r="27979">
          <cell r="E27979">
            <v>0</v>
          </cell>
          <cell r="F27979">
            <v>0</v>
          </cell>
          <cell r="DN27979">
            <v>0</v>
          </cell>
        </row>
        <row r="27980">
          <cell r="E27980">
            <v>0</v>
          </cell>
          <cell r="F27980">
            <v>0</v>
          </cell>
          <cell r="DN27980">
            <v>0</v>
          </cell>
        </row>
        <row r="27981">
          <cell r="E27981">
            <v>0</v>
          </cell>
          <cell r="F27981">
            <v>0</v>
          </cell>
          <cell r="DN27981">
            <v>0</v>
          </cell>
        </row>
        <row r="27982">
          <cell r="E27982">
            <v>0</v>
          </cell>
          <cell r="F27982">
            <v>0</v>
          </cell>
          <cell r="DN27982">
            <v>0</v>
          </cell>
        </row>
        <row r="27983">
          <cell r="E27983">
            <v>0</v>
          </cell>
          <cell r="F27983">
            <v>0</v>
          </cell>
          <cell r="DN27983">
            <v>0</v>
          </cell>
        </row>
        <row r="27984">
          <cell r="E27984">
            <v>0</v>
          </cell>
          <cell r="F27984">
            <v>0</v>
          </cell>
          <cell r="DN27984">
            <v>0</v>
          </cell>
        </row>
        <row r="27985">
          <cell r="E27985">
            <v>0</v>
          </cell>
          <cell r="F27985">
            <v>0</v>
          </cell>
          <cell r="DN27985">
            <v>0</v>
          </cell>
        </row>
        <row r="27986">
          <cell r="E27986">
            <v>0</v>
          </cell>
          <cell r="F27986">
            <v>0</v>
          </cell>
          <cell r="DN27986">
            <v>0</v>
          </cell>
        </row>
        <row r="27987">
          <cell r="E27987">
            <v>0</v>
          </cell>
          <cell r="F27987">
            <v>0</v>
          </cell>
          <cell r="DN27987">
            <v>0</v>
          </cell>
        </row>
        <row r="27988">
          <cell r="E27988">
            <v>0</v>
          </cell>
          <cell r="F27988">
            <v>0</v>
          </cell>
          <cell r="DN27988">
            <v>0</v>
          </cell>
        </row>
        <row r="27989">
          <cell r="E27989">
            <v>0</v>
          </cell>
          <cell r="F27989">
            <v>0</v>
          </cell>
          <cell r="DN27989">
            <v>0</v>
          </cell>
        </row>
        <row r="27990">
          <cell r="E27990">
            <v>0</v>
          </cell>
          <cell r="F27990">
            <v>0</v>
          </cell>
          <cell r="DN27990">
            <v>0</v>
          </cell>
        </row>
        <row r="27991">
          <cell r="E27991">
            <v>0</v>
          </cell>
          <cell r="F27991">
            <v>0</v>
          </cell>
          <cell r="DN27991">
            <v>0</v>
          </cell>
        </row>
        <row r="27992">
          <cell r="E27992">
            <v>0</v>
          </cell>
          <cell r="F27992">
            <v>0</v>
          </cell>
          <cell r="DN27992">
            <v>0</v>
          </cell>
        </row>
        <row r="27993">
          <cell r="E27993">
            <v>0</v>
          </cell>
          <cell r="F27993">
            <v>0</v>
          </cell>
          <cell r="DN27993">
            <v>0</v>
          </cell>
        </row>
        <row r="27994">
          <cell r="E27994">
            <v>0</v>
          </cell>
          <cell r="F27994">
            <v>0</v>
          </cell>
          <cell r="DN27994">
            <v>0</v>
          </cell>
        </row>
        <row r="27995">
          <cell r="E27995">
            <v>0</v>
          </cell>
          <cell r="F27995">
            <v>0</v>
          </cell>
          <cell r="DN27995">
            <v>0</v>
          </cell>
        </row>
        <row r="27996">
          <cell r="E27996">
            <v>0</v>
          </cell>
          <cell r="F27996">
            <v>0</v>
          </cell>
          <cell r="DN27996">
            <v>0</v>
          </cell>
        </row>
        <row r="27997">
          <cell r="E27997">
            <v>0</v>
          </cell>
          <cell r="F27997">
            <v>0</v>
          </cell>
          <cell r="DN27997">
            <v>0</v>
          </cell>
        </row>
        <row r="27998">
          <cell r="E27998">
            <v>0</v>
          </cell>
          <cell r="F27998">
            <v>0</v>
          </cell>
          <cell r="DN27998">
            <v>0</v>
          </cell>
        </row>
        <row r="27999">
          <cell r="E27999">
            <v>0</v>
          </cell>
          <cell r="F27999">
            <v>0</v>
          </cell>
          <cell r="DN27999">
            <v>0</v>
          </cell>
        </row>
        <row r="28000">
          <cell r="E28000">
            <v>0</v>
          </cell>
          <cell r="F28000">
            <v>0</v>
          </cell>
          <cell r="DN28000">
            <v>0</v>
          </cell>
        </row>
        <row r="28001">
          <cell r="E28001">
            <v>0</v>
          </cell>
          <cell r="F28001">
            <v>0</v>
          </cell>
          <cell r="DN28001">
            <v>0</v>
          </cell>
        </row>
        <row r="28002">
          <cell r="E28002">
            <v>0</v>
          </cell>
          <cell r="F28002">
            <v>0</v>
          </cell>
          <cell r="DN28002">
            <v>0</v>
          </cell>
        </row>
        <row r="28003">
          <cell r="E28003">
            <v>0</v>
          </cell>
          <cell r="F28003">
            <v>0</v>
          </cell>
          <cell r="DN28003">
            <v>0</v>
          </cell>
        </row>
        <row r="28004">
          <cell r="E28004">
            <v>0</v>
          </cell>
          <cell r="F28004">
            <v>0</v>
          </cell>
          <cell r="DN28004">
            <v>0</v>
          </cell>
        </row>
        <row r="28005">
          <cell r="E28005">
            <v>0</v>
          </cell>
          <cell r="F28005">
            <v>0</v>
          </cell>
          <cell r="DN28005">
            <v>0</v>
          </cell>
        </row>
        <row r="28006">
          <cell r="E28006">
            <v>0</v>
          </cell>
          <cell r="F28006">
            <v>0</v>
          </cell>
          <cell r="DN28006">
            <v>0</v>
          </cell>
        </row>
        <row r="28007">
          <cell r="E28007">
            <v>0</v>
          </cell>
          <cell r="F28007">
            <v>0</v>
          </cell>
          <cell r="DN28007">
            <v>0</v>
          </cell>
        </row>
        <row r="28008">
          <cell r="E28008">
            <v>0</v>
          </cell>
          <cell r="F28008">
            <v>0</v>
          </cell>
          <cell r="DN28008">
            <v>0</v>
          </cell>
        </row>
        <row r="28009">
          <cell r="E28009">
            <v>0</v>
          </cell>
          <cell r="F28009">
            <v>0</v>
          </cell>
          <cell r="DN28009">
            <v>0</v>
          </cell>
        </row>
        <row r="28010">
          <cell r="E28010">
            <v>0</v>
          </cell>
          <cell r="F28010">
            <v>0</v>
          </cell>
          <cell r="DN28010">
            <v>0</v>
          </cell>
        </row>
        <row r="28011">
          <cell r="E28011">
            <v>0</v>
          </cell>
          <cell r="F28011">
            <v>0</v>
          </cell>
          <cell r="DN28011">
            <v>0</v>
          </cell>
        </row>
        <row r="28012">
          <cell r="E28012">
            <v>0</v>
          </cell>
          <cell r="F28012">
            <v>0</v>
          </cell>
          <cell r="DN28012">
            <v>0</v>
          </cell>
        </row>
        <row r="28013">
          <cell r="E28013">
            <v>0</v>
          </cell>
          <cell r="F28013">
            <v>0</v>
          </cell>
          <cell r="DN28013">
            <v>0</v>
          </cell>
        </row>
        <row r="28014">
          <cell r="E28014">
            <v>0</v>
          </cell>
          <cell r="F28014">
            <v>0</v>
          </cell>
          <cell r="DN28014">
            <v>0</v>
          </cell>
        </row>
        <row r="28015">
          <cell r="E28015">
            <v>0</v>
          </cell>
          <cell r="F28015">
            <v>0</v>
          </cell>
          <cell r="DN28015">
            <v>0</v>
          </cell>
        </row>
        <row r="28016">
          <cell r="E28016">
            <v>0</v>
          </cell>
          <cell r="F28016">
            <v>0</v>
          </cell>
          <cell r="DN28016">
            <v>0</v>
          </cell>
        </row>
        <row r="28017">
          <cell r="E28017">
            <v>0</v>
          </cell>
          <cell r="F28017">
            <v>0</v>
          </cell>
          <cell r="DN28017">
            <v>0</v>
          </cell>
        </row>
        <row r="28018">
          <cell r="E28018">
            <v>0</v>
          </cell>
          <cell r="F28018">
            <v>0</v>
          </cell>
          <cell r="DN28018">
            <v>0</v>
          </cell>
        </row>
        <row r="28019">
          <cell r="E28019">
            <v>0</v>
          </cell>
          <cell r="F28019">
            <v>0</v>
          </cell>
          <cell r="DN28019">
            <v>0</v>
          </cell>
        </row>
        <row r="28020">
          <cell r="E28020">
            <v>0</v>
          </cell>
          <cell r="F28020">
            <v>0</v>
          </cell>
          <cell r="DN28020">
            <v>0</v>
          </cell>
        </row>
        <row r="28021">
          <cell r="E28021">
            <v>0</v>
          </cell>
          <cell r="F28021">
            <v>0</v>
          </cell>
          <cell r="DN28021">
            <v>0</v>
          </cell>
        </row>
        <row r="28022">
          <cell r="E28022">
            <v>0</v>
          </cell>
          <cell r="F28022">
            <v>0</v>
          </cell>
          <cell r="DN28022">
            <v>0</v>
          </cell>
        </row>
        <row r="28023">
          <cell r="E28023">
            <v>0</v>
          </cell>
          <cell r="F28023">
            <v>0</v>
          </cell>
          <cell r="DN28023">
            <v>0</v>
          </cell>
        </row>
        <row r="28024">
          <cell r="E28024">
            <v>0</v>
          </cell>
          <cell r="F28024">
            <v>0</v>
          </cell>
          <cell r="DN28024">
            <v>0</v>
          </cell>
        </row>
        <row r="28025">
          <cell r="E28025">
            <v>0</v>
          </cell>
          <cell r="F28025">
            <v>0</v>
          </cell>
          <cell r="DN28025">
            <v>0</v>
          </cell>
        </row>
        <row r="28026">
          <cell r="E28026">
            <v>0</v>
          </cell>
          <cell r="F28026">
            <v>0</v>
          </cell>
          <cell r="DN28026">
            <v>0</v>
          </cell>
        </row>
        <row r="28027">
          <cell r="E28027">
            <v>0</v>
          </cell>
          <cell r="F28027">
            <v>0</v>
          </cell>
          <cell r="DN28027">
            <v>0</v>
          </cell>
        </row>
        <row r="28028">
          <cell r="E28028">
            <v>0</v>
          </cell>
          <cell r="F28028">
            <v>0</v>
          </cell>
          <cell r="DN28028">
            <v>0</v>
          </cell>
        </row>
        <row r="28029">
          <cell r="E28029">
            <v>0</v>
          </cell>
          <cell r="F28029">
            <v>0</v>
          </cell>
          <cell r="DN28029">
            <v>0</v>
          </cell>
        </row>
        <row r="28030">
          <cell r="E28030">
            <v>0</v>
          </cell>
          <cell r="F28030">
            <v>0</v>
          </cell>
          <cell r="DN28030">
            <v>0</v>
          </cell>
        </row>
        <row r="28031">
          <cell r="E28031">
            <v>0</v>
          </cell>
          <cell r="F28031">
            <v>0</v>
          </cell>
          <cell r="DN28031">
            <v>0</v>
          </cell>
        </row>
        <row r="28032">
          <cell r="E28032">
            <v>0</v>
          </cell>
          <cell r="F28032">
            <v>0</v>
          </cell>
          <cell r="DN28032">
            <v>0</v>
          </cell>
        </row>
        <row r="28033">
          <cell r="E28033">
            <v>0</v>
          </cell>
          <cell r="F28033">
            <v>0</v>
          </cell>
          <cell r="DN28033">
            <v>0</v>
          </cell>
        </row>
        <row r="28034">
          <cell r="E28034">
            <v>0</v>
          </cell>
          <cell r="F28034">
            <v>0</v>
          </cell>
          <cell r="DN28034">
            <v>0</v>
          </cell>
        </row>
        <row r="28035">
          <cell r="E28035">
            <v>0</v>
          </cell>
          <cell r="F28035">
            <v>0</v>
          </cell>
          <cell r="DN28035">
            <v>0</v>
          </cell>
        </row>
        <row r="28036">
          <cell r="E28036">
            <v>0</v>
          </cell>
          <cell r="F28036">
            <v>0</v>
          </cell>
          <cell r="DN28036">
            <v>0</v>
          </cell>
        </row>
        <row r="28037">
          <cell r="E28037">
            <v>0</v>
          </cell>
          <cell r="F28037">
            <v>0</v>
          </cell>
          <cell r="DN28037">
            <v>0</v>
          </cell>
        </row>
        <row r="28038">
          <cell r="E28038">
            <v>0</v>
          </cell>
          <cell r="F28038">
            <v>0</v>
          </cell>
          <cell r="DN28038">
            <v>0</v>
          </cell>
        </row>
        <row r="28039">
          <cell r="E28039">
            <v>0</v>
          </cell>
          <cell r="F28039">
            <v>0</v>
          </cell>
          <cell r="DN28039">
            <v>0</v>
          </cell>
        </row>
        <row r="28040">
          <cell r="E28040">
            <v>0</v>
          </cell>
          <cell r="F28040">
            <v>0</v>
          </cell>
          <cell r="DN28040">
            <v>0</v>
          </cell>
        </row>
        <row r="28041">
          <cell r="E28041">
            <v>0</v>
          </cell>
          <cell r="F28041">
            <v>0</v>
          </cell>
          <cell r="DN28041">
            <v>0</v>
          </cell>
        </row>
        <row r="28042">
          <cell r="E28042">
            <v>0</v>
          </cell>
          <cell r="F28042">
            <v>0</v>
          </cell>
          <cell r="DN28042">
            <v>0</v>
          </cell>
        </row>
        <row r="28043">
          <cell r="E28043">
            <v>0</v>
          </cell>
          <cell r="F28043">
            <v>0</v>
          </cell>
          <cell r="DN28043">
            <v>0</v>
          </cell>
        </row>
        <row r="28044">
          <cell r="E28044">
            <v>0</v>
          </cell>
          <cell r="F28044">
            <v>0</v>
          </cell>
          <cell r="DN28044">
            <v>0</v>
          </cell>
        </row>
        <row r="28045">
          <cell r="E28045">
            <v>0</v>
          </cell>
          <cell r="F28045">
            <v>0</v>
          </cell>
          <cell r="DN28045">
            <v>0</v>
          </cell>
        </row>
        <row r="28046">
          <cell r="E28046">
            <v>0</v>
          </cell>
          <cell r="F28046">
            <v>0</v>
          </cell>
          <cell r="DN28046">
            <v>0</v>
          </cell>
        </row>
        <row r="28047">
          <cell r="E28047">
            <v>0</v>
          </cell>
          <cell r="F28047">
            <v>0</v>
          </cell>
          <cell r="DN28047">
            <v>0</v>
          </cell>
        </row>
        <row r="28048">
          <cell r="E28048">
            <v>0</v>
          </cell>
          <cell r="F28048">
            <v>0</v>
          </cell>
          <cell r="DN28048">
            <v>0</v>
          </cell>
        </row>
        <row r="28049">
          <cell r="E28049">
            <v>0</v>
          </cell>
          <cell r="F28049">
            <v>0</v>
          </cell>
          <cell r="DN28049">
            <v>0</v>
          </cell>
        </row>
        <row r="28050">
          <cell r="E28050">
            <v>0</v>
          </cell>
          <cell r="F28050">
            <v>0</v>
          </cell>
          <cell r="DN28050">
            <v>0</v>
          </cell>
        </row>
        <row r="28051">
          <cell r="E28051">
            <v>0</v>
          </cell>
          <cell r="F28051">
            <v>0</v>
          </cell>
          <cell r="DN28051">
            <v>0</v>
          </cell>
        </row>
        <row r="28052">
          <cell r="E28052">
            <v>0</v>
          </cell>
          <cell r="F28052">
            <v>0</v>
          </cell>
          <cell r="DN28052">
            <v>0</v>
          </cell>
        </row>
        <row r="28053">
          <cell r="E28053">
            <v>0</v>
          </cell>
          <cell r="F28053">
            <v>0</v>
          </cell>
          <cell r="DN28053">
            <v>0</v>
          </cell>
        </row>
        <row r="28054">
          <cell r="E28054">
            <v>0</v>
          </cell>
          <cell r="F28054">
            <v>0</v>
          </cell>
          <cell r="DN28054">
            <v>0</v>
          </cell>
        </row>
        <row r="28055">
          <cell r="E28055">
            <v>0</v>
          </cell>
          <cell r="F28055">
            <v>0</v>
          </cell>
          <cell r="DN28055">
            <v>0</v>
          </cell>
        </row>
        <row r="28056">
          <cell r="E28056">
            <v>0</v>
          </cell>
          <cell r="F28056">
            <v>0</v>
          </cell>
          <cell r="DN28056">
            <v>0</v>
          </cell>
        </row>
        <row r="28057">
          <cell r="E28057">
            <v>0</v>
          </cell>
          <cell r="F28057">
            <v>0</v>
          </cell>
          <cell r="DN28057">
            <v>0</v>
          </cell>
        </row>
        <row r="28058">
          <cell r="E28058">
            <v>0</v>
          </cell>
          <cell r="F28058">
            <v>0</v>
          </cell>
          <cell r="DN28058">
            <v>0</v>
          </cell>
        </row>
        <row r="28059">
          <cell r="E28059">
            <v>0</v>
          </cell>
          <cell r="F28059">
            <v>0</v>
          </cell>
          <cell r="DN28059">
            <v>0</v>
          </cell>
        </row>
        <row r="28060">
          <cell r="E28060">
            <v>0</v>
          </cell>
          <cell r="F28060">
            <v>0</v>
          </cell>
          <cell r="DN28060">
            <v>0</v>
          </cell>
        </row>
        <row r="28061">
          <cell r="E28061">
            <v>0</v>
          </cell>
          <cell r="F28061">
            <v>0</v>
          </cell>
          <cell r="DN28061">
            <v>0</v>
          </cell>
        </row>
        <row r="28062">
          <cell r="E28062">
            <v>0</v>
          </cell>
          <cell r="F28062">
            <v>0</v>
          </cell>
          <cell r="DN28062">
            <v>0</v>
          </cell>
        </row>
        <row r="28063">
          <cell r="E28063">
            <v>0</v>
          </cell>
          <cell r="F28063">
            <v>0</v>
          </cell>
          <cell r="DN28063">
            <v>0</v>
          </cell>
        </row>
        <row r="28064">
          <cell r="E28064">
            <v>0</v>
          </cell>
          <cell r="F28064">
            <v>0</v>
          </cell>
          <cell r="DN28064">
            <v>0</v>
          </cell>
        </row>
        <row r="28065">
          <cell r="E28065">
            <v>0</v>
          </cell>
          <cell r="F28065">
            <v>0</v>
          </cell>
          <cell r="DN28065">
            <v>0</v>
          </cell>
        </row>
        <row r="28066">
          <cell r="E28066">
            <v>0</v>
          </cell>
          <cell r="F28066">
            <v>0</v>
          </cell>
          <cell r="DN28066">
            <v>0</v>
          </cell>
        </row>
        <row r="28067">
          <cell r="E28067">
            <v>0</v>
          </cell>
          <cell r="F28067">
            <v>0</v>
          </cell>
          <cell r="DN28067">
            <v>0</v>
          </cell>
        </row>
        <row r="28068">
          <cell r="E28068">
            <v>0</v>
          </cell>
          <cell r="F28068">
            <v>0</v>
          </cell>
          <cell r="DN28068">
            <v>0</v>
          </cell>
        </row>
        <row r="28069">
          <cell r="E28069">
            <v>0</v>
          </cell>
          <cell r="F28069">
            <v>0</v>
          </cell>
          <cell r="DN28069">
            <v>0</v>
          </cell>
        </row>
        <row r="28070">
          <cell r="E28070">
            <v>0</v>
          </cell>
          <cell r="F28070">
            <v>0</v>
          </cell>
          <cell r="DN28070">
            <v>0</v>
          </cell>
        </row>
        <row r="28071">
          <cell r="E28071">
            <v>0</v>
          </cell>
          <cell r="F28071">
            <v>0</v>
          </cell>
          <cell r="DN28071">
            <v>0</v>
          </cell>
        </row>
        <row r="28072">
          <cell r="E28072">
            <v>0</v>
          </cell>
          <cell r="F28072">
            <v>0</v>
          </cell>
          <cell r="DN28072">
            <v>0</v>
          </cell>
        </row>
        <row r="28073">
          <cell r="E28073">
            <v>0</v>
          </cell>
          <cell r="F28073">
            <v>0</v>
          </cell>
          <cell r="DN28073">
            <v>0</v>
          </cell>
        </row>
        <row r="28074">
          <cell r="E28074">
            <v>0</v>
          </cell>
          <cell r="F28074">
            <v>0</v>
          </cell>
          <cell r="DN28074">
            <v>0</v>
          </cell>
        </row>
        <row r="28075">
          <cell r="E28075">
            <v>0</v>
          </cell>
          <cell r="F28075">
            <v>0</v>
          </cell>
          <cell r="DN28075">
            <v>0</v>
          </cell>
        </row>
        <row r="28076">
          <cell r="E28076">
            <v>0</v>
          </cell>
          <cell r="F28076">
            <v>0</v>
          </cell>
          <cell r="DN28076">
            <v>0</v>
          </cell>
        </row>
        <row r="28077">
          <cell r="E28077">
            <v>0</v>
          </cell>
          <cell r="F28077">
            <v>0</v>
          </cell>
          <cell r="DN28077">
            <v>0</v>
          </cell>
        </row>
        <row r="28078">
          <cell r="E28078">
            <v>0</v>
          </cell>
          <cell r="F28078">
            <v>0</v>
          </cell>
          <cell r="DN28078">
            <v>0</v>
          </cell>
        </row>
        <row r="28079">
          <cell r="E28079">
            <v>0</v>
          </cell>
          <cell r="F28079">
            <v>0</v>
          </cell>
          <cell r="DN28079">
            <v>0</v>
          </cell>
        </row>
        <row r="28080">
          <cell r="E28080">
            <v>0</v>
          </cell>
          <cell r="F28080">
            <v>0</v>
          </cell>
          <cell r="DN28080">
            <v>0</v>
          </cell>
        </row>
        <row r="28081">
          <cell r="E28081">
            <v>0</v>
          </cell>
          <cell r="F28081">
            <v>0</v>
          </cell>
          <cell r="DN28081">
            <v>0</v>
          </cell>
        </row>
        <row r="28082">
          <cell r="E28082">
            <v>0</v>
          </cell>
          <cell r="F28082">
            <v>0</v>
          </cell>
          <cell r="DN28082">
            <v>0</v>
          </cell>
        </row>
        <row r="28083">
          <cell r="E28083">
            <v>0</v>
          </cell>
          <cell r="F28083">
            <v>0</v>
          </cell>
          <cell r="DN28083">
            <v>0</v>
          </cell>
        </row>
        <row r="28084">
          <cell r="E28084">
            <v>0</v>
          </cell>
          <cell r="F28084">
            <v>0</v>
          </cell>
          <cell r="DN28084">
            <v>0</v>
          </cell>
        </row>
        <row r="28085">
          <cell r="E28085">
            <v>0</v>
          </cell>
          <cell r="F28085">
            <v>0</v>
          </cell>
          <cell r="DN28085">
            <v>0</v>
          </cell>
        </row>
        <row r="28086">
          <cell r="E28086">
            <v>0</v>
          </cell>
          <cell r="F28086">
            <v>0</v>
          </cell>
          <cell r="DN28086">
            <v>0</v>
          </cell>
        </row>
        <row r="28087">
          <cell r="E28087">
            <v>0</v>
          </cell>
          <cell r="F28087">
            <v>0</v>
          </cell>
          <cell r="DN28087">
            <v>0</v>
          </cell>
        </row>
        <row r="28088">
          <cell r="E28088">
            <v>0</v>
          </cell>
          <cell r="F28088">
            <v>0</v>
          </cell>
          <cell r="DN28088">
            <v>0</v>
          </cell>
        </row>
        <row r="28089">
          <cell r="E28089">
            <v>0</v>
          </cell>
          <cell r="F28089">
            <v>0</v>
          </cell>
          <cell r="DN28089">
            <v>0</v>
          </cell>
        </row>
        <row r="28090">
          <cell r="E28090">
            <v>0</v>
          </cell>
          <cell r="F28090">
            <v>0</v>
          </cell>
          <cell r="DN28090">
            <v>0</v>
          </cell>
        </row>
        <row r="28091">
          <cell r="E28091">
            <v>0</v>
          </cell>
          <cell r="F28091">
            <v>0</v>
          </cell>
          <cell r="DN28091">
            <v>0</v>
          </cell>
        </row>
        <row r="28092">
          <cell r="E28092">
            <v>0</v>
          </cell>
          <cell r="F28092">
            <v>0</v>
          </cell>
          <cell r="DN28092">
            <v>0</v>
          </cell>
        </row>
        <row r="28093">
          <cell r="E28093">
            <v>0</v>
          </cell>
          <cell r="F28093">
            <v>0</v>
          </cell>
          <cell r="DN28093">
            <v>0</v>
          </cell>
        </row>
        <row r="28094">
          <cell r="E28094">
            <v>0</v>
          </cell>
          <cell r="F28094">
            <v>0</v>
          </cell>
          <cell r="DN28094">
            <v>0</v>
          </cell>
        </row>
        <row r="28095">
          <cell r="E28095">
            <v>0</v>
          </cell>
          <cell r="F28095">
            <v>0</v>
          </cell>
          <cell r="DN28095">
            <v>0</v>
          </cell>
        </row>
        <row r="28096">
          <cell r="E28096">
            <v>0</v>
          </cell>
          <cell r="F28096">
            <v>0</v>
          </cell>
          <cell r="DN28096">
            <v>0</v>
          </cell>
        </row>
        <row r="28097">
          <cell r="E28097">
            <v>0</v>
          </cell>
          <cell r="F28097">
            <v>0</v>
          </cell>
          <cell r="DN28097">
            <v>0</v>
          </cell>
        </row>
        <row r="28098">
          <cell r="E28098">
            <v>0</v>
          </cell>
          <cell r="F28098">
            <v>0</v>
          </cell>
          <cell r="DN28098">
            <v>0</v>
          </cell>
        </row>
        <row r="28099">
          <cell r="E28099">
            <v>0</v>
          </cell>
          <cell r="F28099">
            <v>0</v>
          </cell>
          <cell r="DN28099">
            <v>0</v>
          </cell>
        </row>
        <row r="28100">
          <cell r="E28100">
            <v>0</v>
          </cell>
          <cell r="F28100">
            <v>0</v>
          </cell>
          <cell r="DN28100">
            <v>0</v>
          </cell>
        </row>
        <row r="28101">
          <cell r="E28101">
            <v>0</v>
          </cell>
          <cell r="F28101">
            <v>0</v>
          </cell>
          <cell r="DN28101">
            <v>0</v>
          </cell>
        </row>
        <row r="28102">
          <cell r="E28102">
            <v>0</v>
          </cell>
          <cell r="F28102">
            <v>0</v>
          </cell>
          <cell r="DN28102">
            <v>0</v>
          </cell>
        </row>
        <row r="28103">
          <cell r="E28103">
            <v>0</v>
          </cell>
          <cell r="F28103">
            <v>0</v>
          </cell>
          <cell r="DN28103">
            <v>0</v>
          </cell>
        </row>
        <row r="28104">
          <cell r="E28104">
            <v>0</v>
          </cell>
          <cell r="F28104">
            <v>0</v>
          </cell>
          <cell r="DN28104">
            <v>0</v>
          </cell>
        </row>
        <row r="28105">
          <cell r="E28105">
            <v>0</v>
          </cell>
          <cell r="F28105">
            <v>0</v>
          </cell>
          <cell r="DN28105">
            <v>0</v>
          </cell>
        </row>
        <row r="28106">
          <cell r="E28106">
            <v>0</v>
          </cell>
          <cell r="F28106">
            <v>0</v>
          </cell>
          <cell r="DN28106">
            <v>0</v>
          </cell>
        </row>
        <row r="28107">
          <cell r="E28107">
            <v>0</v>
          </cell>
          <cell r="F28107">
            <v>0</v>
          </cell>
          <cell r="DN28107">
            <v>0</v>
          </cell>
        </row>
        <row r="28108">
          <cell r="E28108">
            <v>0</v>
          </cell>
          <cell r="F28108">
            <v>0</v>
          </cell>
          <cell r="DN28108">
            <v>0</v>
          </cell>
        </row>
        <row r="28109">
          <cell r="E28109">
            <v>0</v>
          </cell>
          <cell r="F28109">
            <v>0</v>
          </cell>
          <cell r="DN28109">
            <v>0</v>
          </cell>
        </row>
        <row r="28110">
          <cell r="E28110">
            <v>0</v>
          </cell>
          <cell r="F28110">
            <v>0</v>
          </cell>
          <cell r="DN28110">
            <v>0</v>
          </cell>
        </row>
        <row r="28111">
          <cell r="E28111">
            <v>0</v>
          </cell>
          <cell r="F28111">
            <v>0</v>
          </cell>
          <cell r="DN28111">
            <v>0</v>
          </cell>
        </row>
        <row r="28112">
          <cell r="E28112">
            <v>0</v>
          </cell>
          <cell r="F28112">
            <v>0</v>
          </cell>
          <cell r="DN28112">
            <v>0</v>
          </cell>
        </row>
        <row r="28113">
          <cell r="E28113">
            <v>0</v>
          </cell>
          <cell r="F28113">
            <v>0</v>
          </cell>
          <cell r="DN28113">
            <v>0</v>
          </cell>
        </row>
        <row r="28114">
          <cell r="E28114">
            <v>0</v>
          </cell>
          <cell r="F28114">
            <v>0</v>
          </cell>
          <cell r="DN28114">
            <v>0</v>
          </cell>
        </row>
        <row r="28115">
          <cell r="E28115">
            <v>0</v>
          </cell>
          <cell r="F28115">
            <v>0</v>
          </cell>
          <cell r="DN28115">
            <v>0</v>
          </cell>
        </row>
        <row r="28116">
          <cell r="E28116">
            <v>0</v>
          </cell>
          <cell r="F28116">
            <v>0</v>
          </cell>
          <cell r="DN28116">
            <v>0</v>
          </cell>
        </row>
        <row r="28117">
          <cell r="E28117">
            <v>0</v>
          </cell>
          <cell r="F28117">
            <v>0</v>
          </cell>
          <cell r="DN28117">
            <v>0</v>
          </cell>
        </row>
        <row r="28118">
          <cell r="E28118">
            <v>0</v>
          </cell>
          <cell r="F28118">
            <v>0</v>
          </cell>
          <cell r="DN28118">
            <v>0</v>
          </cell>
        </row>
        <row r="28119">
          <cell r="E28119">
            <v>0</v>
          </cell>
          <cell r="F28119">
            <v>0</v>
          </cell>
          <cell r="DN28119">
            <v>0</v>
          </cell>
        </row>
        <row r="28120">
          <cell r="E28120">
            <v>0</v>
          </cell>
          <cell r="F28120">
            <v>0</v>
          </cell>
          <cell r="DN28120">
            <v>0</v>
          </cell>
        </row>
        <row r="28121">
          <cell r="E28121">
            <v>0</v>
          </cell>
          <cell r="F28121">
            <v>0</v>
          </cell>
          <cell r="DN28121">
            <v>0</v>
          </cell>
        </row>
        <row r="28122">
          <cell r="E28122">
            <v>0</v>
          </cell>
          <cell r="F28122">
            <v>0</v>
          </cell>
          <cell r="DN28122">
            <v>0</v>
          </cell>
        </row>
        <row r="28123">
          <cell r="E28123">
            <v>0</v>
          </cell>
          <cell r="F28123">
            <v>0</v>
          </cell>
          <cell r="DN28123">
            <v>0</v>
          </cell>
        </row>
        <row r="28124">
          <cell r="E28124">
            <v>0</v>
          </cell>
          <cell r="F28124">
            <v>0</v>
          </cell>
          <cell r="DN28124">
            <v>0</v>
          </cell>
        </row>
        <row r="28125">
          <cell r="E28125">
            <v>0</v>
          </cell>
          <cell r="F28125">
            <v>0</v>
          </cell>
          <cell r="DN28125">
            <v>0</v>
          </cell>
        </row>
        <row r="28126">
          <cell r="E28126">
            <v>0</v>
          </cell>
          <cell r="F28126">
            <v>0</v>
          </cell>
          <cell r="DN28126">
            <v>0</v>
          </cell>
        </row>
        <row r="28127">
          <cell r="E28127">
            <v>0</v>
          </cell>
          <cell r="F28127">
            <v>0</v>
          </cell>
          <cell r="DN28127">
            <v>0</v>
          </cell>
        </row>
        <row r="28128">
          <cell r="E28128">
            <v>0</v>
          </cell>
          <cell r="F28128">
            <v>0</v>
          </cell>
          <cell r="DN28128">
            <v>0</v>
          </cell>
        </row>
        <row r="28129">
          <cell r="E28129">
            <v>0</v>
          </cell>
          <cell r="F28129">
            <v>0</v>
          </cell>
          <cell r="DN28129">
            <v>0</v>
          </cell>
        </row>
        <row r="28130">
          <cell r="E28130">
            <v>0</v>
          </cell>
          <cell r="F28130">
            <v>0</v>
          </cell>
          <cell r="DN28130">
            <v>0</v>
          </cell>
        </row>
        <row r="28131">
          <cell r="E28131">
            <v>0</v>
          </cell>
          <cell r="F28131">
            <v>0</v>
          </cell>
          <cell r="DN28131">
            <v>0</v>
          </cell>
        </row>
        <row r="28132">
          <cell r="E28132">
            <v>0</v>
          </cell>
          <cell r="F28132">
            <v>0</v>
          </cell>
          <cell r="DN28132">
            <v>0</v>
          </cell>
        </row>
        <row r="28133">
          <cell r="E28133">
            <v>0</v>
          </cell>
          <cell r="F28133">
            <v>0</v>
          </cell>
          <cell r="DN28133">
            <v>0</v>
          </cell>
        </row>
        <row r="28134">
          <cell r="E28134">
            <v>0</v>
          </cell>
          <cell r="F28134">
            <v>0</v>
          </cell>
          <cell r="DN28134">
            <v>0</v>
          </cell>
        </row>
        <row r="28135">
          <cell r="E28135">
            <v>0</v>
          </cell>
          <cell r="F28135">
            <v>0</v>
          </cell>
          <cell r="DN28135">
            <v>0</v>
          </cell>
        </row>
        <row r="28136">
          <cell r="E28136">
            <v>0</v>
          </cell>
          <cell r="F28136">
            <v>0</v>
          </cell>
          <cell r="DN28136">
            <v>0</v>
          </cell>
        </row>
        <row r="28137">
          <cell r="E28137">
            <v>0</v>
          </cell>
          <cell r="F28137">
            <v>0</v>
          </cell>
          <cell r="DN28137">
            <v>0</v>
          </cell>
        </row>
        <row r="28138">
          <cell r="E28138">
            <v>0</v>
          </cell>
          <cell r="F28138">
            <v>0</v>
          </cell>
          <cell r="DN28138">
            <v>0</v>
          </cell>
        </row>
        <row r="28139">
          <cell r="E28139">
            <v>0</v>
          </cell>
          <cell r="F28139">
            <v>0</v>
          </cell>
          <cell r="DN28139">
            <v>0</v>
          </cell>
        </row>
        <row r="28140">
          <cell r="E28140">
            <v>0</v>
          </cell>
          <cell r="F28140">
            <v>0</v>
          </cell>
          <cell r="DN28140">
            <v>0</v>
          </cell>
        </row>
        <row r="28141">
          <cell r="E28141">
            <v>0</v>
          </cell>
          <cell r="F28141">
            <v>0</v>
          </cell>
          <cell r="DN28141">
            <v>0</v>
          </cell>
        </row>
        <row r="28142">
          <cell r="E28142">
            <v>0</v>
          </cell>
          <cell r="F28142">
            <v>0</v>
          </cell>
          <cell r="DN28142">
            <v>0</v>
          </cell>
        </row>
        <row r="28143">
          <cell r="E28143">
            <v>0</v>
          </cell>
          <cell r="F28143">
            <v>0</v>
          </cell>
          <cell r="DN28143">
            <v>0</v>
          </cell>
        </row>
        <row r="28144">
          <cell r="E28144">
            <v>0</v>
          </cell>
          <cell r="F28144">
            <v>0</v>
          </cell>
          <cell r="DN28144">
            <v>0</v>
          </cell>
        </row>
        <row r="28145">
          <cell r="E28145">
            <v>0</v>
          </cell>
          <cell r="F28145">
            <v>0</v>
          </cell>
          <cell r="DN28145">
            <v>0</v>
          </cell>
        </row>
        <row r="28146">
          <cell r="E28146">
            <v>0</v>
          </cell>
          <cell r="F28146">
            <v>0</v>
          </cell>
          <cell r="DN28146">
            <v>0</v>
          </cell>
        </row>
        <row r="28147">
          <cell r="E28147">
            <v>0</v>
          </cell>
          <cell r="F28147">
            <v>0</v>
          </cell>
          <cell r="DN28147">
            <v>0</v>
          </cell>
        </row>
        <row r="28148">
          <cell r="E28148">
            <v>0</v>
          </cell>
          <cell r="F28148">
            <v>0</v>
          </cell>
          <cell r="DN28148">
            <v>0</v>
          </cell>
        </row>
        <row r="28149">
          <cell r="E28149">
            <v>0</v>
          </cell>
          <cell r="F28149">
            <v>0</v>
          </cell>
          <cell r="DN28149">
            <v>0</v>
          </cell>
        </row>
        <row r="28150">
          <cell r="E28150">
            <v>0</v>
          </cell>
          <cell r="F28150">
            <v>0</v>
          </cell>
          <cell r="DN28150">
            <v>0</v>
          </cell>
        </row>
        <row r="28151">
          <cell r="E28151">
            <v>0</v>
          </cell>
          <cell r="F28151">
            <v>0</v>
          </cell>
          <cell r="DN28151">
            <v>0</v>
          </cell>
        </row>
        <row r="28152">
          <cell r="E28152">
            <v>0</v>
          </cell>
          <cell r="F28152">
            <v>0</v>
          </cell>
          <cell r="DN28152">
            <v>0</v>
          </cell>
        </row>
        <row r="28153">
          <cell r="E28153">
            <v>0</v>
          </cell>
          <cell r="F28153">
            <v>0</v>
          </cell>
          <cell r="DN28153">
            <v>0</v>
          </cell>
        </row>
        <row r="28154">
          <cell r="E28154">
            <v>0</v>
          </cell>
          <cell r="F28154">
            <v>0</v>
          </cell>
          <cell r="DN28154">
            <v>0</v>
          </cell>
        </row>
        <row r="28155">
          <cell r="E28155">
            <v>0</v>
          </cell>
          <cell r="F28155">
            <v>0</v>
          </cell>
          <cell r="DN28155">
            <v>0</v>
          </cell>
        </row>
        <row r="28156">
          <cell r="E28156">
            <v>0</v>
          </cell>
          <cell r="F28156">
            <v>0</v>
          </cell>
          <cell r="DN28156">
            <v>0</v>
          </cell>
        </row>
        <row r="28157">
          <cell r="E28157">
            <v>0</v>
          </cell>
          <cell r="F28157">
            <v>0</v>
          </cell>
          <cell r="DN28157">
            <v>0</v>
          </cell>
        </row>
        <row r="28158">
          <cell r="E28158">
            <v>0</v>
          </cell>
          <cell r="F28158">
            <v>0</v>
          </cell>
          <cell r="DN28158">
            <v>0</v>
          </cell>
        </row>
        <row r="28159">
          <cell r="E28159">
            <v>0</v>
          </cell>
          <cell r="F28159">
            <v>0</v>
          </cell>
          <cell r="DN28159">
            <v>0</v>
          </cell>
        </row>
        <row r="28160">
          <cell r="E28160">
            <v>0</v>
          </cell>
          <cell r="F28160">
            <v>0</v>
          </cell>
          <cell r="DN28160">
            <v>0</v>
          </cell>
        </row>
        <row r="28161">
          <cell r="E28161">
            <v>0</v>
          </cell>
          <cell r="F28161">
            <v>0</v>
          </cell>
          <cell r="DN28161">
            <v>0</v>
          </cell>
        </row>
        <row r="28162">
          <cell r="E28162">
            <v>0</v>
          </cell>
          <cell r="F28162">
            <v>0</v>
          </cell>
          <cell r="DN28162">
            <v>0</v>
          </cell>
        </row>
        <row r="28163">
          <cell r="E28163">
            <v>0</v>
          </cell>
          <cell r="F28163">
            <v>0</v>
          </cell>
          <cell r="DN28163">
            <v>0</v>
          </cell>
        </row>
        <row r="28164">
          <cell r="E28164">
            <v>0</v>
          </cell>
          <cell r="F28164">
            <v>0</v>
          </cell>
          <cell r="DN28164">
            <v>0</v>
          </cell>
        </row>
        <row r="28165">
          <cell r="E28165">
            <v>0</v>
          </cell>
          <cell r="F28165">
            <v>0</v>
          </cell>
          <cell r="DN28165">
            <v>0</v>
          </cell>
        </row>
        <row r="28166">
          <cell r="E28166">
            <v>0</v>
          </cell>
          <cell r="F28166">
            <v>0</v>
          </cell>
          <cell r="DN28166">
            <v>0</v>
          </cell>
        </row>
        <row r="28167">
          <cell r="E28167">
            <v>0</v>
          </cell>
          <cell r="F28167">
            <v>0</v>
          </cell>
          <cell r="DN28167">
            <v>0</v>
          </cell>
        </row>
        <row r="28168">
          <cell r="E28168">
            <v>0</v>
          </cell>
          <cell r="F28168">
            <v>0</v>
          </cell>
          <cell r="DN28168">
            <v>0</v>
          </cell>
        </row>
        <row r="28169">
          <cell r="E28169">
            <v>0</v>
          </cell>
          <cell r="F28169">
            <v>0</v>
          </cell>
          <cell r="DN28169">
            <v>0</v>
          </cell>
        </row>
        <row r="28170">
          <cell r="E28170">
            <v>0</v>
          </cell>
          <cell r="F28170">
            <v>0</v>
          </cell>
          <cell r="DN28170">
            <v>0</v>
          </cell>
        </row>
        <row r="28171">
          <cell r="E28171">
            <v>0</v>
          </cell>
          <cell r="F28171">
            <v>0</v>
          </cell>
          <cell r="DN28171">
            <v>0</v>
          </cell>
        </row>
        <row r="28172">
          <cell r="E28172">
            <v>0</v>
          </cell>
          <cell r="F28172">
            <v>0</v>
          </cell>
          <cell r="DN28172">
            <v>0</v>
          </cell>
        </row>
        <row r="28173">
          <cell r="E28173">
            <v>0</v>
          </cell>
          <cell r="F28173">
            <v>0</v>
          </cell>
          <cell r="DN28173">
            <v>0</v>
          </cell>
        </row>
        <row r="28174">
          <cell r="E28174">
            <v>0</v>
          </cell>
          <cell r="F28174">
            <v>0</v>
          </cell>
          <cell r="DN28174">
            <v>0</v>
          </cell>
        </row>
        <row r="28175">
          <cell r="E28175">
            <v>0</v>
          </cell>
          <cell r="F28175">
            <v>0</v>
          </cell>
          <cell r="DN28175">
            <v>0</v>
          </cell>
        </row>
        <row r="28176">
          <cell r="E28176">
            <v>0</v>
          </cell>
          <cell r="F28176">
            <v>0</v>
          </cell>
          <cell r="DN28176">
            <v>0</v>
          </cell>
        </row>
        <row r="28177">
          <cell r="E28177">
            <v>0</v>
          </cell>
          <cell r="F28177">
            <v>0</v>
          </cell>
          <cell r="DN28177">
            <v>0</v>
          </cell>
        </row>
        <row r="28178">
          <cell r="E28178">
            <v>0</v>
          </cell>
          <cell r="F28178">
            <v>0</v>
          </cell>
          <cell r="DN28178">
            <v>0</v>
          </cell>
        </row>
        <row r="28179">
          <cell r="E28179">
            <v>0</v>
          </cell>
          <cell r="F28179">
            <v>0</v>
          </cell>
          <cell r="DN28179">
            <v>0</v>
          </cell>
        </row>
        <row r="28180">
          <cell r="E28180">
            <v>0</v>
          </cell>
          <cell r="F28180">
            <v>0</v>
          </cell>
          <cell r="DN28180">
            <v>0</v>
          </cell>
        </row>
        <row r="28181">
          <cell r="E28181">
            <v>0</v>
          </cell>
          <cell r="F28181">
            <v>0</v>
          </cell>
          <cell r="DN28181">
            <v>0</v>
          </cell>
        </row>
        <row r="28182">
          <cell r="E28182">
            <v>0</v>
          </cell>
          <cell r="F28182">
            <v>0</v>
          </cell>
          <cell r="DN28182">
            <v>0</v>
          </cell>
        </row>
        <row r="28183">
          <cell r="E28183">
            <v>0</v>
          </cell>
          <cell r="F28183">
            <v>0</v>
          </cell>
          <cell r="DN28183">
            <v>0</v>
          </cell>
        </row>
        <row r="28184">
          <cell r="E28184">
            <v>0</v>
          </cell>
          <cell r="F28184">
            <v>0</v>
          </cell>
          <cell r="DN28184">
            <v>0</v>
          </cell>
        </row>
        <row r="28185">
          <cell r="E28185">
            <v>0</v>
          </cell>
          <cell r="F28185">
            <v>0</v>
          </cell>
          <cell r="DN28185">
            <v>0</v>
          </cell>
        </row>
        <row r="28186">
          <cell r="E28186">
            <v>0</v>
          </cell>
          <cell r="F28186">
            <v>0</v>
          </cell>
          <cell r="DN28186">
            <v>0</v>
          </cell>
        </row>
        <row r="28187">
          <cell r="E28187">
            <v>0</v>
          </cell>
          <cell r="F28187">
            <v>0</v>
          </cell>
          <cell r="DN28187">
            <v>0</v>
          </cell>
        </row>
        <row r="28188">
          <cell r="E28188">
            <v>0</v>
          </cell>
          <cell r="F28188">
            <v>0</v>
          </cell>
          <cell r="DN28188">
            <v>0</v>
          </cell>
        </row>
        <row r="28189">
          <cell r="E28189">
            <v>0</v>
          </cell>
          <cell r="F28189">
            <v>0</v>
          </cell>
          <cell r="DN28189">
            <v>0</v>
          </cell>
        </row>
        <row r="28190">
          <cell r="E28190">
            <v>0</v>
          </cell>
          <cell r="F28190">
            <v>0</v>
          </cell>
          <cell r="DN28190">
            <v>0</v>
          </cell>
        </row>
        <row r="28191">
          <cell r="E28191">
            <v>0</v>
          </cell>
          <cell r="F28191">
            <v>0</v>
          </cell>
          <cell r="DN28191">
            <v>0</v>
          </cell>
        </row>
        <row r="28192">
          <cell r="E28192">
            <v>0</v>
          </cell>
          <cell r="F28192">
            <v>0</v>
          </cell>
          <cell r="DN28192">
            <v>0</v>
          </cell>
        </row>
        <row r="28193">
          <cell r="E28193">
            <v>0</v>
          </cell>
          <cell r="F28193">
            <v>0</v>
          </cell>
          <cell r="DN28193">
            <v>0</v>
          </cell>
        </row>
        <row r="28194">
          <cell r="E28194">
            <v>0</v>
          </cell>
          <cell r="F28194">
            <v>0</v>
          </cell>
          <cell r="DN28194">
            <v>0</v>
          </cell>
        </row>
        <row r="28195">
          <cell r="E28195">
            <v>0</v>
          </cell>
          <cell r="F28195">
            <v>0</v>
          </cell>
          <cell r="DN28195">
            <v>0</v>
          </cell>
        </row>
        <row r="28196">
          <cell r="E28196">
            <v>0</v>
          </cell>
          <cell r="F28196">
            <v>0</v>
          </cell>
          <cell r="DN28196">
            <v>0</v>
          </cell>
        </row>
        <row r="28197">
          <cell r="E28197">
            <v>0</v>
          </cell>
          <cell r="F28197">
            <v>0</v>
          </cell>
          <cell r="DN28197">
            <v>0</v>
          </cell>
        </row>
        <row r="28198">
          <cell r="E28198">
            <v>0</v>
          </cell>
          <cell r="F28198">
            <v>0</v>
          </cell>
          <cell r="DN28198">
            <v>0</v>
          </cell>
        </row>
        <row r="28199">
          <cell r="E28199">
            <v>0</v>
          </cell>
          <cell r="F28199">
            <v>0</v>
          </cell>
          <cell r="DN28199">
            <v>0</v>
          </cell>
        </row>
        <row r="28200">
          <cell r="E28200">
            <v>0</v>
          </cell>
          <cell r="F28200">
            <v>0</v>
          </cell>
          <cell r="DN28200">
            <v>0</v>
          </cell>
        </row>
        <row r="28201">
          <cell r="E28201">
            <v>0</v>
          </cell>
          <cell r="F28201">
            <v>0</v>
          </cell>
          <cell r="DN28201">
            <v>0</v>
          </cell>
        </row>
        <row r="28202">
          <cell r="E28202">
            <v>0</v>
          </cell>
          <cell r="F28202">
            <v>0</v>
          </cell>
          <cell r="DN28202">
            <v>0</v>
          </cell>
        </row>
        <row r="28203">
          <cell r="E28203">
            <v>0</v>
          </cell>
          <cell r="F28203">
            <v>0</v>
          </cell>
          <cell r="DN28203">
            <v>0</v>
          </cell>
        </row>
        <row r="28204">
          <cell r="E28204">
            <v>0</v>
          </cell>
          <cell r="F28204">
            <v>0</v>
          </cell>
          <cell r="DN28204">
            <v>0</v>
          </cell>
        </row>
        <row r="28205">
          <cell r="E28205">
            <v>0</v>
          </cell>
          <cell r="F28205">
            <v>0</v>
          </cell>
          <cell r="DN28205">
            <v>0</v>
          </cell>
        </row>
        <row r="28206">
          <cell r="E28206">
            <v>0</v>
          </cell>
          <cell r="F28206">
            <v>0</v>
          </cell>
          <cell r="DN28206">
            <v>0</v>
          </cell>
        </row>
        <row r="28207">
          <cell r="E28207">
            <v>0</v>
          </cell>
          <cell r="F28207">
            <v>0</v>
          </cell>
          <cell r="DN28207">
            <v>0</v>
          </cell>
        </row>
        <row r="28208">
          <cell r="E28208">
            <v>0</v>
          </cell>
          <cell r="F28208">
            <v>0</v>
          </cell>
          <cell r="DN28208">
            <v>0</v>
          </cell>
        </row>
        <row r="28209">
          <cell r="E28209">
            <v>0</v>
          </cell>
          <cell r="F28209">
            <v>0</v>
          </cell>
          <cell r="DN28209">
            <v>0</v>
          </cell>
        </row>
        <row r="28210">
          <cell r="E28210">
            <v>0</v>
          </cell>
          <cell r="F28210">
            <v>0</v>
          </cell>
          <cell r="DN28210">
            <v>0</v>
          </cell>
        </row>
        <row r="28211">
          <cell r="E28211">
            <v>0</v>
          </cell>
          <cell r="F28211">
            <v>0</v>
          </cell>
          <cell r="DN28211">
            <v>0</v>
          </cell>
        </row>
        <row r="28212">
          <cell r="E28212">
            <v>0</v>
          </cell>
          <cell r="F28212">
            <v>0</v>
          </cell>
          <cell r="DN28212">
            <v>0</v>
          </cell>
        </row>
        <row r="28213">
          <cell r="E28213">
            <v>0</v>
          </cell>
          <cell r="F28213">
            <v>0</v>
          </cell>
          <cell r="DN28213">
            <v>0</v>
          </cell>
        </row>
        <row r="28214">
          <cell r="E28214">
            <v>0</v>
          </cell>
          <cell r="F28214">
            <v>0</v>
          </cell>
          <cell r="DN28214">
            <v>0</v>
          </cell>
        </row>
        <row r="28215">
          <cell r="E28215">
            <v>0</v>
          </cell>
          <cell r="F28215">
            <v>0</v>
          </cell>
          <cell r="DN28215">
            <v>0</v>
          </cell>
        </row>
        <row r="28216">
          <cell r="E28216">
            <v>0</v>
          </cell>
          <cell r="F28216">
            <v>0</v>
          </cell>
          <cell r="DN28216">
            <v>0</v>
          </cell>
        </row>
        <row r="28217">
          <cell r="E28217">
            <v>0</v>
          </cell>
          <cell r="F28217">
            <v>0</v>
          </cell>
          <cell r="DN28217">
            <v>0</v>
          </cell>
        </row>
        <row r="28218">
          <cell r="E28218">
            <v>0</v>
          </cell>
          <cell r="F28218">
            <v>0</v>
          </cell>
          <cell r="DN28218">
            <v>0</v>
          </cell>
        </row>
        <row r="28219">
          <cell r="E28219">
            <v>0</v>
          </cell>
          <cell r="F28219">
            <v>0</v>
          </cell>
          <cell r="DN28219">
            <v>0</v>
          </cell>
        </row>
        <row r="28220">
          <cell r="E28220">
            <v>0</v>
          </cell>
          <cell r="F28220">
            <v>0</v>
          </cell>
          <cell r="DN28220">
            <v>0</v>
          </cell>
        </row>
        <row r="28221">
          <cell r="E28221">
            <v>0</v>
          </cell>
          <cell r="F28221">
            <v>0</v>
          </cell>
          <cell r="DN28221">
            <v>0</v>
          </cell>
        </row>
        <row r="28222">
          <cell r="E28222">
            <v>0</v>
          </cell>
          <cell r="F28222">
            <v>0</v>
          </cell>
          <cell r="DN28222">
            <v>0</v>
          </cell>
        </row>
        <row r="28223">
          <cell r="E28223">
            <v>0</v>
          </cell>
          <cell r="F28223">
            <v>0</v>
          </cell>
          <cell r="DN28223">
            <v>0</v>
          </cell>
        </row>
        <row r="28224">
          <cell r="E28224">
            <v>0</v>
          </cell>
          <cell r="F28224">
            <v>0</v>
          </cell>
          <cell r="DN28224">
            <v>0</v>
          </cell>
        </row>
        <row r="28225">
          <cell r="E28225">
            <v>0</v>
          </cell>
          <cell r="F28225">
            <v>0</v>
          </cell>
          <cell r="DN28225">
            <v>0</v>
          </cell>
        </row>
        <row r="28226">
          <cell r="E28226">
            <v>0</v>
          </cell>
          <cell r="F28226">
            <v>0</v>
          </cell>
          <cell r="DN28226">
            <v>0</v>
          </cell>
        </row>
        <row r="28227">
          <cell r="E28227">
            <v>0</v>
          </cell>
          <cell r="F28227">
            <v>0</v>
          </cell>
          <cell r="DN28227">
            <v>0</v>
          </cell>
        </row>
        <row r="28228">
          <cell r="E28228">
            <v>0</v>
          </cell>
          <cell r="F28228">
            <v>0</v>
          </cell>
          <cell r="DN28228">
            <v>0</v>
          </cell>
        </row>
        <row r="28229">
          <cell r="E28229">
            <v>0</v>
          </cell>
          <cell r="F28229">
            <v>0</v>
          </cell>
          <cell r="DN28229">
            <v>0</v>
          </cell>
        </row>
        <row r="28230">
          <cell r="E28230">
            <v>0</v>
          </cell>
          <cell r="F28230">
            <v>0</v>
          </cell>
          <cell r="DN28230">
            <v>0</v>
          </cell>
        </row>
        <row r="28231">
          <cell r="E28231">
            <v>0</v>
          </cell>
          <cell r="F28231">
            <v>0</v>
          </cell>
          <cell r="DN28231">
            <v>0</v>
          </cell>
        </row>
        <row r="28232">
          <cell r="E28232">
            <v>0</v>
          </cell>
          <cell r="F28232">
            <v>0</v>
          </cell>
          <cell r="DN28232">
            <v>0</v>
          </cell>
        </row>
        <row r="28233">
          <cell r="E28233">
            <v>0</v>
          </cell>
          <cell r="F28233">
            <v>0</v>
          </cell>
          <cell r="DN28233">
            <v>0</v>
          </cell>
        </row>
        <row r="28234">
          <cell r="E28234">
            <v>0</v>
          </cell>
          <cell r="F28234">
            <v>0</v>
          </cell>
          <cell r="DN28234">
            <v>0</v>
          </cell>
        </row>
        <row r="28235">
          <cell r="E28235">
            <v>0</v>
          </cell>
          <cell r="F28235">
            <v>0</v>
          </cell>
          <cell r="DN28235">
            <v>0</v>
          </cell>
        </row>
        <row r="28236">
          <cell r="E28236">
            <v>0</v>
          </cell>
          <cell r="F28236">
            <v>0</v>
          </cell>
          <cell r="DN28236">
            <v>0</v>
          </cell>
        </row>
        <row r="28237">
          <cell r="E28237">
            <v>0</v>
          </cell>
          <cell r="F28237">
            <v>0</v>
          </cell>
          <cell r="DN28237">
            <v>0</v>
          </cell>
        </row>
        <row r="28238">
          <cell r="E28238">
            <v>0</v>
          </cell>
          <cell r="F28238">
            <v>0</v>
          </cell>
          <cell r="DN28238">
            <v>0</v>
          </cell>
        </row>
        <row r="28239">
          <cell r="E28239">
            <v>0</v>
          </cell>
          <cell r="F28239">
            <v>0</v>
          </cell>
          <cell r="DN28239">
            <v>0</v>
          </cell>
        </row>
        <row r="28240">
          <cell r="E28240">
            <v>0</v>
          </cell>
          <cell r="F28240">
            <v>0</v>
          </cell>
          <cell r="DN28240">
            <v>0</v>
          </cell>
        </row>
        <row r="28241">
          <cell r="E28241">
            <v>0</v>
          </cell>
          <cell r="F28241">
            <v>0</v>
          </cell>
          <cell r="DN28241">
            <v>0</v>
          </cell>
        </row>
        <row r="28242">
          <cell r="E28242">
            <v>0</v>
          </cell>
          <cell r="F28242">
            <v>0</v>
          </cell>
          <cell r="DN28242">
            <v>0</v>
          </cell>
        </row>
        <row r="28243">
          <cell r="E28243">
            <v>0</v>
          </cell>
          <cell r="F28243">
            <v>0</v>
          </cell>
          <cell r="DN28243">
            <v>0</v>
          </cell>
        </row>
        <row r="28244">
          <cell r="E28244">
            <v>0</v>
          </cell>
          <cell r="F28244">
            <v>0</v>
          </cell>
          <cell r="DN28244">
            <v>0</v>
          </cell>
        </row>
        <row r="28245">
          <cell r="E28245">
            <v>0</v>
          </cell>
          <cell r="F28245">
            <v>0</v>
          </cell>
          <cell r="DN28245">
            <v>0</v>
          </cell>
        </row>
        <row r="28246">
          <cell r="E28246">
            <v>0</v>
          </cell>
          <cell r="F28246">
            <v>0</v>
          </cell>
          <cell r="DN28246">
            <v>0</v>
          </cell>
        </row>
        <row r="28247">
          <cell r="E28247">
            <v>0</v>
          </cell>
          <cell r="F28247">
            <v>0</v>
          </cell>
          <cell r="DN28247">
            <v>0</v>
          </cell>
        </row>
        <row r="28248">
          <cell r="E28248">
            <v>0</v>
          </cell>
          <cell r="F28248">
            <v>0</v>
          </cell>
          <cell r="DN28248">
            <v>0</v>
          </cell>
        </row>
        <row r="28249">
          <cell r="E28249">
            <v>0</v>
          </cell>
          <cell r="F28249">
            <v>0</v>
          </cell>
          <cell r="DN28249">
            <v>0</v>
          </cell>
        </row>
        <row r="28250">
          <cell r="E28250">
            <v>0</v>
          </cell>
          <cell r="F28250">
            <v>0</v>
          </cell>
          <cell r="DN28250">
            <v>0</v>
          </cell>
        </row>
        <row r="28251">
          <cell r="E28251">
            <v>0</v>
          </cell>
          <cell r="F28251">
            <v>0</v>
          </cell>
          <cell r="DN28251">
            <v>0</v>
          </cell>
        </row>
        <row r="28252">
          <cell r="E28252">
            <v>0</v>
          </cell>
          <cell r="F28252">
            <v>0</v>
          </cell>
          <cell r="DN28252">
            <v>0</v>
          </cell>
        </row>
        <row r="28253">
          <cell r="E28253">
            <v>0</v>
          </cell>
          <cell r="F28253">
            <v>0</v>
          </cell>
          <cell r="DN28253">
            <v>0</v>
          </cell>
        </row>
        <row r="28254">
          <cell r="E28254">
            <v>0</v>
          </cell>
          <cell r="F28254">
            <v>0</v>
          </cell>
          <cell r="DN28254">
            <v>0</v>
          </cell>
        </row>
        <row r="28255">
          <cell r="E28255">
            <v>0</v>
          </cell>
          <cell r="F28255">
            <v>0</v>
          </cell>
          <cell r="DN28255">
            <v>0</v>
          </cell>
        </row>
        <row r="28256">
          <cell r="E28256">
            <v>0</v>
          </cell>
          <cell r="F28256">
            <v>0</v>
          </cell>
          <cell r="DN28256">
            <v>0</v>
          </cell>
        </row>
        <row r="28257">
          <cell r="E28257">
            <v>0</v>
          </cell>
          <cell r="F28257">
            <v>0</v>
          </cell>
          <cell r="DN28257">
            <v>0</v>
          </cell>
        </row>
        <row r="28258">
          <cell r="E28258">
            <v>0</v>
          </cell>
          <cell r="F28258">
            <v>0</v>
          </cell>
          <cell r="DN28258">
            <v>0</v>
          </cell>
        </row>
        <row r="28259">
          <cell r="E28259">
            <v>0</v>
          </cell>
          <cell r="F28259">
            <v>0</v>
          </cell>
          <cell r="DN28259">
            <v>0</v>
          </cell>
        </row>
        <row r="28260">
          <cell r="E28260">
            <v>0</v>
          </cell>
          <cell r="F28260">
            <v>0</v>
          </cell>
          <cell r="DN28260">
            <v>0</v>
          </cell>
        </row>
        <row r="28261">
          <cell r="E28261">
            <v>0</v>
          </cell>
          <cell r="F28261">
            <v>0</v>
          </cell>
          <cell r="DN28261">
            <v>0</v>
          </cell>
        </row>
        <row r="28262">
          <cell r="E28262">
            <v>0</v>
          </cell>
          <cell r="F28262">
            <v>0</v>
          </cell>
          <cell r="DN28262">
            <v>0</v>
          </cell>
        </row>
        <row r="28263">
          <cell r="E28263">
            <v>0</v>
          </cell>
          <cell r="F28263">
            <v>0</v>
          </cell>
          <cell r="DN28263">
            <v>0</v>
          </cell>
        </row>
        <row r="28264">
          <cell r="E28264">
            <v>0</v>
          </cell>
          <cell r="F28264">
            <v>0</v>
          </cell>
          <cell r="DN28264">
            <v>0</v>
          </cell>
        </row>
        <row r="28265">
          <cell r="E28265">
            <v>0</v>
          </cell>
          <cell r="F28265">
            <v>0</v>
          </cell>
          <cell r="DN28265">
            <v>0</v>
          </cell>
        </row>
        <row r="28266">
          <cell r="E28266">
            <v>0</v>
          </cell>
          <cell r="F28266">
            <v>0</v>
          </cell>
          <cell r="DN28266">
            <v>0</v>
          </cell>
        </row>
        <row r="28267">
          <cell r="E28267">
            <v>0</v>
          </cell>
          <cell r="F28267">
            <v>0</v>
          </cell>
          <cell r="DN28267">
            <v>0</v>
          </cell>
        </row>
        <row r="28268">
          <cell r="E28268">
            <v>0</v>
          </cell>
          <cell r="F28268">
            <v>0</v>
          </cell>
          <cell r="DN28268">
            <v>0</v>
          </cell>
        </row>
        <row r="28269">
          <cell r="E28269">
            <v>0</v>
          </cell>
          <cell r="F28269">
            <v>0</v>
          </cell>
          <cell r="DN28269">
            <v>0</v>
          </cell>
        </row>
        <row r="28270">
          <cell r="E28270">
            <v>0</v>
          </cell>
          <cell r="F28270">
            <v>0</v>
          </cell>
          <cell r="DN28270">
            <v>0</v>
          </cell>
        </row>
        <row r="28271">
          <cell r="E28271">
            <v>0</v>
          </cell>
          <cell r="F28271">
            <v>0</v>
          </cell>
          <cell r="DN28271">
            <v>0</v>
          </cell>
        </row>
        <row r="28272">
          <cell r="E28272">
            <v>0</v>
          </cell>
          <cell r="F28272">
            <v>0</v>
          </cell>
          <cell r="DN28272">
            <v>0</v>
          </cell>
        </row>
        <row r="28273">
          <cell r="E28273">
            <v>0</v>
          </cell>
          <cell r="F28273">
            <v>0</v>
          </cell>
          <cell r="DN28273">
            <v>0</v>
          </cell>
        </row>
        <row r="28274">
          <cell r="E28274">
            <v>0</v>
          </cell>
          <cell r="F28274">
            <v>0</v>
          </cell>
          <cell r="DN28274">
            <v>0</v>
          </cell>
        </row>
        <row r="28275">
          <cell r="E28275">
            <v>0</v>
          </cell>
          <cell r="F28275">
            <v>0</v>
          </cell>
          <cell r="DN28275">
            <v>0</v>
          </cell>
        </row>
        <row r="28276">
          <cell r="E28276">
            <v>0</v>
          </cell>
          <cell r="F28276">
            <v>0</v>
          </cell>
          <cell r="DN28276">
            <v>0</v>
          </cell>
        </row>
        <row r="28277">
          <cell r="E28277">
            <v>0</v>
          </cell>
          <cell r="F28277">
            <v>0</v>
          </cell>
          <cell r="DN28277">
            <v>0</v>
          </cell>
        </row>
        <row r="28278">
          <cell r="E28278">
            <v>0</v>
          </cell>
          <cell r="F28278">
            <v>0</v>
          </cell>
          <cell r="DN28278">
            <v>0</v>
          </cell>
        </row>
        <row r="28279">
          <cell r="E28279">
            <v>0</v>
          </cell>
          <cell r="F28279">
            <v>0</v>
          </cell>
          <cell r="DN28279">
            <v>0</v>
          </cell>
        </row>
        <row r="28280">
          <cell r="E28280">
            <v>0</v>
          </cell>
          <cell r="F28280">
            <v>0</v>
          </cell>
          <cell r="DN28280">
            <v>0</v>
          </cell>
        </row>
        <row r="28281">
          <cell r="E28281">
            <v>0</v>
          </cell>
          <cell r="F28281">
            <v>0</v>
          </cell>
          <cell r="DN28281">
            <v>0</v>
          </cell>
        </row>
        <row r="28282">
          <cell r="E28282">
            <v>0</v>
          </cell>
          <cell r="F28282">
            <v>0</v>
          </cell>
          <cell r="DN28282">
            <v>0</v>
          </cell>
        </row>
        <row r="28283">
          <cell r="E28283">
            <v>0</v>
          </cell>
          <cell r="F28283">
            <v>0</v>
          </cell>
          <cell r="DN28283">
            <v>0</v>
          </cell>
        </row>
        <row r="28284">
          <cell r="E28284">
            <v>0</v>
          </cell>
          <cell r="F28284">
            <v>0</v>
          </cell>
          <cell r="DN28284">
            <v>0</v>
          </cell>
        </row>
        <row r="28285">
          <cell r="E28285">
            <v>0</v>
          </cell>
          <cell r="F28285">
            <v>0</v>
          </cell>
          <cell r="DN28285">
            <v>0</v>
          </cell>
        </row>
        <row r="28286">
          <cell r="E28286">
            <v>0</v>
          </cell>
          <cell r="F28286">
            <v>0</v>
          </cell>
          <cell r="DN28286">
            <v>0</v>
          </cell>
        </row>
        <row r="28287">
          <cell r="E28287">
            <v>0</v>
          </cell>
          <cell r="F28287">
            <v>0</v>
          </cell>
          <cell r="DN28287">
            <v>0</v>
          </cell>
        </row>
        <row r="28288">
          <cell r="E28288">
            <v>0</v>
          </cell>
          <cell r="F28288">
            <v>0</v>
          </cell>
          <cell r="DN28288">
            <v>0</v>
          </cell>
        </row>
        <row r="28289">
          <cell r="E28289">
            <v>0</v>
          </cell>
          <cell r="F28289">
            <v>0</v>
          </cell>
          <cell r="DN28289">
            <v>0</v>
          </cell>
        </row>
        <row r="28290">
          <cell r="E28290">
            <v>0</v>
          </cell>
          <cell r="F28290">
            <v>0</v>
          </cell>
          <cell r="DN28290">
            <v>0</v>
          </cell>
        </row>
        <row r="28291">
          <cell r="E28291">
            <v>0</v>
          </cell>
          <cell r="F28291">
            <v>0</v>
          </cell>
          <cell r="DN28291">
            <v>0</v>
          </cell>
        </row>
        <row r="28292">
          <cell r="E28292">
            <v>0</v>
          </cell>
          <cell r="F28292">
            <v>0</v>
          </cell>
          <cell r="DN28292">
            <v>0</v>
          </cell>
        </row>
        <row r="28293">
          <cell r="E28293">
            <v>0</v>
          </cell>
          <cell r="F28293">
            <v>0</v>
          </cell>
          <cell r="DN28293">
            <v>0</v>
          </cell>
        </row>
        <row r="28294">
          <cell r="E28294">
            <v>0</v>
          </cell>
          <cell r="F28294">
            <v>0</v>
          </cell>
          <cell r="DN28294">
            <v>0</v>
          </cell>
        </row>
        <row r="28295">
          <cell r="E28295">
            <v>0</v>
          </cell>
          <cell r="F28295">
            <v>0</v>
          </cell>
          <cell r="DN28295">
            <v>0</v>
          </cell>
        </row>
        <row r="28296">
          <cell r="E28296">
            <v>0</v>
          </cell>
          <cell r="F28296">
            <v>0</v>
          </cell>
          <cell r="DN28296">
            <v>0</v>
          </cell>
        </row>
        <row r="28297">
          <cell r="E28297">
            <v>0</v>
          </cell>
          <cell r="F28297">
            <v>0</v>
          </cell>
          <cell r="DN28297">
            <v>0</v>
          </cell>
        </row>
        <row r="28298">
          <cell r="E28298">
            <v>0</v>
          </cell>
          <cell r="F28298">
            <v>0</v>
          </cell>
          <cell r="DN28298">
            <v>0</v>
          </cell>
        </row>
        <row r="28299">
          <cell r="E28299">
            <v>0</v>
          </cell>
          <cell r="F28299">
            <v>0</v>
          </cell>
          <cell r="DN28299">
            <v>0</v>
          </cell>
        </row>
        <row r="28300">
          <cell r="E28300">
            <v>0</v>
          </cell>
          <cell r="F28300">
            <v>0</v>
          </cell>
          <cell r="DN28300">
            <v>0</v>
          </cell>
        </row>
        <row r="28301">
          <cell r="E28301">
            <v>0</v>
          </cell>
          <cell r="F28301">
            <v>0</v>
          </cell>
          <cell r="DN28301">
            <v>0</v>
          </cell>
        </row>
        <row r="28302">
          <cell r="E28302">
            <v>0</v>
          </cell>
          <cell r="F28302">
            <v>0</v>
          </cell>
          <cell r="DN28302">
            <v>0</v>
          </cell>
        </row>
        <row r="28303">
          <cell r="E28303">
            <v>0</v>
          </cell>
          <cell r="F28303">
            <v>0</v>
          </cell>
          <cell r="DN28303">
            <v>0</v>
          </cell>
        </row>
        <row r="28304">
          <cell r="E28304">
            <v>0</v>
          </cell>
          <cell r="F28304">
            <v>0</v>
          </cell>
          <cell r="DN28304">
            <v>0</v>
          </cell>
        </row>
        <row r="28305">
          <cell r="E28305">
            <v>0</v>
          </cell>
          <cell r="F28305">
            <v>0</v>
          </cell>
          <cell r="DN28305">
            <v>0</v>
          </cell>
        </row>
        <row r="28306">
          <cell r="E28306">
            <v>0</v>
          </cell>
          <cell r="F28306">
            <v>0</v>
          </cell>
          <cell r="DN28306">
            <v>0</v>
          </cell>
        </row>
        <row r="28307">
          <cell r="E28307">
            <v>0</v>
          </cell>
          <cell r="F28307">
            <v>0</v>
          </cell>
          <cell r="DN28307">
            <v>0</v>
          </cell>
        </row>
        <row r="28308">
          <cell r="E28308">
            <v>0</v>
          </cell>
          <cell r="F28308">
            <v>0</v>
          </cell>
          <cell r="DN28308">
            <v>0</v>
          </cell>
        </row>
        <row r="28309">
          <cell r="E28309">
            <v>0</v>
          </cell>
          <cell r="F28309">
            <v>0</v>
          </cell>
          <cell r="DN28309">
            <v>0</v>
          </cell>
        </row>
        <row r="28310">
          <cell r="E28310">
            <v>0</v>
          </cell>
          <cell r="F28310">
            <v>0</v>
          </cell>
          <cell r="DN28310">
            <v>0</v>
          </cell>
        </row>
        <row r="28311">
          <cell r="E28311">
            <v>0</v>
          </cell>
          <cell r="F28311">
            <v>0</v>
          </cell>
          <cell r="DN28311">
            <v>0</v>
          </cell>
        </row>
        <row r="28312">
          <cell r="E28312">
            <v>0</v>
          </cell>
          <cell r="F28312">
            <v>0</v>
          </cell>
          <cell r="DN28312">
            <v>0</v>
          </cell>
        </row>
        <row r="28313">
          <cell r="E28313">
            <v>0</v>
          </cell>
          <cell r="F28313">
            <v>0</v>
          </cell>
          <cell r="DN28313">
            <v>0</v>
          </cell>
        </row>
        <row r="28314">
          <cell r="E28314">
            <v>0</v>
          </cell>
          <cell r="F28314">
            <v>0</v>
          </cell>
          <cell r="DN28314">
            <v>0</v>
          </cell>
        </row>
        <row r="28315">
          <cell r="E28315">
            <v>0</v>
          </cell>
          <cell r="F28315">
            <v>0</v>
          </cell>
          <cell r="DN28315">
            <v>0</v>
          </cell>
        </row>
        <row r="28316">
          <cell r="E28316">
            <v>0</v>
          </cell>
          <cell r="F28316">
            <v>0</v>
          </cell>
          <cell r="DN28316">
            <v>0</v>
          </cell>
        </row>
        <row r="28317">
          <cell r="E28317">
            <v>0</v>
          </cell>
          <cell r="F28317">
            <v>0</v>
          </cell>
          <cell r="DN28317">
            <v>0</v>
          </cell>
        </row>
        <row r="28318">
          <cell r="E28318">
            <v>0</v>
          </cell>
          <cell r="F28318">
            <v>0</v>
          </cell>
          <cell r="DN28318">
            <v>0</v>
          </cell>
        </row>
        <row r="28319">
          <cell r="E28319">
            <v>0</v>
          </cell>
          <cell r="F28319">
            <v>0</v>
          </cell>
          <cell r="DN28319">
            <v>0</v>
          </cell>
        </row>
        <row r="28320">
          <cell r="E28320">
            <v>0</v>
          </cell>
          <cell r="F28320">
            <v>0</v>
          </cell>
          <cell r="DN28320">
            <v>0</v>
          </cell>
        </row>
        <row r="28321">
          <cell r="E28321">
            <v>0</v>
          </cell>
          <cell r="F28321">
            <v>0</v>
          </cell>
          <cell r="DN28321">
            <v>0</v>
          </cell>
        </row>
        <row r="28322">
          <cell r="E28322">
            <v>0</v>
          </cell>
          <cell r="F28322">
            <v>0</v>
          </cell>
          <cell r="DN28322">
            <v>0</v>
          </cell>
        </row>
        <row r="28323">
          <cell r="E28323">
            <v>0</v>
          </cell>
          <cell r="F28323">
            <v>0</v>
          </cell>
          <cell r="DN28323">
            <v>0</v>
          </cell>
        </row>
        <row r="28324">
          <cell r="E28324">
            <v>0</v>
          </cell>
          <cell r="F28324">
            <v>0</v>
          </cell>
          <cell r="DN28324">
            <v>0</v>
          </cell>
        </row>
        <row r="28325">
          <cell r="E28325">
            <v>0</v>
          </cell>
          <cell r="F28325">
            <v>0</v>
          </cell>
          <cell r="DN28325">
            <v>0</v>
          </cell>
        </row>
        <row r="28326">
          <cell r="E28326">
            <v>0</v>
          </cell>
          <cell r="F28326">
            <v>0</v>
          </cell>
          <cell r="DN28326">
            <v>0</v>
          </cell>
        </row>
        <row r="28327">
          <cell r="E28327">
            <v>0</v>
          </cell>
          <cell r="F28327">
            <v>0</v>
          </cell>
          <cell r="DN28327">
            <v>0</v>
          </cell>
        </row>
        <row r="28328">
          <cell r="E28328">
            <v>0</v>
          </cell>
          <cell r="F28328">
            <v>0</v>
          </cell>
          <cell r="DN28328">
            <v>0</v>
          </cell>
        </row>
        <row r="28329">
          <cell r="E28329">
            <v>0</v>
          </cell>
          <cell r="F28329">
            <v>0</v>
          </cell>
          <cell r="DN28329">
            <v>0</v>
          </cell>
        </row>
        <row r="28330">
          <cell r="E28330">
            <v>0</v>
          </cell>
          <cell r="F28330">
            <v>0</v>
          </cell>
          <cell r="DN28330">
            <v>0</v>
          </cell>
        </row>
        <row r="28331">
          <cell r="E28331">
            <v>0</v>
          </cell>
          <cell r="F28331">
            <v>0</v>
          </cell>
          <cell r="DN28331">
            <v>0</v>
          </cell>
        </row>
        <row r="28332">
          <cell r="E28332">
            <v>0</v>
          </cell>
          <cell r="F28332">
            <v>0</v>
          </cell>
          <cell r="DN28332">
            <v>0</v>
          </cell>
        </row>
        <row r="28333">
          <cell r="E28333">
            <v>0</v>
          </cell>
          <cell r="F28333">
            <v>0</v>
          </cell>
          <cell r="DN28333">
            <v>0</v>
          </cell>
        </row>
        <row r="28334">
          <cell r="E28334">
            <v>0</v>
          </cell>
          <cell r="F28334">
            <v>0</v>
          </cell>
          <cell r="DN28334">
            <v>0</v>
          </cell>
        </row>
        <row r="28335">
          <cell r="E28335">
            <v>0</v>
          </cell>
          <cell r="F28335">
            <v>0</v>
          </cell>
          <cell r="DN28335">
            <v>0</v>
          </cell>
        </row>
        <row r="28336">
          <cell r="E28336">
            <v>0</v>
          </cell>
          <cell r="F28336">
            <v>0</v>
          </cell>
          <cell r="DN28336">
            <v>0</v>
          </cell>
        </row>
        <row r="28337">
          <cell r="E28337">
            <v>0</v>
          </cell>
          <cell r="F28337">
            <v>0</v>
          </cell>
          <cell r="DN28337">
            <v>0</v>
          </cell>
        </row>
        <row r="28338">
          <cell r="E28338">
            <v>0</v>
          </cell>
          <cell r="F28338">
            <v>0</v>
          </cell>
          <cell r="DN28338">
            <v>0</v>
          </cell>
        </row>
        <row r="28339">
          <cell r="E28339">
            <v>0</v>
          </cell>
          <cell r="F28339">
            <v>0</v>
          </cell>
          <cell r="DN28339">
            <v>0</v>
          </cell>
        </row>
        <row r="28340">
          <cell r="E28340">
            <v>0</v>
          </cell>
          <cell r="F28340">
            <v>0</v>
          </cell>
          <cell r="DN28340">
            <v>0</v>
          </cell>
        </row>
        <row r="28341">
          <cell r="E28341">
            <v>0</v>
          </cell>
          <cell r="F28341">
            <v>0</v>
          </cell>
          <cell r="DN28341">
            <v>0</v>
          </cell>
        </row>
        <row r="28342">
          <cell r="E28342">
            <v>0</v>
          </cell>
          <cell r="F28342">
            <v>0</v>
          </cell>
          <cell r="DN28342">
            <v>0</v>
          </cell>
        </row>
        <row r="28343">
          <cell r="E28343">
            <v>0</v>
          </cell>
          <cell r="F28343">
            <v>0</v>
          </cell>
          <cell r="DN28343">
            <v>0</v>
          </cell>
        </row>
        <row r="28344">
          <cell r="E28344">
            <v>0</v>
          </cell>
          <cell r="F28344">
            <v>0</v>
          </cell>
          <cell r="DN28344">
            <v>0</v>
          </cell>
        </row>
        <row r="28345">
          <cell r="E28345">
            <v>0</v>
          </cell>
          <cell r="F28345">
            <v>0</v>
          </cell>
          <cell r="DN28345">
            <v>0</v>
          </cell>
        </row>
        <row r="28346">
          <cell r="E28346">
            <v>0</v>
          </cell>
          <cell r="F28346">
            <v>0</v>
          </cell>
          <cell r="DN28346">
            <v>0</v>
          </cell>
        </row>
        <row r="28347">
          <cell r="E28347">
            <v>0</v>
          </cell>
          <cell r="F28347">
            <v>0</v>
          </cell>
          <cell r="DN28347">
            <v>0</v>
          </cell>
        </row>
        <row r="28348">
          <cell r="E28348">
            <v>0</v>
          </cell>
          <cell r="F28348">
            <v>0</v>
          </cell>
          <cell r="DN28348">
            <v>0</v>
          </cell>
        </row>
        <row r="28349">
          <cell r="E28349">
            <v>0</v>
          </cell>
          <cell r="F28349">
            <v>0</v>
          </cell>
          <cell r="DN28349">
            <v>0</v>
          </cell>
        </row>
        <row r="28350">
          <cell r="E28350">
            <v>0</v>
          </cell>
          <cell r="F28350">
            <v>0</v>
          </cell>
          <cell r="DN28350">
            <v>0</v>
          </cell>
        </row>
        <row r="28351">
          <cell r="E28351">
            <v>0</v>
          </cell>
          <cell r="F28351">
            <v>0</v>
          </cell>
          <cell r="DN28351">
            <v>0</v>
          </cell>
        </row>
        <row r="28352">
          <cell r="E28352">
            <v>0</v>
          </cell>
          <cell r="F28352">
            <v>0</v>
          </cell>
          <cell r="DN28352">
            <v>0</v>
          </cell>
        </row>
        <row r="28353">
          <cell r="E28353">
            <v>0</v>
          </cell>
          <cell r="F28353">
            <v>0</v>
          </cell>
          <cell r="DN28353">
            <v>0</v>
          </cell>
        </row>
        <row r="28354">
          <cell r="E28354">
            <v>0</v>
          </cell>
          <cell r="F28354">
            <v>0</v>
          </cell>
          <cell r="DN28354">
            <v>0</v>
          </cell>
        </row>
        <row r="28355">
          <cell r="E28355">
            <v>0</v>
          </cell>
          <cell r="F28355">
            <v>0</v>
          </cell>
          <cell r="DN28355">
            <v>0</v>
          </cell>
        </row>
        <row r="28356">
          <cell r="E28356">
            <v>0</v>
          </cell>
          <cell r="F28356">
            <v>0</v>
          </cell>
          <cell r="DN28356">
            <v>0</v>
          </cell>
        </row>
        <row r="28357">
          <cell r="E28357">
            <v>0</v>
          </cell>
          <cell r="F28357">
            <v>0</v>
          </cell>
          <cell r="DN28357">
            <v>0</v>
          </cell>
        </row>
        <row r="28358">
          <cell r="E28358">
            <v>0</v>
          </cell>
          <cell r="F28358">
            <v>0</v>
          </cell>
          <cell r="DN28358">
            <v>0</v>
          </cell>
        </row>
        <row r="28359">
          <cell r="E28359">
            <v>0</v>
          </cell>
          <cell r="F28359">
            <v>0</v>
          </cell>
          <cell r="DN28359">
            <v>0</v>
          </cell>
        </row>
        <row r="28360">
          <cell r="E28360">
            <v>0</v>
          </cell>
          <cell r="F28360">
            <v>0</v>
          </cell>
          <cell r="DN28360">
            <v>0</v>
          </cell>
        </row>
        <row r="28361">
          <cell r="E28361">
            <v>0</v>
          </cell>
          <cell r="F28361">
            <v>0</v>
          </cell>
          <cell r="DN28361">
            <v>0</v>
          </cell>
        </row>
        <row r="28362">
          <cell r="E28362">
            <v>0</v>
          </cell>
          <cell r="F28362">
            <v>0</v>
          </cell>
          <cell r="DN28362">
            <v>0</v>
          </cell>
        </row>
        <row r="28363">
          <cell r="E28363">
            <v>0</v>
          </cell>
          <cell r="F28363">
            <v>0</v>
          </cell>
          <cell r="DN28363">
            <v>0</v>
          </cell>
        </row>
        <row r="28364">
          <cell r="E28364">
            <v>0</v>
          </cell>
          <cell r="F28364">
            <v>0</v>
          </cell>
          <cell r="DN28364">
            <v>0</v>
          </cell>
        </row>
        <row r="28365">
          <cell r="E28365">
            <v>0</v>
          </cell>
          <cell r="F28365">
            <v>0</v>
          </cell>
          <cell r="DN28365">
            <v>0</v>
          </cell>
        </row>
        <row r="28366">
          <cell r="E28366">
            <v>0</v>
          </cell>
          <cell r="F28366">
            <v>0</v>
          </cell>
          <cell r="DN28366">
            <v>0</v>
          </cell>
        </row>
        <row r="28367">
          <cell r="E28367">
            <v>0</v>
          </cell>
          <cell r="F28367">
            <v>0</v>
          </cell>
          <cell r="DN28367">
            <v>0</v>
          </cell>
        </row>
        <row r="28368">
          <cell r="E28368">
            <v>0</v>
          </cell>
          <cell r="F28368">
            <v>0</v>
          </cell>
          <cell r="DN28368">
            <v>0</v>
          </cell>
        </row>
        <row r="28369">
          <cell r="E28369">
            <v>0</v>
          </cell>
          <cell r="F28369">
            <v>0</v>
          </cell>
          <cell r="DN28369">
            <v>0</v>
          </cell>
        </row>
        <row r="28370">
          <cell r="E28370">
            <v>0</v>
          </cell>
          <cell r="F28370">
            <v>0</v>
          </cell>
          <cell r="DN28370">
            <v>0</v>
          </cell>
        </row>
        <row r="28371">
          <cell r="E28371">
            <v>0</v>
          </cell>
          <cell r="F28371">
            <v>0</v>
          </cell>
          <cell r="DN28371">
            <v>0</v>
          </cell>
        </row>
        <row r="28372">
          <cell r="E28372">
            <v>0</v>
          </cell>
          <cell r="F28372">
            <v>0</v>
          </cell>
          <cell r="DN28372">
            <v>0</v>
          </cell>
        </row>
        <row r="28373">
          <cell r="E28373">
            <v>0</v>
          </cell>
          <cell r="F28373">
            <v>0</v>
          </cell>
          <cell r="DN28373">
            <v>0</v>
          </cell>
        </row>
        <row r="28374">
          <cell r="E28374">
            <v>0</v>
          </cell>
          <cell r="F28374">
            <v>0</v>
          </cell>
          <cell r="DN28374">
            <v>0</v>
          </cell>
        </row>
        <row r="28375">
          <cell r="E28375">
            <v>0</v>
          </cell>
          <cell r="F28375">
            <v>0</v>
          </cell>
          <cell r="DN28375">
            <v>0</v>
          </cell>
        </row>
        <row r="28376">
          <cell r="E28376">
            <v>0</v>
          </cell>
          <cell r="F28376">
            <v>0</v>
          </cell>
          <cell r="DN28376">
            <v>0</v>
          </cell>
        </row>
        <row r="28377">
          <cell r="E28377">
            <v>0</v>
          </cell>
          <cell r="F28377">
            <v>0</v>
          </cell>
          <cell r="DN28377">
            <v>0</v>
          </cell>
        </row>
        <row r="28378">
          <cell r="E28378">
            <v>0</v>
          </cell>
          <cell r="F28378">
            <v>0</v>
          </cell>
          <cell r="DN28378">
            <v>0</v>
          </cell>
        </row>
        <row r="28379">
          <cell r="E28379">
            <v>0</v>
          </cell>
          <cell r="F28379">
            <v>0</v>
          </cell>
          <cell r="DN28379">
            <v>0</v>
          </cell>
        </row>
        <row r="28380">
          <cell r="E28380">
            <v>0</v>
          </cell>
          <cell r="F28380">
            <v>0</v>
          </cell>
          <cell r="DN28380">
            <v>0</v>
          </cell>
        </row>
        <row r="28381">
          <cell r="E28381">
            <v>0</v>
          </cell>
          <cell r="F28381">
            <v>0</v>
          </cell>
          <cell r="DN28381">
            <v>0</v>
          </cell>
        </row>
        <row r="28382">
          <cell r="E28382">
            <v>0</v>
          </cell>
          <cell r="F28382">
            <v>0</v>
          </cell>
          <cell r="DN28382">
            <v>0</v>
          </cell>
        </row>
        <row r="28383">
          <cell r="E28383">
            <v>0</v>
          </cell>
          <cell r="F28383">
            <v>0</v>
          </cell>
          <cell r="DN28383">
            <v>0</v>
          </cell>
        </row>
        <row r="28384">
          <cell r="E28384">
            <v>0</v>
          </cell>
          <cell r="F28384">
            <v>0</v>
          </cell>
          <cell r="DN28384">
            <v>0</v>
          </cell>
        </row>
        <row r="28385">
          <cell r="E28385">
            <v>0</v>
          </cell>
          <cell r="F28385">
            <v>0</v>
          </cell>
          <cell r="DN28385">
            <v>0</v>
          </cell>
        </row>
        <row r="28386">
          <cell r="E28386">
            <v>0</v>
          </cell>
          <cell r="F28386">
            <v>0</v>
          </cell>
          <cell r="DN28386">
            <v>0</v>
          </cell>
        </row>
        <row r="28387">
          <cell r="E28387">
            <v>0</v>
          </cell>
          <cell r="F28387">
            <v>0</v>
          </cell>
          <cell r="DN28387">
            <v>0</v>
          </cell>
        </row>
        <row r="28388">
          <cell r="E28388">
            <v>0</v>
          </cell>
          <cell r="F28388">
            <v>0</v>
          </cell>
          <cell r="DN28388">
            <v>0</v>
          </cell>
        </row>
        <row r="28389">
          <cell r="E28389">
            <v>0</v>
          </cell>
          <cell r="F28389">
            <v>0</v>
          </cell>
          <cell r="DN28389">
            <v>0</v>
          </cell>
        </row>
        <row r="28390">
          <cell r="E28390">
            <v>0</v>
          </cell>
          <cell r="F28390">
            <v>0</v>
          </cell>
          <cell r="DN28390">
            <v>0</v>
          </cell>
        </row>
        <row r="28391">
          <cell r="E28391">
            <v>0</v>
          </cell>
          <cell r="F28391">
            <v>0</v>
          </cell>
          <cell r="DN28391">
            <v>0</v>
          </cell>
        </row>
        <row r="28392">
          <cell r="E28392">
            <v>0</v>
          </cell>
          <cell r="F28392">
            <v>0</v>
          </cell>
          <cell r="DN28392">
            <v>0</v>
          </cell>
        </row>
        <row r="28393">
          <cell r="E28393">
            <v>0</v>
          </cell>
          <cell r="F28393">
            <v>0</v>
          </cell>
          <cell r="DN28393">
            <v>0</v>
          </cell>
        </row>
        <row r="28394">
          <cell r="E28394">
            <v>0</v>
          </cell>
          <cell r="F28394">
            <v>0</v>
          </cell>
          <cell r="DN28394">
            <v>0</v>
          </cell>
        </row>
        <row r="28395">
          <cell r="E28395">
            <v>0</v>
          </cell>
          <cell r="F28395">
            <v>0</v>
          </cell>
          <cell r="DN28395">
            <v>0</v>
          </cell>
        </row>
        <row r="28396">
          <cell r="E28396">
            <v>0</v>
          </cell>
          <cell r="F28396">
            <v>0</v>
          </cell>
          <cell r="DN28396">
            <v>0</v>
          </cell>
        </row>
        <row r="28397">
          <cell r="E28397">
            <v>0</v>
          </cell>
          <cell r="F28397">
            <v>0</v>
          </cell>
          <cell r="DN28397">
            <v>0</v>
          </cell>
        </row>
        <row r="28398">
          <cell r="E28398">
            <v>0</v>
          </cell>
          <cell r="F28398">
            <v>0</v>
          </cell>
          <cell r="DN28398">
            <v>0</v>
          </cell>
        </row>
        <row r="28399">
          <cell r="E28399">
            <v>0</v>
          </cell>
          <cell r="F28399">
            <v>0</v>
          </cell>
          <cell r="DN28399">
            <v>0</v>
          </cell>
        </row>
        <row r="28400">
          <cell r="E28400">
            <v>0</v>
          </cell>
          <cell r="F28400">
            <v>0</v>
          </cell>
          <cell r="DN28400">
            <v>0</v>
          </cell>
        </row>
        <row r="28401">
          <cell r="E28401">
            <v>0</v>
          </cell>
          <cell r="F28401">
            <v>0</v>
          </cell>
          <cell r="DN28401">
            <v>0</v>
          </cell>
        </row>
        <row r="28402">
          <cell r="E28402">
            <v>0</v>
          </cell>
          <cell r="F28402">
            <v>0</v>
          </cell>
          <cell r="DN28402">
            <v>0</v>
          </cell>
        </row>
        <row r="28403">
          <cell r="E28403">
            <v>0</v>
          </cell>
          <cell r="F28403">
            <v>0</v>
          </cell>
          <cell r="DN28403">
            <v>0</v>
          </cell>
        </row>
        <row r="28404">
          <cell r="E28404">
            <v>0</v>
          </cell>
          <cell r="F28404">
            <v>0</v>
          </cell>
          <cell r="DN28404">
            <v>0</v>
          </cell>
        </row>
        <row r="28405">
          <cell r="E28405">
            <v>0</v>
          </cell>
          <cell r="F28405">
            <v>0</v>
          </cell>
          <cell r="DN28405">
            <v>0</v>
          </cell>
        </row>
        <row r="28406">
          <cell r="E28406">
            <v>0</v>
          </cell>
          <cell r="F28406">
            <v>0</v>
          </cell>
          <cell r="DN28406">
            <v>0</v>
          </cell>
        </row>
        <row r="28407">
          <cell r="E28407">
            <v>0</v>
          </cell>
          <cell r="F28407">
            <v>0</v>
          </cell>
          <cell r="DN28407">
            <v>0</v>
          </cell>
        </row>
        <row r="28408">
          <cell r="E28408">
            <v>0</v>
          </cell>
          <cell r="F28408">
            <v>0</v>
          </cell>
          <cell r="DN28408">
            <v>0</v>
          </cell>
        </row>
        <row r="28409">
          <cell r="E28409">
            <v>0</v>
          </cell>
          <cell r="F28409">
            <v>0</v>
          </cell>
          <cell r="DN28409">
            <v>0</v>
          </cell>
        </row>
        <row r="28410">
          <cell r="E28410">
            <v>0</v>
          </cell>
          <cell r="F28410">
            <v>0</v>
          </cell>
          <cell r="DN28410">
            <v>0</v>
          </cell>
        </row>
        <row r="28411">
          <cell r="E28411">
            <v>0</v>
          </cell>
          <cell r="F28411">
            <v>0</v>
          </cell>
          <cell r="DN28411">
            <v>0</v>
          </cell>
        </row>
        <row r="28412">
          <cell r="E28412">
            <v>0</v>
          </cell>
          <cell r="F28412">
            <v>0</v>
          </cell>
          <cell r="DN28412">
            <v>0</v>
          </cell>
        </row>
        <row r="28413">
          <cell r="E28413">
            <v>0</v>
          </cell>
          <cell r="F28413">
            <v>0</v>
          </cell>
          <cell r="DN28413">
            <v>0</v>
          </cell>
        </row>
        <row r="28414">
          <cell r="E28414">
            <v>0</v>
          </cell>
          <cell r="F28414">
            <v>0</v>
          </cell>
          <cell r="DN28414">
            <v>0</v>
          </cell>
        </row>
        <row r="28415">
          <cell r="E28415">
            <v>0</v>
          </cell>
          <cell r="F28415">
            <v>0</v>
          </cell>
          <cell r="DN28415">
            <v>0</v>
          </cell>
        </row>
        <row r="28416">
          <cell r="E28416">
            <v>0</v>
          </cell>
          <cell r="F28416">
            <v>0</v>
          </cell>
          <cell r="DN28416">
            <v>0</v>
          </cell>
        </row>
        <row r="28417">
          <cell r="E28417">
            <v>0</v>
          </cell>
          <cell r="F28417">
            <v>0</v>
          </cell>
          <cell r="DN28417">
            <v>0</v>
          </cell>
        </row>
        <row r="28418">
          <cell r="E28418">
            <v>0</v>
          </cell>
          <cell r="F28418">
            <v>0</v>
          </cell>
          <cell r="DN28418">
            <v>0</v>
          </cell>
        </row>
        <row r="28419">
          <cell r="E28419">
            <v>0</v>
          </cell>
          <cell r="F28419">
            <v>0</v>
          </cell>
          <cell r="DN28419">
            <v>0</v>
          </cell>
        </row>
        <row r="28420">
          <cell r="E28420">
            <v>0</v>
          </cell>
          <cell r="F28420">
            <v>0</v>
          </cell>
          <cell r="DN28420">
            <v>0</v>
          </cell>
        </row>
        <row r="28421">
          <cell r="E28421">
            <v>0</v>
          </cell>
          <cell r="F28421">
            <v>0</v>
          </cell>
          <cell r="DN28421">
            <v>0</v>
          </cell>
        </row>
        <row r="28422">
          <cell r="E28422">
            <v>0</v>
          </cell>
          <cell r="F28422">
            <v>0</v>
          </cell>
          <cell r="DN28422">
            <v>0</v>
          </cell>
        </row>
        <row r="28423">
          <cell r="E28423">
            <v>0</v>
          </cell>
          <cell r="F28423">
            <v>0</v>
          </cell>
          <cell r="DN28423">
            <v>0</v>
          </cell>
        </row>
        <row r="28424">
          <cell r="E28424">
            <v>0</v>
          </cell>
          <cell r="F28424">
            <v>0</v>
          </cell>
          <cell r="DN28424">
            <v>0</v>
          </cell>
        </row>
        <row r="28425">
          <cell r="E28425">
            <v>0</v>
          </cell>
          <cell r="F28425">
            <v>0</v>
          </cell>
          <cell r="DN28425">
            <v>0</v>
          </cell>
        </row>
        <row r="28426">
          <cell r="E28426">
            <v>0</v>
          </cell>
          <cell r="F28426">
            <v>0</v>
          </cell>
          <cell r="DN28426">
            <v>0</v>
          </cell>
        </row>
        <row r="28427">
          <cell r="E28427">
            <v>0</v>
          </cell>
          <cell r="F28427">
            <v>0</v>
          </cell>
          <cell r="DN28427">
            <v>0</v>
          </cell>
        </row>
        <row r="28428">
          <cell r="E28428">
            <v>0</v>
          </cell>
          <cell r="F28428">
            <v>0</v>
          </cell>
          <cell r="DN28428">
            <v>0</v>
          </cell>
        </row>
        <row r="28429">
          <cell r="E28429">
            <v>0</v>
          </cell>
          <cell r="F28429">
            <v>0</v>
          </cell>
          <cell r="DN28429">
            <v>0</v>
          </cell>
        </row>
        <row r="28430">
          <cell r="E28430">
            <v>0</v>
          </cell>
          <cell r="F28430">
            <v>0</v>
          </cell>
          <cell r="DN28430">
            <v>0</v>
          </cell>
        </row>
        <row r="28431">
          <cell r="E28431">
            <v>0</v>
          </cell>
          <cell r="F28431">
            <v>0</v>
          </cell>
          <cell r="DN28431">
            <v>0</v>
          </cell>
        </row>
        <row r="28432">
          <cell r="E28432">
            <v>0</v>
          </cell>
          <cell r="F28432">
            <v>0</v>
          </cell>
          <cell r="DN28432">
            <v>0</v>
          </cell>
        </row>
        <row r="28433">
          <cell r="E28433">
            <v>0</v>
          </cell>
          <cell r="F28433">
            <v>0</v>
          </cell>
          <cell r="DN28433">
            <v>0</v>
          </cell>
        </row>
        <row r="28434">
          <cell r="E28434">
            <v>0</v>
          </cell>
          <cell r="F28434">
            <v>0</v>
          </cell>
          <cell r="DN28434">
            <v>0</v>
          </cell>
        </row>
        <row r="28435">
          <cell r="E28435">
            <v>0</v>
          </cell>
          <cell r="F28435">
            <v>0</v>
          </cell>
          <cell r="DN28435">
            <v>0</v>
          </cell>
        </row>
        <row r="28436">
          <cell r="E28436">
            <v>0</v>
          </cell>
          <cell r="F28436">
            <v>0</v>
          </cell>
          <cell r="DN28436">
            <v>0</v>
          </cell>
        </row>
        <row r="28437">
          <cell r="E28437">
            <v>0</v>
          </cell>
          <cell r="F28437">
            <v>0</v>
          </cell>
          <cell r="DN28437">
            <v>0</v>
          </cell>
        </row>
        <row r="28438">
          <cell r="E28438">
            <v>0</v>
          </cell>
          <cell r="F28438">
            <v>0</v>
          </cell>
          <cell r="DN28438">
            <v>0</v>
          </cell>
        </row>
        <row r="28439">
          <cell r="E28439">
            <v>0</v>
          </cell>
          <cell r="F28439">
            <v>0</v>
          </cell>
          <cell r="DN28439">
            <v>0</v>
          </cell>
        </row>
        <row r="28440">
          <cell r="E28440">
            <v>0</v>
          </cell>
          <cell r="F28440">
            <v>0</v>
          </cell>
          <cell r="DN28440">
            <v>0</v>
          </cell>
        </row>
        <row r="28441">
          <cell r="E28441">
            <v>0</v>
          </cell>
          <cell r="F28441">
            <v>0</v>
          </cell>
          <cell r="DN28441">
            <v>0</v>
          </cell>
        </row>
        <row r="28442">
          <cell r="E28442">
            <v>0</v>
          </cell>
          <cell r="F28442">
            <v>0</v>
          </cell>
          <cell r="DN28442">
            <v>0</v>
          </cell>
        </row>
        <row r="28443">
          <cell r="E28443">
            <v>0</v>
          </cell>
          <cell r="F28443">
            <v>0</v>
          </cell>
          <cell r="DN28443">
            <v>0</v>
          </cell>
        </row>
        <row r="28444">
          <cell r="E28444">
            <v>0</v>
          </cell>
          <cell r="F28444">
            <v>0</v>
          </cell>
          <cell r="DN28444">
            <v>0</v>
          </cell>
        </row>
        <row r="28445">
          <cell r="E28445">
            <v>0</v>
          </cell>
          <cell r="F28445">
            <v>0</v>
          </cell>
          <cell r="DN28445">
            <v>0</v>
          </cell>
        </row>
        <row r="28446">
          <cell r="E28446">
            <v>0</v>
          </cell>
          <cell r="F28446">
            <v>0</v>
          </cell>
          <cell r="DN28446">
            <v>0</v>
          </cell>
        </row>
        <row r="28447">
          <cell r="E28447">
            <v>0</v>
          </cell>
          <cell r="F28447">
            <v>0</v>
          </cell>
          <cell r="DN28447">
            <v>0</v>
          </cell>
        </row>
        <row r="28448">
          <cell r="E28448">
            <v>0</v>
          </cell>
          <cell r="F28448">
            <v>0</v>
          </cell>
          <cell r="DN28448">
            <v>0</v>
          </cell>
        </row>
        <row r="28449">
          <cell r="E28449">
            <v>0</v>
          </cell>
          <cell r="F28449">
            <v>0</v>
          </cell>
          <cell r="DN28449">
            <v>0</v>
          </cell>
        </row>
        <row r="28450">
          <cell r="E28450">
            <v>0</v>
          </cell>
          <cell r="F28450">
            <v>0</v>
          </cell>
          <cell r="DN28450">
            <v>0</v>
          </cell>
        </row>
        <row r="28451">
          <cell r="E28451">
            <v>0</v>
          </cell>
          <cell r="F28451">
            <v>0</v>
          </cell>
          <cell r="DN28451">
            <v>0</v>
          </cell>
        </row>
        <row r="28452">
          <cell r="E28452">
            <v>0</v>
          </cell>
          <cell r="F28452">
            <v>0</v>
          </cell>
          <cell r="DN28452">
            <v>0</v>
          </cell>
        </row>
        <row r="28453">
          <cell r="E28453">
            <v>0</v>
          </cell>
          <cell r="F28453">
            <v>0</v>
          </cell>
          <cell r="DN28453">
            <v>0</v>
          </cell>
        </row>
        <row r="28454">
          <cell r="E28454">
            <v>0</v>
          </cell>
          <cell r="F28454">
            <v>0</v>
          </cell>
          <cell r="DN28454">
            <v>0</v>
          </cell>
        </row>
        <row r="28455">
          <cell r="E28455">
            <v>0</v>
          </cell>
          <cell r="F28455">
            <v>0</v>
          </cell>
          <cell r="DN28455">
            <v>0</v>
          </cell>
        </row>
        <row r="28456">
          <cell r="E28456">
            <v>0</v>
          </cell>
          <cell r="F28456">
            <v>0</v>
          </cell>
          <cell r="DN28456">
            <v>0</v>
          </cell>
        </row>
        <row r="28457">
          <cell r="E28457">
            <v>0</v>
          </cell>
          <cell r="F28457">
            <v>0</v>
          </cell>
          <cell r="DN28457">
            <v>0</v>
          </cell>
        </row>
        <row r="28458">
          <cell r="E28458">
            <v>0</v>
          </cell>
          <cell r="F28458">
            <v>0</v>
          </cell>
          <cell r="DN28458">
            <v>0</v>
          </cell>
        </row>
        <row r="28459">
          <cell r="E28459">
            <v>0</v>
          </cell>
          <cell r="F28459">
            <v>0</v>
          </cell>
          <cell r="DN28459">
            <v>0</v>
          </cell>
        </row>
        <row r="28460">
          <cell r="E28460">
            <v>0</v>
          </cell>
          <cell r="F28460">
            <v>0</v>
          </cell>
          <cell r="DN28460">
            <v>0</v>
          </cell>
        </row>
        <row r="28461">
          <cell r="E28461">
            <v>0</v>
          </cell>
          <cell r="F28461">
            <v>0</v>
          </cell>
          <cell r="DN28461">
            <v>0</v>
          </cell>
        </row>
        <row r="28462">
          <cell r="E28462">
            <v>0</v>
          </cell>
          <cell r="F28462">
            <v>0</v>
          </cell>
          <cell r="DN28462">
            <v>0</v>
          </cell>
        </row>
        <row r="28463">
          <cell r="E28463">
            <v>0</v>
          </cell>
          <cell r="F28463">
            <v>0</v>
          </cell>
          <cell r="DN28463">
            <v>0</v>
          </cell>
        </row>
        <row r="28464">
          <cell r="E28464">
            <v>0</v>
          </cell>
          <cell r="F28464">
            <v>0</v>
          </cell>
          <cell r="DN28464">
            <v>0</v>
          </cell>
        </row>
        <row r="28465">
          <cell r="E28465">
            <v>0</v>
          </cell>
          <cell r="F28465">
            <v>0</v>
          </cell>
          <cell r="DN28465">
            <v>0</v>
          </cell>
        </row>
        <row r="28466">
          <cell r="E28466">
            <v>0</v>
          </cell>
          <cell r="F28466">
            <v>0</v>
          </cell>
          <cell r="DN28466">
            <v>0</v>
          </cell>
        </row>
        <row r="28467">
          <cell r="E28467">
            <v>0</v>
          </cell>
          <cell r="F28467">
            <v>0</v>
          </cell>
          <cell r="DN28467">
            <v>0</v>
          </cell>
        </row>
        <row r="28468">
          <cell r="E28468">
            <v>0</v>
          </cell>
          <cell r="F28468">
            <v>0</v>
          </cell>
          <cell r="DN28468">
            <v>0</v>
          </cell>
        </row>
        <row r="28469">
          <cell r="E28469">
            <v>0</v>
          </cell>
          <cell r="F28469">
            <v>0</v>
          </cell>
          <cell r="DN28469">
            <v>0</v>
          </cell>
        </row>
        <row r="28470">
          <cell r="E28470">
            <v>0</v>
          </cell>
          <cell r="F28470">
            <v>0</v>
          </cell>
          <cell r="DN28470">
            <v>0</v>
          </cell>
        </row>
        <row r="28471">
          <cell r="E28471">
            <v>0</v>
          </cell>
          <cell r="F28471">
            <v>0</v>
          </cell>
          <cell r="DN28471">
            <v>0</v>
          </cell>
        </row>
        <row r="28472">
          <cell r="E28472">
            <v>0</v>
          </cell>
          <cell r="F28472">
            <v>0</v>
          </cell>
          <cell r="DN28472">
            <v>0</v>
          </cell>
        </row>
        <row r="28473">
          <cell r="E28473">
            <v>0</v>
          </cell>
          <cell r="F28473">
            <v>0</v>
          </cell>
          <cell r="DN28473">
            <v>0</v>
          </cell>
        </row>
        <row r="28474">
          <cell r="E28474">
            <v>0</v>
          </cell>
          <cell r="F28474">
            <v>0</v>
          </cell>
          <cell r="DN28474">
            <v>0</v>
          </cell>
        </row>
        <row r="28475">
          <cell r="E28475">
            <v>0</v>
          </cell>
          <cell r="F28475">
            <v>0</v>
          </cell>
          <cell r="DN28475">
            <v>0</v>
          </cell>
        </row>
        <row r="28476">
          <cell r="E28476">
            <v>0</v>
          </cell>
          <cell r="F28476">
            <v>0</v>
          </cell>
          <cell r="DN28476">
            <v>0</v>
          </cell>
        </row>
        <row r="28477">
          <cell r="E28477">
            <v>0</v>
          </cell>
          <cell r="F28477">
            <v>0</v>
          </cell>
          <cell r="DN28477">
            <v>0</v>
          </cell>
        </row>
        <row r="28478">
          <cell r="E28478">
            <v>0</v>
          </cell>
          <cell r="F28478">
            <v>0</v>
          </cell>
          <cell r="DN28478">
            <v>0</v>
          </cell>
        </row>
        <row r="28479">
          <cell r="E28479">
            <v>0</v>
          </cell>
          <cell r="F28479">
            <v>0</v>
          </cell>
          <cell r="DN28479">
            <v>0</v>
          </cell>
        </row>
        <row r="28480">
          <cell r="E28480">
            <v>0</v>
          </cell>
          <cell r="F28480">
            <v>0</v>
          </cell>
          <cell r="DN28480">
            <v>0</v>
          </cell>
        </row>
        <row r="28481">
          <cell r="E28481">
            <v>0</v>
          </cell>
          <cell r="F28481">
            <v>0</v>
          </cell>
          <cell r="DN28481">
            <v>0</v>
          </cell>
        </row>
        <row r="28482">
          <cell r="E28482">
            <v>0</v>
          </cell>
          <cell r="F28482">
            <v>0</v>
          </cell>
          <cell r="DN28482">
            <v>0</v>
          </cell>
        </row>
        <row r="28483">
          <cell r="E28483">
            <v>0</v>
          </cell>
          <cell r="F28483">
            <v>0</v>
          </cell>
          <cell r="DN28483">
            <v>0</v>
          </cell>
        </row>
        <row r="28484">
          <cell r="E28484">
            <v>0</v>
          </cell>
          <cell r="F28484">
            <v>0</v>
          </cell>
          <cell r="DN28484">
            <v>0</v>
          </cell>
        </row>
        <row r="28485">
          <cell r="E28485">
            <v>0</v>
          </cell>
          <cell r="F28485">
            <v>0</v>
          </cell>
          <cell r="DN28485">
            <v>0</v>
          </cell>
        </row>
        <row r="28486">
          <cell r="E28486">
            <v>0</v>
          </cell>
          <cell r="F28486">
            <v>0</v>
          </cell>
          <cell r="DN28486">
            <v>0</v>
          </cell>
        </row>
        <row r="28487">
          <cell r="E28487">
            <v>0</v>
          </cell>
          <cell r="F28487">
            <v>0</v>
          </cell>
          <cell r="DN28487">
            <v>0</v>
          </cell>
        </row>
        <row r="28488">
          <cell r="E28488">
            <v>0</v>
          </cell>
          <cell r="F28488">
            <v>0</v>
          </cell>
          <cell r="DN28488">
            <v>0</v>
          </cell>
        </row>
        <row r="28489">
          <cell r="E28489">
            <v>0</v>
          </cell>
          <cell r="F28489">
            <v>0</v>
          </cell>
          <cell r="DN28489">
            <v>0</v>
          </cell>
        </row>
        <row r="28490">
          <cell r="E28490">
            <v>0</v>
          </cell>
          <cell r="F28490">
            <v>0</v>
          </cell>
          <cell r="DN28490">
            <v>0</v>
          </cell>
        </row>
        <row r="28491">
          <cell r="E28491">
            <v>0</v>
          </cell>
          <cell r="F28491">
            <v>0</v>
          </cell>
          <cell r="DN28491">
            <v>0</v>
          </cell>
        </row>
        <row r="28492">
          <cell r="E28492">
            <v>0</v>
          </cell>
          <cell r="F28492">
            <v>0</v>
          </cell>
          <cell r="DN28492">
            <v>0</v>
          </cell>
        </row>
        <row r="28493">
          <cell r="E28493">
            <v>0</v>
          </cell>
          <cell r="F28493">
            <v>0</v>
          </cell>
          <cell r="DN28493">
            <v>0</v>
          </cell>
        </row>
        <row r="28494">
          <cell r="E28494">
            <v>0</v>
          </cell>
          <cell r="F28494">
            <v>0</v>
          </cell>
          <cell r="DN28494">
            <v>0</v>
          </cell>
        </row>
        <row r="28495">
          <cell r="E28495">
            <v>0</v>
          </cell>
          <cell r="F28495">
            <v>0</v>
          </cell>
          <cell r="DN28495">
            <v>0</v>
          </cell>
        </row>
        <row r="28496">
          <cell r="E28496">
            <v>0</v>
          </cell>
          <cell r="F28496">
            <v>0</v>
          </cell>
          <cell r="DN28496">
            <v>0</v>
          </cell>
        </row>
        <row r="28497">
          <cell r="E28497">
            <v>0</v>
          </cell>
          <cell r="F28497">
            <v>0</v>
          </cell>
          <cell r="DN28497">
            <v>0</v>
          </cell>
        </row>
        <row r="28498">
          <cell r="E28498">
            <v>0</v>
          </cell>
          <cell r="F28498">
            <v>0</v>
          </cell>
          <cell r="DN28498">
            <v>0</v>
          </cell>
        </row>
        <row r="28499">
          <cell r="E28499">
            <v>0</v>
          </cell>
          <cell r="F28499">
            <v>0</v>
          </cell>
          <cell r="DN28499">
            <v>0</v>
          </cell>
        </row>
        <row r="28500">
          <cell r="E28500">
            <v>0</v>
          </cell>
          <cell r="F28500">
            <v>0</v>
          </cell>
          <cell r="DN28500">
            <v>0</v>
          </cell>
        </row>
        <row r="28501">
          <cell r="E28501">
            <v>0</v>
          </cell>
          <cell r="F28501">
            <v>0</v>
          </cell>
          <cell r="DN28501">
            <v>0</v>
          </cell>
        </row>
        <row r="28502">
          <cell r="E28502">
            <v>0</v>
          </cell>
          <cell r="F28502">
            <v>0</v>
          </cell>
          <cell r="DN28502">
            <v>0</v>
          </cell>
        </row>
        <row r="28503">
          <cell r="E28503">
            <v>0</v>
          </cell>
          <cell r="F28503">
            <v>0</v>
          </cell>
          <cell r="DN28503">
            <v>0</v>
          </cell>
        </row>
        <row r="28504">
          <cell r="E28504">
            <v>0</v>
          </cell>
          <cell r="F28504">
            <v>0</v>
          </cell>
          <cell r="DN28504">
            <v>0</v>
          </cell>
        </row>
        <row r="28505">
          <cell r="E28505">
            <v>0</v>
          </cell>
          <cell r="F28505">
            <v>0</v>
          </cell>
          <cell r="DN28505">
            <v>0</v>
          </cell>
        </row>
        <row r="28506">
          <cell r="E28506">
            <v>0</v>
          </cell>
          <cell r="F28506">
            <v>0</v>
          </cell>
          <cell r="DN28506">
            <v>0</v>
          </cell>
        </row>
        <row r="28507">
          <cell r="E28507">
            <v>0</v>
          </cell>
          <cell r="F28507">
            <v>0</v>
          </cell>
          <cell r="DN28507">
            <v>0</v>
          </cell>
        </row>
        <row r="28508">
          <cell r="E28508">
            <v>0</v>
          </cell>
          <cell r="F28508">
            <v>0</v>
          </cell>
          <cell r="DN28508">
            <v>0</v>
          </cell>
        </row>
        <row r="28509">
          <cell r="E28509">
            <v>0</v>
          </cell>
          <cell r="F28509">
            <v>0</v>
          </cell>
          <cell r="DN28509">
            <v>0</v>
          </cell>
        </row>
        <row r="28510">
          <cell r="E28510">
            <v>0</v>
          </cell>
          <cell r="F28510">
            <v>0</v>
          </cell>
          <cell r="DN28510">
            <v>0</v>
          </cell>
        </row>
        <row r="28511">
          <cell r="E28511">
            <v>0</v>
          </cell>
          <cell r="F28511">
            <v>0</v>
          </cell>
          <cell r="DN28511">
            <v>0</v>
          </cell>
        </row>
        <row r="28512">
          <cell r="E28512">
            <v>0</v>
          </cell>
          <cell r="F28512">
            <v>0</v>
          </cell>
          <cell r="DN28512">
            <v>0</v>
          </cell>
        </row>
        <row r="28513">
          <cell r="E28513">
            <v>0</v>
          </cell>
          <cell r="F28513">
            <v>0</v>
          </cell>
          <cell r="DN28513">
            <v>0</v>
          </cell>
        </row>
        <row r="28514">
          <cell r="E28514">
            <v>0</v>
          </cell>
          <cell r="F28514">
            <v>0</v>
          </cell>
          <cell r="DN28514">
            <v>0</v>
          </cell>
        </row>
        <row r="28515">
          <cell r="E28515">
            <v>0</v>
          </cell>
          <cell r="F28515">
            <v>0</v>
          </cell>
          <cell r="DN28515">
            <v>0</v>
          </cell>
        </row>
        <row r="28516">
          <cell r="E28516">
            <v>0</v>
          </cell>
          <cell r="F28516">
            <v>0</v>
          </cell>
          <cell r="DN28516">
            <v>0</v>
          </cell>
        </row>
        <row r="28517">
          <cell r="E28517">
            <v>0</v>
          </cell>
          <cell r="F28517">
            <v>0</v>
          </cell>
          <cell r="DN28517">
            <v>0</v>
          </cell>
        </row>
        <row r="28518">
          <cell r="E28518">
            <v>0</v>
          </cell>
          <cell r="F28518">
            <v>0</v>
          </cell>
          <cell r="DN28518">
            <v>0</v>
          </cell>
        </row>
        <row r="28519">
          <cell r="E28519">
            <v>0</v>
          </cell>
          <cell r="F28519">
            <v>0</v>
          </cell>
          <cell r="DN28519">
            <v>0</v>
          </cell>
        </row>
        <row r="28520">
          <cell r="E28520">
            <v>0</v>
          </cell>
          <cell r="F28520">
            <v>0</v>
          </cell>
          <cell r="DN28520">
            <v>0</v>
          </cell>
        </row>
        <row r="28521">
          <cell r="E28521">
            <v>0</v>
          </cell>
          <cell r="F28521">
            <v>0</v>
          </cell>
          <cell r="DN28521">
            <v>0</v>
          </cell>
        </row>
        <row r="28522">
          <cell r="E28522">
            <v>0</v>
          </cell>
          <cell r="F28522">
            <v>0</v>
          </cell>
          <cell r="DN28522">
            <v>0</v>
          </cell>
        </row>
        <row r="28523">
          <cell r="E28523">
            <v>0</v>
          </cell>
          <cell r="F28523">
            <v>0</v>
          </cell>
          <cell r="DN28523">
            <v>0</v>
          </cell>
        </row>
        <row r="28524">
          <cell r="E28524">
            <v>0</v>
          </cell>
          <cell r="F28524">
            <v>0</v>
          </cell>
          <cell r="DN28524">
            <v>0</v>
          </cell>
        </row>
        <row r="28525">
          <cell r="E28525">
            <v>0</v>
          </cell>
          <cell r="F28525">
            <v>0</v>
          </cell>
          <cell r="DN28525">
            <v>0</v>
          </cell>
        </row>
        <row r="28526">
          <cell r="E28526">
            <v>0</v>
          </cell>
          <cell r="F28526">
            <v>0</v>
          </cell>
          <cell r="DN28526">
            <v>0</v>
          </cell>
        </row>
        <row r="28527">
          <cell r="E28527">
            <v>0</v>
          </cell>
          <cell r="F28527">
            <v>0</v>
          </cell>
          <cell r="DN28527">
            <v>0</v>
          </cell>
        </row>
        <row r="28528">
          <cell r="E28528">
            <v>0</v>
          </cell>
          <cell r="F28528">
            <v>0</v>
          </cell>
          <cell r="DN28528">
            <v>0</v>
          </cell>
        </row>
        <row r="28529">
          <cell r="E28529">
            <v>0</v>
          </cell>
          <cell r="F28529">
            <v>0</v>
          </cell>
          <cell r="DN28529">
            <v>0</v>
          </cell>
        </row>
        <row r="28530">
          <cell r="E28530">
            <v>0</v>
          </cell>
          <cell r="F28530">
            <v>0</v>
          </cell>
          <cell r="DN28530">
            <v>0</v>
          </cell>
        </row>
        <row r="28531">
          <cell r="E28531">
            <v>0</v>
          </cell>
          <cell r="F28531">
            <v>0</v>
          </cell>
          <cell r="DN28531">
            <v>0</v>
          </cell>
        </row>
        <row r="28532">
          <cell r="E28532">
            <v>0</v>
          </cell>
          <cell r="F28532">
            <v>0</v>
          </cell>
          <cell r="DN28532">
            <v>0</v>
          </cell>
        </row>
        <row r="28533">
          <cell r="E28533">
            <v>0</v>
          </cell>
          <cell r="F28533">
            <v>0</v>
          </cell>
          <cell r="DN28533">
            <v>0</v>
          </cell>
        </row>
        <row r="28534">
          <cell r="E28534">
            <v>0</v>
          </cell>
          <cell r="F28534">
            <v>0</v>
          </cell>
          <cell r="DN28534">
            <v>0</v>
          </cell>
        </row>
        <row r="28535">
          <cell r="E28535">
            <v>0</v>
          </cell>
          <cell r="F28535">
            <v>0</v>
          </cell>
          <cell r="DN28535">
            <v>0</v>
          </cell>
        </row>
        <row r="28536">
          <cell r="E28536">
            <v>0</v>
          </cell>
          <cell r="F28536">
            <v>0</v>
          </cell>
          <cell r="DN28536">
            <v>0</v>
          </cell>
        </row>
        <row r="28537">
          <cell r="E28537">
            <v>0</v>
          </cell>
          <cell r="F28537">
            <v>0</v>
          </cell>
          <cell r="DN28537">
            <v>0</v>
          </cell>
        </row>
        <row r="28538">
          <cell r="E28538">
            <v>0</v>
          </cell>
          <cell r="F28538">
            <v>0</v>
          </cell>
          <cell r="DN28538">
            <v>0</v>
          </cell>
        </row>
        <row r="28539">
          <cell r="E28539">
            <v>0</v>
          </cell>
          <cell r="F28539">
            <v>0</v>
          </cell>
          <cell r="DN28539">
            <v>0</v>
          </cell>
        </row>
        <row r="28540">
          <cell r="E28540">
            <v>0</v>
          </cell>
          <cell r="F28540">
            <v>0</v>
          </cell>
          <cell r="DN28540">
            <v>0</v>
          </cell>
        </row>
        <row r="28541">
          <cell r="E28541">
            <v>0</v>
          </cell>
          <cell r="F28541">
            <v>0</v>
          </cell>
          <cell r="DN28541">
            <v>0</v>
          </cell>
        </row>
        <row r="28542">
          <cell r="E28542">
            <v>0</v>
          </cell>
          <cell r="F28542">
            <v>0</v>
          </cell>
          <cell r="DN28542">
            <v>0</v>
          </cell>
        </row>
        <row r="28543">
          <cell r="E28543">
            <v>0</v>
          </cell>
          <cell r="F28543">
            <v>0</v>
          </cell>
          <cell r="DN28543">
            <v>0</v>
          </cell>
        </row>
        <row r="28544">
          <cell r="E28544">
            <v>0</v>
          </cell>
          <cell r="F28544">
            <v>0</v>
          </cell>
          <cell r="DN28544">
            <v>0</v>
          </cell>
        </row>
        <row r="28545">
          <cell r="E28545">
            <v>0</v>
          </cell>
          <cell r="F28545">
            <v>0</v>
          </cell>
          <cell r="DN28545">
            <v>0</v>
          </cell>
        </row>
        <row r="28546">
          <cell r="E28546">
            <v>0</v>
          </cell>
          <cell r="F28546">
            <v>0</v>
          </cell>
          <cell r="DN28546">
            <v>0</v>
          </cell>
        </row>
        <row r="28547">
          <cell r="E28547">
            <v>0</v>
          </cell>
          <cell r="F28547">
            <v>0</v>
          </cell>
          <cell r="DN28547">
            <v>0</v>
          </cell>
        </row>
        <row r="28548">
          <cell r="E28548">
            <v>0</v>
          </cell>
          <cell r="F28548">
            <v>0</v>
          </cell>
          <cell r="DN28548">
            <v>0</v>
          </cell>
        </row>
        <row r="28549">
          <cell r="E28549">
            <v>0</v>
          </cell>
          <cell r="F28549">
            <v>0</v>
          </cell>
          <cell r="DN28549">
            <v>0</v>
          </cell>
        </row>
        <row r="28550">
          <cell r="E28550">
            <v>0</v>
          </cell>
          <cell r="F28550">
            <v>0</v>
          </cell>
          <cell r="DN28550">
            <v>0</v>
          </cell>
        </row>
        <row r="28551">
          <cell r="E28551">
            <v>0</v>
          </cell>
          <cell r="F28551">
            <v>0</v>
          </cell>
          <cell r="DN28551">
            <v>0</v>
          </cell>
        </row>
        <row r="28552">
          <cell r="E28552">
            <v>0</v>
          </cell>
          <cell r="F28552">
            <v>0</v>
          </cell>
          <cell r="DN28552">
            <v>0</v>
          </cell>
        </row>
        <row r="28553">
          <cell r="E28553">
            <v>0</v>
          </cell>
          <cell r="F28553">
            <v>0</v>
          </cell>
          <cell r="DN28553">
            <v>0</v>
          </cell>
        </row>
        <row r="28554">
          <cell r="E28554">
            <v>0</v>
          </cell>
          <cell r="F28554">
            <v>0</v>
          </cell>
          <cell r="DN28554">
            <v>0</v>
          </cell>
        </row>
        <row r="28555">
          <cell r="E28555">
            <v>0</v>
          </cell>
          <cell r="F28555">
            <v>0</v>
          </cell>
          <cell r="DN28555">
            <v>0</v>
          </cell>
        </row>
        <row r="28556">
          <cell r="E28556">
            <v>0</v>
          </cell>
          <cell r="F28556">
            <v>0</v>
          </cell>
          <cell r="DN28556">
            <v>0</v>
          </cell>
        </row>
        <row r="28557">
          <cell r="E28557">
            <v>0</v>
          </cell>
          <cell r="F28557">
            <v>0</v>
          </cell>
          <cell r="DN28557">
            <v>0</v>
          </cell>
        </row>
        <row r="28558">
          <cell r="E28558">
            <v>0</v>
          </cell>
          <cell r="F28558">
            <v>0</v>
          </cell>
          <cell r="DN28558">
            <v>0</v>
          </cell>
        </row>
        <row r="28559">
          <cell r="E28559">
            <v>0</v>
          </cell>
          <cell r="F28559">
            <v>0</v>
          </cell>
          <cell r="DN28559">
            <v>0</v>
          </cell>
        </row>
        <row r="28560">
          <cell r="E28560">
            <v>0</v>
          </cell>
          <cell r="F28560">
            <v>0</v>
          </cell>
          <cell r="DN28560">
            <v>0</v>
          </cell>
        </row>
        <row r="28561">
          <cell r="E28561">
            <v>0</v>
          </cell>
          <cell r="F28561">
            <v>0</v>
          </cell>
          <cell r="DN28561">
            <v>0</v>
          </cell>
        </row>
        <row r="28562">
          <cell r="E28562">
            <v>0</v>
          </cell>
          <cell r="F28562">
            <v>0</v>
          </cell>
          <cell r="DN28562">
            <v>0</v>
          </cell>
        </row>
        <row r="28563">
          <cell r="E28563">
            <v>0</v>
          </cell>
          <cell r="F28563">
            <v>0</v>
          </cell>
          <cell r="DN28563">
            <v>0</v>
          </cell>
        </row>
        <row r="28564">
          <cell r="E28564">
            <v>0</v>
          </cell>
          <cell r="F28564">
            <v>0</v>
          </cell>
          <cell r="DN28564">
            <v>0</v>
          </cell>
        </row>
        <row r="28565">
          <cell r="E28565">
            <v>0</v>
          </cell>
          <cell r="F28565">
            <v>0</v>
          </cell>
          <cell r="DN28565">
            <v>0</v>
          </cell>
        </row>
        <row r="28566">
          <cell r="E28566">
            <v>0</v>
          </cell>
          <cell r="F28566">
            <v>0</v>
          </cell>
          <cell r="DN28566">
            <v>0</v>
          </cell>
        </row>
        <row r="28567">
          <cell r="E28567">
            <v>0</v>
          </cell>
          <cell r="F28567">
            <v>0</v>
          </cell>
          <cell r="DN28567">
            <v>0</v>
          </cell>
        </row>
        <row r="28568">
          <cell r="E28568">
            <v>0</v>
          </cell>
          <cell r="F28568">
            <v>0</v>
          </cell>
          <cell r="DN28568">
            <v>0</v>
          </cell>
        </row>
        <row r="28569">
          <cell r="E28569">
            <v>0</v>
          </cell>
          <cell r="F28569">
            <v>0</v>
          </cell>
          <cell r="DN28569">
            <v>0</v>
          </cell>
        </row>
        <row r="28570">
          <cell r="E28570">
            <v>0</v>
          </cell>
          <cell r="F28570">
            <v>0</v>
          </cell>
          <cell r="DN28570">
            <v>0</v>
          </cell>
        </row>
        <row r="28571">
          <cell r="E28571">
            <v>0</v>
          </cell>
          <cell r="F28571">
            <v>0</v>
          </cell>
          <cell r="DN28571">
            <v>0</v>
          </cell>
        </row>
        <row r="28572">
          <cell r="E28572">
            <v>0</v>
          </cell>
          <cell r="F28572">
            <v>0</v>
          </cell>
          <cell r="DN28572">
            <v>0</v>
          </cell>
        </row>
        <row r="28573">
          <cell r="E28573">
            <v>0</v>
          </cell>
          <cell r="F28573">
            <v>0</v>
          </cell>
          <cell r="DN28573">
            <v>0</v>
          </cell>
        </row>
        <row r="28574">
          <cell r="E28574">
            <v>0</v>
          </cell>
          <cell r="F28574">
            <v>0</v>
          </cell>
          <cell r="DN28574">
            <v>0</v>
          </cell>
        </row>
        <row r="28575">
          <cell r="E28575">
            <v>0</v>
          </cell>
          <cell r="F28575">
            <v>0</v>
          </cell>
          <cell r="DN28575">
            <v>0</v>
          </cell>
        </row>
        <row r="28576">
          <cell r="E28576">
            <v>0</v>
          </cell>
          <cell r="F28576">
            <v>0</v>
          </cell>
          <cell r="DN28576">
            <v>0</v>
          </cell>
        </row>
        <row r="28577">
          <cell r="E28577">
            <v>0</v>
          </cell>
          <cell r="F28577">
            <v>0</v>
          </cell>
          <cell r="DN28577">
            <v>0</v>
          </cell>
        </row>
        <row r="28578">
          <cell r="E28578">
            <v>0</v>
          </cell>
          <cell r="F28578">
            <v>0</v>
          </cell>
          <cell r="DN28578">
            <v>0</v>
          </cell>
        </row>
        <row r="28579">
          <cell r="E28579">
            <v>0</v>
          </cell>
          <cell r="F28579">
            <v>0</v>
          </cell>
          <cell r="DN28579">
            <v>0</v>
          </cell>
        </row>
        <row r="28580">
          <cell r="E28580">
            <v>0</v>
          </cell>
          <cell r="F28580">
            <v>0</v>
          </cell>
          <cell r="DN28580">
            <v>0</v>
          </cell>
        </row>
        <row r="28581">
          <cell r="E28581">
            <v>0</v>
          </cell>
          <cell r="F28581">
            <v>0</v>
          </cell>
          <cell r="DN28581">
            <v>0</v>
          </cell>
        </row>
        <row r="28582">
          <cell r="E28582">
            <v>0</v>
          </cell>
          <cell r="F28582">
            <v>0</v>
          </cell>
          <cell r="DN28582">
            <v>0</v>
          </cell>
        </row>
        <row r="28583">
          <cell r="E28583">
            <v>0</v>
          </cell>
          <cell r="F28583">
            <v>0</v>
          </cell>
          <cell r="DN28583">
            <v>0</v>
          </cell>
        </row>
        <row r="28584">
          <cell r="E28584">
            <v>0</v>
          </cell>
          <cell r="F28584">
            <v>0</v>
          </cell>
          <cell r="DN28584">
            <v>0</v>
          </cell>
        </row>
        <row r="28585">
          <cell r="E28585">
            <v>0</v>
          </cell>
          <cell r="F28585">
            <v>0</v>
          </cell>
          <cell r="DN28585">
            <v>0</v>
          </cell>
        </row>
        <row r="28586">
          <cell r="E28586">
            <v>0</v>
          </cell>
          <cell r="F28586">
            <v>0</v>
          </cell>
          <cell r="DN28586">
            <v>0</v>
          </cell>
        </row>
        <row r="28587">
          <cell r="E28587">
            <v>0</v>
          </cell>
          <cell r="F28587">
            <v>0</v>
          </cell>
          <cell r="DN28587">
            <v>0</v>
          </cell>
        </row>
        <row r="28588">
          <cell r="E28588">
            <v>0</v>
          </cell>
          <cell r="F28588">
            <v>0</v>
          </cell>
          <cell r="DN28588">
            <v>0</v>
          </cell>
        </row>
        <row r="28589">
          <cell r="E28589">
            <v>0</v>
          </cell>
          <cell r="F28589">
            <v>0</v>
          </cell>
          <cell r="DN28589">
            <v>0</v>
          </cell>
        </row>
        <row r="28590">
          <cell r="E28590">
            <v>0</v>
          </cell>
          <cell r="F28590">
            <v>0</v>
          </cell>
          <cell r="DN28590">
            <v>0</v>
          </cell>
        </row>
        <row r="28591">
          <cell r="E28591">
            <v>0</v>
          </cell>
          <cell r="F28591">
            <v>0</v>
          </cell>
          <cell r="DN28591">
            <v>0</v>
          </cell>
        </row>
        <row r="28592">
          <cell r="E28592">
            <v>0</v>
          </cell>
          <cell r="F28592">
            <v>0</v>
          </cell>
          <cell r="DN28592">
            <v>0</v>
          </cell>
        </row>
        <row r="28593">
          <cell r="E28593">
            <v>0</v>
          </cell>
          <cell r="F28593">
            <v>0</v>
          </cell>
          <cell r="DN28593">
            <v>0</v>
          </cell>
        </row>
        <row r="28594">
          <cell r="E28594">
            <v>0</v>
          </cell>
          <cell r="F28594">
            <v>0</v>
          </cell>
          <cell r="DN28594">
            <v>0</v>
          </cell>
        </row>
        <row r="28595">
          <cell r="E28595">
            <v>0</v>
          </cell>
          <cell r="F28595">
            <v>0</v>
          </cell>
          <cell r="DN28595">
            <v>0</v>
          </cell>
        </row>
        <row r="28596">
          <cell r="E28596">
            <v>0</v>
          </cell>
          <cell r="F28596">
            <v>0</v>
          </cell>
          <cell r="DN28596">
            <v>0</v>
          </cell>
        </row>
        <row r="28597">
          <cell r="E28597">
            <v>0</v>
          </cell>
          <cell r="F28597">
            <v>0</v>
          </cell>
          <cell r="DN28597">
            <v>0</v>
          </cell>
        </row>
        <row r="28598">
          <cell r="E28598">
            <v>0</v>
          </cell>
          <cell r="F28598">
            <v>0</v>
          </cell>
          <cell r="DN28598">
            <v>0</v>
          </cell>
        </row>
        <row r="28599">
          <cell r="E28599">
            <v>0</v>
          </cell>
          <cell r="F28599">
            <v>0</v>
          </cell>
          <cell r="DN28599">
            <v>0</v>
          </cell>
        </row>
        <row r="28600">
          <cell r="E28600">
            <v>0</v>
          </cell>
          <cell r="F28600">
            <v>0</v>
          </cell>
          <cell r="DN28600">
            <v>0</v>
          </cell>
        </row>
        <row r="28601">
          <cell r="E28601">
            <v>0</v>
          </cell>
          <cell r="F28601">
            <v>0</v>
          </cell>
          <cell r="DN28601">
            <v>0</v>
          </cell>
        </row>
        <row r="28602">
          <cell r="E28602">
            <v>0</v>
          </cell>
          <cell r="F28602">
            <v>0</v>
          </cell>
          <cell r="DN28602">
            <v>0</v>
          </cell>
        </row>
        <row r="28603">
          <cell r="E28603">
            <v>0</v>
          </cell>
          <cell r="F28603">
            <v>0</v>
          </cell>
          <cell r="DN28603">
            <v>0</v>
          </cell>
        </row>
        <row r="28604">
          <cell r="E28604">
            <v>0</v>
          </cell>
          <cell r="F28604">
            <v>0</v>
          </cell>
          <cell r="DN28604">
            <v>0</v>
          </cell>
        </row>
        <row r="28605">
          <cell r="E28605">
            <v>0</v>
          </cell>
          <cell r="F28605">
            <v>0</v>
          </cell>
          <cell r="DN28605">
            <v>0</v>
          </cell>
        </row>
        <row r="28606">
          <cell r="E28606">
            <v>0</v>
          </cell>
          <cell r="F28606">
            <v>0</v>
          </cell>
          <cell r="DN28606">
            <v>0</v>
          </cell>
        </row>
        <row r="28607">
          <cell r="E28607">
            <v>0</v>
          </cell>
          <cell r="F28607">
            <v>0</v>
          </cell>
          <cell r="DN28607">
            <v>0</v>
          </cell>
        </row>
        <row r="28608">
          <cell r="E28608">
            <v>0</v>
          </cell>
          <cell r="F28608">
            <v>0</v>
          </cell>
          <cell r="DN28608">
            <v>0</v>
          </cell>
        </row>
        <row r="28609">
          <cell r="E28609">
            <v>0</v>
          </cell>
          <cell r="F28609">
            <v>0</v>
          </cell>
          <cell r="DN28609">
            <v>0</v>
          </cell>
        </row>
        <row r="28610">
          <cell r="E28610">
            <v>0</v>
          </cell>
          <cell r="F28610">
            <v>0</v>
          </cell>
          <cell r="DN28610">
            <v>0</v>
          </cell>
        </row>
        <row r="28611">
          <cell r="E28611">
            <v>0</v>
          </cell>
          <cell r="F28611">
            <v>0</v>
          </cell>
          <cell r="DN28611">
            <v>0</v>
          </cell>
        </row>
        <row r="28612">
          <cell r="E28612">
            <v>0</v>
          </cell>
          <cell r="F28612">
            <v>0</v>
          </cell>
          <cell r="DN28612">
            <v>0</v>
          </cell>
        </row>
        <row r="28613">
          <cell r="E28613">
            <v>0</v>
          </cell>
          <cell r="F28613">
            <v>0</v>
          </cell>
          <cell r="DN28613">
            <v>0</v>
          </cell>
        </row>
        <row r="28614">
          <cell r="E28614">
            <v>0</v>
          </cell>
          <cell r="F28614">
            <v>0</v>
          </cell>
          <cell r="DN28614">
            <v>0</v>
          </cell>
        </row>
        <row r="28615">
          <cell r="E28615">
            <v>0</v>
          </cell>
          <cell r="F28615">
            <v>0</v>
          </cell>
          <cell r="DN28615">
            <v>0</v>
          </cell>
        </row>
        <row r="28616">
          <cell r="E28616">
            <v>0</v>
          </cell>
          <cell r="F28616">
            <v>0</v>
          </cell>
          <cell r="DN28616">
            <v>0</v>
          </cell>
        </row>
        <row r="28617">
          <cell r="E28617">
            <v>0</v>
          </cell>
          <cell r="F28617">
            <v>0</v>
          </cell>
          <cell r="DN28617">
            <v>0</v>
          </cell>
        </row>
        <row r="28618">
          <cell r="E28618">
            <v>0</v>
          </cell>
          <cell r="F28618">
            <v>0</v>
          </cell>
          <cell r="DN28618">
            <v>0</v>
          </cell>
        </row>
        <row r="28619">
          <cell r="E28619">
            <v>0</v>
          </cell>
          <cell r="F28619">
            <v>0</v>
          </cell>
          <cell r="DN28619">
            <v>0</v>
          </cell>
        </row>
        <row r="28620">
          <cell r="E28620">
            <v>0</v>
          </cell>
          <cell r="F28620">
            <v>0</v>
          </cell>
          <cell r="DN28620">
            <v>0</v>
          </cell>
        </row>
        <row r="28621">
          <cell r="E28621">
            <v>0</v>
          </cell>
          <cell r="F28621">
            <v>0</v>
          </cell>
          <cell r="DN28621">
            <v>0</v>
          </cell>
        </row>
        <row r="28622">
          <cell r="E28622">
            <v>0</v>
          </cell>
          <cell r="F28622">
            <v>0</v>
          </cell>
          <cell r="DN28622">
            <v>0</v>
          </cell>
        </row>
        <row r="28623">
          <cell r="E28623">
            <v>0</v>
          </cell>
          <cell r="F28623">
            <v>0</v>
          </cell>
          <cell r="DN28623">
            <v>0</v>
          </cell>
        </row>
        <row r="28624">
          <cell r="E28624">
            <v>0</v>
          </cell>
          <cell r="F28624">
            <v>0</v>
          </cell>
          <cell r="DN28624">
            <v>0</v>
          </cell>
        </row>
        <row r="28625">
          <cell r="E28625">
            <v>0</v>
          </cell>
          <cell r="F28625">
            <v>0</v>
          </cell>
          <cell r="DN28625">
            <v>0</v>
          </cell>
        </row>
        <row r="28626">
          <cell r="E28626">
            <v>0</v>
          </cell>
          <cell r="F28626">
            <v>0</v>
          </cell>
          <cell r="DN28626">
            <v>0</v>
          </cell>
        </row>
        <row r="28627">
          <cell r="E28627">
            <v>0</v>
          </cell>
          <cell r="F28627">
            <v>0</v>
          </cell>
          <cell r="DN28627">
            <v>0</v>
          </cell>
        </row>
        <row r="28628">
          <cell r="E28628">
            <v>0</v>
          </cell>
          <cell r="F28628">
            <v>0</v>
          </cell>
          <cell r="DN28628">
            <v>0</v>
          </cell>
        </row>
        <row r="28629">
          <cell r="E28629">
            <v>0</v>
          </cell>
          <cell r="F28629">
            <v>0</v>
          </cell>
          <cell r="DN28629">
            <v>0</v>
          </cell>
        </row>
        <row r="28630">
          <cell r="E28630">
            <v>0</v>
          </cell>
          <cell r="F28630">
            <v>0</v>
          </cell>
          <cell r="DN28630">
            <v>0</v>
          </cell>
        </row>
        <row r="28631">
          <cell r="E28631">
            <v>0</v>
          </cell>
          <cell r="F28631">
            <v>0</v>
          </cell>
          <cell r="DN28631">
            <v>0</v>
          </cell>
        </row>
        <row r="28632">
          <cell r="E28632">
            <v>0</v>
          </cell>
          <cell r="F28632">
            <v>0</v>
          </cell>
          <cell r="DN28632">
            <v>0</v>
          </cell>
        </row>
        <row r="28633">
          <cell r="E28633">
            <v>0</v>
          </cell>
          <cell r="F28633">
            <v>0</v>
          </cell>
          <cell r="DN28633">
            <v>0</v>
          </cell>
        </row>
        <row r="28634">
          <cell r="E28634">
            <v>0</v>
          </cell>
          <cell r="F28634">
            <v>0</v>
          </cell>
          <cell r="DN28634">
            <v>0</v>
          </cell>
        </row>
        <row r="28635">
          <cell r="E28635">
            <v>0</v>
          </cell>
          <cell r="F28635">
            <v>0</v>
          </cell>
          <cell r="DN28635">
            <v>0</v>
          </cell>
        </row>
        <row r="28636">
          <cell r="E28636">
            <v>0</v>
          </cell>
          <cell r="F28636">
            <v>0</v>
          </cell>
          <cell r="DN28636">
            <v>0</v>
          </cell>
        </row>
        <row r="28637">
          <cell r="E28637">
            <v>0</v>
          </cell>
          <cell r="F28637">
            <v>0</v>
          </cell>
          <cell r="DN28637">
            <v>0</v>
          </cell>
        </row>
        <row r="28638">
          <cell r="E28638">
            <v>0</v>
          </cell>
          <cell r="F28638">
            <v>0</v>
          </cell>
          <cell r="DN28638">
            <v>0</v>
          </cell>
        </row>
        <row r="28639">
          <cell r="E28639">
            <v>0</v>
          </cell>
          <cell r="F28639">
            <v>0</v>
          </cell>
          <cell r="DN28639">
            <v>0</v>
          </cell>
        </row>
        <row r="28640">
          <cell r="E28640">
            <v>0</v>
          </cell>
          <cell r="F28640">
            <v>0</v>
          </cell>
          <cell r="DN28640">
            <v>0</v>
          </cell>
        </row>
        <row r="28641">
          <cell r="E28641">
            <v>0</v>
          </cell>
          <cell r="F28641">
            <v>0</v>
          </cell>
          <cell r="DN28641">
            <v>0</v>
          </cell>
        </row>
        <row r="28642">
          <cell r="E28642">
            <v>0</v>
          </cell>
          <cell r="F28642">
            <v>0</v>
          </cell>
          <cell r="DN28642">
            <v>0</v>
          </cell>
        </row>
        <row r="28643">
          <cell r="E28643">
            <v>0</v>
          </cell>
          <cell r="F28643">
            <v>0</v>
          </cell>
          <cell r="DN28643">
            <v>0</v>
          </cell>
        </row>
        <row r="28644">
          <cell r="E28644">
            <v>0</v>
          </cell>
          <cell r="F28644">
            <v>0</v>
          </cell>
          <cell r="DN28644">
            <v>0</v>
          </cell>
        </row>
        <row r="28645">
          <cell r="E28645">
            <v>0</v>
          </cell>
          <cell r="F28645">
            <v>0</v>
          </cell>
          <cell r="DN28645">
            <v>0</v>
          </cell>
        </row>
        <row r="28646">
          <cell r="E28646">
            <v>0</v>
          </cell>
          <cell r="F28646">
            <v>0</v>
          </cell>
          <cell r="DN28646">
            <v>0</v>
          </cell>
        </row>
        <row r="28647">
          <cell r="E28647">
            <v>0</v>
          </cell>
          <cell r="F28647">
            <v>0</v>
          </cell>
          <cell r="DN28647">
            <v>0</v>
          </cell>
        </row>
        <row r="28648">
          <cell r="E28648">
            <v>0</v>
          </cell>
          <cell r="F28648">
            <v>0</v>
          </cell>
          <cell r="DN28648">
            <v>0</v>
          </cell>
        </row>
        <row r="28649">
          <cell r="E28649">
            <v>0</v>
          </cell>
          <cell r="F28649">
            <v>0</v>
          </cell>
          <cell r="DN28649">
            <v>0</v>
          </cell>
        </row>
        <row r="28650">
          <cell r="E28650">
            <v>0</v>
          </cell>
          <cell r="F28650">
            <v>0</v>
          </cell>
          <cell r="DN28650">
            <v>0</v>
          </cell>
        </row>
        <row r="28651">
          <cell r="E28651">
            <v>0</v>
          </cell>
          <cell r="F28651">
            <v>0</v>
          </cell>
          <cell r="DN28651">
            <v>0</v>
          </cell>
        </row>
        <row r="28652">
          <cell r="E28652">
            <v>0</v>
          </cell>
          <cell r="F28652">
            <v>0</v>
          </cell>
          <cell r="DN28652">
            <v>0</v>
          </cell>
        </row>
        <row r="28653">
          <cell r="E28653">
            <v>0</v>
          </cell>
          <cell r="F28653">
            <v>0</v>
          </cell>
          <cell r="DN28653">
            <v>0</v>
          </cell>
        </row>
        <row r="28654">
          <cell r="E28654">
            <v>0</v>
          </cell>
          <cell r="F28654">
            <v>0</v>
          </cell>
          <cell r="DN28654">
            <v>0</v>
          </cell>
        </row>
        <row r="28655">
          <cell r="E28655">
            <v>0</v>
          </cell>
          <cell r="F28655">
            <v>0</v>
          </cell>
          <cell r="DN28655">
            <v>0</v>
          </cell>
        </row>
        <row r="28656">
          <cell r="E28656">
            <v>0</v>
          </cell>
          <cell r="F28656">
            <v>0</v>
          </cell>
          <cell r="DN28656">
            <v>0</v>
          </cell>
        </row>
        <row r="28657">
          <cell r="E28657">
            <v>0</v>
          </cell>
          <cell r="F28657">
            <v>0</v>
          </cell>
          <cell r="DN28657">
            <v>0</v>
          </cell>
        </row>
        <row r="28658">
          <cell r="E28658">
            <v>0</v>
          </cell>
          <cell r="F28658">
            <v>0</v>
          </cell>
          <cell r="DN28658">
            <v>0</v>
          </cell>
        </row>
        <row r="28659">
          <cell r="E28659">
            <v>0</v>
          </cell>
          <cell r="F28659">
            <v>0</v>
          </cell>
          <cell r="DN28659">
            <v>0</v>
          </cell>
        </row>
        <row r="28660">
          <cell r="E28660">
            <v>0</v>
          </cell>
          <cell r="F28660">
            <v>0</v>
          </cell>
          <cell r="DN28660">
            <v>0</v>
          </cell>
        </row>
        <row r="28661">
          <cell r="E28661">
            <v>0</v>
          </cell>
          <cell r="F28661">
            <v>0</v>
          </cell>
          <cell r="DN28661">
            <v>0</v>
          </cell>
        </row>
        <row r="28662">
          <cell r="E28662">
            <v>0</v>
          </cell>
          <cell r="F28662">
            <v>0</v>
          </cell>
          <cell r="DN28662">
            <v>0</v>
          </cell>
        </row>
        <row r="28663">
          <cell r="E28663">
            <v>0</v>
          </cell>
          <cell r="F28663">
            <v>0</v>
          </cell>
          <cell r="DN28663">
            <v>0</v>
          </cell>
        </row>
        <row r="28664">
          <cell r="E28664">
            <v>0</v>
          </cell>
          <cell r="F28664">
            <v>0</v>
          </cell>
          <cell r="DN28664">
            <v>0</v>
          </cell>
        </row>
        <row r="28665">
          <cell r="E28665">
            <v>0</v>
          </cell>
          <cell r="F28665">
            <v>0</v>
          </cell>
          <cell r="DN28665">
            <v>0</v>
          </cell>
        </row>
        <row r="28666">
          <cell r="E28666">
            <v>0</v>
          </cell>
          <cell r="F28666">
            <v>0</v>
          </cell>
          <cell r="DN28666">
            <v>0</v>
          </cell>
        </row>
        <row r="28667">
          <cell r="E28667">
            <v>0</v>
          </cell>
          <cell r="F28667">
            <v>0</v>
          </cell>
          <cell r="DN28667">
            <v>0</v>
          </cell>
        </row>
        <row r="28668">
          <cell r="E28668">
            <v>0</v>
          </cell>
          <cell r="F28668">
            <v>0</v>
          </cell>
          <cell r="DN28668">
            <v>0</v>
          </cell>
        </row>
        <row r="28669">
          <cell r="E28669">
            <v>0</v>
          </cell>
          <cell r="F28669">
            <v>0</v>
          </cell>
          <cell r="DN28669">
            <v>0</v>
          </cell>
        </row>
        <row r="28670">
          <cell r="E28670">
            <v>0</v>
          </cell>
          <cell r="F28670">
            <v>0</v>
          </cell>
          <cell r="DN28670">
            <v>0</v>
          </cell>
        </row>
        <row r="28671">
          <cell r="E28671">
            <v>0</v>
          </cell>
          <cell r="F28671">
            <v>0</v>
          </cell>
          <cell r="DN28671">
            <v>0</v>
          </cell>
        </row>
        <row r="28672">
          <cell r="E28672">
            <v>0</v>
          </cell>
          <cell r="F28672">
            <v>0</v>
          </cell>
          <cell r="DN28672">
            <v>0</v>
          </cell>
        </row>
        <row r="28673">
          <cell r="E28673">
            <v>0</v>
          </cell>
          <cell r="F28673">
            <v>0</v>
          </cell>
          <cell r="DN28673">
            <v>0</v>
          </cell>
        </row>
        <row r="28674">
          <cell r="E28674">
            <v>0</v>
          </cell>
          <cell r="F28674">
            <v>0</v>
          </cell>
          <cell r="DN28674">
            <v>0</v>
          </cell>
        </row>
        <row r="28675">
          <cell r="E28675">
            <v>0</v>
          </cell>
          <cell r="F28675">
            <v>0</v>
          </cell>
          <cell r="DN28675">
            <v>0</v>
          </cell>
        </row>
        <row r="28676">
          <cell r="E28676">
            <v>0</v>
          </cell>
          <cell r="F28676">
            <v>0</v>
          </cell>
          <cell r="DN28676">
            <v>0</v>
          </cell>
        </row>
        <row r="28677">
          <cell r="E28677">
            <v>0</v>
          </cell>
          <cell r="F28677">
            <v>0</v>
          </cell>
          <cell r="DN28677">
            <v>0</v>
          </cell>
        </row>
        <row r="28678">
          <cell r="E28678">
            <v>0</v>
          </cell>
          <cell r="F28678">
            <v>0</v>
          </cell>
          <cell r="DN28678">
            <v>0</v>
          </cell>
        </row>
        <row r="28679">
          <cell r="E28679">
            <v>0</v>
          </cell>
          <cell r="F28679">
            <v>0</v>
          </cell>
          <cell r="DN28679">
            <v>0</v>
          </cell>
        </row>
        <row r="28680">
          <cell r="E28680">
            <v>0</v>
          </cell>
          <cell r="F28680">
            <v>0</v>
          </cell>
          <cell r="DN28680">
            <v>0</v>
          </cell>
        </row>
        <row r="28681">
          <cell r="E28681">
            <v>0</v>
          </cell>
          <cell r="F28681">
            <v>0</v>
          </cell>
          <cell r="DN28681">
            <v>0</v>
          </cell>
        </row>
        <row r="28682">
          <cell r="E28682">
            <v>0</v>
          </cell>
          <cell r="F28682">
            <v>0</v>
          </cell>
          <cell r="DN28682">
            <v>0</v>
          </cell>
        </row>
        <row r="28683">
          <cell r="E28683">
            <v>0</v>
          </cell>
          <cell r="F28683">
            <v>0</v>
          </cell>
          <cell r="DN28683">
            <v>0</v>
          </cell>
        </row>
        <row r="28684">
          <cell r="E28684">
            <v>0</v>
          </cell>
          <cell r="F28684">
            <v>0</v>
          </cell>
          <cell r="DN28684">
            <v>0</v>
          </cell>
        </row>
        <row r="28685">
          <cell r="E28685">
            <v>0</v>
          </cell>
          <cell r="F28685">
            <v>0</v>
          </cell>
          <cell r="DN28685">
            <v>0</v>
          </cell>
        </row>
        <row r="28686">
          <cell r="E28686">
            <v>0</v>
          </cell>
          <cell r="F28686">
            <v>0</v>
          </cell>
          <cell r="DN28686">
            <v>0</v>
          </cell>
        </row>
        <row r="28687">
          <cell r="E28687">
            <v>0</v>
          </cell>
          <cell r="F28687">
            <v>0</v>
          </cell>
          <cell r="DN28687">
            <v>0</v>
          </cell>
        </row>
        <row r="28688">
          <cell r="E28688">
            <v>0</v>
          </cell>
          <cell r="F28688">
            <v>0</v>
          </cell>
          <cell r="DN28688">
            <v>0</v>
          </cell>
        </row>
        <row r="28689">
          <cell r="E28689">
            <v>0</v>
          </cell>
          <cell r="F28689">
            <v>0</v>
          </cell>
          <cell r="DN28689">
            <v>0</v>
          </cell>
        </row>
        <row r="28690">
          <cell r="E28690">
            <v>0</v>
          </cell>
          <cell r="F28690">
            <v>0</v>
          </cell>
          <cell r="DN28690">
            <v>0</v>
          </cell>
        </row>
        <row r="28691">
          <cell r="E28691">
            <v>0</v>
          </cell>
          <cell r="F28691">
            <v>0</v>
          </cell>
          <cell r="DN28691">
            <v>0</v>
          </cell>
        </row>
        <row r="28692">
          <cell r="E28692">
            <v>0</v>
          </cell>
          <cell r="F28692">
            <v>0</v>
          </cell>
          <cell r="DN28692">
            <v>0</v>
          </cell>
        </row>
        <row r="28693">
          <cell r="E28693">
            <v>0</v>
          </cell>
          <cell r="F28693">
            <v>0</v>
          </cell>
          <cell r="DN28693">
            <v>0</v>
          </cell>
        </row>
        <row r="28694">
          <cell r="E28694">
            <v>0</v>
          </cell>
          <cell r="F28694">
            <v>0</v>
          </cell>
          <cell r="DN28694">
            <v>0</v>
          </cell>
        </row>
        <row r="28695">
          <cell r="E28695">
            <v>0</v>
          </cell>
          <cell r="F28695">
            <v>0</v>
          </cell>
          <cell r="DN28695">
            <v>0</v>
          </cell>
        </row>
        <row r="28696">
          <cell r="E28696">
            <v>0</v>
          </cell>
          <cell r="F28696">
            <v>0</v>
          </cell>
          <cell r="DN28696">
            <v>0</v>
          </cell>
        </row>
        <row r="28697">
          <cell r="E28697">
            <v>0</v>
          </cell>
          <cell r="F28697">
            <v>0</v>
          </cell>
          <cell r="DN28697">
            <v>0</v>
          </cell>
        </row>
        <row r="28698">
          <cell r="E28698">
            <v>0</v>
          </cell>
          <cell r="F28698">
            <v>0</v>
          </cell>
          <cell r="DN28698">
            <v>0</v>
          </cell>
        </row>
        <row r="28699">
          <cell r="E28699">
            <v>0</v>
          </cell>
          <cell r="F28699">
            <v>0</v>
          </cell>
          <cell r="DN28699">
            <v>0</v>
          </cell>
        </row>
        <row r="28700">
          <cell r="E28700">
            <v>0</v>
          </cell>
          <cell r="F28700">
            <v>0</v>
          </cell>
          <cell r="DN28700">
            <v>0</v>
          </cell>
        </row>
        <row r="28701">
          <cell r="E28701">
            <v>0</v>
          </cell>
          <cell r="F28701">
            <v>0</v>
          </cell>
          <cell r="DN28701">
            <v>0</v>
          </cell>
        </row>
        <row r="28702">
          <cell r="E28702">
            <v>0</v>
          </cell>
          <cell r="F28702">
            <v>0</v>
          </cell>
          <cell r="DN28702">
            <v>0</v>
          </cell>
        </row>
        <row r="28703">
          <cell r="E28703">
            <v>0</v>
          </cell>
          <cell r="F28703">
            <v>0</v>
          </cell>
          <cell r="DN28703">
            <v>0</v>
          </cell>
        </row>
        <row r="28704">
          <cell r="E28704">
            <v>0</v>
          </cell>
          <cell r="F28704">
            <v>0</v>
          </cell>
          <cell r="DN28704">
            <v>0</v>
          </cell>
        </row>
        <row r="28705">
          <cell r="E28705">
            <v>0</v>
          </cell>
          <cell r="F28705">
            <v>0</v>
          </cell>
          <cell r="DN28705">
            <v>0</v>
          </cell>
        </row>
        <row r="28706">
          <cell r="E28706">
            <v>0</v>
          </cell>
          <cell r="F28706">
            <v>0</v>
          </cell>
          <cell r="DN28706">
            <v>0</v>
          </cell>
        </row>
        <row r="28707">
          <cell r="E28707">
            <v>0</v>
          </cell>
          <cell r="F28707">
            <v>0</v>
          </cell>
          <cell r="DN28707">
            <v>0</v>
          </cell>
        </row>
        <row r="28708">
          <cell r="E28708">
            <v>0</v>
          </cell>
          <cell r="F28708">
            <v>0</v>
          </cell>
          <cell r="DN28708">
            <v>0</v>
          </cell>
        </row>
        <row r="28709">
          <cell r="E28709">
            <v>0</v>
          </cell>
          <cell r="F28709">
            <v>0</v>
          </cell>
          <cell r="DN28709">
            <v>0</v>
          </cell>
        </row>
        <row r="28710">
          <cell r="E28710">
            <v>0</v>
          </cell>
          <cell r="F28710">
            <v>0</v>
          </cell>
          <cell r="DN28710">
            <v>0</v>
          </cell>
        </row>
        <row r="28711">
          <cell r="E28711">
            <v>0</v>
          </cell>
          <cell r="F28711">
            <v>0</v>
          </cell>
          <cell r="DN28711">
            <v>0</v>
          </cell>
        </row>
        <row r="28712">
          <cell r="E28712">
            <v>0</v>
          </cell>
          <cell r="F28712">
            <v>0</v>
          </cell>
          <cell r="DN28712">
            <v>0</v>
          </cell>
        </row>
        <row r="28713">
          <cell r="E28713">
            <v>0</v>
          </cell>
          <cell r="F28713">
            <v>0</v>
          </cell>
          <cell r="DN28713">
            <v>0</v>
          </cell>
        </row>
        <row r="28714">
          <cell r="E28714">
            <v>0</v>
          </cell>
          <cell r="F28714">
            <v>0</v>
          </cell>
          <cell r="DN28714">
            <v>0</v>
          </cell>
        </row>
        <row r="28715">
          <cell r="E28715">
            <v>0</v>
          </cell>
          <cell r="F28715">
            <v>0</v>
          </cell>
          <cell r="DN28715">
            <v>0</v>
          </cell>
        </row>
        <row r="28716">
          <cell r="E28716">
            <v>0</v>
          </cell>
          <cell r="F28716">
            <v>0</v>
          </cell>
          <cell r="DN28716">
            <v>0</v>
          </cell>
        </row>
        <row r="28717">
          <cell r="E28717">
            <v>0</v>
          </cell>
          <cell r="F28717">
            <v>0</v>
          </cell>
          <cell r="DN28717">
            <v>0</v>
          </cell>
        </row>
        <row r="28718">
          <cell r="E28718">
            <v>0</v>
          </cell>
          <cell r="F28718">
            <v>0</v>
          </cell>
          <cell r="DN28718">
            <v>0</v>
          </cell>
        </row>
        <row r="28719">
          <cell r="E28719">
            <v>0</v>
          </cell>
          <cell r="F28719">
            <v>0</v>
          </cell>
          <cell r="DN28719">
            <v>0</v>
          </cell>
        </row>
        <row r="28720">
          <cell r="E28720">
            <v>0</v>
          </cell>
          <cell r="F28720">
            <v>0</v>
          </cell>
          <cell r="DN28720">
            <v>0</v>
          </cell>
        </row>
        <row r="28721">
          <cell r="E28721">
            <v>0</v>
          </cell>
          <cell r="F28721">
            <v>0</v>
          </cell>
          <cell r="DN28721">
            <v>0</v>
          </cell>
        </row>
        <row r="28722">
          <cell r="E28722">
            <v>0</v>
          </cell>
          <cell r="F28722">
            <v>0</v>
          </cell>
          <cell r="DN28722">
            <v>0</v>
          </cell>
        </row>
        <row r="28723">
          <cell r="E28723">
            <v>0</v>
          </cell>
          <cell r="F28723">
            <v>0</v>
          </cell>
          <cell r="DN28723">
            <v>0</v>
          </cell>
        </row>
        <row r="28724">
          <cell r="E28724">
            <v>0</v>
          </cell>
          <cell r="F28724">
            <v>0</v>
          </cell>
          <cell r="DN28724">
            <v>0</v>
          </cell>
        </row>
        <row r="28725">
          <cell r="E28725">
            <v>0</v>
          </cell>
          <cell r="F28725">
            <v>0</v>
          </cell>
          <cell r="DN28725">
            <v>0</v>
          </cell>
        </row>
        <row r="28726">
          <cell r="E28726">
            <v>0</v>
          </cell>
          <cell r="F28726">
            <v>0</v>
          </cell>
          <cell r="DN28726">
            <v>0</v>
          </cell>
        </row>
        <row r="28727">
          <cell r="E28727">
            <v>0</v>
          </cell>
          <cell r="F28727">
            <v>0</v>
          </cell>
          <cell r="DN28727">
            <v>0</v>
          </cell>
        </row>
        <row r="28728">
          <cell r="E28728">
            <v>0</v>
          </cell>
          <cell r="F28728">
            <v>0</v>
          </cell>
          <cell r="DN28728">
            <v>0</v>
          </cell>
        </row>
        <row r="28729">
          <cell r="E28729">
            <v>0</v>
          </cell>
          <cell r="F28729">
            <v>0</v>
          </cell>
          <cell r="DN28729">
            <v>0</v>
          </cell>
        </row>
        <row r="28730">
          <cell r="E28730">
            <v>0</v>
          </cell>
          <cell r="F28730">
            <v>0</v>
          </cell>
          <cell r="DN28730">
            <v>0</v>
          </cell>
        </row>
        <row r="28731">
          <cell r="E28731">
            <v>0</v>
          </cell>
          <cell r="F28731">
            <v>0</v>
          </cell>
          <cell r="DN28731">
            <v>0</v>
          </cell>
        </row>
        <row r="28732">
          <cell r="E28732">
            <v>0</v>
          </cell>
          <cell r="F28732">
            <v>0</v>
          </cell>
          <cell r="DN28732">
            <v>0</v>
          </cell>
        </row>
        <row r="28733">
          <cell r="E28733">
            <v>0</v>
          </cell>
          <cell r="F28733">
            <v>0</v>
          </cell>
          <cell r="DN28733">
            <v>0</v>
          </cell>
        </row>
        <row r="28734">
          <cell r="E28734">
            <v>0</v>
          </cell>
          <cell r="F28734">
            <v>0</v>
          </cell>
          <cell r="DN28734">
            <v>0</v>
          </cell>
        </row>
        <row r="28735">
          <cell r="E28735">
            <v>0</v>
          </cell>
          <cell r="F28735">
            <v>0</v>
          </cell>
          <cell r="DN28735">
            <v>0</v>
          </cell>
        </row>
        <row r="28736">
          <cell r="E28736">
            <v>0</v>
          </cell>
          <cell r="F28736">
            <v>0</v>
          </cell>
          <cell r="DN28736">
            <v>0</v>
          </cell>
        </row>
        <row r="28737">
          <cell r="E28737">
            <v>0</v>
          </cell>
          <cell r="F28737">
            <v>0</v>
          </cell>
          <cell r="DN28737">
            <v>0</v>
          </cell>
        </row>
        <row r="28738">
          <cell r="E28738">
            <v>0</v>
          </cell>
          <cell r="F28738">
            <v>0</v>
          </cell>
          <cell r="DN28738">
            <v>0</v>
          </cell>
        </row>
        <row r="28739">
          <cell r="E28739">
            <v>0</v>
          </cell>
          <cell r="F28739">
            <v>0</v>
          </cell>
          <cell r="DN28739">
            <v>0</v>
          </cell>
        </row>
        <row r="28740">
          <cell r="E28740">
            <v>0</v>
          </cell>
          <cell r="F28740">
            <v>0</v>
          </cell>
          <cell r="DN28740">
            <v>0</v>
          </cell>
        </row>
        <row r="28741">
          <cell r="E28741">
            <v>0</v>
          </cell>
          <cell r="F28741">
            <v>0</v>
          </cell>
          <cell r="DN28741">
            <v>0</v>
          </cell>
        </row>
        <row r="28742">
          <cell r="E28742">
            <v>0</v>
          </cell>
          <cell r="F28742">
            <v>0</v>
          </cell>
          <cell r="DN28742">
            <v>0</v>
          </cell>
        </row>
        <row r="28743">
          <cell r="E28743">
            <v>0</v>
          </cell>
          <cell r="F28743">
            <v>0</v>
          </cell>
          <cell r="DN28743">
            <v>0</v>
          </cell>
        </row>
        <row r="28744">
          <cell r="E28744">
            <v>0</v>
          </cell>
          <cell r="F28744">
            <v>0</v>
          </cell>
          <cell r="DN28744">
            <v>0</v>
          </cell>
        </row>
        <row r="28745">
          <cell r="E28745">
            <v>0</v>
          </cell>
          <cell r="F28745">
            <v>0</v>
          </cell>
          <cell r="DN28745">
            <v>0</v>
          </cell>
        </row>
        <row r="28746">
          <cell r="E28746">
            <v>0</v>
          </cell>
          <cell r="F28746">
            <v>0</v>
          </cell>
          <cell r="DN28746">
            <v>0</v>
          </cell>
        </row>
        <row r="28747">
          <cell r="E28747">
            <v>0</v>
          </cell>
          <cell r="F28747">
            <v>0</v>
          </cell>
          <cell r="DN28747">
            <v>0</v>
          </cell>
        </row>
        <row r="28748">
          <cell r="E28748">
            <v>0</v>
          </cell>
          <cell r="F28748">
            <v>0</v>
          </cell>
          <cell r="DN28748">
            <v>0</v>
          </cell>
        </row>
        <row r="28749">
          <cell r="E28749">
            <v>0</v>
          </cell>
          <cell r="F28749">
            <v>0</v>
          </cell>
          <cell r="DN28749">
            <v>0</v>
          </cell>
        </row>
        <row r="28750">
          <cell r="E28750">
            <v>0</v>
          </cell>
          <cell r="F28750">
            <v>0</v>
          </cell>
          <cell r="DN28750">
            <v>0</v>
          </cell>
        </row>
        <row r="28751">
          <cell r="E28751">
            <v>0</v>
          </cell>
          <cell r="F28751">
            <v>0</v>
          </cell>
          <cell r="DN28751">
            <v>0</v>
          </cell>
        </row>
        <row r="28752">
          <cell r="E28752">
            <v>0</v>
          </cell>
          <cell r="F28752">
            <v>0</v>
          </cell>
          <cell r="DN28752">
            <v>0</v>
          </cell>
        </row>
        <row r="28753">
          <cell r="E28753">
            <v>0</v>
          </cell>
          <cell r="F28753">
            <v>0</v>
          </cell>
          <cell r="DN28753">
            <v>0</v>
          </cell>
        </row>
        <row r="28754">
          <cell r="E28754">
            <v>0</v>
          </cell>
          <cell r="F28754">
            <v>0</v>
          </cell>
          <cell r="DN28754">
            <v>0</v>
          </cell>
        </row>
        <row r="28755">
          <cell r="E28755">
            <v>0</v>
          </cell>
          <cell r="F28755">
            <v>0</v>
          </cell>
          <cell r="DN28755">
            <v>0</v>
          </cell>
        </row>
        <row r="28756">
          <cell r="E28756">
            <v>0</v>
          </cell>
          <cell r="F28756">
            <v>0</v>
          </cell>
          <cell r="DN28756">
            <v>0</v>
          </cell>
        </row>
        <row r="28757">
          <cell r="E28757">
            <v>0</v>
          </cell>
          <cell r="F28757">
            <v>0</v>
          </cell>
          <cell r="DN28757">
            <v>0</v>
          </cell>
        </row>
        <row r="28758">
          <cell r="E28758">
            <v>0</v>
          </cell>
          <cell r="F28758">
            <v>0</v>
          </cell>
          <cell r="DN28758">
            <v>0</v>
          </cell>
        </row>
        <row r="28759">
          <cell r="E28759">
            <v>0</v>
          </cell>
          <cell r="F28759">
            <v>0</v>
          </cell>
          <cell r="DN28759">
            <v>0</v>
          </cell>
        </row>
        <row r="28760">
          <cell r="E28760">
            <v>0</v>
          </cell>
          <cell r="F28760">
            <v>0</v>
          </cell>
          <cell r="DN28760">
            <v>0</v>
          </cell>
        </row>
        <row r="28761">
          <cell r="E28761">
            <v>0</v>
          </cell>
          <cell r="F28761">
            <v>0</v>
          </cell>
          <cell r="DN28761">
            <v>0</v>
          </cell>
        </row>
        <row r="28762">
          <cell r="E28762">
            <v>0</v>
          </cell>
          <cell r="F28762">
            <v>0</v>
          </cell>
          <cell r="DN28762">
            <v>0</v>
          </cell>
        </row>
        <row r="28763">
          <cell r="E28763">
            <v>0</v>
          </cell>
          <cell r="F28763">
            <v>0</v>
          </cell>
          <cell r="DN28763">
            <v>0</v>
          </cell>
        </row>
        <row r="28764">
          <cell r="E28764">
            <v>0</v>
          </cell>
          <cell r="F28764">
            <v>0</v>
          </cell>
          <cell r="DN28764">
            <v>0</v>
          </cell>
        </row>
        <row r="28765">
          <cell r="E28765">
            <v>0</v>
          </cell>
          <cell r="F28765">
            <v>0</v>
          </cell>
          <cell r="DN28765">
            <v>0</v>
          </cell>
        </row>
        <row r="28766">
          <cell r="E28766">
            <v>0</v>
          </cell>
          <cell r="F28766">
            <v>0</v>
          </cell>
          <cell r="DN28766">
            <v>0</v>
          </cell>
        </row>
        <row r="28767">
          <cell r="E28767">
            <v>0</v>
          </cell>
          <cell r="F28767">
            <v>0</v>
          </cell>
          <cell r="DN28767">
            <v>0</v>
          </cell>
        </row>
        <row r="28768">
          <cell r="E28768">
            <v>0</v>
          </cell>
          <cell r="F28768">
            <v>0</v>
          </cell>
          <cell r="DN28768">
            <v>0</v>
          </cell>
        </row>
        <row r="28769">
          <cell r="E28769">
            <v>0</v>
          </cell>
          <cell r="F28769">
            <v>0</v>
          </cell>
          <cell r="DN28769">
            <v>0</v>
          </cell>
        </row>
        <row r="28770">
          <cell r="E28770">
            <v>0</v>
          </cell>
          <cell r="F28770">
            <v>0</v>
          </cell>
          <cell r="DN28770">
            <v>0</v>
          </cell>
        </row>
        <row r="28771">
          <cell r="E28771">
            <v>0</v>
          </cell>
          <cell r="F28771">
            <v>0</v>
          </cell>
          <cell r="DN28771">
            <v>0</v>
          </cell>
        </row>
        <row r="28772">
          <cell r="E28772">
            <v>0</v>
          </cell>
          <cell r="F28772">
            <v>0</v>
          </cell>
          <cell r="DN28772">
            <v>0</v>
          </cell>
        </row>
        <row r="28773">
          <cell r="E28773">
            <v>0</v>
          </cell>
          <cell r="F28773">
            <v>0</v>
          </cell>
          <cell r="DN28773">
            <v>0</v>
          </cell>
        </row>
        <row r="28774">
          <cell r="E28774">
            <v>0</v>
          </cell>
          <cell r="F28774">
            <v>0</v>
          </cell>
          <cell r="DN28774">
            <v>0</v>
          </cell>
        </row>
        <row r="28775">
          <cell r="E28775">
            <v>0</v>
          </cell>
          <cell r="F28775">
            <v>0</v>
          </cell>
          <cell r="DN28775">
            <v>0</v>
          </cell>
        </row>
        <row r="28776">
          <cell r="E28776">
            <v>0</v>
          </cell>
          <cell r="F28776">
            <v>0</v>
          </cell>
          <cell r="DN28776">
            <v>0</v>
          </cell>
        </row>
        <row r="28777">
          <cell r="E28777">
            <v>0</v>
          </cell>
          <cell r="F28777">
            <v>0</v>
          </cell>
          <cell r="DN28777">
            <v>0</v>
          </cell>
        </row>
        <row r="28778">
          <cell r="E28778">
            <v>0</v>
          </cell>
          <cell r="F28778">
            <v>0</v>
          </cell>
          <cell r="DN28778">
            <v>0</v>
          </cell>
        </row>
        <row r="28779">
          <cell r="E28779">
            <v>0</v>
          </cell>
          <cell r="F28779">
            <v>0</v>
          </cell>
          <cell r="DN28779">
            <v>0</v>
          </cell>
        </row>
        <row r="28780">
          <cell r="E28780">
            <v>0</v>
          </cell>
          <cell r="F28780">
            <v>0</v>
          </cell>
          <cell r="DN28780">
            <v>0</v>
          </cell>
        </row>
        <row r="28781">
          <cell r="E28781">
            <v>0</v>
          </cell>
          <cell r="F28781">
            <v>0</v>
          </cell>
          <cell r="DN28781">
            <v>0</v>
          </cell>
        </row>
        <row r="28782">
          <cell r="E28782">
            <v>0</v>
          </cell>
          <cell r="F28782">
            <v>0</v>
          </cell>
          <cell r="DN28782">
            <v>0</v>
          </cell>
        </row>
        <row r="28783">
          <cell r="E28783">
            <v>0</v>
          </cell>
          <cell r="F28783">
            <v>0</v>
          </cell>
          <cell r="DN28783">
            <v>0</v>
          </cell>
        </row>
        <row r="28784">
          <cell r="E28784">
            <v>0</v>
          </cell>
          <cell r="F28784">
            <v>0</v>
          </cell>
          <cell r="DN28784">
            <v>0</v>
          </cell>
        </row>
        <row r="28785">
          <cell r="E28785">
            <v>0</v>
          </cell>
          <cell r="F28785">
            <v>0</v>
          </cell>
          <cell r="DN28785">
            <v>0</v>
          </cell>
        </row>
        <row r="28786">
          <cell r="E28786">
            <v>0</v>
          </cell>
          <cell r="F28786">
            <v>0</v>
          </cell>
          <cell r="DN28786">
            <v>0</v>
          </cell>
        </row>
        <row r="28787">
          <cell r="E28787">
            <v>0</v>
          </cell>
          <cell r="F28787">
            <v>0</v>
          </cell>
          <cell r="DN28787">
            <v>0</v>
          </cell>
        </row>
        <row r="28788">
          <cell r="E28788">
            <v>0</v>
          </cell>
          <cell r="F28788">
            <v>0</v>
          </cell>
          <cell r="DN28788">
            <v>0</v>
          </cell>
        </row>
        <row r="28789">
          <cell r="E28789">
            <v>0</v>
          </cell>
          <cell r="F28789">
            <v>0</v>
          </cell>
          <cell r="DN28789">
            <v>0</v>
          </cell>
        </row>
        <row r="28790">
          <cell r="E28790">
            <v>0</v>
          </cell>
          <cell r="F28790">
            <v>0</v>
          </cell>
          <cell r="DN28790">
            <v>0</v>
          </cell>
        </row>
        <row r="28791">
          <cell r="E28791">
            <v>0</v>
          </cell>
          <cell r="F28791">
            <v>0</v>
          </cell>
          <cell r="DN28791">
            <v>0</v>
          </cell>
        </row>
        <row r="28792">
          <cell r="E28792">
            <v>0</v>
          </cell>
          <cell r="F28792">
            <v>0</v>
          </cell>
          <cell r="DN28792">
            <v>0</v>
          </cell>
        </row>
        <row r="28793">
          <cell r="E28793">
            <v>0</v>
          </cell>
          <cell r="F28793">
            <v>0</v>
          </cell>
          <cell r="DN28793">
            <v>0</v>
          </cell>
        </row>
        <row r="28794">
          <cell r="E28794">
            <v>0</v>
          </cell>
          <cell r="F28794">
            <v>0</v>
          </cell>
          <cell r="DN28794">
            <v>0</v>
          </cell>
        </row>
        <row r="28795">
          <cell r="E28795">
            <v>0</v>
          </cell>
          <cell r="F28795">
            <v>0</v>
          </cell>
          <cell r="DN28795">
            <v>0</v>
          </cell>
        </row>
        <row r="28796">
          <cell r="E28796">
            <v>0</v>
          </cell>
          <cell r="F28796">
            <v>0</v>
          </cell>
          <cell r="DN28796">
            <v>0</v>
          </cell>
        </row>
        <row r="28797">
          <cell r="E28797">
            <v>0</v>
          </cell>
          <cell r="F28797">
            <v>0</v>
          </cell>
          <cell r="DN28797">
            <v>0</v>
          </cell>
        </row>
        <row r="28798">
          <cell r="E28798">
            <v>0</v>
          </cell>
          <cell r="F28798">
            <v>0</v>
          </cell>
          <cell r="DN28798">
            <v>0</v>
          </cell>
        </row>
        <row r="28799">
          <cell r="E28799">
            <v>0</v>
          </cell>
          <cell r="F28799">
            <v>0</v>
          </cell>
          <cell r="DN28799">
            <v>0</v>
          </cell>
        </row>
        <row r="28800">
          <cell r="E28800">
            <v>0</v>
          </cell>
          <cell r="F28800">
            <v>0</v>
          </cell>
          <cell r="DN28800">
            <v>0</v>
          </cell>
        </row>
        <row r="28801">
          <cell r="E28801">
            <v>0</v>
          </cell>
          <cell r="F28801">
            <v>0</v>
          </cell>
          <cell r="DN28801">
            <v>0</v>
          </cell>
        </row>
        <row r="28802">
          <cell r="E28802">
            <v>0</v>
          </cell>
          <cell r="F28802">
            <v>0</v>
          </cell>
          <cell r="DN28802">
            <v>0</v>
          </cell>
        </row>
        <row r="28803">
          <cell r="E28803">
            <v>0</v>
          </cell>
          <cell r="F28803">
            <v>0</v>
          </cell>
          <cell r="DN28803">
            <v>0</v>
          </cell>
        </row>
        <row r="28804">
          <cell r="E28804">
            <v>0</v>
          </cell>
          <cell r="F28804">
            <v>0</v>
          </cell>
          <cell r="DN28804">
            <v>0</v>
          </cell>
        </row>
        <row r="28805">
          <cell r="E28805">
            <v>0</v>
          </cell>
          <cell r="F28805">
            <v>0</v>
          </cell>
          <cell r="DN28805">
            <v>0</v>
          </cell>
        </row>
        <row r="28806">
          <cell r="E28806">
            <v>0</v>
          </cell>
          <cell r="F28806">
            <v>0</v>
          </cell>
          <cell r="DN28806">
            <v>0</v>
          </cell>
        </row>
        <row r="28807">
          <cell r="E28807">
            <v>0</v>
          </cell>
          <cell r="F28807">
            <v>0</v>
          </cell>
          <cell r="DN28807">
            <v>0</v>
          </cell>
        </row>
        <row r="28808">
          <cell r="E28808">
            <v>0</v>
          </cell>
          <cell r="F28808">
            <v>0</v>
          </cell>
          <cell r="DN28808">
            <v>0</v>
          </cell>
        </row>
        <row r="28809">
          <cell r="E28809">
            <v>0</v>
          </cell>
          <cell r="F28809">
            <v>0</v>
          </cell>
          <cell r="DN28809">
            <v>0</v>
          </cell>
        </row>
        <row r="28810">
          <cell r="E28810">
            <v>0</v>
          </cell>
          <cell r="F28810">
            <v>0</v>
          </cell>
          <cell r="DN28810">
            <v>0</v>
          </cell>
        </row>
        <row r="28811">
          <cell r="E28811">
            <v>0</v>
          </cell>
          <cell r="F28811">
            <v>0</v>
          </cell>
          <cell r="DN28811">
            <v>0</v>
          </cell>
        </row>
        <row r="28812">
          <cell r="E28812">
            <v>0</v>
          </cell>
          <cell r="F28812">
            <v>0</v>
          </cell>
          <cell r="DN28812">
            <v>0</v>
          </cell>
        </row>
        <row r="28813">
          <cell r="E28813">
            <v>0</v>
          </cell>
          <cell r="F28813">
            <v>0</v>
          </cell>
          <cell r="DN28813">
            <v>0</v>
          </cell>
        </row>
        <row r="28814">
          <cell r="E28814">
            <v>0</v>
          </cell>
          <cell r="F28814">
            <v>0</v>
          </cell>
          <cell r="DN28814">
            <v>0</v>
          </cell>
        </row>
        <row r="28815">
          <cell r="E28815">
            <v>0</v>
          </cell>
          <cell r="F28815">
            <v>0</v>
          </cell>
          <cell r="DN28815">
            <v>0</v>
          </cell>
        </row>
        <row r="28816">
          <cell r="E28816">
            <v>0</v>
          </cell>
          <cell r="F28816">
            <v>0</v>
          </cell>
          <cell r="DN28816">
            <v>0</v>
          </cell>
        </row>
        <row r="28817">
          <cell r="E28817">
            <v>0</v>
          </cell>
          <cell r="F28817">
            <v>0</v>
          </cell>
          <cell r="DN28817">
            <v>0</v>
          </cell>
        </row>
        <row r="28818">
          <cell r="E28818">
            <v>0</v>
          </cell>
          <cell r="F28818">
            <v>0</v>
          </cell>
          <cell r="DN28818">
            <v>0</v>
          </cell>
        </row>
        <row r="28819">
          <cell r="E28819">
            <v>0</v>
          </cell>
          <cell r="F28819">
            <v>0</v>
          </cell>
          <cell r="DN28819">
            <v>0</v>
          </cell>
        </row>
        <row r="28820">
          <cell r="E28820">
            <v>0</v>
          </cell>
          <cell r="F28820">
            <v>0</v>
          </cell>
          <cell r="DN28820">
            <v>0</v>
          </cell>
        </row>
        <row r="28821">
          <cell r="E28821">
            <v>0</v>
          </cell>
          <cell r="F28821">
            <v>0</v>
          </cell>
          <cell r="DN28821">
            <v>0</v>
          </cell>
        </row>
        <row r="28822">
          <cell r="E28822">
            <v>0</v>
          </cell>
          <cell r="F28822">
            <v>0</v>
          </cell>
          <cell r="DN28822">
            <v>0</v>
          </cell>
        </row>
        <row r="28823">
          <cell r="E28823">
            <v>0</v>
          </cell>
          <cell r="F28823">
            <v>0</v>
          </cell>
          <cell r="DN28823">
            <v>0</v>
          </cell>
        </row>
        <row r="28824">
          <cell r="E28824">
            <v>0</v>
          </cell>
          <cell r="F28824">
            <v>0</v>
          </cell>
          <cell r="DN28824">
            <v>0</v>
          </cell>
        </row>
        <row r="28825">
          <cell r="E28825">
            <v>0</v>
          </cell>
          <cell r="F28825">
            <v>0</v>
          </cell>
          <cell r="DN28825">
            <v>0</v>
          </cell>
        </row>
        <row r="28826">
          <cell r="E28826">
            <v>0</v>
          </cell>
          <cell r="F28826">
            <v>0</v>
          </cell>
          <cell r="DN28826">
            <v>0</v>
          </cell>
        </row>
        <row r="28827">
          <cell r="E28827">
            <v>0</v>
          </cell>
          <cell r="F28827">
            <v>0</v>
          </cell>
          <cell r="DN28827">
            <v>0</v>
          </cell>
        </row>
        <row r="28828">
          <cell r="E28828">
            <v>0</v>
          </cell>
          <cell r="F28828">
            <v>0</v>
          </cell>
          <cell r="DN28828">
            <v>0</v>
          </cell>
        </row>
        <row r="28829">
          <cell r="E28829">
            <v>0</v>
          </cell>
          <cell r="F28829">
            <v>0</v>
          </cell>
          <cell r="DN28829">
            <v>0</v>
          </cell>
        </row>
        <row r="28830">
          <cell r="E28830">
            <v>0</v>
          </cell>
          <cell r="F28830">
            <v>0</v>
          </cell>
          <cell r="DN28830">
            <v>0</v>
          </cell>
        </row>
        <row r="28831">
          <cell r="E28831">
            <v>0</v>
          </cell>
          <cell r="F28831">
            <v>0</v>
          </cell>
          <cell r="DN28831">
            <v>0</v>
          </cell>
        </row>
        <row r="28832">
          <cell r="E28832">
            <v>0</v>
          </cell>
          <cell r="F28832">
            <v>0</v>
          </cell>
          <cell r="DN28832">
            <v>0</v>
          </cell>
        </row>
        <row r="28833">
          <cell r="E28833">
            <v>0</v>
          </cell>
          <cell r="F28833">
            <v>0</v>
          </cell>
          <cell r="DN28833">
            <v>0</v>
          </cell>
        </row>
        <row r="28834">
          <cell r="E28834">
            <v>0</v>
          </cell>
          <cell r="F28834">
            <v>0</v>
          </cell>
          <cell r="DN28834">
            <v>0</v>
          </cell>
        </row>
        <row r="28835">
          <cell r="E28835">
            <v>0</v>
          </cell>
          <cell r="F28835">
            <v>0</v>
          </cell>
          <cell r="DN28835">
            <v>0</v>
          </cell>
        </row>
        <row r="28836">
          <cell r="E28836">
            <v>0</v>
          </cell>
          <cell r="F28836">
            <v>0</v>
          </cell>
          <cell r="DN28836">
            <v>0</v>
          </cell>
        </row>
        <row r="28837">
          <cell r="E28837">
            <v>0</v>
          </cell>
          <cell r="F28837">
            <v>0</v>
          </cell>
          <cell r="DN28837">
            <v>0</v>
          </cell>
        </row>
        <row r="28838">
          <cell r="E28838">
            <v>0</v>
          </cell>
          <cell r="F28838">
            <v>0</v>
          </cell>
          <cell r="DN28838">
            <v>0</v>
          </cell>
        </row>
        <row r="28839">
          <cell r="E28839">
            <v>0</v>
          </cell>
          <cell r="F28839">
            <v>0</v>
          </cell>
          <cell r="DN28839">
            <v>0</v>
          </cell>
        </row>
        <row r="28840">
          <cell r="E28840">
            <v>0</v>
          </cell>
          <cell r="F28840">
            <v>0</v>
          </cell>
          <cell r="DN28840">
            <v>0</v>
          </cell>
        </row>
        <row r="28841">
          <cell r="E28841">
            <v>0</v>
          </cell>
          <cell r="F28841">
            <v>0</v>
          </cell>
          <cell r="DN28841">
            <v>0</v>
          </cell>
        </row>
        <row r="28842">
          <cell r="E28842">
            <v>0</v>
          </cell>
          <cell r="F28842">
            <v>0</v>
          </cell>
          <cell r="DN28842">
            <v>0</v>
          </cell>
        </row>
        <row r="28843">
          <cell r="E28843">
            <v>0</v>
          </cell>
          <cell r="F28843">
            <v>0</v>
          </cell>
          <cell r="DN28843">
            <v>0</v>
          </cell>
        </row>
        <row r="28844">
          <cell r="E28844">
            <v>0</v>
          </cell>
          <cell r="F28844">
            <v>0</v>
          </cell>
          <cell r="DN28844">
            <v>0</v>
          </cell>
        </row>
        <row r="28845">
          <cell r="E28845">
            <v>0</v>
          </cell>
          <cell r="F28845">
            <v>0</v>
          </cell>
          <cell r="DN28845">
            <v>0</v>
          </cell>
        </row>
        <row r="28846">
          <cell r="E28846">
            <v>0</v>
          </cell>
          <cell r="F28846">
            <v>0</v>
          </cell>
          <cell r="DN28846">
            <v>0</v>
          </cell>
        </row>
        <row r="28847">
          <cell r="E28847">
            <v>0</v>
          </cell>
          <cell r="F28847">
            <v>0</v>
          </cell>
          <cell r="DN28847">
            <v>0</v>
          </cell>
        </row>
        <row r="28848">
          <cell r="E28848">
            <v>0</v>
          </cell>
          <cell r="F28848">
            <v>0</v>
          </cell>
          <cell r="DN28848">
            <v>0</v>
          </cell>
        </row>
        <row r="28849">
          <cell r="E28849">
            <v>0</v>
          </cell>
          <cell r="F28849">
            <v>0</v>
          </cell>
          <cell r="DN28849">
            <v>0</v>
          </cell>
        </row>
        <row r="28850">
          <cell r="E28850">
            <v>0</v>
          </cell>
          <cell r="F28850">
            <v>0</v>
          </cell>
          <cell r="DN28850">
            <v>0</v>
          </cell>
        </row>
        <row r="28851">
          <cell r="E28851">
            <v>0</v>
          </cell>
          <cell r="F28851">
            <v>0</v>
          </cell>
          <cell r="DN28851">
            <v>0</v>
          </cell>
        </row>
        <row r="28852">
          <cell r="E28852">
            <v>0</v>
          </cell>
          <cell r="F28852">
            <v>0</v>
          </cell>
          <cell r="DN28852">
            <v>0</v>
          </cell>
        </row>
        <row r="28853">
          <cell r="E28853">
            <v>0</v>
          </cell>
          <cell r="F28853">
            <v>0</v>
          </cell>
          <cell r="DN28853">
            <v>0</v>
          </cell>
        </row>
        <row r="28854">
          <cell r="E28854">
            <v>0</v>
          </cell>
          <cell r="F28854">
            <v>0</v>
          </cell>
          <cell r="DN28854">
            <v>0</v>
          </cell>
        </row>
        <row r="28855">
          <cell r="E28855">
            <v>0</v>
          </cell>
          <cell r="F28855">
            <v>0</v>
          </cell>
          <cell r="DN28855">
            <v>0</v>
          </cell>
        </row>
        <row r="28856">
          <cell r="E28856">
            <v>0</v>
          </cell>
          <cell r="F28856">
            <v>0</v>
          </cell>
          <cell r="DN28856">
            <v>0</v>
          </cell>
        </row>
        <row r="28857">
          <cell r="E28857">
            <v>0</v>
          </cell>
          <cell r="F28857">
            <v>0</v>
          </cell>
          <cell r="DN28857">
            <v>0</v>
          </cell>
        </row>
        <row r="28858">
          <cell r="E28858">
            <v>0</v>
          </cell>
          <cell r="F28858">
            <v>0</v>
          </cell>
          <cell r="DN28858">
            <v>0</v>
          </cell>
        </row>
        <row r="28859">
          <cell r="E28859">
            <v>0</v>
          </cell>
          <cell r="F28859">
            <v>0</v>
          </cell>
          <cell r="DN28859">
            <v>0</v>
          </cell>
        </row>
        <row r="28860">
          <cell r="E28860">
            <v>0</v>
          </cell>
          <cell r="F28860">
            <v>0</v>
          </cell>
          <cell r="DN28860">
            <v>0</v>
          </cell>
        </row>
        <row r="28861">
          <cell r="E28861">
            <v>0</v>
          </cell>
          <cell r="F28861">
            <v>0</v>
          </cell>
          <cell r="DN28861">
            <v>0</v>
          </cell>
        </row>
        <row r="28862">
          <cell r="E28862">
            <v>0</v>
          </cell>
          <cell r="F28862">
            <v>0</v>
          </cell>
          <cell r="DN28862">
            <v>0</v>
          </cell>
        </row>
        <row r="28863">
          <cell r="E28863">
            <v>0</v>
          </cell>
          <cell r="F28863">
            <v>0</v>
          </cell>
          <cell r="DN28863">
            <v>0</v>
          </cell>
        </row>
        <row r="28864">
          <cell r="E28864">
            <v>0</v>
          </cell>
          <cell r="F28864">
            <v>0</v>
          </cell>
          <cell r="DN28864">
            <v>0</v>
          </cell>
        </row>
        <row r="28865">
          <cell r="E28865">
            <v>0</v>
          </cell>
          <cell r="F28865">
            <v>0</v>
          </cell>
          <cell r="DN28865">
            <v>0</v>
          </cell>
        </row>
        <row r="28866">
          <cell r="E28866">
            <v>0</v>
          </cell>
          <cell r="F28866">
            <v>0</v>
          </cell>
          <cell r="DN28866">
            <v>0</v>
          </cell>
        </row>
        <row r="28867">
          <cell r="E28867">
            <v>0</v>
          </cell>
          <cell r="F28867">
            <v>0</v>
          </cell>
          <cell r="DN28867">
            <v>0</v>
          </cell>
        </row>
        <row r="28868">
          <cell r="E28868">
            <v>0</v>
          </cell>
          <cell r="F28868">
            <v>0</v>
          </cell>
          <cell r="DN28868">
            <v>0</v>
          </cell>
        </row>
        <row r="28869">
          <cell r="E28869">
            <v>0</v>
          </cell>
          <cell r="F28869">
            <v>0</v>
          </cell>
          <cell r="DN28869">
            <v>0</v>
          </cell>
        </row>
        <row r="28870">
          <cell r="E28870">
            <v>0</v>
          </cell>
          <cell r="F28870">
            <v>0</v>
          </cell>
          <cell r="DN28870">
            <v>0</v>
          </cell>
        </row>
        <row r="28871">
          <cell r="E28871">
            <v>0</v>
          </cell>
          <cell r="F28871">
            <v>0</v>
          </cell>
          <cell r="DN28871">
            <v>0</v>
          </cell>
        </row>
        <row r="28872">
          <cell r="E28872">
            <v>0</v>
          </cell>
          <cell r="F28872">
            <v>0</v>
          </cell>
          <cell r="DN28872">
            <v>0</v>
          </cell>
        </row>
        <row r="28873">
          <cell r="E28873">
            <v>0</v>
          </cell>
          <cell r="F28873">
            <v>0</v>
          </cell>
          <cell r="DN28873">
            <v>0</v>
          </cell>
        </row>
        <row r="28874">
          <cell r="E28874">
            <v>0</v>
          </cell>
          <cell r="F28874">
            <v>0</v>
          </cell>
          <cell r="DN28874">
            <v>0</v>
          </cell>
        </row>
        <row r="28875">
          <cell r="E28875">
            <v>0</v>
          </cell>
          <cell r="F28875">
            <v>0</v>
          </cell>
          <cell r="DN28875">
            <v>0</v>
          </cell>
        </row>
        <row r="28876">
          <cell r="E28876">
            <v>0</v>
          </cell>
          <cell r="F28876">
            <v>0</v>
          </cell>
          <cell r="DN28876">
            <v>0</v>
          </cell>
        </row>
        <row r="28877">
          <cell r="E28877">
            <v>0</v>
          </cell>
          <cell r="F28877">
            <v>0</v>
          </cell>
          <cell r="DN28877">
            <v>0</v>
          </cell>
        </row>
        <row r="28878">
          <cell r="E28878">
            <v>0</v>
          </cell>
          <cell r="F28878">
            <v>0</v>
          </cell>
          <cell r="DN28878">
            <v>0</v>
          </cell>
        </row>
        <row r="28879">
          <cell r="E28879">
            <v>0</v>
          </cell>
          <cell r="F28879">
            <v>0</v>
          </cell>
          <cell r="DN28879">
            <v>0</v>
          </cell>
        </row>
        <row r="28880">
          <cell r="E28880">
            <v>0</v>
          </cell>
          <cell r="F28880">
            <v>0</v>
          </cell>
          <cell r="DN28880">
            <v>0</v>
          </cell>
        </row>
        <row r="28881">
          <cell r="E28881">
            <v>0</v>
          </cell>
          <cell r="F28881">
            <v>0</v>
          </cell>
          <cell r="DN28881">
            <v>0</v>
          </cell>
        </row>
        <row r="28882">
          <cell r="E28882">
            <v>0</v>
          </cell>
          <cell r="F28882">
            <v>0</v>
          </cell>
          <cell r="DN28882">
            <v>0</v>
          </cell>
        </row>
        <row r="28883">
          <cell r="E28883">
            <v>0</v>
          </cell>
          <cell r="F28883">
            <v>0</v>
          </cell>
          <cell r="DN28883">
            <v>0</v>
          </cell>
        </row>
        <row r="28884">
          <cell r="E28884">
            <v>0</v>
          </cell>
          <cell r="F28884">
            <v>0</v>
          </cell>
          <cell r="DN28884">
            <v>0</v>
          </cell>
        </row>
        <row r="28885">
          <cell r="E28885">
            <v>0</v>
          </cell>
          <cell r="F28885">
            <v>0</v>
          </cell>
          <cell r="DN28885">
            <v>0</v>
          </cell>
        </row>
        <row r="28886">
          <cell r="E28886">
            <v>0</v>
          </cell>
          <cell r="F28886">
            <v>0</v>
          </cell>
          <cell r="DN28886">
            <v>0</v>
          </cell>
        </row>
        <row r="28887">
          <cell r="E28887">
            <v>0</v>
          </cell>
          <cell r="F28887">
            <v>0</v>
          </cell>
          <cell r="DN28887">
            <v>0</v>
          </cell>
        </row>
        <row r="28888">
          <cell r="E28888">
            <v>0</v>
          </cell>
          <cell r="F28888">
            <v>0</v>
          </cell>
          <cell r="DN28888">
            <v>0</v>
          </cell>
        </row>
        <row r="28889">
          <cell r="E28889">
            <v>0</v>
          </cell>
          <cell r="F28889">
            <v>0</v>
          </cell>
          <cell r="DN28889">
            <v>0</v>
          </cell>
        </row>
        <row r="28890">
          <cell r="E28890">
            <v>0</v>
          </cell>
          <cell r="F28890">
            <v>0</v>
          </cell>
          <cell r="DN28890">
            <v>0</v>
          </cell>
        </row>
        <row r="28891">
          <cell r="E28891">
            <v>0</v>
          </cell>
          <cell r="F28891">
            <v>0</v>
          </cell>
          <cell r="DN28891">
            <v>0</v>
          </cell>
        </row>
        <row r="28892">
          <cell r="E28892">
            <v>0</v>
          </cell>
          <cell r="F28892">
            <v>0</v>
          </cell>
          <cell r="DN28892">
            <v>0</v>
          </cell>
        </row>
        <row r="28893">
          <cell r="E28893">
            <v>0</v>
          </cell>
          <cell r="F28893">
            <v>0</v>
          </cell>
          <cell r="DN28893">
            <v>0</v>
          </cell>
        </row>
        <row r="28894">
          <cell r="E28894">
            <v>0</v>
          </cell>
          <cell r="F28894">
            <v>0</v>
          </cell>
          <cell r="DN28894">
            <v>0</v>
          </cell>
        </row>
        <row r="28895">
          <cell r="E28895">
            <v>0</v>
          </cell>
          <cell r="F28895">
            <v>0</v>
          </cell>
          <cell r="DN28895">
            <v>0</v>
          </cell>
        </row>
        <row r="28896">
          <cell r="E28896">
            <v>0</v>
          </cell>
          <cell r="F28896">
            <v>0</v>
          </cell>
          <cell r="DN28896">
            <v>0</v>
          </cell>
        </row>
        <row r="28897">
          <cell r="E28897">
            <v>0</v>
          </cell>
          <cell r="F28897">
            <v>0</v>
          </cell>
          <cell r="DN28897">
            <v>0</v>
          </cell>
        </row>
        <row r="28898">
          <cell r="E28898">
            <v>0</v>
          </cell>
          <cell r="F28898">
            <v>0</v>
          </cell>
          <cell r="DN28898">
            <v>0</v>
          </cell>
        </row>
        <row r="28899">
          <cell r="E28899">
            <v>0</v>
          </cell>
          <cell r="F28899">
            <v>0</v>
          </cell>
          <cell r="DN28899">
            <v>0</v>
          </cell>
        </row>
        <row r="28900">
          <cell r="E28900">
            <v>0</v>
          </cell>
          <cell r="F28900">
            <v>0</v>
          </cell>
          <cell r="DN28900">
            <v>0</v>
          </cell>
        </row>
        <row r="28901">
          <cell r="E28901">
            <v>0</v>
          </cell>
          <cell r="F28901">
            <v>0</v>
          </cell>
          <cell r="DN28901">
            <v>0</v>
          </cell>
        </row>
        <row r="28902">
          <cell r="E28902">
            <v>0</v>
          </cell>
          <cell r="F28902">
            <v>0</v>
          </cell>
          <cell r="DN28902">
            <v>0</v>
          </cell>
        </row>
        <row r="28903">
          <cell r="E28903">
            <v>0</v>
          </cell>
          <cell r="F28903">
            <v>0</v>
          </cell>
          <cell r="DN28903">
            <v>0</v>
          </cell>
        </row>
        <row r="28904">
          <cell r="E28904">
            <v>0</v>
          </cell>
          <cell r="F28904">
            <v>0</v>
          </cell>
          <cell r="DN28904">
            <v>0</v>
          </cell>
        </row>
        <row r="28905">
          <cell r="E28905">
            <v>0</v>
          </cell>
          <cell r="F28905">
            <v>0</v>
          </cell>
          <cell r="DN28905">
            <v>0</v>
          </cell>
        </row>
        <row r="28906">
          <cell r="E28906">
            <v>0</v>
          </cell>
          <cell r="F28906">
            <v>0</v>
          </cell>
          <cell r="DN28906">
            <v>0</v>
          </cell>
        </row>
        <row r="28907">
          <cell r="E28907">
            <v>0</v>
          </cell>
          <cell r="F28907">
            <v>0</v>
          </cell>
          <cell r="DN28907">
            <v>0</v>
          </cell>
        </row>
        <row r="28908">
          <cell r="E28908">
            <v>0</v>
          </cell>
          <cell r="F28908">
            <v>0</v>
          </cell>
          <cell r="DN28908">
            <v>0</v>
          </cell>
        </row>
        <row r="28909">
          <cell r="E28909">
            <v>0</v>
          </cell>
          <cell r="F28909">
            <v>0</v>
          </cell>
          <cell r="DN28909">
            <v>0</v>
          </cell>
        </row>
        <row r="28910">
          <cell r="E28910">
            <v>0</v>
          </cell>
          <cell r="F28910">
            <v>0</v>
          </cell>
          <cell r="DN28910">
            <v>0</v>
          </cell>
        </row>
        <row r="28911">
          <cell r="E28911">
            <v>0</v>
          </cell>
          <cell r="F28911">
            <v>0</v>
          </cell>
          <cell r="DN28911">
            <v>0</v>
          </cell>
        </row>
        <row r="28912">
          <cell r="E28912">
            <v>0</v>
          </cell>
          <cell r="F28912">
            <v>0</v>
          </cell>
          <cell r="DN28912">
            <v>0</v>
          </cell>
        </row>
        <row r="28913">
          <cell r="E28913">
            <v>0</v>
          </cell>
          <cell r="F28913">
            <v>0</v>
          </cell>
          <cell r="DN28913">
            <v>0</v>
          </cell>
        </row>
        <row r="28914">
          <cell r="E28914">
            <v>0</v>
          </cell>
          <cell r="F28914">
            <v>0</v>
          </cell>
          <cell r="DN28914">
            <v>0</v>
          </cell>
        </row>
        <row r="28915">
          <cell r="E28915">
            <v>0</v>
          </cell>
          <cell r="F28915">
            <v>0</v>
          </cell>
          <cell r="DN28915">
            <v>0</v>
          </cell>
        </row>
        <row r="28916">
          <cell r="E28916">
            <v>0</v>
          </cell>
          <cell r="F28916">
            <v>0</v>
          </cell>
          <cell r="DN28916">
            <v>0</v>
          </cell>
        </row>
        <row r="28917">
          <cell r="E28917">
            <v>0</v>
          </cell>
          <cell r="F28917">
            <v>0</v>
          </cell>
          <cell r="DN28917">
            <v>0</v>
          </cell>
        </row>
        <row r="28918">
          <cell r="E28918">
            <v>0</v>
          </cell>
          <cell r="F28918">
            <v>0</v>
          </cell>
          <cell r="DN28918">
            <v>0</v>
          </cell>
        </row>
        <row r="28919">
          <cell r="E28919">
            <v>0</v>
          </cell>
          <cell r="F28919">
            <v>0</v>
          </cell>
          <cell r="DN28919">
            <v>0</v>
          </cell>
        </row>
        <row r="28920">
          <cell r="E28920">
            <v>0</v>
          </cell>
          <cell r="F28920">
            <v>0</v>
          </cell>
          <cell r="DN28920">
            <v>0</v>
          </cell>
        </row>
        <row r="28921">
          <cell r="E28921">
            <v>0</v>
          </cell>
          <cell r="F28921">
            <v>0</v>
          </cell>
          <cell r="DN28921">
            <v>0</v>
          </cell>
        </row>
        <row r="28922">
          <cell r="E28922">
            <v>0</v>
          </cell>
          <cell r="F28922">
            <v>0</v>
          </cell>
          <cell r="DN28922">
            <v>0</v>
          </cell>
        </row>
        <row r="28923">
          <cell r="E28923">
            <v>0</v>
          </cell>
          <cell r="F28923">
            <v>0</v>
          </cell>
          <cell r="DN28923">
            <v>0</v>
          </cell>
        </row>
        <row r="28924">
          <cell r="E28924">
            <v>0</v>
          </cell>
          <cell r="F28924">
            <v>0</v>
          </cell>
          <cell r="DN28924">
            <v>0</v>
          </cell>
        </row>
        <row r="28925">
          <cell r="E28925">
            <v>0</v>
          </cell>
          <cell r="F28925">
            <v>0</v>
          </cell>
          <cell r="DN28925">
            <v>0</v>
          </cell>
        </row>
        <row r="28926">
          <cell r="E28926">
            <v>0</v>
          </cell>
          <cell r="F28926">
            <v>0</v>
          </cell>
          <cell r="DN28926">
            <v>0</v>
          </cell>
        </row>
        <row r="28927">
          <cell r="E28927">
            <v>0</v>
          </cell>
          <cell r="F28927">
            <v>0</v>
          </cell>
          <cell r="DN28927">
            <v>0</v>
          </cell>
        </row>
        <row r="28928">
          <cell r="E28928">
            <v>0</v>
          </cell>
          <cell r="F28928">
            <v>0</v>
          </cell>
          <cell r="DN28928">
            <v>0</v>
          </cell>
        </row>
        <row r="28929">
          <cell r="E28929">
            <v>0</v>
          </cell>
          <cell r="F28929">
            <v>0</v>
          </cell>
          <cell r="DN28929">
            <v>0</v>
          </cell>
        </row>
        <row r="28930">
          <cell r="E28930">
            <v>0</v>
          </cell>
          <cell r="F28930">
            <v>0</v>
          </cell>
          <cell r="DN28930">
            <v>0</v>
          </cell>
        </row>
        <row r="28931">
          <cell r="E28931">
            <v>0</v>
          </cell>
          <cell r="F28931">
            <v>0</v>
          </cell>
          <cell r="DN28931">
            <v>0</v>
          </cell>
        </row>
        <row r="28932">
          <cell r="E28932">
            <v>0</v>
          </cell>
          <cell r="F28932">
            <v>0</v>
          </cell>
          <cell r="DN28932">
            <v>0</v>
          </cell>
        </row>
        <row r="28933">
          <cell r="E28933">
            <v>0</v>
          </cell>
          <cell r="F28933">
            <v>0</v>
          </cell>
          <cell r="DN28933">
            <v>0</v>
          </cell>
        </row>
        <row r="28934">
          <cell r="E28934">
            <v>0</v>
          </cell>
          <cell r="F28934">
            <v>0</v>
          </cell>
          <cell r="DN28934">
            <v>0</v>
          </cell>
        </row>
        <row r="28935">
          <cell r="E28935">
            <v>0</v>
          </cell>
          <cell r="F28935">
            <v>0</v>
          </cell>
          <cell r="DN28935">
            <v>0</v>
          </cell>
        </row>
        <row r="28936">
          <cell r="E28936">
            <v>0</v>
          </cell>
          <cell r="F28936">
            <v>0</v>
          </cell>
          <cell r="DN28936">
            <v>0</v>
          </cell>
        </row>
        <row r="28937">
          <cell r="E28937">
            <v>0</v>
          </cell>
          <cell r="F28937">
            <v>0</v>
          </cell>
          <cell r="DN28937">
            <v>0</v>
          </cell>
        </row>
        <row r="28938">
          <cell r="E28938">
            <v>0</v>
          </cell>
          <cell r="F28938">
            <v>0</v>
          </cell>
          <cell r="DN28938">
            <v>0</v>
          </cell>
        </row>
        <row r="28939">
          <cell r="E28939">
            <v>0</v>
          </cell>
          <cell r="F28939">
            <v>0</v>
          </cell>
          <cell r="DN28939">
            <v>0</v>
          </cell>
        </row>
        <row r="28940">
          <cell r="E28940">
            <v>0</v>
          </cell>
          <cell r="F28940">
            <v>0</v>
          </cell>
          <cell r="DN28940">
            <v>0</v>
          </cell>
        </row>
        <row r="28941">
          <cell r="E28941">
            <v>0</v>
          </cell>
          <cell r="F28941">
            <v>0</v>
          </cell>
          <cell r="DN28941">
            <v>0</v>
          </cell>
        </row>
        <row r="28942">
          <cell r="E28942">
            <v>0</v>
          </cell>
          <cell r="F28942">
            <v>0</v>
          </cell>
          <cell r="DN28942">
            <v>0</v>
          </cell>
        </row>
        <row r="28943">
          <cell r="E28943">
            <v>0</v>
          </cell>
          <cell r="F28943">
            <v>0</v>
          </cell>
          <cell r="DN28943">
            <v>0</v>
          </cell>
        </row>
        <row r="28944">
          <cell r="E28944">
            <v>0</v>
          </cell>
          <cell r="F28944">
            <v>0</v>
          </cell>
          <cell r="DN28944">
            <v>0</v>
          </cell>
        </row>
        <row r="28945">
          <cell r="E28945">
            <v>0</v>
          </cell>
          <cell r="F28945">
            <v>0</v>
          </cell>
          <cell r="DN28945">
            <v>0</v>
          </cell>
        </row>
        <row r="28946">
          <cell r="E28946">
            <v>0</v>
          </cell>
          <cell r="F28946">
            <v>0</v>
          </cell>
          <cell r="DN28946">
            <v>0</v>
          </cell>
        </row>
        <row r="28947">
          <cell r="E28947">
            <v>0</v>
          </cell>
          <cell r="F28947">
            <v>0</v>
          </cell>
          <cell r="DN28947">
            <v>0</v>
          </cell>
        </row>
        <row r="28948">
          <cell r="E28948">
            <v>0</v>
          </cell>
          <cell r="F28948">
            <v>0</v>
          </cell>
          <cell r="DN28948">
            <v>0</v>
          </cell>
        </row>
        <row r="28949">
          <cell r="E28949">
            <v>0</v>
          </cell>
          <cell r="F28949">
            <v>0</v>
          </cell>
          <cell r="DN28949">
            <v>0</v>
          </cell>
        </row>
        <row r="28950">
          <cell r="E28950">
            <v>0</v>
          </cell>
          <cell r="F28950">
            <v>0</v>
          </cell>
          <cell r="DN28950">
            <v>0</v>
          </cell>
        </row>
        <row r="28951">
          <cell r="E28951">
            <v>0</v>
          </cell>
          <cell r="F28951">
            <v>0</v>
          </cell>
          <cell r="DN28951">
            <v>0</v>
          </cell>
        </row>
        <row r="28952">
          <cell r="E28952">
            <v>0</v>
          </cell>
          <cell r="F28952">
            <v>0</v>
          </cell>
          <cell r="DN28952">
            <v>0</v>
          </cell>
        </row>
        <row r="28953">
          <cell r="E28953">
            <v>0</v>
          </cell>
          <cell r="F28953">
            <v>0</v>
          </cell>
          <cell r="DN28953">
            <v>0</v>
          </cell>
        </row>
        <row r="28954">
          <cell r="E28954">
            <v>0</v>
          </cell>
          <cell r="F28954">
            <v>0</v>
          </cell>
          <cell r="DN28954">
            <v>0</v>
          </cell>
        </row>
        <row r="28955">
          <cell r="E28955">
            <v>0</v>
          </cell>
          <cell r="F28955">
            <v>0</v>
          </cell>
          <cell r="DN28955">
            <v>0</v>
          </cell>
        </row>
        <row r="28956">
          <cell r="E28956">
            <v>0</v>
          </cell>
          <cell r="F28956">
            <v>0</v>
          </cell>
          <cell r="DN28956">
            <v>0</v>
          </cell>
        </row>
        <row r="28957">
          <cell r="E28957">
            <v>0</v>
          </cell>
          <cell r="F28957">
            <v>0</v>
          </cell>
          <cell r="DN28957">
            <v>0</v>
          </cell>
        </row>
        <row r="28958">
          <cell r="E28958">
            <v>0</v>
          </cell>
          <cell r="F28958">
            <v>0</v>
          </cell>
          <cell r="DN28958">
            <v>0</v>
          </cell>
        </row>
        <row r="28959">
          <cell r="E28959">
            <v>0</v>
          </cell>
          <cell r="F28959">
            <v>0</v>
          </cell>
          <cell r="DN28959">
            <v>0</v>
          </cell>
        </row>
        <row r="28960">
          <cell r="E28960">
            <v>0</v>
          </cell>
          <cell r="F28960">
            <v>0</v>
          </cell>
          <cell r="DN28960">
            <v>0</v>
          </cell>
        </row>
        <row r="28961">
          <cell r="E28961">
            <v>0</v>
          </cell>
          <cell r="F28961">
            <v>0</v>
          </cell>
          <cell r="DN28961">
            <v>0</v>
          </cell>
        </row>
        <row r="28962">
          <cell r="E28962">
            <v>0</v>
          </cell>
          <cell r="F28962">
            <v>0</v>
          </cell>
          <cell r="DN28962">
            <v>0</v>
          </cell>
        </row>
        <row r="28963">
          <cell r="E28963">
            <v>0</v>
          </cell>
          <cell r="F28963">
            <v>0</v>
          </cell>
          <cell r="DN28963">
            <v>0</v>
          </cell>
        </row>
        <row r="28964">
          <cell r="E28964">
            <v>0</v>
          </cell>
          <cell r="F28964">
            <v>0</v>
          </cell>
          <cell r="DN28964">
            <v>0</v>
          </cell>
        </row>
        <row r="28965">
          <cell r="E28965">
            <v>0</v>
          </cell>
          <cell r="F28965">
            <v>0</v>
          </cell>
          <cell r="DN28965">
            <v>0</v>
          </cell>
        </row>
        <row r="28966">
          <cell r="E28966">
            <v>0</v>
          </cell>
          <cell r="F28966">
            <v>0</v>
          </cell>
          <cell r="DN28966">
            <v>0</v>
          </cell>
        </row>
        <row r="28967">
          <cell r="E28967">
            <v>0</v>
          </cell>
          <cell r="F28967">
            <v>0</v>
          </cell>
          <cell r="DN28967">
            <v>0</v>
          </cell>
        </row>
        <row r="28968">
          <cell r="E28968">
            <v>0</v>
          </cell>
          <cell r="F28968">
            <v>0</v>
          </cell>
          <cell r="DN28968">
            <v>0</v>
          </cell>
        </row>
        <row r="28969">
          <cell r="E28969">
            <v>0</v>
          </cell>
          <cell r="F28969">
            <v>0</v>
          </cell>
          <cell r="DN28969">
            <v>0</v>
          </cell>
        </row>
        <row r="28970">
          <cell r="E28970">
            <v>0</v>
          </cell>
          <cell r="F28970">
            <v>0</v>
          </cell>
          <cell r="DN28970">
            <v>0</v>
          </cell>
        </row>
        <row r="28971">
          <cell r="E28971">
            <v>0</v>
          </cell>
          <cell r="F28971">
            <v>0</v>
          </cell>
          <cell r="DN28971">
            <v>0</v>
          </cell>
        </row>
        <row r="28972">
          <cell r="E28972">
            <v>0</v>
          </cell>
          <cell r="F28972">
            <v>0</v>
          </cell>
          <cell r="DN28972">
            <v>0</v>
          </cell>
        </row>
        <row r="28973">
          <cell r="E28973">
            <v>0</v>
          </cell>
          <cell r="F28973">
            <v>0</v>
          </cell>
          <cell r="DN28973">
            <v>0</v>
          </cell>
        </row>
        <row r="28974">
          <cell r="E28974">
            <v>0</v>
          </cell>
          <cell r="F28974">
            <v>0</v>
          </cell>
          <cell r="DN28974">
            <v>0</v>
          </cell>
        </row>
        <row r="28975">
          <cell r="E28975">
            <v>0</v>
          </cell>
          <cell r="F28975">
            <v>0</v>
          </cell>
          <cell r="DN28975">
            <v>0</v>
          </cell>
        </row>
        <row r="28976">
          <cell r="E28976">
            <v>0</v>
          </cell>
          <cell r="F28976">
            <v>0</v>
          </cell>
          <cell r="DN28976">
            <v>0</v>
          </cell>
        </row>
        <row r="28977">
          <cell r="E28977">
            <v>0</v>
          </cell>
          <cell r="F28977">
            <v>0</v>
          </cell>
          <cell r="DN28977">
            <v>0</v>
          </cell>
        </row>
        <row r="28978">
          <cell r="E28978">
            <v>0</v>
          </cell>
          <cell r="F28978">
            <v>0</v>
          </cell>
          <cell r="DN28978">
            <v>0</v>
          </cell>
        </row>
        <row r="28979">
          <cell r="E28979">
            <v>0</v>
          </cell>
          <cell r="F28979">
            <v>0</v>
          </cell>
          <cell r="DN28979">
            <v>0</v>
          </cell>
        </row>
        <row r="28980">
          <cell r="E28980">
            <v>0</v>
          </cell>
          <cell r="F28980">
            <v>0</v>
          </cell>
          <cell r="DN28980">
            <v>0</v>
          </cell>
        </row>
        <row r="28981">
          <cell r="E28981">
            <v>0</v>
          </cell>
          <cell r="F28981">
            <v>0</v>
          </cell>
          <cell r="DN28981">
            <v>0</v>
          </cell>
        </row>
        <row r="28982">
          <cell r="E28982">
            <v>0</v>
          </cell>
          <cell r="F28982">
            <v>0</v>
          </cell>
          <cell r="DN28982">
            <v>0</v>
          </cell>
        </row>
        <row r="28983">
          <cell r="E28983">
            <v>0</v>
          </cell>
          <cell r="F28983">
            <v>0</v>
          </cell>
          <cell r="DN28983">
            <v>0</v>
          </cell>
        </row>
        <row r="28984">
          <cell r="E28984">
            <v>0</v>
          </cell>
          <cell r="F28984">
            <v>0</v>
          </cell>
          <cell r="DN28984">
            <v>0</v>
          </cell>
        </row>
        <row r="28985">
          <cell r="E28985">
            <v>0</v>
          </cell>
          <cell r="F28985">
            <v>0</v>
          </cell>
          <cell r="DN28985">
            <v>0</v>
          </cell>
        </row>
        <row r="28986">
          <cell r="E28986">
            <v>0</v>
          </cell>
          <cell r="F28986">
            <v>0</v>
          </cell>
          <cell r="DN28986">
            <v>0</v>
          </cell>
        </row>
        <row r="28987">
          <cell r="E28987">
            <v>0</v>
          </cell>
          <cell r="F28987">
            <v>0</v>
          </cell>
          <cell r="DN28987">
            <v>0</v>
          </cell>
        </row>
        <row r="28988">
          <cell r="E28988">
            <v>0</v>
          </cell>
          <cell r="F28988">
            <v>0</v>
          </cell>
          <cell r="DN28988">
            <v>0</v>
          </cell>
        </row>
        <row r="28989">
          <cell r="E28989">
            <v>0</v>
          </cell>
          <cell r="F28989">
            <v>0</v>
          </cell>
          <cell r="DN28989">
            <v>0</v>
          </cell>
        </row>
        <row r="28990">
          <cell r="E28990">
            <v>0</v>
          </cell>
          <cell r="F28990">
            <v>0</v>
          </cell>
          <cell r="DN28990">
            <v>0</v>
          </cell>
        </row>
        <row r="28991">
          <cell r="E28991">
            <v>0</v>
          </cell>
          <cell r="F28991">
            <v>0</v>
          </cell>
          <cell r="DN28991">
            <v>0</v>
          </cell>
        </row>
        <row r="28992">
          <cell r="E28992">
            <v>0</v>
          </cell>
          <cell r="F28992">
            <v>0</v>
          </cell>
          <cell r="DN28992">
            <v>0</v>
          </cell>
        </row>
        <row r="28993">
          <cell r="E28993">
            <v>0</v>
          </cell>
          <cell r="F28993">
            <v>0</v>
          </cell>
          <cell r="DN28993">
            <v>0</v>
          </cell>
        </row>
        <row r="28994">
          <cell r="E28994">
            <v>0</v>
          </cell>
          <cell r="F28994">
            <v>0</v>
          </cell>
          <cell r="DN28994">
            <v>0</v>
          </cell>
        </row>
        <row r="28995">
          <cell r="E28995">
            <v>0</v>
          </cell>
          <cell r="F28995">
            <v>0</v>
          </cell>
          <cell r="DN28995">
            <v>0</v>
          </cell>
        </row>
        <row r="28996">
          <cell r="E28996">
            <v>0</v>
          </cell>
          <cell r="F28996">
            <v>0</v>
          </cell>
          <cell r="DN28996">
            <v>0</v>
          </cell>
        </row>
        <row r="28997">
          <cell r="E28997">
            <v>0</v>
          </cell>
          <cell r="F28997">
            <v>0</v>
          </cell>
          <cell r="DN28997">
            <v>0</v>
          </cell>
        </row>
        <row r="28998">
          <cell r="E28998">
            <v>0</v>
          </cell>
          <cell r="F28998">
            <v>0</v>
          </cell>
          <cell r="DN28998">
            <v>0</v>
          </cell>
        </row>
        <row r="28999">
          <cell r="E28999">
            <v>0</v>
          </cell>
          <cell r="F28999">
            <v>0</v>
          </cell>
          <cell r="DN28999">
            <v>0</v>
          </cell>
        </row>
        <row r="29000">
          <cell r="E29000">
            <v>0</v>
          </cell>
          <cell r="F29000">
            <v>0</v>
          </cell>
          <cell r="DN29000">
            <v>0</v>
          </cell>
        </row>
        <row r="29001">
          <cell r="E29001">
            <v>0</v>
          </cell>
          <cell r="F29001">
            <v>0</v>
          </cell>
          <cell r="DN29001">
            <v>0</v>
          </cell>
        </row>
        <row r="29002">
          <cell r="E29002">
            <v>0</v>
          </cell>
          <cell r="F29002">
            <v>0</v>
          </cell>
          <cell r="DN29002">
            <v>0</v>
          </cell>
        </row>
        <row r="29003">
          <cell r="E29003">
            <v>0</v>
          </cell>
          <cell r="F29003">
            <v>0</v>
          </cell>
          <cell r="DN29003">
            <v>0</v>
          </cell>
        </row>
        <row r="29004">
          <cell r="E29004">
            <v>0</v>
          </cell>
          <cell r="F29004">
            <v>0</v>
          </cell>
          <cell r="DN29004">
            <v>0</v>
          </cell>
        </row>
        <row r="29005">
          <cell r="E29005">
            <v>0</v>
          </cell>
          <cell r="F29005">
            <v>0</v>
          </cell>
          <cell r="DN29005">
            <v>0</v>
          </cell>
        </row>
        <row r="29006">
          <cell r="E29006">
            <v>0</v>
          </cell>
          <cell r="F29006">
            <v>0</v>
          </cell>
          <cell r="DN29006">
            <v>0</v>
          </cell>
        </row>
        <row r="29007">
          <cell r="E29007">
            <v>0</v>
          </cell>
          <cell r="F29007">
            <v>0</v>
          </cell>
          <cell r="DN29007">
            <v>0</v>
          </cell>
        </row>
        <row r="29008">
          <cell r="E29008">
            <v>0</v>
          </cell>
          <cell r="F29008">
            <v>0</v>
          </cell>
          <cell r="DN29008">
            <v>0</v>
          </cell>
        </row>
        <row r="29009">
          <cell r="E29009">
            <v>0</v>
          </cell>
          <cell r="F29009">
            <v>0</v>
          </cell>
          <cell r="DN29009">
            <v>0</v>
          </cell>
        </row>
        <row r="29010">
          <cell r="E29010">
            <v>0</v>
          </cell>
          <cell r="F29010">
            <v>0</v>
          </cell>
          <cell r="DN29010">
            <v>0</v>
          </cell>
        </row>
        <row r="29011">
          <cell r="E29011">
            <v>0</v>
          </cell>
          <cell r="F29011">
            <v>0</v>
          </cell>
          <cell r="DN29011">
            <v>0</v>
          </cell>
        </row>
        <row r="29012">
          <cell r="E29012">
            <v>0</v>
          </cell>
          <cell r="F29012">
            <v>0</v>
          </cell>
          <cell r="DN29012">
            <v>0</v>
          </cell>
        </row>
        <row r="29013">
          <cell r="E29013">
            <v>0</v>
          </cell>
          <cell r="F29013">
            <v>0</v>
          </cell>
          <cell r="DN29013">
            <v>0</v>
          </cell>
        </row>
        <row r="29014">
          <cell r="E29014">
            <v>0</v>
          </cell>
          <cell r="F29014">
            <v>0</v>
          </cell>
          <cell r="DN29014">
            <v>0</v>
          </cell>
        </row>
        <row r="29015">
          <cell r="E29015">
            <v>0</v>
          </cell>
          <cell r="F29015">
            <v>0</v>
          </cell>
          <cell r="DN29015">
            <v>0</v>
          </cell>
        </row>
        <row r="29016">
          <cell r="E29016">
            <v>0</v>
          </cell>
          <cell r="F29016">
            <v>0</v>
          </cell>
          <cell r="DN29016">
            <v>0</v>
          </cell>
        </row>
        <row r="29017">
          <cell r="E29017">
            <v>0</v>
          </cell>
          <cell r="F29017">
            <v>0</v>
          </cell>
          <cell r="DN29017">
            <v>0</v>
          </cell>
        </row>
        <row r="29018">
          <cell r="E29018">
            <v>0</v>
          </cell>
          <cell r="F29018">
            <v>0</v>
          </cell>
          <cell r="DN29018">
            <v>0</v>
          </cell>
        </row>
        <row r="29019">
          <cell r="E29019">
            <v>0</v>
          </cell>
          <cell r="F29019">
            <v>0</v>
          </cell>
          <cell r="DN29019">
            <v>0</v>
          </cell>
        </row>
        <row r="29020">
          <cell r="E29020">
            <v>0</v>
          </cell>
          <cell r="F29020">
            <v>0</v>
          </cell>
          <cell r="DN29020">
            <v>0</v>
          </cell>
        </row>
        <row r="29021">
          <cell r="E29021">
            <v>0</v>
          </cell>
          <cell r="F29021">
            <v>0</v>
          </cell>
          <cell r="DN29021">
            <v>0</v>
          </cell>
        </row>
        <row r="29022">
          <cell r="E29022">
            <v>0</v>
          </cell>
          <cell r="F29022">
            <v>0</v>
          </cell>
          <cell r="DN29022">
            <v>0</v>
          </cell>
        </row>
        <row r="29023">
          <cell r="E29023">
            <v>0</v>
          </cell>
          <cell r="F29023">
            <v>0</v>
          </cell>
          <cell r="DN29023">
            <v>0</v>
          </cell>
        </row>
        <row r="29024">
          <cell r="E29024">
            <v>0</v>
          </cell>
          <cell r="F29024">
            <v>0</v>
          </cell>
          <cell r="DN29024">
            <v>0</v>
          </cell>
        </row>
        <row r="29025">
          <cell r="E29025">
            <v>0</v>
          </cell>
          <cell r="F29025">
            <v>0</v>
          </cell>
          <cell r="DN29025">
            <v>0</v>
          </cell>
        </row>
        <row r="29026">
          <cell r="E29026">
            <v>0</v>
          </cell>
          <cell r="F29026">
            <v>0</v>
          </cell>
          <cell r="DN29026">
            <v>0</v>
          </cell>
        </row>
        <row r="29027">
          <cell r="E29027">
            <v>0</v>
          </cell>
          <cell r="F29027">
            <v>0</v>
          </cell>
          <cell r="DN29027">
            <v>0</v>
          </cell>
        </row>
        <row r="29028">
          <cell r="E29028">
            <v>0</v>
          </cell>
          <cell r="F29028">
            <v>0</v>
          </cell>
          <cell r="DN29028">
            <v>0</v>
          </cell>
        </row>
        <row r="29029">
          <cell r="E29029">
            <v>0</v>
          </cell>
          <cell r="F29029">
            <v>0</v>
          </cell>
          <cell r="DN29029">
            <v>0</v>
          </cell>
        </row>
        <row r="29030">
          <cell r="E29030">
            <v>0</v>
          </cell>
          <cell r="F29030">
            <v>0</v>
          </cell>
          <cell r="DN29030">
            <v>0</v>
          </cell>
        </row>
        <row r="29031">
          <cell r="E29031">
            <v>0</v>
          </cell>
          <cell r="F29031">
            <v>0</v>
          </cell>
          <cell r="DN29031">
            <v>0</v>
          </cell>
        </row>
        <row r="29032">
          <cell r="E29032">
            <v>0</v>
          </cell>
          <cell r="F29032">
            <v>0</v>
          </cell>
          <cell r="DN29032">
            <v>0</v>
          </cell>
        </row>
        <row r="29033">
          <cell r="E29033">
            <v>0</v>
          </cell>
          <cell r="F29033">
            <v>0</v>
          </cell>
          <cell r="DN29033">
            <v>0</v>
          </cell>
        </row>
        <row r="29034">
          <cell r="E29034">
            <v>0</v>
          </cell>
          <cell r="F29034">
            <v>0</v>
          </cell>
          <cell r="DN29034">
            <v>0</v>
          </cell>
        </row>
        <row r="29035">
          <cell r="E29035">
            <v>0</v>
          </cell>
          <cell r="F29035">
            <v>0</v>
          </cell>
          <cell r="DN29035">
            <v>0</v>
          </cell>
        </row>
        <row r="29036">
          <cell r="E29036">
            <v>0</v>
          </cell>
          <cell r="F29036">
            <v>0</v>
          </cell>
          <cell r="DN29036">
            <v>0</v>
          </cell>
        </row>
        <row r="29037">
          <cell r="E29037">
            <v>0</v>
          </cell>
          <cell r="F29037">
            <v>0</v>
          </cell>
          <cell r="DN29037">
            <v>0</v>
          </cell>
        </row>
        <row r="29038">
          <cell r="E29038">
            <v>0</v>
          </cell>
          <cell r="F29038">
            <v>0</v>
          </cell>
          <cell r="DN29038">
            <v>0</v>
          </cell>
        </row>
        <row r="29039">
          <cell r="E29039">
            <v>0</v>
          </cell>
          <cell r="F29039">
            <v>0</v>
          </cell>
          <cell r="DN29039">
            <v>0</v>
          </cell>
        </row>
        <row r="29040">
          <cell r="E29040">
            <v>0</v>
          </cell>
          <cell r="F29040">
            <v>0</v>
          </cell>
          <cell r="DN29040">
            <v>0</v>
          </cell>
        </row>
        <row r="29041">
          <cell r="E29041">
            <v>0</v>
          </cell>
          <cell r="F29041">
            <v>0</v>
          </cell>
          <cell r="DN29041">
            <v>0</v>
          </cell>
        </row>
        <row r="29042">
          <cell r="E29042">
            <v>0</v>
          </cell>
          <cell r="F29042">
            <v>0</v>
          </cell>
          <cell r="DN29042">
            <v>0</v>
          </cell>
        </row>
        <row r="29043">
          <cell r="E29043">
            <v>0</v>
          </cell>
          <cell r="F29043">
            <v>0</v>
          </cell>
          <cell r="DN29043">
            <v>0</v>
          </cell>
        </row>
        <row r="29044">
          <cell r="E29044">
            <v>0</v>
          </cell>
          <cell r="F29044">
            <v>0</v>
          </cell>
          <cell r="DN29044">
            <v>0</v>
          </cell>
        </row>
        <row r="29045">
          <cell r="E29045">
            <v>0</v>
          </cell>
          <cell r="F29045">
            <v>0</v>
          </cell>
          <cell r="DN29045">
            <v>0</v>
          </cell>
        </row>
        <row r="29046">
          <cell r="E29046">
            <v>0</v>
          </cell>
          <cell r="F29046">
            <v>0</v>
          </cell>
          <cell r="DN29046">
            <v>0</v>
          </cell>
        </row>
        <row r="29047">
          <cell r="E29047">
            <v>0</v>
          </cell>
          <cell r="F29047">
            <v>0</v>
          </cell>
          <cell r="DN29047">
            <v>0</v>
          </cell>
        </row>
        <row r="29048">
          <cell r="E29048">
            <v>0</v>
          </cell>
          <cell r="F29048">
            <v>0</v>
          </cell>
          <cell r="DN29048">
            <v>0</v>
          </cell>
        </row>
        <row r="29049">
          <cell r="E29049">
            <v>0</v>
          </cell>
          <cell r="F29049">
            <v>0</v>
          </cell>
          <cell r="DN29049">
            <v>0</v>
          </cell>
        </row>
        <row r="29050">
          <cell r="E29050">
            <v>0</v>
          </cell>
          <cell r="F29050">
            <v>0</v>
          </cell>
          <cell r="DN29050">
            <v>0</v>
          </cell>
        </row>
        <row r="29051">
          <cell r="E29051">
            <v>0</v>
          </cell>
          <cell r="F29051">
            <v>0</v>
          </cell>
          <cell r="DN29051">
            <v>0</v>
          </cell>
        </row>
        <row r="29052">
          <cell r="E29052">
            <v>0</v>
          </cell>
          <cell r="F29052">
            <v>0</v>
          </cell>
          <cell r="DN29052">
            <v>0</v>
          </cell>
        </row>
        <row r="29053">
          <cell r="E29053">
            <v>0</v>
          </cell>
          <cell r="F29053">
            <v>0</v>
          </cell>
          <cell r="DN29053">
            <v>0</v>
          </cell>
        </row>
        <row r="29054">
          <cell r="E29054">
            <v>0</v>
          </cell>
          <cell r="F29054">
            <v>0</v>
          </cell>
          <cell r="DN29054">
            <v>0</v>
          </cell>
        </row>
        <row r="29055">
          <cell r="E29055">
            <v>0</v>
          </cell>
          <cell r="F29055">
            <v>0</v>
          </cell>
          <cell r="DN29055">
            <v>0</v>
          </cell>
        </row>
        <row r="29056">
          <cell r="E29056">
            <v>0</v>
          </cell>
          <cell r="F29056">
            <v>0</v>
          </cell>
          <cell r="DN29056">
            <v>0</v>
          </cell>
        </row>
        <row r="29057">
          <cell r="E29057">
            <v>0</v>
          </cell>
          <cell r="F29057">
            <v>0</v>
          </cell>
          <cell r="DN29057">
            <v>0</v>
          </cell>
        </row>
        <row r="29058">
          <cell r="E29058">
            <v>0</v>
          </cell>
          <cell r="F29058">
            <v>0</v>
          </cell>
          <cell r="DN29058">
            <v>0</v>
          </cell>
        </row>
        <row r="29059">
          <cell r="E29059">
            <v>0</v>
          </cell>
          <cell r="F29059">
            <v>0</v>
          </cell>
          <cell r="DN29059">
            <v>0</v>
          </cell>
        </row>
        <row r="29060">
          <cell r="E29060">
            <v>0</v>
          </cell>
          <cell r="F29060">
            <v>0</v>
          </cell>
          <cell r="DN29060">
            <v>0</v>
          </cell>
        </row>
        <row r="29061">
          <cell r="E29061">
            <v>0</v>
          </cell>
          <cell r="F29061">
            <v>0</v>
          </cell>
          <cell r="DN29061">
            <v>0</v>
          </cell>
        </row>
        <row r="29062">
          <cell r="E29062">
            <v>0</v>
          </cell>
          <cell r="F29062">
            <v>0</v>
          </cell>
          <cell r="DN29062">
            <v>0</v>
          </cell>
        </row>
        <row r="29063">
          <cell r="E29063">
            <v>0</v>
          </cell>
          <cell r="F29063">
            <v>0</v>
          </cell>
          <cell r="DN29063">
            <v>0</v>
          </cell>
        </row>
        <row r="29064">
          <cell r="E29064">
            <v>0</v>
          </cell>
          <cell r="F29064">
            <v>0</v>
          </cell>
          <cell r="DN29064">
            <v>0</v>
          </cell>
        </row>
        <row r="29065">
          <cell r="E29065">
            <v>0</v>
          </cell>
          <cell r="F29065">
            <v>0</v>
          </cell>
          <cell r="DN29065">
            <v>0</v>
          </cell>
        </row>
        <row r="29066">
          <cell r="E29066">
            <v>0</v>
          </cell>
          <cell r="F29066">
            <v>0</v>
          </cell>
          <cell r="DN29066">
            <v>0</v>
          </cell>
        </row>
        <row r="29067">
          <cell r="E29067">
            <v>0</v>
          </cell>
          <cell r="F29067">
            <v>0</v>
          </cell>
          <cell r="DN29067">
            <v>0</v>
          </cell>
        </row>
        <row r="29068">
          <cell r="E29068">
            <v>0</v>
          </cell>
          <cell r="F29068">
            <v>0</v>
          </cell>
          <cell r="DN29068">
            <v>0</v>
          </cell>
        </row>
        <row r="29069">
          <cell r="E29069">
            <v>0</v>
          </cell>
          <cell r="F29069">
            <v>0</v>
          </cell>
          <cell r="DN29069">
            <v>0</v>
          </cell>
        </row>
        <row r="29070">
          <cell r="E29070">
            <v>0</v>
          </cell>
          <cell r="F29070">
            <v>0</v>
          </cell>
          <cell r="DN29070">
            <v>0</v>
          </cell>
        </row>
        <row r="29071">
          <cell r="E29071">
            <v>0</v>
          </cell>
          <cell r="F29071">
            <v>0</v>
          </cell>
          <cell r="DN29071">
            <v>0</v>
          </cell>
        </row>
        <row r="29072">
          <cell r="E29072">
            <v>0</v>
          </cell>
          <cell r="F29072">
            <v>0</v>
          </cell>
          <cell r="DN29072">
            <v>0</v>
          </cell>
        </row>
        <row r="29073">
          <cell r="E29073">
            <v>0</v>
          </cell>
          <cell r="F29073">
            <v>0</v>
          </cell>
          <cell r="DN29073">
            <v>0</v>
          </cell>
        </row>
        <row r="29074">
          <cell r="E29074">
            <v>0</v>
          </cell>
          <cell r="F29074">
            <v>0</v>
          </cell>
          <cell r="DN29074">
            <v>0</v>
          </cell>
        </row>
        <row r="29075">
          <cell r="E29075">
            <v>0</v>
          </cell>
          <cell r="F29075">
            <v>0</v>
          </cell>
          <cell r="DN29075">
            <v>0</v>
          </cell>
        </row>
        <row r="29076">
          <cell r="E29076">
            <v>0</v>
          </cell>
          <cell r="F29076">
            <v>0</v>
          </cell>
          <cell r="DN29076">
            <v>0</v>
          </cell>
        </row>
        <row r="29077">
          <cell r="E29077">
            <v>0</v>
          </cell>
          <cell r="F29077">
            <v>0</v>
          </cell>
          <cell r="DN29077">
            <v>0</v>
          </cell>
        </row>
        <row r="29078">
          <cell r="E29078">
            <v>0</v>
          </cell>
          <cell r="F29078">
            <v>0</v>
          </cell>
          <cell r="DN29078">
            <v>0</v>
          </cell>
        </row>
        <row r="29079">
          <cell r="E29079">
            <v>0</v>
          </cell>
          <cell r="F29079">
            <v>0</v>
          </cell>
          <cell r="DN29079">
            <v>0</v>
          </cell>
        </row>
        <row r="29080">
          <cell r="E29080">
            <v>0</v>
          </cell>
          <cell r="F29080">
            <v>0</v>
          </cell>
          <cell r="DN29080">
            <v>0</v>
          </cell>
        </row>
        <row r="29081">
          <cell r="E29081">
            <v>0</v>
          </cell>
          <cell r="F29081">
            <v>0</v>
          </cell>
          <cell r="DN29081">
            <v>0</v>
          </cell>
        </row>
        <row r="29082">
          <cell r="E29082">
            <v>0</v>
          </cell>
          <cell r="F29082">
            <v>0</v>
          </cell>
          <cell r="DN29082">
            <v>0</v>
          </cell>
        </row>
        <row r="29083">
          <cell r="E29083">
            <v>0</v>
          </cell>
          <cell r="F29083">
            <v>0</v>
          </cell>
          <cell r="DN29083">
            <v>0</v>
          </cell>
        </row>
        <row r="29084">
          <cell r="E29084">
            <v>0</v>
          </cell>
          <cell r="F29084">
            <v>0</v>
          </cell>
          <cell r="DN29084">
            <v>0</v>
          </cell>
        </row>
        <row r="29085">
          <cell r="E29085">
            <v>0</v>
          </cell>
          <cell r="F29085">
            <v>0</v>
          </cell>
          <cell r="DN29085">
            <v>0</v>
          </cell>
        </row>
        <row r="29086">
          <cell r="E29086">
            <v>0</v>
          </cell>
          <cell r="F29086">
            <v>0</v>
          </cell>
          <cell r="DN29086">
            <v>0</v>
          </cell>
        </row>
        <row r="29087">
          <cell r="E29087">
            <v>0</v>
          </cell>
          <cell r="F29087">
            <v>0</v>
          </cell>
          <cell r="DN29087">
            <v>0</v>
          </cell>
        </row>
        <row r="29088">
          <cell r="E29088">
            <v>0</v>
          </cell>
          <cell r="F29088">
            <v>0</v>
          </cell>
          <cell r="DN29088">
            <v>0</v>
          </cell>
        </row>
        <row r="29089">
          <cell r="E29089">
            <v>0</v>
          </cell>
          <cell r="F29089">
            <v>0</v>
          </cell>
          <cell r="DN29089">
            <v>0</v>
          </cell>
        </row>
        <row r="29090">
          <cell r="E29090">
            <v>0</v>
          </cell>
          <cell r="F29090">
            <v>0</v>
          </cell>
          <cell r="DN29090">
            <v>0</v>
          </cell>
        </row>
        <row r="29091">
          <cell r="E29091">
            <v>0</v>
          </cell>
          <cell r="F29091">
            <v>0</v>
          </cell>
          <cell r="DN29091">
            <v>0</v>
          </cell>
        </row>
        <row r="29092">
          <cell r="E29092">
            <v>0</v>
          </cell>
          <cell r="F29092">
            <v>0</v>
          </cell>
          <cell r="DN29092">
            <v>0</v>
          </cell>
        </row>
        <row r="29093">
          <cell r="E29093">
            <v>0</v>
          </cell>
          <cell r="F29093">
            <v>0</v>
          </cell>
          <cell r="DN29093">
            <v>0</v>
          </cell>
        </row>
        <row r="29094">
          <cell r="E29094">
            <v>0</v>
          </cell>
          <cell r="F29094">
            <v>0</v>
          </cell>
          <cell r="DN29094">
            <v>0</v>
          </cell>
        </row>
        <row r="29095">
          <cell r="E29095">
            <v>0</v>
          </cell>
          <cell r="F29095">
            <v>0</v>
          </cell>
          <cell r="DN29095">
            <v>0</v>
          </cell>
        </row>
        <row r="29096">
          <cell r="E29096">
            <v>0</v>
          </cell>
          <cell r="F29096">
            <v>0</v>
          </cell>
          <cell r="DN29096">
            <v>0</v>
          </cell>
        </row>
        <row r="29097">
          <cell r="E29097">
            <v>0</v>
          </cell>
          <cell r="F29097">
            <v>0</v>
          </cell>
          <cell r="DN29097">
            <v>0</v>
          </cell>
        </row>
        <row r="29098">
          <cell r="E29098">
            <v>0</v>
          </cell>
          <cell r="F29098">
            <v>0</v>
          </cell>
          <cell r="DN29098">
            <v>0</v>
          </cell>
        </row>
        <row r="29099">
          <cell r="E29099">
            <v>0</v>
          </cell>
          <cell r="F29099">
            <v>0</v>
          </cell>
          <cell r="DN29099">
            <v>0</v>
          </cell>
        </row>
        <row r="29100">
          <cell r="E29100">
            <v>0</v>
          </cell>
          <cell r="F29100">
            <v>0</v>
          </cell>
          <cell r="DN29100">
            <v>0</v>
          </cell>
        </row>
        <row r="29101">
          <cell r="E29101">
            <v>0</v>
          </cell>
          <cell r="F29101">
            <v>0</v>
          </cell>
          <cell r="DN29101">
            <v>0</v>
          </cell>
        </row>
        <row r="29102">
          <cell r="E29102">
            <v>0</v>
          </cell>
          <cell r="F29102">
            <v>0</v>
          </cell>
          <cell r="DN29102">
            <v>0</v>
          </cell>
        </row>
        <row r="29103">
          <cell r="E29103">
            <v>0</v>
          </cell>
          <cell r="F29103">
            <v>0</v>
          </cell>
          <cell r="DN29103">
            <v>0</v>
          </cell>
        </row>
        <row r="29104">
          <cell r="E29104">
            <v>0</v>
          </cell>
          <cell r="F29104">
            <v>0</v>
          </cell>
          <cell r="DN29104">
            <v>0</v>
          </cell>
        </row>
        <row r="29105">
          <cell r="E29105">
            <v>0</v>
          </cell>
          <cell r="F29105">
            <v>0</v>
          </cell>
          <cell r="DN29105">
            <v>0</v>
          </cell>
        </row>
        <row r="29106">
          <cell r="E29106">
            <v>0</v>
          </cell>
          <cell r="F29106">
            <v>0</v>
          </cell>
          <cell r="DN29106">
            <v>0</v>
          </cell>
        </row>
        <row r="29107">
          <cell r="E29107">
            <v>0</v>
          </cell>
          <cell r="F29107">
            <v>0</v>
          </cell>
          <cell r="DN29107">
            <v>0</v>
          </cell>
        </row>
        <row r="29108">
          <cell r="E29108">
            <v>0</v>
          </cell>
          <cell r="F29108">
            <v>0</v>
          </cell>
          <cell r="DN29108">
            <v>0</v>
          </cell>
        </row>
        <row r="29109">
          <cell r="E29109">
            <v>0</v>
          </cell>
          <cell r="F29109">
            <v>0</v>
          </cell>
          <cell r="DN29109">
            <v>0</v>
          </cell>
        </row>
        <row r="29110">
          <cell r="E29110">
            <v>0</v>
          </cell>
          <cell r="F29110">
            <v>0</v>
          </cell>
          <cell r="DN29110">
            <v>0</v>
          </cell>
        </row>
        <row r="29111">
          <cell r="E29111">
            <v>0</v>
          </cell>
          <cell r="F29111">
            <v>0</v>
          </cell>
          <cell r="DN29111">
            <v>0</v>
          </cell>
        </row>
        <row r="29112">
          <cell r="E29112">
            <v>0</v>
          </cell>
          <cell r="F29112">
            <v>0</v>
          </cell>
          <cell r="DN29112">
            <v>0</v>
          </cell>
        </row>
        <row r="29113">
          <cell r="E29113">
            <v>0</v>
          </cell>
          <cell r="F29113">
            <v>0</v>
          </cell>
          <cell r="DN29113">
            <v>0</v>
          </cell>
        </row>
        <row r="29114">
          <cell r="E29114">
            <v>0</v>
          </cell>
          <cell r="F29114">
            <v>0</v>
          </cell>
          <cell r="DN29114">
            <v>0</v>
          </cell>
        </row>
        <row r="29115">
          <cell r="E29115">
            <v>0</v>
          </cell>
          <cell r="F29115">
            <v>0</v>
          </cell>
          <cell r="DN29115">
            <v>0</v>
          </cell>
        </row>
        <row r="29116">
          <cell r="E29116">
            <v>0</v>
          </cell>
          <cell r="F29116">
            <v>0</v>
          </cell>
          <cell r="DN29116">
            <v>0</v>
          </cell>
        </row>
        <row r="29117">
          <cell r="E29117">
            <v>0</v>
          </cell>
          <cell r="F29117">
            <v>0</v>
          </cell>
          <cell r="DN29117">
            <v>0</v>
          </cell>
        </row>
        <row r="29118">
          <cell r="E29118">
            <v>0</v>
          </cell>
          <cell r="F29118">
            <v>0</v>
          </cell>
          <cell r="DN29118">
            <v>0</v>
          </cell>
        </row>
        <row r="29119">
          <cell r="E29119">
            <v>0</v>
          </cell>
          <cell r="F29119">
            <v>0</v>
          </cell>
          <cell r="DN29119">
            <v>0</v>
          </cell>
        </row>
        <row r="29120">
          <cell r="E29120">
            <v>0</v>
          </cell>
          <cell r="F29120">
            <v>0</v>
          </cell>
          <cell r="DN29120">
            <v>0</v>
          </cell>
        </row>
        <row r="29121">
          <cell r="E29121">
            <v>0</v>
          </cell>
          <cell r="F29121">
            <v>0</v>
          </cell>
          <cell r="DN29121">
            <v>0</v>
          </cell>
        </row>
        <row r="29122">
          <cell r="E29122">
            <v>0</v>
          </cell>
          <cell r="F29122">
            <v>0</v>
          </cell>
          <cell r="DN29122">
            <v>0</v>
          </cell>
        </row>
        <row r="29123">
          <cell r="E29123">
            <v>0</v>
          </cell>
          <cell r="F29123">
            <v>0</v>
          </cell>
          <cell r="DN29123">
            <v>0</v>
          </cell>
        </row>
        <row r="29124">
          <cell r="E29124">
            <v>0</v>
          </cell>
          <cell r="F29124">
            <v>0</v>
          </cell>
          <cell r="DN29124">
            <v>0</v>
          </cell>
        </row>
        <row r="29125">
          <cell r="E29125">
            <v>0</v>
          </cell>
          <cell r="F29125">
            <v>0</v>
          </cell>
          <cell r="DN29125">
            <v>0</v>
          </cell>
        </row>
        <row r="29126">
          <cell r="E29126">
            <v>0</v>
          </cell>
          <cell r="F29126">
            <v>0</v>
          </cell>
          <cell r="DN29126">
            <v>0</v>
          </cell>
        </row>
        <row r="29127">
          <cell r="E29127">
            <v>0</v>
          </cell>
          <cell r="F29127">
            <v>0</v>
          </cell>
          <cell r="DN29127">
            <v>0</v>
          </cell>
        </row>
        <row r="29128">
          <cell r="E29128">
            <v>0</v>
          </cell>
          <cell r="F29128">
            <v>0</v>
          </cell>
          <cell r="DN29128">
            <v>0</v>
          </cell>
        </row>
        <row r="29129">
          <cell r="E29129">
            <v>0</v>
          </cell>
          <cell r="F29129">
            <v>0</v>
          </cell>
          <cell r="DN29129">
            <v>0</v>
          </cell>
        </row>
        <row r="29130">
          <cell r="E29130">
            <v>0</v>
          </cell>
          <cell r="F29130">
            <v>0</v>
          </cell>
          <cell r="DN29130">
            <v>0</v>
          </cell>
        </row>
        <row r="29131">
          <cell r="E29131">
            <v>0</v>
          </cell>
          <cell r="F29131">
            <v>0</v>
          </cell>
          <cell r="DN29131">
            <v>0</v>
          </cell>
        </row>
        <row r="29132">
          <cell r="E29132">
            <v>0</v>
          </cell>
          <cell r="F29132">
            <v>0</v>
          </cell>
          <cell r="DN29132">
            <v>0</v>
          </cell>
        </row>
        <row r="29133">
          <cell r="E29133">
            <v>0</v>
          </cell>
          <cell r="F29133">
            <v>0</v>
          </cell>
          <cell r="DN29133">
            <v>0</v>
          </cell>
        </row>
        <row r="29134">
          <cell r="E29134">
            <v>0</v>
          </cell>
          <cell r="F29134">
            <v>0</v>
          </cell>
          <cell r="DN29134">
            <v>0</v>
          </cell>
        </row>
        <row r="29135">
          <cell r="E29135">
            <v>0</v>
          </cell>
          <cell r="F29135">
            <v>0</v>
          </cell>
          <cell r="DN29135">
            <v>0</v>
          </cell>
        </row>
        <row r="29136">
          <cell r="E29136">
            <v>0</v>
          </cell>
          <cell r="F29136">
            <v>0</v>
          </cell>
          <cell r="DN29136">
            <v>0</v>
          </cell>
        </row>
        <row r="29137">
          <cell r="E29137">
            <v>0</v>
          </cell>
          <cell r="F29137">
            <v>0</v>
          </cell>
          <cell r="DN29137">
            <v>0</v>
          </cell>
        </row>
        <row r="29138">
          <cell r="E29138">
            <v>0</v>
          </cell>
          <cell r="F29138">
            <v>0</v>
          </cell>
          <cell r="DN29138">
            <v>0</v>
          </cell>
        </row>
        <row r="29139">
          <cell r="E29139">
            <v>0</v>
          </cell>
          <cell r="F29139">
            <v>0</v>
          </cell>
          <cell r="DN29139">
            <v>0</v>
          </cell>
        </row>
        <row r="29140">
          <cell r="E29140">
            <v>0</v>
          </cell>
          <cell r="F29140">
            <v>0</v>
          </cell>
          <cell r="DN29140">
            <v>0</v>
          </cell>
        </row>
        <row r="29141">
          <cell r="E29141">
            <v>0</v>
          </cell>
          <cell r="F29141">
            <v>0</v>
          </cell>
          <cell r="DN29141">
            <v>0</v>
          </cell>
        </row>
        <row r="29142">
          <cell r="E29142">
            <v>0</v>
          </cell>
          <cell r="F29142">
            <v>0</v>
          </cell>
          <cell r="DN29142">
            <v>0</v>
          </cell>
        </row>
        <row r="29143">
          <cell r="E29143">
            <v>0</v>
          </cell>
          <cell r="F29143">
            <v>0</v>
          </cell>
          <cell r="DN29143">
            <v>0</v>
          </cell>
        </row>
        <row r="29144">
          <cell r="E29144">
            <v>0</v>
          </cell>
          <cell r="F29144">
            <v>0</v>
          </cell>
          <cell r="DN29144">
            <v>0</v>
          </cell>
        </row>
        <row r="29145">
          <cell r="E29145">
            <v>0</v>
          </cell>
          <cell r="F29145">
            <v>0</v>
          </cell>
          <cell r="DN29145">
            <v>0</v>
          </cell>
        </row>
        <row r="29146">
          <cell r="E29146">
            <v>0</v>
          </cell>
          <cell r="F29146">
            <v>0</v>
          </cell>
          <cell r="DN29146">
            <v>0</v>
          </cell>
        </row>
        <row r="29147">
          <cell r="E29147">
            <v>0</v>
          </cell>
          <cell r="F29147">
            <v>0</v>
          </cell>
          <cell r="DN29147">
            <v>0</v>
          </cell>
        </row>
        <row r="29148">
          <cell r="E29148">
            <v>0</v>
          </cell>
          <cell r="F29148">
            <v>0</v>
          </cell>
          <cell r="DN29148">
            <v>0</v>
          </cell>
        </row>
        <row r="29149">
          <cell r="E29149">
            <v>0</v>
          </cell>
          <cell r="F29149">
            <v>0</v>
          </cell>
          <cell r="DN29149">
            <v>0</v>
          </cell>
        </row>
        <row r="29150">
          <cell r="E29150">
            <v>0</v>
          </cell>
          <cell r="F29150">
            <v>0</v>
          </cell>
          <cell r="DN29150">
            <v>0</v>
          </cell>
        </row>
        <row r="29151">
          <cell r="E29151">
            <v>0</v>
          </cell>
          <cell r="F29151">
            <v>0</v>
          </cell>
          <cell r="DN29151">
            <v>0</v>
          </cell>
        </row>
        <row r="29152">
          <cell r="E29152">
            <v>0</v>
          </cell>
          <cell r="F29152">
            <v>0</v>
          </cell>
          <cell r="DN29152">
            <v>0</v>
          </cell>
        </row>
        <row r="29153">
          <cell r="E29153">
            <v>0</v>
          </cell>
          <cell r="F29153">
            <v>0</v>
          </cell>
          <cell r="DN29153">
            <v>0</v>
          </cell>
        </row>
        <row r="29154">
          <cell r="E29154">
            <v>0</v>
          </cell>
          <cell r="F29154">
            <v>0</v>
          </cell>
          <cell r="DN29154">
            <v>0</v>
          </cell>
        </row>
        <row r="29155">
          <cell r="E29155">
            <v>0</v>
          </cell>
          <cell r="F29155">
            <v>0</v>
          </cell>
          <cell r="DN29155">
            <v>0</v>
          </cell>
        </row>
        <row r="29156">
          <cell r="E29156">
            <v>0</v>
          </cell>
          <cell r="F29156">
            <v>0</v>
          </cell>
          <cell r="DN29156">
            <v>0</v>
          </cell>
        </row>
        <row r="29157">
          <cell r="E29157">
            <v>0</v>
          </cell>
          <cell r="F29157">
            <v>0</v>
          </cell>
          <cell r="DN29157">
            <v>0</v>
          </cell>
        </row>
        <row r="29158">
          <cell r="E29158">
            <v>0</v>
          </cell>
          <cell r="F29158">
            <v>0</v>
          </cell>
          <cell r="DN29158">
            <v>0</v>
          </cell>
        </row>
        <row r="29159">
          <cell r="E29159">
            <v>0</v>
          </cell>
          <cell r="F29159">
            <v>0</v>
          </cell>
          <cell r="DN29159">
            <v>0</v>
          </cell>
        </row>
        <row r="29160">
          <cell r="E29160">
            <v>0</v>
          </cell>
          <cell r="F29160">
            <v>0</v>
          </cell>
          <cell r="DN29160">
            <v>0</v>
          </cell>
        </row>
        <row r="29161">
          <cell r="E29161">
            <v>0</v>
          </cell>
          <cell r="F29161">
            <v>0</v>
          </cell>
          <cell r="DN29161">
            <v>0</v>
          </cell>
        </row>
        <row r="29162">
          <cell r="E29162">
            <v>0</v>
          </cell>
          <cell r="F29162">
            <v>0</v>
          </cell>
          <cell r="DN29162">
            <v>0</v>
          </cell>
        </row>
        <row r="29163">
          <cell r="E29163">
            <v>0</v>
          </cell>
          <cell r="F29163">
            <v>0</v>
          </cell>
          <cell r="DN29163">
            <v>0</v>
          </cell>
        </row>
        <row r="29164">
          <cell r="E29164">
            <v>0</v>
          </cell>
          <cell r="F29164">
            <v>0</v>
          </cell>
          <cell r="DN29164">
            <v>0</v>
          </cell>
        </row>
        <row r="29165">
          <cell r="E29165">
            <v>0</v>
          </cell>
          <cell r="F29165">
            <v>0</v>
          </cell>
          <cell r="DN29165">
            <v>0</v>
          </cell>
        </row>
        <row r="29166">
          <cell r="E29166">
            <v>0</v>
          </cell>
          <cell r="F29166">
            <v>0</v>
          </cell>
          <cell r="DN29166">
            <v>0</v>
          </cell>
        </row>
        <row r="29167">
          <cell r="E29167">
            <v>0</v>
          </cell>
          <cell r="F29167">
            <v>0</v>
          </cell>
          <cell r="DN29167">
            <v>0</v>
          </cell>
        </row>
        <row r="29168">
          <cell r="E29168">
            <v>0</v>
          </cell>
          <cell r="F29168">
            <v>0</v>
          </cell>
          <cell r="DN29168">
            <v>0</v>
          </cell>
        </row>
        <row r="29169">
          <cell r="E29169">
            <v>0</v>
          </cell>
          <cell r="F29169">
            <v>0</v>
          </cell>
          <cell r="DN29169">
            <v>0</v>
          </cell>
        </row>
        <row r="29170">
          <cell r="E29170">
            <v>0</v>
          </cell>
          <cell r="F29170">
            <v>0</v>
          </cell>
          <cell r="DN29170">
            <v>0</v>
          </cell>
        </row>
        <row r="29171">
          <cell r="E29171">
            <v>0</v>
          </cell>
          <cell r="F29171">
            <v>0</v>
          </cell>
          <cell r="DN29171">
            <v>0</v>
          </cell>
        </row>
        <row r="29172">
          <cell r="E29172">
            <v>0</v>
          </cell>
          <cell r="F29172">
            <v>0</v>
          </cell>
          <cell r="DN29172">
            <v>0</v>
          </cell>
        </row>
        <row r="29173">
          <cell r="E29173">
            <v>0</v>
          </cell>
          <cell r="F29173">
            <v>0</v>
          </cell>
          <cell r="DN29173">
            <v>0</v>
          </cell>
        </row>
        <row r="29174">
          <cell r="E29174">
            <v>0</v>
          </cell>
          <cell r="F29174">
            <v>0</v>
          </cell>
          <cell r="DN29174">
            <v>0</v>
          </cell>
        </row>
        <row r="29175">
          <cell r="E29175">
            <v>0</v>
          </cell>
          <cell r="F29175">
            <v>0</v>
          </cell>
          <cell r="DN29175">
            <v>0</v>
          </cell>
        </row>
        <row r="29176">
          <cell r="E29176">
            <v>0</v>
          </cell>
          <cell r="F29176">
            <v>0</v>
          </cell>
          <cell r="DN29176">
            <v>0</v>
          </cell>
        </row>
        <row r="29177">
          <cell r="E29177">
            <v>0</v>
          </cell>
          <cell r="F29177">
            <v>0</v>
          </cell>
          <cell r="DN29177">
            <v>0</v>
          </cell>
        </row>
        <row r="29178">
          <cell r="E29178">
            <v>0</v>
          </cell>
          <cell r="F29178">
            <v>0</v>
          </cell>
          <cell r="DN29178">
            <v>0</v>
          </cell>
        </row>
        <row r="29179">
          <cell r="E29179">
            <v>0</v>
          </cell>
          <cell r="F29179">
            <v>0</v>
          </cell>
          <cell r="DN29179">
            <v>0</v>
          </cell>
        </row>
        <row r="29180">
          <cell r="E29180">
            <v>0</v>
          </cell>
          <cell r="F29180">
            <v>0</v>
          </cell>
          <cell r="DN29180">
            <v>0</v>
          </cell>
        </row>
        <row r="29181">
          <cell r="E29181">
            <v>0</v>
          </cell>
          <cell r="F29181">
            <v>0</v>
          </cell>
          <cell r="DN29181">
            <v>0</v>
          </cell>
        </row>
        <row r="29182">
          <cell r="E29182">
            <v>0</v>
          </cell>
          <cell r="F29182">
            <v>0</v>
          </cell>
          <cell r="DN29182">
            <v>0</v>
          </cell>
        </row>
        <row r="29183">
          <cell r="E29183">
            <v>0</v>
          </cell>
          <cell r="F29183">
            <v>0</v>
          </cell>
          <cell r="DN29183">
            <v>0</v>
          </cell>
        </row>
        <row r="29184">
          <cell r="E29184">
            <v>0</v>
          </cell>
          <cell r="F29184">
            <v>0</v>
          </cell>
          <cell r="DN29184">
            <v>0</v>
          </cell>
        </row>
        <row r="29185">
          <cell r="E29185">
            <v>0</v>
          </cell>
          <cell r="F29185">
            <v>0</v>
          </cell>
          <cell r="DN29185">
            <v>0</v>
          </cell>
        </row>
        <row r="29186">
          <cell r="E29186">
            <v>0</v>
          </cell>
          <cell r="F29186">
            <v>0</v>
          </cell>
          <cell r="DN29186">
            <v>0</v>
          </cell>
        </row>
        <row r="29187">
          <cell r="E29187">
            <v>0</v>
          </cell>
          <cell r="F29187">
            <v>0</v>
          </cell>
          <cell r="DN29187">
            <v>0</v>
          </cell>
        </row>
        <row r="29188">
          <cell r="E29188">
            <v>0</v>
          </cell>
          <cell r="F29188">
            <v>0</v>
          </cell>
          <cell r="DN29188">
            <v>0</v>
          </cell>
        </row>
        <row r="29189">
          <cell r="E29189">
            <v>0</v>
          </cell>
          <cell r="F29189">
            <v>0</v>
          </cell>
          <cell r="DN29189">
            <v>0</v>
          </cell>
        </row>
        <row r="29190">
          <cell r="E29190">
            <v>0</v>
          </cell>
          <cell r="F29190">
            <v>0</v>
          </cell>
          <cell r="DN29190">
            <v>0</v>
          </cell>
        </row>
        <row r="29191">
          <cell r="E29191">
            <v>0</v>
          </cell>
          <cell r="F29191">
            <v>0</v>
          </cell>
          <cell r="DN29191">
            <v>0</v>
          </cell>
        </row>
        <row r="29192">
          <cell r="E29192">
            <v>0</v>
          </cell>
          <cell r="F29192">
            <v>0</v>
          </cell>
          <cell r="DN29192">
            <v>0</v>
          </cell>
        </row>
        <row r="29193">
          <cell r="E29193">
            <v>0</v>
          </cell>
          <cell r="F29193">
            <v>0</v>
          </cell>
          <cell r="DN29193">
            <v>0</v>
          </cell>
        </row>
        <row r="29194">
          <cell r="E29194">
            <v>0</v>
          </cell>
          <cell r="F29194">
            <v>0</v>
          </cell>
          <cell r="DN29194">
            <v>0</v>
          </cell>
        </row>
        <row r="29195">
          <cell r="E29195">
            <v>0</v>
          </cell>
          <cell r="F29195">
            <v>0</v>
          </cell>
          <cell r="DN29195">
            <v>0</v>
          </cell>
        </row>
        <row r="29196">
          <cell r="E29196">
            <v>0</v>
          </cell>
          <cell r="F29196">
            <v>0</v>
          </cell>
          <cell r="DN29196">
            <v>0</v>
          </cell>
        </row>
        <row r="29197">
          <cell r="E29197">
            <v>0</v>
          </cell>
          <cell r="F29197">
            <v>0</v>
          </cell>
          <cell r="DN29197">
            <v>0</v>
          </cell>
        </row>
        <row r="29198">
          <cell r="E29198">
            <v>0</v>
          </cell>
          <cell r="F29198">
            <v>0</v>
          </cell>
          <cell r="DN29198">
            <v>0</v>
          </cell>
        </row>
        <row r="29199">
          <cell r="E29199">
            <v>0</v>
          </cell>
          <cell r="F29199">
            <v>0</v>
          </cell>
          <cell r="DN29199">
            <v>0</v>
          </cell>
        </row>
        <row r="29200">
          <cell r="E29200">
            <v>0</v>
          </cell>
          <cell r="F29200">
            <v>0</v>
          </cell>
          <cell r="DN29200">
            <v>0</v>
          </cell>
        </row>
        <row r="29201">
          <cell r="E29201">
            <v>0</v>
          </cell>
          <cell r="F29201">
            <v>0</v>
          </cell>
          <cell r="DN29201">
            <v>0</v>
          </cell>
        </row>
        <row r="29202">
          <cell r="E29202">
            <v>0</v>
          </cell>
          <cell r="F29202">
            <v>0</v>
          </cell>
          <cell r="DN29202">
            <v>0</v>
          </cell>
        </row>
        <row r="29203">
          <cell r="E29203">
            <v>0</v>
          </cell>
          <cell r="F29203">
            <v>0</v>
          </cell>
          <cell r="DN29203">
            <v>0</v>
          </cell>
        </row>
        <row r="29204">
          <cell r="E29204">
            <v>0</v>
          </cell>
          <cell r="F29204">
            <v>0</v>
          </cell>
          <cell r="DN29204">
            <v>0</v>
          </cell>
        </row>
        <row r="29205">
          <cell r="E29205">
            <v>0</v>
          </cell>
          <cell r="F29205">
            <v>0</v>
          </cell>
          <cell r="DN29205">
            <v>0</v>
          </cell>
        </row>
        <row r="29206">
          <cell r="E29206">
            <v>0</v>
          </cell>
          <cell r="F29206">
            <v>0</v>
          </cell>
          <cell r="DN29206">
            <v>0</v>
          </cell>
        </row>
        <row r="29207">
          <cell r="E29207">
            <v>0</v>
          </cell>
          <cell r="F29207">
            <v>0</v>
          </cell>
          <cell r="DN29207">
            <v>0</v>
          </cell>
        </row>
        <row r="29208">
          <cell r="E29208">
            <v>0</v>
          </cell>
          <cell r="F29208">
            <v>0</v>
          </cell>
          <cell r="DN29208">
            <v>0</v>
          </cell>
        </row>
        <row r="29209">
          <cell r="E29209">
            <v>0</v>
          </cell>
          <cell r="F29209">
            <v>0</v>
          </cell>
          <cell r="DN29209">
            <v>0</v>
          </cell>
        </row>
        <row r="29210">
          <cell r="E29210">
            <v>0</v>
          </cell>
          <cell r="F29210">
            <v>0</v>
          </cell>
          <cell r="DN29210">
            <v>0</v>
          </cell>
        </row>
        <row r="29211">
          <cell r="E29211">
            <v>0</v>
          </cell>
          <cell r="F29211">
            <v>0</v>
          </cell>
          <cell r="DN29211">
            <v>0</v>
          </cell>
        </row>
        <row r="29212">
          <cell r="E29212">
            <v>0</v>
          </cell>
          <cell r="F29212">
            <v>0</v>
          </cell>
          <cell r="DN29212">
            <v>0</v>
          </cell>
        </row>
        <row r="29213">
          <cell r="E29213">
            <v>0</v>
          </cell>
          <cell r="F29213">
            <v>0</v>
          </cell>
          <cell r="DN29213">
            <v>0</v>
          </cell>
        </row>
        <row r="29214">
          <cell r="E29214">
            <v>0</v>
          </cell>
          <cell r="F29214">
            <v>0</v>
          </cell>
          <cell r="DN29214">
            <v>0</v>
          </cell>
        </row>
        <row r="29215">
          <cell r="E29215">
            <v>0</v>
          </cell>
          <cell r="F29215">
            <v>0</v>
          </cell>
          <cell r="DN29215">
            <v>0</v>
          </cell>
        </row>
        <row r="29216">
          <cell r="E29216">
            <v>0</v>
          </cell>
          <cell r="F29216">
            <v>0</v>
          </cell>
          <cell r="DN29216">
            <v>0</v>
          </cell>
        </row>
        <row r="29217">
          <cell r="E29217">
            <v>0</v>
          </cell>
          <cell r="F29217">
            <v>0</v>
          </cell>
          <cell r="DN29217">
            <v>0</v>
          </cell>
        </row>
        <row r="29218">
          <cell r="E29218">
            <v>0</v>
          </cell>
          <cell r="F29218">
            <v>0</v>
          </cell>
          <cell r="DN29218">
            <v>0</v>
          </cell>
        </row>
        <row r="29219">
          <cell r="E29219">
            <v>0</v>
          </cell>
          <cell r="F29219">
            <v>0</v>
          </cell>
          <cell r="DN29219">
            <v>0</v>
          </cell>
        </row>
        <row r="29220">
          <cell r="E29220">
            <v>0</v>
          </cell>
          <cell r="F29220">
            <v>0</v>
          </cell>
          <cell r="DN29220">
            <v>0</v>
          </cell>
        </row>
        <row r="29221">
          <cell r="E29221">
            <v>0</v>
          </cell>
          <cell r="F29221">
            <v>0</v>
          </cell>
          <cell r="DN29221">
            <v>0</v>
          </cell>
        </row>
        <row r="29222">
          <cell r="E29222">
            <v>0</v>
          </cell>
          <cell r="F29222">
            <v>0</v>
          </cell>
          <cell r="DN29222">
            <v>0</v>
          </cell>
        </row>
        <row r="29223">
          <cell r="E29223">
            <v>0</v>
          </cell>
          <cell r="F29223">
            <v>0</v>
          </cell>
          <cell r="DN29223">
            <v>0</v>
          </cell>
        </row>
        <row r="29224">
          <cell r="E29224">
            <v>0</v>
          </cell>
          <cell r="F29224">
            <v>0</v>
          </cell>
          <cell r="DN29224">
            <v>0</v>
          </cell>
        </row>
        <row r="29225">
          <cell r="E29225">
            <v>0</v>
          </cell>
          <cell r="F29225">
            <v>0</v>
          </cell>
          <cell r="DN29225">
            <v>0</v>
          </cell>
        </row>
        <row r="29226">
          <cell r="E29226">
            <v>0</v>
          </cell>
          <cell r="F29226">
            <v>0</v>
          </cell>
          <cell r="DN29226">
            <v>0</v>
          </cell>
        </row>
        <row r="29227">
          <cell r="E29227">
            <v>0</v>
          </cell>
          <cell r="F29227">
            <v>0</v>
          </cell>
          <cell r="DN29227">
            <v>0</v>
          </cell>
        </row>
        <row r="29228">
          <cell r="E29228">
            <v>0</v>
          </cell>
          <cell r="F29228">
            <v>0</v>
          </cell>
          <cell r="DN29228">
            <v>0</v>
          </cell>
        </row>
        <row r="29229">
          <cell r="E29229">
            <v>0</v>
          </cell>
          <cell r="F29229">
            <v>0</v>
          </cell>
          <cell r="DN29229">
            <v>0</v>
          </cell>
        </row>
        <row r="29230">
          <cell r="E29230">
            <v>0</v>
          </cell>
          <cell r="F29230">
            <v>0</v>
          </cell>
          <cell r="DN29230">
            <v>0</v>
          </cell>
        </row>
        <row r="29231">
          <cell r="E29231">
            <v>0</v>
          </cell>
          <cell r="F29231">
            <v>0</v>
          </cell>
          <cell r="DN29231">
            <v>0</v>
          </cell>
        </row>
        <row r="29232">
          <cell r="E29232">
            <v>0</v>
          </cell>
          <cell r="F29232">
            <v>0</v>
          </cell>
          <cell r="DN29232">
            <v>0</v>
          </cell>
        </row>
        <row r="29233">
          <cell r="E29233">
            <v>0</v>
          </cell>
          <cell r="F29233">
            <v>0</v>
          </cell>
          <cell r="DN29233">
            <v>0</v>
          </cell>
        </row>
        <row r="29234">
          <cell r="E29234">
            <v>0</v>
          </cell>
          <cell r="F29234">
            <v>0</v>
          </cell>
          <cell r="DN29234">
            <v>0</v>
          </cell>
        </row>
        <row r="29235">
          <cell r="E29235">
            <v>0</v>
          </cell>
          <cell r="F29235">
            <v>0</v>
          </cell>
          <cell r="DN29235">
            <v>0</v>
          </cell>
        </row>
        <row r="29236">
          <cell r="E29236">
            <v>0</v>
          </cell>
          <cell r="F29236">
            <v>0</v>
          </cell>
          <cell r="DN29236">
            <v>0</v>
          </cell>
        </row>
        <row r="29237">
          <cell r="E29237">
            <v>0</v>
          </cell>
          <cell r="F29237">
            <v>0</v>
          </cell>
          <cell r="DN29237">
            <v>0</v>
          </cell>
        </row>
        <row r="29238">
          <cell r="E29238">
            <v>0</v>
          </cell>
          <cell r="F29238">
            <v>0</v>
          </cell>
          <cell r="DN29238">
            <v>0</v>
          </cell>
        </row>
        <row r="29239">
          <cell r="E29239">
            <v>0</v>
          </cell>
          <cell r="F29239">
            <v>0</v>
          </cell>
          <cell r="DN29239">
            <v>0</v>
          </cell>
        </row>
        <row r="29240">
          <cell r="E29240">
            <v>0</v>
          </cell>
          <cell r="F29240">
            <v>0</v>
          </cell>
          <cell r="DN29240">
            <v>0</v>
          </cell>
        </row>
        <row r="29241">
          <cell r="E29241">
            <v>0</v>
          </cell>
          <cell r="F29241">
            <v>0</v>
          </cell>
          <cell r="DN29241">
            <v>0</v>
          </cell>
        </row>
        <row r="29242">
          <cell r="E29242">
            <v>0</v>
          </cell>
          <cell r="F29242">
            <v>0</v>
          </cell>
          <cell r="DN29242">
            <v>0</v>
          </cell>
        </row>
        <row r="29243">
          <cell r="E29243">
            <v>0</v>
          </cell>
          <cell r="F29243">
            <v>0</v>
          </cell>
          <cell r="DN29243">
            <v>0</v>
          </cell>
        </row>
        <row r="29244">
          <cell r="E29244">
            <v>0</v>
          </cell>
          <cell r="F29244">
            <v>0</v>
          </cell>
          <cell r="DN29244">
            <v>0</v>
          </cell>
        </row>
        <row r="29245">
          <cell r="E29245">
            <v>0</v>
          </cell>
          <cell r="F29245">
            <v>0</v>
          </cell>
          <cell r="DN29245">
            <v>0</v>
          </cell>
        </row>
        <row r="29246">
          <cell r="E29246">
            <v>0</v>
          </cell>
          <cell r="F29246">
            <v>0</v>
          </cell>
          <cell r="DN29246">
            <v>0</v>
          </cell>
        </row>
        <row r="29247">
          <cell r="E29247">
            <v>0</v>
          </cell>
          <cell r="F29247">
            <v>0</v>
          </cell>
          <cell r="DN29247">
            <v>0</v>
          </cell>
        </row>
        <row r="29248">
          <cell r="E29248">
            <v>0</v>
          </cell>
          <cell r="F29248">
            <v>0</v>
          </cell>
          <cell r="DN29248">
            <v>0</v>
          </cell>
        </row>
        <row r="29249">
          <cell r="E29249">
            <v>0</v>
          </cell>
          <cell r="F29249">
            <v>0</v>
          </cell>
          <cell r="DN29249">
            <v>0</v>
          </cell>
        </row>
        <row r="29250">
          <cell r="E29250">
            <v>0</v>
          </cell>
          <cell r="F29250">
            <v>0</v>
          </cell>
          <cell r="DN29250">
            <v>0</v>
          </cell>
        </row>
        <row r="29251">
          <cell r="E29251">
            <v>0</v>
          </cell>
          <cell r="F29251">
            <v>0</v>
          </cell>
          <cell r="DN29251">
            <v>0</v>
          </cell>
        </row>
        <row r="29252">
          <cell r="E29252">
            <v>0</v>
          </cell>
          <cell r="F29252">
            <v>0</v>
          </cell>
          <cell r="DN29252">
            <v>0</v>
          </cell>
        </row>
        <row r="29253">
          <cell r="E29253">
            <v>0</v>
          </cell>
          <cell r="F29253">
            <v>0</v>
          </cell>
          <cell r="DN29253">
            <v>0</v>
          </cell>
        </row>
        <row r="29254">
          <cell r="E29254">
            <v>0</v>
          </cell>
          <cell r="F29254">
            <v>0</v>
          </cell>
          <cell r="DN29254">
            <v>0</v>
          </cell>
        </row>
        <row r="29255">
          <cell r="E29255">
            <v>0</v>
          </cell>
          <cell r="F29255">
            <v>0</v>
          </cell>
          <cell r="DN29255">
            <v>0</v>
          </cell>
        </row>
        <row r="29256">
          <cell r="E29256">
            <v>0</v>
          </cell>
          <cell r="F29256">
            <v>0</v>
          </cell>
          <cell r="DN29256">
            <v>0</v>
          </cell>
        </row>
        <row r="29257">
          <cell r="E29257">
            <v>0</v>
          </cell>
          <cell r="F29257">
            <v>0</v>
          </cell>
          <cell r="DN29257">
            <v>0</v>
          </cell>
        </row>
        <row r="29258">
          <cell r="E29258">
            <v>0</v>
          </cell>
          <cell r="F29258">
            <v>0</v>
          </cell>
          <cell r="DN29258">
            <v>0</v>
          </cell>
        </row>
        <row r="29259">
          <cell r="E29259">
            <v>0</v>
          </cell>
          <cell r="F29259">
            <v>0</v>
          </cell>
          <cell r="DN29259">
            <v>0</v>
          </cell>
        </row>
        <row r="29260">
          <cell r="E29260">
            <v>0</v>
          </cell>
          <cell r="F29260">
            <v>0</v>
          </cell>
          <cell r="DN29260">
            <v>0</v>
          </cell>
        </row>
        <row r="29261">
          <cell r="E29261">
            <v>0</v>
          </cell>
          <cell r="F29261">
            <v>0</v>
          </cell>
          <cell r="DN29261">
            <v>0</v>
          </cell>
        </row>
        <row r="29262">
          <cell r="E29262">
            <v>0</v>
          </cell>
          <cell r="F29262">
            <v>0</v>
          </cell>
          <cell r="DN29262">
            <v>0</v>
          </cell>
        </row>
        <row r="29263">
          <cell r="E29263">
            <v>0</v>
          </cell>
          <cell r="F29263">
            <v>0</v>
          </cell>
          <cell r="DN29263">
            <v>0</v>
          </cell>
        </row>
        <row r="29264">
          <cell r="E29264">
            <v>0</v>
          </cell>
          <cell r="F29264">
            <v>0</v>
          </cell>
          <cell r="DN29264">
            <v>0</v>
          </cell>
        </row>
        <row r="29265">
          <cell r="E29265">
            <v>0</v>
          </cell>
          <cell r="F29265">
            <v>0</v>
          </cell>
          <cell r="DN29265">
            <v>0</v>
          </cell>
        </row>
        <row r="29266">
          <cell r="E29266">
            <v>0</v>
          </cell>
          <cell r="F29266">
            <v>0</v>
          </cell>
          <cell r="DN29266">
            <v>0</v>
          </cell>
        </row>
        <row r="29267">
          <cell r="E29267">
            <v>0</v>
          </cell>
          <cell r="F29267">
            <v>0</v>
          </cell>
          <cell r="DN29267">
            <v>0</v>
          </cell>
        </row>
        <row r="29268">
          <cell r="E29268">
            <v>0</v>
          </cell>
          <cell r="F29268">
            <v>0</v>
          </cell>
          <cell r="DN29268">
            <v>0</v>
          </cell>
        </row>
        <row r="29269">
          <cell r="E29269">
            <v>0</v>
          </cell>
          <cell r="F29269">
            <v>0</v>
          </cell>
          <cell r="DN29269">
            <v>0</v>
          </cell>
        </row>
        <row r="29270">
          <cell r="E29270">
            <v>0</v>
          </cell>
          <cell r="F29270">
            <v>0</v>
          </cell>
          <cell r="DN29270">
            <v>0</v>
          </cell>
        </row>
        <row r="29271">
          <cell r="E29271">
            <v>0</v>
          </cell>
          <cell r="F29271">
            <v>0</v>
          </cell>
          <cell r="DN29271">
            <v>0</v>
          </cell>
        </row>
        <row r="29272">
          <cell r="E29272">
            <v>0</v>
          </cell>
          <cell r="F29272">
            <v>0</v>
          </cell>
          <cell r="DN29272">
            <v>0</v>
          </cell>
        </row>
        <row r="29273">
          <cell r="E29273">
            <v>0</v>
          </cell>
          <cell r="F29273">
            <v>0</v>
          </cell>
          <cell r="DN29273">
            <v>0</v>
          </cell>
        </row>
        <row r="29274">
          <cell r="E29274">
            <v>0</v>
          </cell>
          <cell r="F29274">
            <v>0</v>
          </cell>
          <cell r="DN29274">
            <v>0</v>
          </cell>
        </row>
        <row r="29275">
          <cell r="E29275">
            <v>0</v>
          </cell>
          <cell r="F29275">
            <v>0</v>
          </cell>
          <cell r="DN29275">
            <v>0</v>
          </cell>
        </row>
        <row r="29276">
          <cell r="E29276">
            <v>0</v>
          </cell>
          <cell r="F29276">
            <v>0</v>
          </cell>
          <cell r="DN29276">
            <v>0</v>
          </cell>
        </row>
        <row r="29277">
          <cell r="E29277">
            <v>0</v>
          </cell>
          <cell r="F29277">
            <v>0</v>
          </cell>
          <cell r="DN29277">
            <v>0</v>
          </cell>
        </row>
        <row r="29278">
          <cell r="E29278">
            <v>0</v>
          </cell>
          <cell r="F29278">
            <v>0</v>
          </cell>
          <cell r="DN29278">
            <v>0</v>
          </cell>
        </row>
        <row r="29279">
          <cell r="E29279">
            <v>0</v>
          </cell>
          <cell r="F29279">
            <v>0</v>
          </cell>
          <cell r="DN29279">
            <v>0</v>
          </cell>
        </row>
        <row r="29280">
          <cell r="E29280">
            <v>0</v>
          </cell>
          <cell r="F29280">
            <v>0</v>
          </cell>
          <cell r="DN29280">
            <v>0</v>
          </cell>
        </row>
        <row r="29281">
          <cell r="E29281">
            <v>0</v>
          </cell>
          <cell r="F29281">
            <v>0</v>
          </cell>
          <cell r="DN29281">
            <v>0</v>
          </cell>
        </row>
        <row r="29282">
          <cell r="E29282">
            <v>0</v>
          </cell>
          <cell r="F29282">
            <v>0</v>
          </cell>
          <cell r="DN29282">
            <v>0</v>
          </cell>
        </row>
        <row r="29283">
          <cell r="E29283">
            <v>0</v>
          </cell>
          <cell r="F29283">
            <v>0</v>
          </cell>
          <cell r="DN29283">
            <v>0</v>
          </cell>
        </row>
        <row r="29284">
          <cell r="E29284">
            <v>0</v>
          </cell>
          <cell r="F29284">
            <v>0</v>
          </cell>
          <cell r="DN29284">
            <v>0</v>
          </cell>
        </row>
        <row r="29285">
          <cell r="E29285">
            <v>0</v>
          </cell>
          <cell r="F29285">
            <v>0</v>
          </cell>
          <cell r="DN29285">
            <v>0</v>
          </cell>
        </row>
        <row r="29286">
          <cell r="E29286">
            <v>0</v>
          </cell>
          <cell r="F29286">
            <v>0</v>
          </cell>
          <cell r="DN29286">
            <v>0</v>
          </cell>
        </row>
        <row r="29287">
          <cell r="E29287">
            <v>0</v>
          </cell>
          <cell r="F29287">
            <v>0</v>
          </cell>
          <cell r="DN29287">
            <v>0</v>
          </cell>
        </row>
        <row r="29288">
          <cell r="E29288">
            <v>0</v>
          </cell>
          <cell r="F29288">
            <v>0</v>
          </cell>
          <cell r="DN29288">
            <v>0</v>
          </cell>
        </row>
        <row r="29289">
          <cell r="E29289">
            <v>0</v>
          </cell>
          <cell r="F29289">
            <v>0</v>
          </cell>
          <cell r="DN29289">
            <v>0</v>
          </cell>
        </row>
        <row r="29290">
          <cell r="E29290">
            <v>0</v>
          </cell>
          <cell r="F29290">
            <v>0</v>
          </cell>
          <cell r="DN29290">
            <v>0</v>
          </cell>
        </row>
        <row r="29291">
          <cell r="E29291">
            <v>0</v>
          </cell>
          <cell r="F29291">
            <v>0</v>
          </cell>
          <cell r="DN29291">
            <v>0</v>
          </cell>
        </row>
        <row r="29292">
          <cell r="E29292">
            <v>0</v>
          </cell>
          <cell r="F29292">
            <v>0</v>
          </cell>
          <cell r="DN29292">
            <v>0</v>
          </cell>
        </row>
        <row r="29293">
          <cell r="E29293">
            <v>0</v>
          </cell>
          <cell r="F29293">
            <v>0</v>
          </cell>
          <cell r="DN29293">
            <v>0</v>
          </cell>
        </row>
        <row r="29294">
          <cell r="E29294">
            <v>0</v>
          </cell>
          <cell r="F29294">
            <v>0</v>
          </cell>
          <cell r="DN29294">
            <v>0</v>
          </cell>
        </row>
        <row r="29295">
          <cell r="E29295">
            <v>0</v>
          </cell>
          <cell r="F29295">
            <v>0</v>
          </cell>
          <cell r="DN29295">
            <v>0</v>
          </cell>
        </row>
        <row r="29296">
          <cell r="E29296">
            <v>0</v>
          </cell>
          <cell r="F29296">
            <v>0</v>
          </cell>
          <cell r="DN29296">
            <v>0</v>
          </cell>
        </row>
        <row r="29297">
          <cell r="E29297">
            <v>0</v>
          </cell>
          <cell r="F29297">
            <v>0</v>
          </cell>
          <cell r="DN29297">
            <v>0</v>
          </cell>
        </row>
        <row r="29298">
          <cell r="E29298">
            <v>0</v>
          </cell>
          <cell r="F29298">
            <v>0</v>
          </cell>
          <cell r="DN29298">
            <v>0</v>
          </cell>
        </row>
        <row r="29299">
          <cell r="E29299">
            <v>0</v>
          </cell>
          <cell r="F29299">
            <v>0</v>
          </cell>
          <cell r="DN29299">
            <v>0</v>
          </cell>
        </row>
        <row r="29300">
          <cell r="E29300">
            <v>0</v>
          </cell>
          <cell r="F29300">
            <v>0</v>
          </cell>
          <cell r="DN29300">
            <v>0</v>
          </cell>
        </row>
        <row r="29301">
          <cell r="E29301">
            <v>0</v>
          </cell>
          <cell r="F29301">
            <v>0</v>
          </cell>
          <cell r="DN29301">
            <v>0</v>
          </cell>
        </row>
        <row r="29302">
          <cell r="E29302">
            <v>0</v>
          </cell>
          <cell r="F29302">
            <v>0</v>
          </cell>
          <cell r="DN29302">
            <v>0</v>
          </cell>
        </row>
        <row r="29303">
          <cell r="E29303">
            <v>0</v>
          </cell>
          <cell r="F29303">
            <v>0</v>
          </cell>
          <cell r="DN29303">
            <v>0</v>
          </cell>
        </row>
        <row r="29304">
          <cell r="E29304">
            <v>0</v>
          </cell>
          <cell r="F29304">
            <v>0</v>
          </cell>
          <cell r="DN29304">
            <v>0</v>
          </cell>
        </row>
        <row r="29305">
          <cell r="E29305">
            <v>0</v>
          </cell>
          <cell r="F29305">
            <v>0</v>
          </cell>
          <cell r="DN29305">
            <v>0</v>
          </cell>
        </row>
        <row r="29306">
          <cell r="E29306">
            <v>0</v>
          </cell>
          <cell r="F29306">
            <v>0</v>
          </cell>
          <cell r="DN29306">
            <v>0</v>
          </cell>
        </row>
        <row r="29307">
          <cell r="E29307">
            <v>0</v>
          </cell>
          <cell r="F29307">
            <v>0</v>
          </cell>
          <cell r="DN29307">
            <v>0</v>
          </cell>
        </row>
        <row r="29308">
          <cell r="E29308">
            <v>0</v>
          </cell>
          <cell r="F29308">
            <v>0</v>
          </cell>
          <cell r="DN29308">
            <v>0</v>
          </cell>
        </row>
        <row r="29309">
          <cell r="E29309">
            <v>0</v>
          </cell>
          <cell r="F29309">
            <v>0</v>
          </cell>
          <cell r="DN29309">
            <v>0</v>
          </cell>
        </row>
        <row r="29310">
          <cell r="E29310">
            <v>0</v>
          </cell>
          <cell r="F29310">
            <v>0</v>
          </cell>
          <cell r="DN29310">
            <v>0</v>
          </cell>
        </row>
        <row r="29311">
          <cell r="E29311">
            <v>0</v>
          </cell>
          <cell r="F29311">
            <v>0</v>
          </cell>
          <cell r="DN29311">
            <v>0</v>
          </cell>
        </row>
        <row r="29312">
          <cell r="E29312">
            <v>0</v>
          </cell>
          <cell r="F29312">
            <v>0</v>
          </cell>
          <cell r="DN29312">
            <v>0</v>
          </cell>
        </row>
        <row r="29313">
          <cell r="E29313">
            <v>0</v>
          </cell>
          <cell r="F29313">
            <v>0</v>
          </cell>
          <cell r="DN29313">
            <v>0</v>
          </cell>
        </row>
        <row r="29314">
          <cell r="E29314">
            <v>0</v>
          </cell>
          <cell r="F29314">
            <v>0</v>
          </cell>
          <cell r="DN29314">
            <v>0</v>
          </cell>
        </row>
        <row r="29315">
          <cell r="E29315">
            <v>0</v>
          </cell>
          <cell r="F29315">
            <v>0</v>
          </cell>
          <cell r="DN29315">
            <v>0</v>
          </cell>
        </row>
        <row r="29316">
          <cell r="E29316">
            <v>0</v>
          </cell>
          <cell r="F29316">
            <v>0</v>
          </cell>
          <cell r="DN29316">
            <v>0</v>
          </cell>
        </row>
        <row r="29317">
          <cell r="E29317">
            <v>0</v>
          </cell>
          <cell r="F29317">
            <v>0</v>
          </cell>
          <cell r="DN29317">
            <v>0</v>
          </cell>
        </row>
        <row r="29318">
          <cell r="E29318">
            <v>0</v>
          </cell>
          <cell r="F29318">
            <v>0</v>
          </cell>
          <cell r="DN29318">
            <v>0</v>
          </cell>
        </row>
        <row r="29319">
          <cell r="E29319">
            <v>0</v>
          </cell>
          <cell r="F29319">
            <v>0</v>
          </cell>
          <cell r="DN29319">
            <v>0</v>
          </cell>
        </row>
        <row r="29320">
          <cell r="E29320">
            <v>0</v>
          </cell>
          <cell r="F29320">
            <v>0</v>
          </cell>
          <cell r="DN29320">
            <v>0</v>
          </cell>
        </row>
        <row r="29321">
          <cell r="E29321">
            <v>0</v>
          </cell>
          <cell r="F29321">
            <v>0</v>
          </cell>
          <cell r="DN29321">
            <v>0</v>
          </cell>
        </row>
        <row r="29322">
          <cell r="E29322">
            <v>0</v>
          </cell>
          <cell r="F29322">
            <v>0</v>
          </cell>
          <cell r="DN29322">
            <v>0</v>
          </cell>
        </row>
        <row r="29323">
          <cell r="E29323">
            <v>0</v>
          </cell>
          <cell r="F29323">
            <v>0</v>
          </cell>
          <cell r="DN29323">
            <v>0</v>
          </cell>
        </row>
        <row r="29324">
          <cell r="E29324">
            <v>0</v>
          </cell>
          <cell r="F29324">
            <v>0</v>
          </cell>
          <cell r="DN29324">
            <v>0</v>
          </cell>
        </row>
        <row r="29325">
          <cell r="E29325">
            <v>0</v>
          </cell>
          <cell r="F29325">
            <v>0</v>
          </cell>
          <cell r="DN29325">
            <v>0</v>
          </cell>
        </row>
        <row r="29326">
          <cell r="E29326">
            <v>0</v>
          </cell>
          <cell r="F29326">
            <v>0</v>
          </cell>
          <cell r="DN29326">
            <v>0</v>
          </cell>
        </row>
        <row r="29327">
          <cell r="E29327">
            <v>0</v>
          </cell>
          <cell r="F29327">
            <v>0</v>
          </cell>
          <cell r="DN29327">
            <v>0</v>
          </cell>
        </row>
        <row r="29328">
          <cell r="E29328">
            <v>0</v>
          </cell>
          <cell r="F29328">
            <v>0</v>
          </cell>
          <cell r="DN29328">
            <v>0</v>
          </cell>
        </row>
        <row r="29329">
          <cell r="E29329">
            <v>0</v>
          </cell>
          <cell r="F29329">
            <v>0</v>
          </cell>
          <cell r="DN29329">
            <v>0</v>
          </cell>
        </row>
        <row r="29330">
          <cell r="E29330">
            <v>0</v>
          </cell>
          <cell r="F29330">
            <v>0</v>
          </cell>
          <cell r="DN29330">
            <v>0</v>
          </cell>
        </row>
        <row r="29331">
          <cell r="E29331">
            <v>0</v>
          </cell>
          <cell r="F29331">
            <v>0</v>
          </cell>
          <cell r="DN29331">
            <v>0</v>
          </cell>
        </row>
        <row r="29332">
          <cell r="E29332">
            <v>0</v>
          </cell>
          <cell r="F29332">
            <v>0</v>
          </cell>
          <cell r="DN29332">
            <v>0</v>
          </cell>
        </row>
        <row r="29333">
          <cell r="E29333">
            <v>0</v>
          </cell>
          <cell r="F29333">
            <v>0</v>
          </cell>
          <cell r="DN29333">
            <v>0</v>
          </cell>
        </row>
        <row r="29334">
          <cell r="E29334">
            <v>0</v>
          </cell>
          <cell r="F29334">
            <v>0</v>
          </cell>
          <cell r="DN29334">
            <v>0</v>
          </cell>
        </row>
        <row r="29335">
          <cell r="E29335">
            <v>0</v>
          </cell>
          <cell r="F29335">
            <v>0</v>
          </cell>
          <cell r="DN29335">
            <v>0</v>
          </cell>
        </row>
        <row r="29336">
          <cell r="E29336">
            <v>0</v>
          </cell>
          <cell r="F29336">
            <v>0</v>
          </cell>
          <cell r="DN29336">
            <v>0</v>
          </cell>
        </row>
        <row r="29337">
          <cell r="E29337">
            <v>0</v>
          </cell>
          <cell r="F29337">
            <v>0</v>
          </cell>
          <cell r="DN29337">
            <v>0</v>
          </cell>
        </row>
        <row r="29338">
          <cell r="E29338">
            <v>0</v>
          </cell>
          <cell r="F29338">
            <v>0</v>
          </cell>
          <cell r="DN29338">
            <v>0</v>
          </cell>
        </row>
        <row r="29339">
          <cell r="E29339">
            <v>0</v>
          </cell>
          <cell r="F29339">
            <v>0</v>
          </cell>
          <cell r="DN29339">
            <v>0</v>
          </cell>
        </row>
        <row r="29340">
          <cell r="E29340">
            <v>0</v>
          </cell>
          <cell r="F29340">
            <v>0</v>
          </cell>
          <cell r="DN29340">
            <v>0</v>
          </cell>
        </row>
        <row r="29341">
          <cell r="E29341">
            <v>0</v>
          </cell>
          <cell r="F29341">
            <v>0</v>
          </cell>
          <cell r="DN29341">
            <v>0</v>
          </cell>
        </row>
        <row r="29342">
          <cell r="E29342">
            <v>0</v>
          </cell>
          <cell r="F29342">
            <v>0</v>
          </cell>
          <cell r="DN29342">
            <v>0</v>
          </cell>
        </row>
        <row r="29343">
          <cell r="E29343">
            <v>0</v>
          </cell>
          <cell r="F29343">
            <v>0</v>
          </cell>
          <cell r="DN29343">
            <v>0</v>
          </cell>
        </row>
        <row r="29344">
          <cell r="E29344">
            <v>0</v>
          </cell>
          <cell r="F29344">
            <v>0</v>
          </cell>
          <cell r="DN29344">
            <v>0</v>
          </cell>
        </row>
        <row r="29345">
          <cell r="E29345">
            <v>0</v>
          </cell>
          <cell r="F29345">
            <v>0</v>
          </cell>
          <cell r="DN29345">
            <v>0</v>
          </cell>
        </row>
        <row r="29346">
          <cell r="E29346">
            <v>0</v>
          </cell>
          <cell r="F29346">
            <v>0</v>
          </cell>
          <cell r="DN29346">
            <v>0</v>
          </cell>
        </row>
        <row r="29347">
          <cell r="E29347">
            <v>0</v>
          </cell>
          <cell r="F29347">
            <v>0</v>
          </cell>
          <cell r="DN29347">
            <v>0</v>
          </cell>
        </row>
        <row r="29348">
          <cell r="E29348">
            <v>0</v>
          </cell>
          <cell r="F29348">
            <v>0</v>
          </cell>
          <cell r="DN29348">
            <v>0</v>
          </cell>
        </row>
        <row r="29349">
          <cell r="E29349">
            <v>0</v>
          </cell>
          <cell r="F29349">
            <v>0</v>
          </cell>
          <cell r="DN29349">
            <v>0</v>
          </cell>
        </row>
        <row r="29350">
          <cell r="E29350">
            <v>0</v>
          </cell>
          <cell r="F29350">
            <v>0</v>
          </cell>
          <cell r="DN29350">
            <v>0</v>
          </cell>
        </row>
        <row r="29351">
          <cell r="E29351">
            <v>0</v>
          </cell>
          <cell r="F29351">
            <v>0</v>
          </cell>
          <cell r="DN29351">
            <v>0</v>
          </cell>
        </row>
        <row r="29352">
          <cell r="E29352">
            <v>0</v>
          </cell>
          <cell r="F29352">
            <v>0</v>
          </cell>
          <cell r="DN29352">
            <v>0</v>
          </cell>
        </row>
        <row r="29353">
          <cell r="E29353">
            <v>0</v>
          </cell>
          <cell r="F29353">
            <v>0</v>
          </cell>
          <cell r="DN29353">
            <v>0</v>
          </cell>
        </row>
        <row r="29354">
          <cell r="E29354">
            <v>0</v>
          </cell>
          <cell r="F29354">
            <v>0</v>
          </cell>
          <cell r="DN29354">
            <v>0</v>
          </cell>
        </row>
        <row r="29355">
          <cell r="E29355">
            <v>0</v>
          </cell>
          <cell r="F29355">
            <v>0</v>
          </cell>
          <cell r="DN29355">
            <v>0</v>
          </cell>
        </row>
        <row r="29356">
          <cell r="E29356">
            <v>0</v>
          </cell>
          <cell r="F29356">
            <v>0</v>
          </cell>
          <cell r="DN29356">
            <v>0</v>
          </cell>
        </row>
        <row r="29357">
          <cell r="E29357">
            <v>0</v>
          </cell>
          <cell r="F29357">
            <v>0</v>
          </cell>
          <cell r="DN29357">
            <v>0</v>
          </cell>
        </row>
        <row r="29358">
          <cell r="E29358">
            <v>0</v>
          </cell>
          <cell r="F29358">
            <v>0</v>
          </cell>
          <cell r="DN29358">
            <v>0</v>
          </cell>
        </row>
        <row r="29359">
          <cell r="E29359">
            <v>0</v>
          </cell>
          <cell r="F29359">
            <v>0</v>
          </cell>
          <cell r="DN29359">
            <v>0</v>
          </cell>
        </row>
        <row r="29360">
          <cell r="E29360">
            <v>0</v>
          </cell>
          <cell r="F29360">
            <v>0</v>
          </cell>
          <cell r="DN29360">
            <v>0</v>
          </cell>
        </row>
        <row r="29361">
          <cell r="E29361">
            <v>0</v>
          </cell>
          <cell r="F29361">
            <v>0</v>
          </cell>
          <cell r="DN29361">
            <v>0</v>
          </cell>
        </row>
        <row r="29362">
          <cell r="E29362">
            <v>0</v>
          </cell>
          <cell r="F29362">
            <v>0</v>
          </cell>
          <cell r="DN29362">
            <v>0</v>
          </cell>
        </row>
        <row r="29363">
          <cell r="E29363">
            <v>0</v>
          </cell>
          <cell r="F29363">
            <v>0</v>
          </cell>
          <cell r="DN29363">
            <v>0</v>
          </cell>
        </row>
        <row r="29364">
          <cell r="E29364">
            <v>0</v>
          </cell>
          <cell r="F29364">
            <v>0</v>
          </cell>
          <cell r="DN29364">
            <v>0</v>
          </cell>
        </row>
        <row r="29365">
          <cell r="E29365">
            <v>0</v>
          </cell>
          <cell r="F29365">
            <v>0</v>
          </cell>
          <cell r="DN29365">
            <v>0</v>
          </cell>
        </row>
        <row r="29366">
          <cell r="E29366">
            <v>0</v>
          </cell>
          <cell r="F29366">
            <v>0</v>
          </cell>
          <cell r="DN29366">
            <v>0</v>
          </cell>
        </row>
        <row r="29367">
          <cell r="E29367">
            <v>0</v>
          </cell>
          <cell r="F29367">
            <v>0</v>
          </cell>
          <cell r="DN29367">
            <v>0</v>
          </cell>
        </row>
        <row r="29368">
          <cell r="E29368">
            <v>0</v>
          </cell>
          <cell r="F29368">
            <v>0</v>
          </cell>
          <cell r="DN29368">
            <v>0</v>
          </cell>
        </row>
        <row r="29369">
          <cell r="E29369">
            <v>0</v>
          </cell>
          <cell r="F29369">
            <v>0</v>
          </cell>
          <cell r="DN29369">
            <v>0</v>
          </cell>
        </row>
        <row r="29370">
          <cell r="E29370">
            <v>0</v>
          </cell>
          <cell r="F29370">
            <v>0</v>
          </cell>
          <cell r="DN29370">
            <v>0</v>
          </cell>
        </row>
        <row r="29371">
          <cell r="E29371">
            <v>0</v>
          </cell>
          <cell r="F29371">
            <v>0</v>
          </cell>
          <cell r="DN29371">
            <v>0</v>
          </cell>
        </row>
        <row r="29372">
          <cell r="E29372">
            <v>0</v>
          </cell>
          <cell r="F29372">
            <v>0</v>
          </cell>
          <cell r="DN29372">
            <v>0</v>
          </cell>
        </row>
        <row r="29373">
          <cell r="E29373">
            <v>0</v>
          </cell>
          <cell r="F29373">
            <v>0</v>
          </cell>
          <cell r="DN29373">
            <v>0</v>
          </cell>
        </row>
        <row r="29374">
          <cell r="E29374">
            <v>0</v>
          </cell>
          <cell r="F29374">
            <v>0</v>
          </cell>
          <cell r="DN29374">
            <v>0</v>
          </cell>
        </row>
        <row r="29375">
          <cell r="E29375">
            <v>0</v>
          </cell>
          <cell r="F29375">
            <v>0</v>
          </cell>
          <cell r="DN29375">
            <v>0</v>
          </cell>
        </row>
        <row r="29376">
          <cell r="E29376">
            <v>0</v>
          </cell>
          <cell r="F29376">
            <v>0</v>
          </cell>
          <cell r="DN29376">
            <v>0</v>
          </cell>
        </row>
        <row r="29377">
          <cell r="E29377">
            <v>0</v>
          </cell>
          <cell r="F29377">
            <v>0</v>
          </cell>
          <cell r="DN29377">
            <v>0</v>
          </cell>
        </row>
        <row r="29378">
          <cell r="E29378">
            <v>0</v>
          </cell>
          <cell r="F29378">
            <v>0</v>
          </cell>
          <cell r="DN29378">
            <v>0</v>
          </cell>
        </row>
        <row r="29379">
          <cell r="E29379">
            <v>0</v>
          </cell>
          <cell r="F29379">
            <v>0</v>
          </cell>
          <cell r="DN29379">
            <v>0</v>
          </cell>
        </row>
        <row r="29380">
          <cell r="E29380">
            <v>0</v>
          </cell>
          <cell r="F29380">
            <v>0</v>
          </cell>
          <cell r="DN29380">
            <v>0</v>
          </cell>
        </row>
        <row r="29381">
          <cell r="E29381">
            <v>0</v>
          </cell>
          <cell r="F29381">
            <v>0</v>
          </cell>
          <cell r="DN29381">
            <v>0</v>
          </cell>
        </row>
        <row r="29382">
          <cell r="E29382">
            <v>0</v>
          </cell>
          <cell r="F29382">
            <v>0</v>
          </cell>
          <cell r="DN29382">
            <v>0</v>
          </cell>
        </row>
        <row r="29383">
          <cell r="E29383">
            <v>0</v>
          </cell>
          <cell r="F29383">
            <v>0</v>
          </cell>
          <cell r="DN29383">
            <v>0</v>
          </cell>
        </row>
        <row r="29384">
          <cell r="E29384">
            <v>0</v>
          </cell>
          <cell r="F29384">
            <v>0</v>
          </cell>
          <cell r="DN29384">
            <v>0</v>
          </cell>
        </row>
        <row r="29385">
          <cell r="E29385">
            <v>0</v>
          </cell>
          <cell r="F29385">
            <v>0</v>
          </cell>
          <cell r="DN29385">
            <v>0</v>
          </cell>
        </row>
        <row r="29386">
          <cell r="E29386">
            <v>0</v>
          </cell>
          <cell r="F29386">
            <v>0</v>
          </cell>
          <cell r="DN29386">
            <v>0</v>
          </cell>
        </row>
        <row r="29387">
          <cell r="E29387">
            <v>0</v>
          </cell>
          <cell r="F29387">
            <v>0</v>
          </cell>
          <cell r="DN29387">
            <v>0</v>
          </cell>
        </row>
        <row r="29388">
          <cell r="E29388">
            <v>0</v>
          </cell>
          <cell r="F29388">
            <v>0</v>
          </cell>
          <cell r="DN29388">
            <v>0</v>
          </cell>
        </row>
        <row r="29389">
          <cell r="E29389">
            <v>0</v>
          </cell>
          <cell r="F29389">
            <v>0</v>
          </cell>
          <cell r="DN29389">
            <v>0</v>
          </cell>
        </row>
        <row r="29390">
          <cell r="E29390">
            <v>0</v>
          </cell>
          <cell r="F29390">
            <v>0</v>
          </cell>
          <cell r="DN29390">
            <v>0</v>
          </cell>
        </row>
        <row r="29391">
          <cell r="E29391">
            <v>0</v>
          </cell>
          <cell r="F29391">
            <v>0</v>
          </cell>
          <cell r="DN29391">
            <v>0</v>
          </cell>
        </row>
        <row r="29392">
          <cell r="E29392">
            <v>0</v>
          </cell>
          <cell r="F29392">
            <v>0</v>
          </cell>
          <cell r="DN29392">
            <v>0</v>
          </cell>
        </row>
        <row r="29393">
          <cell r="E29393">
            <v>0</v>
          </cell>
          <cell r="F29393">
            <v>0</v>
          </cell>
          <cell r="DN29393">
            <v>0</v>
          </cell>
        </row>
        <row r="29394">
          <cell r="E29394">
            <v>0</v>
          </cell>
          <cell r="F29394">
            <v>0</v>
          </cell>
          <cell r="DN29394">
            <v>0</v>
          </cell>
        </row>
        <row r="29395">
          <cell r="E29395">
            <v>0</v>
          </cell>
          <cell r="F29395">
            <v>0</v>
          </cell>
          <cell r="DN29395">
            <v>0</v>
          </cell>
        </row>
        <row r="29396">
          <cell r="E29396">
            <v>0</v>
          </cell>
          <cell r="F29396">
            <v>0</v>
          </cell>
          <cell r="DN29396">
            <v>0</v>
          </cell>
        </row>
        <row r="29397">
          <cell r="E29397">
            <v>0</v>
          </cell>
          <cell r="F29397">
            <v>0</v>
          </cell>
          <cell r="DN29397">
            <v>0</v>
          </cell>
        </row>
        <row r="29398">
          <cell r="E29398">
            <v>0</v>
          </cell>
          <cell r="F29398">
            <v>0</v>
          </cell>
          <cell r="DN29398">
            <v>0</v>
          </cell>
        </row>
        <row r="29399">
          <cell r="E29399">
            <v>0</v>
          </cell>
          <cell r="F29399">
            <v>0</v>
          </cell>
          <cell r="DN29399">
            <v>0</v>
          </cell>
        </row>
        <row r="29400">
          <cell r="E29400">
            <v>0</v>
          </cell>
          <cell r="F29400">
            <v>0</v>
          </cell>
          <cell r="DN29400">
            <v>0</v>
          </cell>
        </row>
        <row r="29401">
          <cell r="E29401">
            <v>0</v>
          </cell>
          <cell r="F29401">
            <v>0</v>
          </cell>
          <cell r="DN29401">
            <v>0</v>
          </cell>
        </row>
        <row r="29402">
          <cell r="E29402">
            <v>0</v>
          </cell>
          <cell r="F29402">
            <v>0</v>
          </cell>
          <cell r="DN29402">
            <v>0</v>
          </cell>
        </row>
        <row r="29403">
          <cell r="E29403">
            <v>0</v>
          </cell>
          <cell r="F29403">
            <v>0</v>
          </cell>
          <cell r="DN29403">
            <v>0</v>
          </cell>
        </row>
        <row r="29404">
          <cell r="E29404">
            <v>0</v>
          </cell>
          <cell r="F29404">
            <v>0</v>
          </cell>
          <cell r="DN29404">
            <v>0</v>
          </cell>
        </row>
        <row r="29405">
          <cell r="E29405">
            <v>0</v>
          </cell>
          <cell r="F29405">
            <v>0</v>
          </cell>
          <cell r="DN29405">
            <v>0</v>
          </cell>
        </row>
        <row r="29406">
          <cell r="E29406">
            <v>0</v>
          </cell>
          <cell r="F29406">
            <v>0</v>
          </cell>
          <cell r="DN29406">
            <v>0</v>
          </cell>
        </row>
        <row r="29407">
          <cell r="E29407">
            <v>0</v>
          </cell>
          <cell r="F29407">
            <v>0</v>
          </cell>
          <cell r="DN29407">
            <v>0</v>
          </cell>
        </row>
        <row r="29408">
          <cell r="E29408">
            <v>0</v>
          </cell>
          <cell r="F29408">
            <v>0</v>
          </cell>
          <cell r="DN29408">
            <v>0</v>
          </cell>
        </row>
        <row r="29409">
          <cell r="E29409">
            <v>0</v>
          </cell>
          <cell r="F29409">
            <v>0</v>
          </cell>
          <cell r="DN29409">
            <v>0</v>
          </cell>
        </row>
        <row r="29410">
          <cell r="E29410">
            <v>0</v>
          </cell>
          <cell r="F29410">
            <v>0</v>
          </cell>
          <cell r="DN29410">
            <v>0</v>
          </cell>
        </row>
        <row r="29411">
          <cell r="E29411">
            <v>0</v>
          </cell>
          <cell r="F29411">
            <v>0</v>
          </cell>
          <cell r="DN29411">
            <v>0</v>
          </cell>
        </row>
        <row r="29412">
          <cell r="E29412">
            <v>0</v>
          </cell>
          <cell r="F29412">
            <v>0</v>
          </cell>
          <cell r="DN29412">
            <v>0</v>
          </cell>
        </row>
        <row r="29413">
          <cell r="E29413">
            <v>0</v>
          </cell>
          <cell r="F29413">
            <v>0</v>
          </cell>
          <cell r="DN29413">
            <v>0</v>
          </cell>
        </row>
        <row r="29414">
          <cell r="E29414">
            <v>0</v>
          </cell>
          <cell r="F29414">
            <v>0</v>
          </cell>
          <cell r="DN29414">
            <v>0</v>
          </cell>
        </row>
        <row r="29415">
          <cell r="E29415">
            <v>0</v>
          </cell>
          <cell r="F29415">
            <v>0</v>
          </cell>
          <cell r="DN29415">
            <v>0</v>
          </cell>
        </row>
        <row r="29416">
          <cell r="E29416">
            <v>0</v>
          </cell>
          <cell r="F29416">
            <v>0</v>
          </cell>
          <cell r="DN29416">
            <v>0</v>
          </cell>
        </row>
        <row r="29417">
          <cell r="E29417">
            <v>0</v>
          </cell>
          <cell r="F29417">
            <v>0</v>
          </cell>
          <cell r="DN29417">
            <v>0</v>
          </cell>
        </row>
        <row r="29418">
          <cell r="E29418">
            <v>0</v>
          </cell>
          <cell r="F29418">
            <v>0</v>
          </cell>
          <cell r="DN29418">
            <v>0</v>
          </cell>
        </row>
        <row r="29419">
          <cell r="E29419">
            <v>0</v>
          </cell>
          <cell r="F29419">
            <v>0</v>
          </cell>
          <cell r="DN29419">
            <v>0</v>
          </cell>
        </row>
        <row r="29420">
          <cell r="E29420">
            <v>0</v>
          </cell>
          <cell r="F29420">
            <v>0</v>
          </cell>
          <cell r="DN29420">
            <v>0</v>
          </cell>
        </row>
        <row r="29421">
          <cell r="E29421">
            <v>0</v>
          </cell>
          <cell r="F29421">
            <v>0</v>
          </cell>
          <cell r="DN29421">
            <v>0</v>
          </cell>
        </row>
        <row r="29422">
          <cell r="E29422">
            <v>0</v>
          </cell>
          <cell r="F29422">
            <v>0</v>
          </cell>
          <cell r="DN29422">
            <v>0</v>
          </cell>
        </row>
        <row r="29423">
          <cell r="E29423">
            <v>0</v>
          </cell>
          <cell r="F29423">
            <v>0</v>
          </cell>
          <cell r="DN29423">
            <v>0</v>
          </cell>
        </row>
        <row r="29424">
          <cell r="E29424">
            <v>0</v>
          </cell>
          <cell r="F29424">
            <v>0</v>
          </cell>
          <cell r="DN29424">
            <v>0</v>
          </cell>
        </row>
        <row r="29425">
          <cell r="E29425">
            <v>0</v>
          </cell>
          <cell r="F29425">
            <v>0</v>
          </cell>
          <cell r="DN29425">
            <v>0</v>
          </cell>
        </row>
        <row r="29426">
          <cell r="E29426">
            <v>0</v>
          </cell>
          <cell r="F29426">
            <v>0</v>
          </cell>
          <cell r="DN29426">
            <v>0</v>
          </cell>
        </row>
        <row r="29427">
          <cell r="E29427">
            <v>0</v>
          </cell>
          <cell r="F29427">
            <v>0</v>
          </cell>
          <cell r="DN29427">
            <v>0</v>
          </cell>
        </row>
        <row r="29428">
          <cell r="E29428">
            <v>0</v>
          </cell>
          <cell r="F29428">
            <v>0</v>
          </cell>
          <cell r="DN29428">
            <v>0</v>
          </cell>
        </row>
        <row r="29429">
          <cell r="E29429">
            <v>0</v>
          </cell>
          <cell r="F29429">
            <v>0</v>
          </cell>
          <cell r="DN29429">
            <v>0</v>
          </cell>
        </row>
        <row r="29430">
          <cell r="E29430">
            <v>0</v>
          </cell>
          <cell r="F29430">
            <v>0</v>
          </cell>
          <cell r="DN29430">
            <v>0</v>
          </cell>
        </row>
        <row r="29431">
          <cell r="E29431">
            <v>0</v>
          </cell>
          <cell r="F29431">
            <v>0</v>
          </cell>
          <cell r="DN29431">
            <v>0</v>
          </cell>
        </row>
        <row r="29432">
          <cell r="E29432">
            <v>0</v>
          </cell>
          <cell r="F29432">
            <v>0</v>
          </cell>
          <cell r="DN29432">
            <v>0</v>
          </cell>
        </row>
        <row r="29433">
          <cell r="E29433">
            <v>0</v>
          </cell>
          <cell r="F29433">
            <v>0</v>
          </cell>
          <cell r="DN29433">
            <v>0</v>
          </cell>
        </row>
        <row r="29434">
          <cell r="E29434">
            <v>0</v>
          </cell>
          <cell r="F29434">
            <v>0</v>
          </cell>
          <cell r="DN29434">
            <v>0</v>
          </cell>
        </row>
        <row r="29435">
          <cell r="E29435">
            <v>0</v>
          </cell>
          <cell r="F29435">
            <v>0</v>
          </cell>
          <cell r="DN29435">
            <v>0</v>
          </cell>
        </row>
        <row r="29436">
          <cell r="E29436">
            <v>0</v>
          </cell>
          <cell r="F29436">
            <v>0</v>
          </cell>
          <cell r="DN29436">
            <v>0</v>
          </cell>
        </row>
        <row r="29437">
          <cell r="E29437">
            <v>0</v>
          </cell>
          <cell r="F29437">
            <v>0</v>
          </cell>
          <cell r="DN29437">
            <v>0</v>
          </cell>
        </row>
        <row r="29438">
          <cell r="E29438">
            <v>0</v>
          </cell>
          <cell r="F29438">
            <v>0</v>
          </cell>
          <cell r="DN29438">
            <v>0</v>
          </cell>
        </row>
        <row r="29439">
          <cell r="E29439">
            <v>0</v>
          </cell>
          <cell r="F29439">
            <v>0</v>
          </cell>
          <cell r="DN29439">
            <v>0</v>
          </cell>
        </row>
        <row r="29440">
          <cell r="E29440">
            <v>0</v>
          </cell>
          <cell r="F29440">
            <v>0</v>
          </cell>
          <cell r="DN29440">
            <v>0</v>
          </cell>
        </row>
        <row r="29441">
          <cell r="E29441">
            <v>0</v>
          </cell>
          <cell r="F29441">
            <v>0</v>
          </cell>
          <cell r="DN29441">
            <v>0</v>
          </cell>
        </row>
        <row r="29442">
          <cell r="E29442">
            <v>0</v>
          </cell>
          <cell r="F29442">
            <v>0</v>
          </cell>
          <cell r="DN29442">
            <v>0</v>
          </cell>
        </row>
        <row r="29443">
          <cell r="E29443">
            <v>0</v>
          </cell>
          <cell r="F29443">
            <v>0</v>
          </cell>
          <cell r="DN29443">
            <v>0</v>
          </cell>
        </row>
        <row r="29444">
          <cell r="E29444">
            <v>0</v>
          </cell>
          <cell r="F29444">
            <v>0</v>
          </cell>
          <cell r="DN29444">
            <v>0</v>
          </cell>
        </row>
        <row r="29445">
          <cell r="E29445">
            <v>0</v>
          </cell>
          <cell r="F29445">
            <v>0</v>
          </cell>
          <cell r="DN29445">
            <v>0</v>
          </cell>
        </row>
        <row r="29446">
          <cell r="E29446">
            <v>0</v>
          </cell>
          <cell r="F29446">
            <v>0</v>
          </cell>
          <cell r="DN29446">
            <v>0</v>
          </cell>
        </row>
        <row r="29447">
          <cell r="E29447">
            <v>0</v>
          </cell>
          <cell r="F29447">
            <v>0</v>
          </cell>
          <cell r="DN29447">
            <v>0</v>
          </cell>
        </row>
        <row r="29448">
          <cell r="E29448">
            <v>0</v>
          </cell>
          <cell r="F29448">
            <v>0</v>
          </cell>
          <cell r="DN29448">
            <v>0</v>
          </cell>
        </row>
        <row r="29449">
          <cell r="E29449">
            <v>0</v>
          </cell>
          <cell r="F29449">
            <v>0</v>
          </cell>
          <cell r="DN29449">
            <v>0</v>
          </cell>
        </row>
        <row r="29450">
          <cell r="E29450">
            <v>0</v>
          </cell>
          <cell r="F29450">
            <v>0</v>
          </cell>
          <cell r="DN29450">
            <v>0</v>
          </cell>
        </row>
        <row r="29451">
          <cell r="E29451">
            <v>0</v>
          </cell>
          <cell r="F29451">
            <v>0</v>
          </cell>
          <cell r="DN29451">
            <v>0</v>
          </cell>
        </row>
        <row r="29452">
          <cell r="E29452">
            <v>0</v>
          </cell>
          <cell r="F29452">
            <v>0</v>
          </cell>
          <cell r="DN29452">
            <v>0</v>
          </cell>
        </row>
        <row r="29453">
          <cell r="E29453">
            <v>0</v>
          </cell>
          <cell r="F29453">
            <v>0</v>
          </cell>
          <cell r="DN29453">
            <v>0</v>
          </cell>
        </row>
        <row r="29454">
          <cell r="E29454">
            <v>0</v>
          </cell>
          <cell r="F29454">
            <v>0</v>
          </cell>
          <cell r="DN29454">
            <v>0</v>
          </cell>
        </row>
        <row r="29455">
          <cell r="E29455">
            <v>0</v>
          </cell>
          <cell r="F29455">
            <v>0</v>
          </cell>
          <cell r="DN29455">
            <v>0</v>
          </cell>
        </row>
        <row r="29456">
          <cell r="E29456">
            <v>0</v>
          </cell>
          <cell r="F29456">
            <v>0</v>
          </cell>
          <cell r="DN29456">
            <v>0</v>
          </cell>
        </row>
        <row r="29457">
          <cell r="E29457">
            <v>0</v>
          </cell>
          <cell r="F29457">
            <v>0</v>
          </cell>
          <cell r="DN29457">
            <v>0</v>
          </cell>
        </row>
        <row r="29458">
          <cell r="E29458">
            <v>0</v>
          </cell>
          <cell r="F29458">
            <v>0</v>
          </cell>
          <cell r="DN29458">
            <v>0</v>
          </cell>
        </row>
        <row r="29459">
          <cell r="E29459">
            <v>0</v>
          </cell>
          <cell r="F29459">
            <v>0</v>
          </cell>
          <cell r="DN29459">
            <v>0</v>
          </cell>
        </row>
        <row r="29460">
          <cell r="E29460">
            <v>0</v>
          </cell>
          <cell r="F29460">
            <v>0</v>
          </cell>
          <cell r="DN29460">
            <v>0</v>
          </cell>
        </row>
        <row r="29461">
          <cell r="E29461">
            <v>0</v>
          </cell>
          <cell r="F29461">
            <v>0</v>
          </cell>
          <cell r="DN29461">
            <v>0</v>
          </cell>
        </row>
        <row r="29462">
          <cell r="E29462">
            <v>0</v>
          </cell>
          <cell r="F29462">
            <v>0</v>
          </cell>
          <cell r="DN29462">
            <v>0</v>
          </cell>
        </row>
        <row r="29463">
          <cell r="E29463">
            <v>0</v>
          </cell>
          <cell r="F29463">
            <v>0</v>
          </cell>
          <cell r="DN29463">
            <v>0</v>
          </cell>
        </row>
        <row r="29464">
          <cell r="E29464">
            <v>0</v>
          </cell>
          <cell r="F29464">
            <v>0</v>
          </cell>
          <cell r="DN29464">
            <v>0</v>
          </cell>
        </row>
        <row r="29465">
          <cell r="E29465">
            <v>0</v>
          </cell>
          <cell r="F29465">
            <v>0</v>
          </cell>
          <cell r="DN29465">
            <v>0</v>
          </cell>
        </row>
        <row r="29466">
          <cell r="E29466">
            <v>0</v>
          </cell>
          <cell r="F29466">
            <v>0</v>
          </cell>
          <cell r="DN29466">
            <v>0</v>
          </cell>
        </row>
        <row r="29467">
          <cell r="E29467">
            <v>0</v>
          </cell>
          <cell r="F29467">
            <v>0</v>
          </cell>
          <cell r="DN29467">
            <v>0</v>
          </cell>
        </row>
        <row r="29468">
          <cell r="E29468">
            <v>0</v>
          </cell>
          <cell r="F29468">
            <v>0</v>
          </cell>
          <cell r="DN29468">
            <v>0</v>
          </cell>
        </row>
        <row r="29469">
          <cell r="E29469">
            <v>0</v>
          </cell>
          <cell r="F29469">
            <v>0</v>
          </cell>
          <cell r="DN29469">
            <v>0</v>
          </cell>
        </row>
        <row r="29470">
          <cell r="E29470">
            <v>0</v>
          </cell>
          <cell r="F29470">
            <v>0</v>
          </cell>
          <cell r="DN29470">
            <v>0</v>
          </cell>
        </row>
        <row r="29471">
          <cell r="E29471">
            <v>0</v>
          </cell>
          <cell r="F29471">
            <v>0</v>
          </cell>
          <cell r="DN29471">
            <v>0</v>
          </cell>
        </row>
        <row r="29472">
          <cell r="E29472">
            <v>0</v>
          </cell>
          <cell r="F29472">
            <v>0</v>
          </cell>
          <cell r="DN29472">
            <v>0</v>
          </cell>
        </row>
        <row r="29473">
          <cell r="E29473">
            <v>0</v>
          </cell>
          <cell r="F29473">
            <v>0</v>
          </cell>
          <cell r="DN29473">
            <v>0</v>
          </cell>
        </row>
        <row r="29474">
          <cell r="E29474">
            <v>0</v>
          </cell>
          <cell r="F29474">
            <v>0</v>
          </cell>
          <cell r="DN29474">
            <v>0</v>
          </cell>
        </row>
        <row r="29475">
          <cell r="E29475">
            <v>0</v>
          </cell>
          <cell r="F29475">
            <v>0</v>
          </cell>
          <cell r="DN29475">
            <v>0</v>
          </cell>
        </row>
        <row r="29476">
          <cell r="E29476">
            <v>0</v>
          </cell>
          <cell r="F29476">
            <v>0</v>
          </cell>
          <cell r="DN29476">
            <v>0</v>
          </cell>
        </row>
        <row r="29477">
          <cell r="E29477">
            <v>0</v>
          </cell>
          <cell r="F29477">
            <v>0</v>
          </cell>
          <cell r="DN29477">
            <v>0</v>
          </cell>
        </row>
        <row r="29478">
          <cell r="E29478">
            <v>0</v>
          </cell>
          <cell r="F29478">
            <v>0</v>
          </cell>
          <cell r="DN29478">
            <v>0</v>
          </cell>
        </row>
        <row r="29479">
          <cell r="E29479">
            <v>0</v>
          </cell>
          <cell r="F29479">
            <v>0</v>
          </cell>
          <cell r="DN29479">
            <v>0</v>
          </cell>
        </row>
        <row r="29480">
          <cell r="E29480">
            <v>0</v>
          </cell>
          <cell r="F29480">
            <v>0</v>
          </cell>
          <cell r="DN29480">
            <v>0</v>
          </cell>
        </row>
        <row r="29481">
          <cell r="E29481">
            <v>0</v>
          </cell>
          <cell r="F29481">
            <v>0</v>
          </cell>
          <cell r="DN29481">
            <v>0</v>
          </cell>
        </row>
        <row r="29482">
          <cell r="E29482">
            <v>0</v>
          </cell>
          <cell r="F29482">
            <v>0</v>
          </cell>
          <cell r="DN29482">
            <v>0</v>
          </cell>
        </row>
        <row r="29483">
          <cell r="E29483">
            <v>0</v>
          </cell>
          <cell r="F29483">
            <v>0</v>
          </cell>
          <cell r="DN29483">
            <v>0</v>
          </cell>
        </row>
        <row r="29484">
          <cell r="E29484">
            <v>0</v>
          </cell>
          <cell r="F29484">
            <v>0</v>
          </cell>
          <cell r="DN29484">
            <v>0</v>
          </cell>
        </row>
        <row r="29485">
          <cell r="E29485">
            <v>0</v>
          </cell>
          <cell r="F29485">
            <v>0</v>
          </cell>
          <cell r="DN29485">
            <v>0</v>
          </cell>
        </row>
        <row r="29486">
          <cell r="E29486">
            <v>0</v>
          </cell>
          <cell r="F29486">
            <v>0</v>
          </cell>
          <cell r="DN29486">
            <v>0</v>
          </cell>
        </row>
        <row r="29487">
          <cell r="E29487">
            <v>0</v>
          </cell>
          <cell r="F29487">
            <v>0</v>
          </cell>
          <cell r="DN29487">
            <v>0</v>
          </cell>
        </row>
        <row r="29488">
          <cell r="E29488">
            <v>0</v>
          </cell>
          <cell r="F29488">
            <v>0</v>
          </cell>
          <cell r="DN29488">
            <v>0</v>
          </cell>
        </row>
        <row r="29489">
          <cell r="E29489">
            <v>0</v>
          </cell>
          <cell r="F29489">
            <v>0</v>
          </cell>
          <cell r="DN29489">
            <v>0</v>
          </cell>
        </row>
        <row r="29490">
          <cell r="E29490">
            <v>0</v>
          </cell>
          <cell r="F29490">
            <v>0</v>
          </cell>
          <cell r="DN29490">
            <v>0</v>
          </cell>
        </row>
        <row r="29491">
          <cell r="E29491">
            <v>0</v>
          </cell>
          <cell r="F29491">
            <v>0</v>
          </cell>
          <cell r="DN29491">
            <v>0</v>
          </cell>
        </row>
        <row r="29492">
          <cell r="E29492">
            <v>0</v>
          </cell>
          <cell r="F29492">
            <v>0</v>
          </cell>
          <cell r="DN29492">
            <v>0</v>
          </cell>
        </row>
        <row r="29493">
          <cell r="E29493">
            <v>0</v>
          </cell>
          <cell r="F29493">
            <v>0</v>
          </cell>
          <cell r="DN29493">
            <v>0</v>
          </cell>
        </row>
        <row r="29494">
          <cell r="E29494">
            <v>0</v>
          </cell>
          <cell r="F29494">
            <v>0</v>
          </cell>
          <cell r="DN29494">
            <v>0</v>
          </cell>
        </row>
        <row r="29495">
          <cell r="E29495">
            <v>0</v>
          </cell>
          <cell r="F29495">
            <v>0</v>
          </cell>
          <cell r="DN29495">
            <v>0</v>
          </cell>
        </row>
        <row r="29496">
          <cell r="E29496">
            <v>0</v>
          </cell>
          <cell r="F29496">
            <v>0</v>
          </cell>
          <cell r="DN29496">
            <v>0</v>
          </cell>
        </row>
        <row r="29497">
          <cell r="E29497">
            <v>0</v>
          </cell>
          <cell r="F29497">
            <v>0</v>
          </cell>
          <cell r="DN29497">
            <v>0</v>
          </cell>
        </row>
        <row r="29498">
          <cell r="E29498">
            <v>0</v>
          </cell>
          <cell r="F29498">
            <v>0</v>
          </cell>
          <cell r="DN29498">
            <v>0</v>
          </cell>
        </row>
        <row r="29499">
          <cell r="E29499">
            <v>0</v>
          </cell>
          <cell r="F29499">
            <v>0</v>
          </cell>
          <cell r="DN29499">
            <v>0</v>
          </cell>
        </row>
        <row r="29500">
          <cell r="E29500">
            <v>0</v>
          </cell>
          <cell r="F29500">
            <v>0</v>
          </cell>
          <cell r="DN29500">
            <v>0</v>
          </cell>
        </row>
        <row r="29501">
          <cell r="E29501">
            <v>0</v>
          </cell>
          <cell r="F29501">
            <v>0</v>
          </cell>
          <cell r="DN29501">
            <v>0</v>
          </cell>
        </row>
        <row r="29502">
          <cell r="E29502">
            <v>0</v>
          </cell>
          <cell r="F29502">
            <v>0</v>
          </cell>
          <cell r="DN29502">
            <v>0</v>
          </cell>
        </row>
        <row r="29503">
          <cell r="E29503">
            <v>0</v>
          </cell>
          <cell r="F29503">
            <v>0</v>
          </cell>
          <cell r="DN29503">
            <v>0</v>
          </cell>
        </row>
        <row r="29504">
          <cell r="E29504">
            <v>0</v>
          </cell>
          <cell r="F29504">
            <v>0</v>
          </cell>
          <cell r="DN29504">
            <v>0</v>
          </cell>
        </row>
        <row r="29505">
          <cell r="E29505">
            <v>0</v>
          </cell>
          <cell r="F29505">
            <v>0</v>
          </cell>
          <cell r="DN29505">
            <v>0</v>
          </cell>
        </row>
        <row r="29506">
          <cell r="E29506">
            <v>0</v>
          </cell>
          <cell r="F29506">
            <v>0</v>
          </cell>
          <cell r="DN29506">
            <v>0</v>
          </cell>
        </row>
        <row r="29507">
          <cell r="E29507">
            <v>0</v>
          </cell>
          <cell r="F29507">
            <v>0</v>
          </cell>
          <cell r="DN29507">
            <v>0</v>
          </cell>
        </row>
        <row r="29508">
          <cell r="E29508">
            <v>0</v>
          </cell>
          <cell r="F29508">
            <v>0</v>
          </cell>
          <cell r="DN29508">
            <v>0</v>
          </cell>
        </row>
        <row r="29509">
          <cell r="E29509">
            <v>0</v>
          </cell>
          <cell r="F29509">
            <v>0</v>
          </cell>
          <cell r="DN29509">
            <v>0</v>
          </cell>
        </row>
        <row r="29510">
          <cell r="E29510">
            <v>0</v>
          </cell>
          <cell r="F29510">
            <v>0</v>
          </cell>
          <cell r="DN29510">
            <v>0</v>
          </cell>
        </row>
        <row r="29511">
          <cell r="E29511">
            <v>0</v>
          </cell>
          <cell r="F29511">
            <v>0</v>
          </cell>
          <cell r="DN29511">
            <v>0</v>
          </cell>
        </row>
        <row r="29512">
          <cell r="E29512">
            <v>0</v>
          </cell>
          <cell r="F29512">
            <v>0</v>
          </cell>
          <cell r="DN29512">
            <v>0</v>
          </cell>
        </row>
        <row r="29513">
          <cell r="E29513">
            <v>0</v>
          </cell>
          <cell r="F29513">
            <v>0</v>
          </cell>
          <cell r="DN29513">
            <v>0</v>
          </cell>
        </row>
        <row r="29514">
          <cell r="E29514">
            <v>0</v>
          </cell>
          <cell r="F29514">
            <v>0</v>
          </cell>
          <cell r="DN29514">
            <v>0</v>
          </cell>
        </row>
        <row r="29515">
          <cell r="E29515">
            <v>0</v>
          </cell>
          <cell r="F29515">
            <v>0</v>
          </cell>
          <cell r="DN29515">
            <v>0</v>
          </cell>
        </row>
        <row r="29516">
          <cell r="E29516">
            <v>0</v>
          </cell>
          <cell r="F29516">
            <v>0</v>
          </cell>
          <cell r="DN29516">
            <v>0</v>
          </cell>
        </row>
        <row r="29517">
          <cell r="E29517">
            <v>0</v>
          </cell>
          <cell r="F29517">
            <v>0</v>
          </cell>
          <cell r="DN29517">
            <v>0</v>
          </cell>
        </row>
        <row r="29518">
          <cell r="E29518">
            <v>0</v>
          </cell>
          <cell r="F29518">
            <v>0</v>
          </cell>
          <cell r="DN29518">
            <v>0</v>
          </cell>
        </row>
        <row r="29519">
          <cell r="E29519">
            <v>0</v>
          </cell>
          <cell r="F29519">
            <v>0</v>
          </cell>
          <cell r="DN29519">
            <v>0</v>
          </cell>
        </row>
        <row r="29520">
          <cell r="E29520">
            <v>0</v>
          </cell>
          <cell r="F29520">
            <v>0</v>
          </cell>
          <cell r="DN29520">
            <v>0</v>
          </cell>
        </row>
        <row r="29521">
          <cell r="E29521">
            <v>0</v>
          </cell>
          <cell r="F29521">
            <v>0</v>
          </cell>
          <cell r="DN29521">
            <v>0</v>
          </cell>
        </row>
        <row r="29522">
          <cell r="E29522">
            <v>0</v>
          </cell>
          <cell r="F29522">
            <v>0</v>
          </cell>
          <cell r="DN29522">
            <v>0</v>
          </cell>
        </row>
        <row r="29523">
          <cell r="E29523">
            <v>0</v>
          </cell>
          <cell r="F29523">
            <v>0</v>
          </cell>
          <cell r="DN29523">
            <v>0</v>
          </cell>
        </row>
        <row r="29524">
          <cell r="E29524">
            <v>0</v>
          </cell>
          <cell r="F29524">
            <v>0</v>
          </cell>
          <cell r="DN29524">
            <v>0</v>
          </cell>
        </row>
        <row r="29525">
          <cell r="E29525">
            <v>0</v>
          </cell>
          <cell r="F29525">
            <v>0</v>
          </cell>
          <cell r="DN29525">
            <v>0</v>
          </cell>
        </row>
        <row r="29526">
          <cell r="E29526">
            <v>0</v>
          </cell>
          <cell r="F29526">
            <v>0</v>
          </cell>
          <cell r="DN29526">
            <v>0</v>
          </cell>
        </row>
        <row r="29527">
          <cell r="E29527">
            <v>0</v>
          </cell>
          <cell r="F29527">
            <v>0</v>
          </cell>
          <cell r="DN29527">
            <v>0</v>
          </cell>
        </row>
        <row r="29528">
          <cell r="E29528">
            <v>0</v>
          </cell>
          <cell r="F29528">
            <v>0</v>
          </cell>
          <cell r="DN29528">
            <v>0</v>
          </cell>
        </row>
        <row r="29529">
          <cell r="E29529">
            <v>0</v>
          </cell>
          <cell r="F29529">
            <v>0</v>
          </cell>
          <cell r="DN29529">
            <v>0</v>
          </cell>
        </row>
        <row r="29530">
          <cell r="E29530">
            <v>0</v>
          </cell>
          <cell r="F29530">
            <v>0</v>
          </cell>
          <cell r="DN29530">
            <v>0</v>
          </cell>
        </row>
        <row r="29531">
          <cell r="E29531">
            <v>0</v>
          </cell>
          <cell r="F29531">
            <v>0</v>
          </cell>
          <cell r="DN29531">
            <v>0</v>
          </cell>
        </row>
        <row r="29532">
          <cell r="E29532">
            <v>0</v>
          </cell>
          <cell r="F29532">
            <v>0</v>
          </cell>
          <cell r="DN29532">
            <v>0</v>
          </cell>
        </row>
        <row r="29533">
          <cell r="E29533">
            <v>0</v>
          </cell>
          <cell r="F29533">
            <v>0</v>
          </cell>
          <cell r="DN29533">
            <v>0</v>
          </cell>
        </row>
        <row r="29534">
          <cell r="E29534">
            <v>0</v>
          </cell>
          <cell r="F29534">
            <v>0</v>
          </cell>
          <cell r="DN29534">
            <v>0</v>
          </cell>
        </row>
        <row r="29535">
          <cell r="E29535">
            <v>0</v>
          </cell>
          <cell r="F29535">
            <v>0</v>
          </cell>
          <cell r="DN29535">
            <v>0</v>
          </cell>
        </row>
        <row r="29536">
          <cell r="E29536">
            <v>0</v>
          </cell>
          <cell r="F29536">
            <v>0</v>
          </cell>
          <cell r="DN29536">
            <v>0</v>
          </cell>
        </row>
        <row r="29537">
          <cell r="E29537">
            <v>0</v>
          </cell>
          <cell r="F29537">
            <v>0</v>
          </cell>
          <cell r="DN29537">
            <v>0</v>
          </cell>
        </row>
        <row r="29538">
          <cell r="E29538">
            <v>0</v>
          </cell>
          <cell r="F29538">
            <v>0</v>
          </cell>
          <cell r="DN29538">
            <v>0</v>
          </cell>
        </row>
        <row r="29539">
          <cell r="E29539">
            <v>0</v>
          </cell>
          <cell r="F29539">
            <v>0</v>
          </cell>
          <cell r="DN29539">
            <v>0</v>
          </cell>
        </row>
        <row r="29540">
          <cell r="E29540">
            <v>0</v>
          </cell>
          <cell r="F29540">
            <v>0</v>
          </cell>
          <cell r="DN29540">
            <v>0</v>
          </cell>
        </row>
        <row r="29541">
          <cell r="E29541">
            <v>0</v>
          </cell>
          <cell r="F29541">
            <v>0</v>
          </cell>
          <cell r="DN29541">
            <v>0</v>
          </cell>
        </row>
        <row r="29542">
          <cell r="E29542">
            <v>0</v>
          </cell>
          <cell r="F29542">
            <v>0</v>
          </cell>
          <cell r="DN29542">
            <v>0</v>
          </cell>
        </row>
        <row r="29543">
          <cell r="E29543">
            <v>0</v>
          </cell>
          <cell r="F29543">
            <v>0</v>
          </cell>
          <cell r="DN29543">
            <v>0</v>
          </cell>
        </row>
        <row r="29544">
          <cell r="E29544">
            <v>0</v>
          </cell>
          <cell r="F29544">
            <v>0</v>
          </cell>
          <cell r="DN29544">
            <v>0</v>
          </cell>
        </row>
        <row r="29545">
          <cell r="E29545">
            <v>0</v>
          </cell>
          <cell r="F29545">
            <v>0</v>
          </cell>
          <cell r="DN29545">
            <v>0</v>
          </cell>
        </row>
        <row r="29546">
          <cell r="E29546">
            <v>0</v>
          </cell>
          <cell r="F29546">
            <v>0</v>
          </cell>
          <cell r="DN29546">
            <v>0</v>
          </cell>
        </row>
        <row r="29547">
          <cell r="E29547">
            <v>0</v>
          </cell>
          <cell r="F29547">
            <v>0</v>
          </cell>
          <cell r="DN29547">
            <v>0</v>
          </cell>
        </row>
        <row r="29548">
          <cell r="E29548">
            <v>0</v>
          </cell>
          <cell r="F29548">
            <v>0</v>
          </cell>
          <cell r="DN29548">
            <v>0</v>
          </cell>
        </row>
        <row r="29549">
          <cell r="E29549">
            <v>0</v>
          </cell>
          <cell r="F29549">
            <v>0</v>
          </cell>
          <cell r="DN29549">
            <v>0</v>
          </cell>
        </row>
        <row r="29550">
          <cell r="E29550">
            <v>0</v>
          </cell>
          <cell r="F29550">
            <v>0</v>
          </cell>
          <cell r="DN29550">
            <v>0</v>
          </cell>
        </row>
        <row r="29551">
          <cell r="E29551">
            <v>0</v>
          </cell>
          <cell r="F29551">
            <v>0</v>
          </cell>
          <cell r="DN29551">
            <v>0</v>
          </cell>
        </row>
        <row r="29552">
          <cell r="E29552">
            <v>0</v>
          </cell>
          <cell r="F29552">
            <v>0</v>
          </cell>
          <cell r="DN29552">
            <v>0</v>
          </cell>
        </row>
        <row r="29553">
          <cell r="E29553">
            <v>0</v>
          </cell>
          <cell r="F29553">
            <v>0</v>
          </cell>
          <cell r="DN29553">
            <v>0</v>
          </cell>
        </row>
        <row r="29554">
          <cell r="E29554">
            <v>0</v>
          </cell>
          <cell r="F29554">
            <v>0</v>
          </cell>
          <cell r="DN29554">
            <v>0</v>
          </cell>
        </row>
        <row r="29555">
          <cell r="E29555">
            <v>0</v>
          </cell>
          <cell r="F29555">
            <v>0</v>
          </cell>
          <cell r="DN29555">
            <v>0</v>
          </cell>
        </row>
        <row r="29556">
          <cell r="E29556">
            <v>0</v>
          </cell>
          <cell r="F29556">
            <v>0</v>
          </cell>
          <cell r="DN29556">
            <v>0</v>
          </cell>
        </row>
        <row r="29557">
          <cell r="E29557">
            <v>0</v>
          </cell>
          <cell r="F29557">
            <v>0</v>
          </cell>
          <cell r="DN29557">
            <v>0</v>
          </cell>
        </row>
        <row r="29558">
          <cell r="E29558">
            <v>0</v>
          </cell>
          <cell r="F29558">
            <v>0</v>
          </cell>
          <cell r="DN29558">
            <v>0</v>
          </cell>
        </row>
        <row r="29559">
          <cell r="E29559">
            <v>0</v>
          </cell>
          <cell r="F29559">
            <v>0</v>
          </cell>
          <cell r="DN29559">
            <v>0</v>
          </cell>
        </row>
        <row r="29560">
          <cell r="E29560">
            <v>0</v>
          </cell>
          <cell r="F29560">
            <v>0</v>
          </cell>
          <cell r="DN29560">
            <v>0</v>
          </cell>
        </row>
        <row r="29561">
          <cell r="E29561">
            <v>0</v>
          </cell>
          <cell r="F29561">
            <v>0</v>
          </cell>
          <cell r="DN29561">
            <v>0</v>
          </cell>
        </row>
        <row r="29562">
          <cell r="E29562">
            <v>0</v>
          </cell>
          <cell r="F29562">
            <v>0</v>
          </cell>
          <cell r="DN29562">
            <v>0</v>
          </cell>
        </row>
        <row r="29563">
          <cell r="E29563">
            <v>0</v>
          </cell>
          <cell r="F29563">
            <v>0</v>
          </cell>
          <cell r="DN29563">
            <v>0</v>
          </cell>
        </row>
        <row r="29564">
          <cell r="E29564">
            <v>0</v>
          </cell>
          <cell r="F29564">
            <v>0</v>
          </cell>
          <cell r="DN29564">
            <v>0</v>
          </cell>
        </row>
        <row r="29565">
          <cell r="E29565">
            <v>0</v>
          </cell>
          <cell r="F29565">
            <v>0</v>
          </cell>
          <cell r="DN29565">
            <v>0</v>
          </cell>
        </row>
        <row r="29566">
          <cell r="E29566">
            <v>0</v>
          </cell>
          <cell r="F29566">
            <v>0</v>
          </cell>
          <cell r="DN29566">
            <v>0</v>
          </cell>
        </row>
        <row r="29567">
          <cell r="E29567">
            <v>0</v>
          </cell>
          <cell r="F29567">
            <v>0</v>
          </cell>
          <cell r="DN29567">
            <v>0</v>
          </cell>
        </row>
        <row r="29568">
          <cell r="E29568">
            <v>0</v>
          </cell>
          <cell r="F29568">
            <v>0</v>
          </cell>
          <cell r="DN29568">
            <v>0</v>
          </cell>
        </row>
        <row r="29569">
          <cell r="E29569">
            <v>0</v>
          </cell>
          <cell r="F29569">
            <v>0</v>
          </cell>
          <cell r="DN29569">
            <v>0</v>
          </cell>
        </row>
        <row r="29570">
          <cell r="E29570">
            <v>0</v>
          </cell>
          <cell r="F29570">
            <v>0</v>
          </cell>
          <cell r="DN29570">
            <v>0</v>
          </cell>
        </row>
        <row r="29571">
          <cell r="E29571">
            <v>0</v>
          </cell>
          <cell r="F29571">
            <v>0</v>
          </cell>
          <cell r="DN29571">
            <v>0</v>
          </cell>
        </row>
        <row r="29572">
          <cell r="E29572">
            <v>0</v>
          </cell>
          <cell r="F29572">
            <v>0</v>
          </cell>
          <cell r="DN29572">
            <v>0</v>
          </cell>
        </row>
        <row r="29573">
          <cell r="E29573">
            <v>0</v>
          </cell>
          <cell r="F29573">
            <v>0</v>
          </cell>
          <cell r="DN29573">
            <v>0</v>
          </cell>
        </row>
        <row r="29574">
          <cell r="E29574">
            <v>0</v>
          </cell>
          <cell r="F29574">
            <v>0</v>
          </cell>
          <cell r="DN29574">
            <v>0</v>
          </cell>
        </row>
        <row r="29575">
          <cell r="E29575">
            <v>0</v>
          </cell>
          <cell r="F29575">
            <v>0</v>
          </cell>
          <cell r="DN29575">
            <v>0</v>
          </cell>
        </row>
        <row r="29576">
          <cell r="E29576">
            <v>0</v>
          </cell>
          <cell r="F29576">
            <v>0</v>
          </cell>
          <cell r="DN29576">
            <v>0</v>
          </cell>
        </row>
        <row r="29577">
          <cell r="E29577">
            <v>0</v>
          </cell>
          <cell r="F29577">
            <v>0</v>
          </cell>
          <cell r="DN29577">
            <v>0</v>
          </cell>
        </row>
        <row r="29578">
          <cell r="E29578">
            <v>0</v>
          </cell>
          <cell r="F29578">
            <v>0</v>
          </cell>
          <cell r="DN29578">
            <v>0</v>
          </cell>
        </row>
        <row r="29579">
          <cell r="E29579">
            <v>0</v>
          </cell>
          <cell r="F29579">
            <v>0</v>
          </cell>
          <cell r="DN29579">
            <v>0</v>
          </cell>
        </row>
        <row r="29580">
          <cell r="E29580">
            <v>0</v>
          </cell>
          <cell r="F29580">
            <v>0</v>
          </cell>
          <cell r="DN29580">
            <v>0</v>
          </cell>
        </row>
        <row r="29581">
          <cell r="E29581">
            <v>0</v>
          </cell>
          <cell r="F29581">
            <v>0</v>
          </cell>
          <cell r="DN29581">
            <v>0</v>
          </cell>
        </row>
        <row r="29582">
          <cell r="E29582">
            <v>0</v>
          </cell>
          <cell r="F29582">
            <v>0</v>
          </cell>
          <cell r="DN29582">
            <v>0</v>
          </cell>
        </row>
        <row r="29583">
          <cell r="E29583">
            <v>0</v>
          </cell>
          <cell r="F29583">
            <v>0</v>
          </cell>
          <cell r="DN29583">
            <v>0</v>
          </cell>
        </row>
        <row r="29584">
          <cell r="E29584">
            <v>0</v>
          </cell>
          <cell r="F29584">
            <v>0</v>
          </cell>
          <cell r="DN29584">
            <v>0</v>
          </cell>
        </row>
        <row r="29585">
          <cell r="E29585">
            <v>0</v>
          </cell>
          <cell r="F29585">
            <v>0</v>
          </cell>
          <cell r="DN29585">
            <v>0</v>
          </cell>
        </row>
        <row r="29586">
          <cell r="E29586">
            <v>0</v>
          </cell>
          <cell r="F29586">
            <v>0</v>
          </cell>
          <cell r="DN29586">
            <v>0</v>
          </cell>
        </row>
        <row r="29587">
          <cell r="E29587">
            <v>0</v>
          </cell>
          <cell r="F29587">
            <v>0</v>
          </cell>
          <cell r="DN29587">
            <v>0</v>
          </cell>
        </row>
        <row r="29588">
          <cell r="E29588">
            <v>0</v>
          </cell>
          <cell r="F29588">
            <v>0</v>
          </cell>
          <cell r="DN29588">
            <v>0</v>
          </cell>
        </row>
        <row r="29589">
          <cell r="E29589">
            <v>0</v>
          </cell>
          <cell r="F29589">
            <v>0</v>
          </cell>
          <cell r="DN29589">
            <v>0</v>
          </cell>
        </row>
        <row r="29590">
          <cell r="E29590">
            <v>0</v>
          </cell>
          <cell r="F29590">
            <v>0</v>
          </cell>
          <cell r="DN29590">
            <v>0</v>
          </cell>
        </row>
        <row r="29591">
          <cell r="E29591">
            <v>0</v>
          </cell>
          <cell r="F29591">
            <v>0</v>
          </cell>
          <cell r="DN29591">
            <v>0</v>
          </cell>
        </row>
        <row r="29592">
          <cell r="E29592">
            <v>0</v>
          </cell>
          <cell r="F29592">
            <v>0</v>
          </cell>
          <cell r="DN29592">
            <v>0</v>
          </cell>
        </row>
        <row r="29593">
          <cell r="E29593">
            <v>0</v>
          </cell>
          <cell r="F29593">
            <v>0</v>
          </cell>
          <cell r="DN29593">
            <v>0</v>
          </cell>
        </row>
        <row r="29594">
          <cell r="E29594">
            <v>0</v>
          </cell>
          <cell r="F29594">
            <v>0</v>
          </cell>
          <cell r="DN29594">
            <v>0</v>
          </cell>
        </row>
        <row r="29595">
          <cell r="E29595">
            <v>0</v>
          </cell>
          <cell r="F29595">
            <v>0</v>
          </cell>
          <cell r="DN29595">
            <v>0</v>
          </cell>
        </row>
        <row r="29596">
          <cell r="E29596">
            <v>0</v>
          </cell>
          <cell r="F29596">
            <v>0</v>
          </cell>
          <cell r="DN29596">
            <v>0</v>
          </cell>
        </row>
        <row r="29597">
          <cell r="E29597">
            <v>0</v>
          </cell>
          <cell r="F29597">
            <v>0</v>
          </cell>
          <cell r="DN29597">
            <v>0</v>
          </cell>
        </row>
        <row r="29598">
          <cell r="E29598">
            <v>0</v>
          </cell>
          <cell r="F29598">
            <v>0</v>
          </cell>
          <cell r="DN29598">
            <v>0</v>
          </cell>
        </row>
        <row r="29599">
          <cell r="E29599">
            <v>0</v>
          </cell>
          <cell r="F29599">
            <v>0</v>
          </cell>
          <cell r="DN29599">
            <v>0</v>
          </cell>
        </row>
        <row r="29600">
          <cell r="E29600">
            <v>0</v>
          </cell>
          <cell r="F29600">
            <v>0</v>
          </cell>
          <cell r="DN29600">
            <v>0</v>
          </cell>
        </row>
        <row r="29601">
          <cell r="E29601">
            <v>0</v>
          </cell>
          <cell r="F29601">
            <v>0</v>
          </cell>
          <cell r="DN29601">
            <v>0</v>
          </cell>
        </row>
        <row r="29602">
          <cell r="E29602">
            <v>0</v>
          </cell>
          <cell r="F29602">
            <v>0</v>
          </cell>
          <cell r="DN29602">
            <v>0</v>
          </cell>
        </row>
        <row r="29603">
          <cell r="E29603">
            <v>0</v>
          </cell>
          <cell r="F29603">
            <v>0</v>
          </cell>
          <cell r="DN29603">
            <v>0</v>
          </cell>
        </row>
        <row r="29604">
          <cell r="E29604">
            <v>0</v>
          </cell>
          <cell r="F29604">
            <v>0</v>
          </cell>
          <cell r="DN29604">
            <v>0</v>
          </cell>
        </row>
        <row r="29605">
          <cell r="E29605">
            <v>0</v>
          </cell>
          <cell r="F29605">
            <v>0</v>
          </cell>
          <cell r="DN29605">
            <v>0</v>
          </cell>
        </row>
        <row r="29606">
          <cell r="E29606">
            <v>0</v>
          </cell>
          <cell r="F29606">
            <v>0</v>
          </cell>
          <cell r="DN29606">
            <v>0</v>
          </cell>
        </row>
        <row r="29607">
          <cell r="E29607">
            <v>0</v>
          </cell>
          <cell r="F29607">
            <v>0</v>
          </cell>
          <cell r="DN29607">
            <v>0</v>
          </cell>
        </row>
        <row r="29608">
          <cell r="E29608">
            <v>0</v>
          </cell>
          <cell r="F29608">
            <v>0</v>
          </cell>
          <cell r="DN29608">
            <v>0</v>
          </cell>
        </row>
        <row r="29609">
          <cell r="E29609">
            <v>0</v>
          </cell>
          <cell r="F29609">
            <v>0</v>
          </cell>
          <cell r="DN29609">
            <v>0</v>
          </cell>
        </row>
        <row r="29610">
          <cell r="E29610">
            <v>0</v>
          </cell>
          <cell r="F29610">
            <v>0</v>
          </cell>
          <cell r="DN29610">
            <v>0</v>
          </cell>
        </row>
        <row r="29611">
          <cell r="E29611">
            <v>0</v>
          </cell>
          <cell r="F29611">
            <v>0</v>
          </cell>
          <cell r="DN29611">
            <v>0</v>
          </cell>
        </row>
        <row r="29612">
          <cell r="E29612">
            <v>0</v>
          </cell>
          <cell r="F29612">
            <v>0</v>
          </cell>
          <cell r="DN29612">
            <v>0</v>
          </cell>
        </row>
        <row r="29613">
          <cell r="E29613">
            <v>0</v>
          </cell>
          <cell r="F29613">
            <v>0</v>
          </cell>
          <cell r="DN29613">
            <v>0</v>
          </cell>
        </row>
        <row r="29614">
          <cell r="E29614">
            <v>0</v>
          </cell>
          <cell r="F29614">
            <v>0</v>
          </cell>
          <cell r="DN29614">
            <v>0</v>
          </cell>
        </row>
        <row r="29615">
          <cell r="E29615">
            <v>0</v>
          </cell>
          <cell r="F29615">
            <v>0</v>
          </cell>
          <cell r="DN29615">
            <v>0</v>
          </cell>
        </row>
        <row r="29616">
          <cell r="E29616">
            <v>0</v>
          </cell>
          <cell r="F29616">
            <v>0</v>
          </cell>
          <cell r="DN29616">
            <v>0</v>
          </cell>
        </row>
        <row r="29617">
          <cell r="E29617">
            <v>0</v>
          </cell>
          <cell r="F29617">
            <v>0</v>
          </cell>
          <cell r="DN29617">
            <v>0</v>
          </cell>
        </row>
        <row r="29618">
          <cell r="E29618">
            <v>0</v>
          </cell>
          <cell r="F29618">
            <v>0</v>
          </cell>
          <cell r="DN29618">
            <v>0</v>
          </cell>
        </row>
        <row r="29619">
          <cell r="E29619">
            <v>0</v>
          </cell>
          <cell r="F29619">
            <v>0</v>
          </cell>
          <cell r="DN29619">
            <v>0</v>
          </cell>
        </row>
        <row r="29620">
          <cell r="E29620">
            <v>0</v>
          </cell>
          <cell r="F29620">
            <v>0</v>
          </cell>
          <cell r="DN29620">
            <v>0</v>
          </cell>
        </row>
        <row r="29621">
          <cell r="E29621">
            <v>0</v>
          </cell>
          <cell r="F29621">
            <v>0</v>
          </cell>
          <cell r="DN29621">
            <v>0</v>
          </cell>
        </row>
      </sheetData>
      <sheetData sheetId="1"/>
      <sheetData sheetId="2">
        <row r="1">
          <cell r="C1" t="str">
            <v>PR-GTM</v>
          </cell>
          <cell r="D1" t="str">
            <v>7</v>
          </cell>
          <cell r="E1" t="str">
            <v>0</v>
          </cell>
        </row>
      </sheetData>
      <sheetData sheetId="3"/>
      <sheetData sheetId="4"/>
      <sheetData sheetId="5">
        <row r="1">
          <cell r="A1" t="str">
            <v>Danton</v>
          </cell>
          <cell r="C1" t="e">
            <v>#VALUE!</v>
          </cell>
        </row>
        <row r="2">
          <cell r="A2" t="str">
            <v>Fernando Araujo</v>
          </cell>
          <cell r="C2" t="e">
            <v>#VALUE!</v>
          </cell>
        </row>
        <row r="3">
          <cell r="A3" t="str">
            <v>Ciro</v>
          </cell>
          <cell r="C3" t="e">
            <v>#VALUE!</v>
          </cell>
        </row>
        <row r="4">
          <cell r="A4" t="str">
            <v>Raul</v>
          </cell>
          <cell r="C4" t="e">
            <v>#VALUE!</v>
          </cell>
        </row>
        <row r="5">
          <cell r="A5" t="str">
            <v>Raul2</v>
          </cell>
          <cell r="C5" t="e">
            <v>#VALUE!</v>
          </cell>
        </row>
        <row r="6">
          <cell r="A6" t="str">
            <v>Sem acesso</v>
          </cell>
          <cell r="C6" t="e">
            <v>#VALUE!</v>
          </cell>
        </row>
        <row r="7">
          <cell r="A7" t="str">
            <v>Euler</v>
          </cell>
          <cell r="C7" t="e">
            <v>#VALUE!</v>
          </cell>
        </row>
        <row r="8">
          <cell r="A8" t="str">
            <v>Maia</v>
          </cell>
          <cell r="C8" t="e">
            <v>#VALUE!</v>
          </cell>
        </row>
        <row r="9">
          <cell r="A9" t="str">
            <v>Jeferson</v>
          </cell>
          <cell r="C9" t="e">
            <v>#VALUE!</v>
          </cell>
        </row>
        <row r="10">
          <cell r="A10" t="str">
            <v>Fernando Meirelles</v>
          </cell>
          <cell r="C10" t="e">
            <v>#VALUE!</v>
          </cell>
        </row>
        <row r="11">
          <cell r="A11" t="str">
            <v>Raul3</v>
          </cell>
          <cell r="C11" t="e">
            <v>#VALUE!</v>
          </cell>
        </row>
        <row r="12">
          <cell r="A12">
            <v>0</v>
          </cell>
        </row>
        <row r="14">
          <cell r="C14" t="e">
            <v>#VALUE!</v>
          </cell>
        </row>
      </sheetData>
      <sheetData sheetId="6"/>
      <sheetData sheetId="7"/>
      <sheetData sheetId="8">
        <row r="1">
          <cell r="B1" t="str">
            <v>VRG REG.</v>
          </cell>
          <cell r="C1" t="str">
            <v>W LET</v>
          </cell>
          <cell r="D1" t="str">
            <v>IPC GOT</v>
          </cell>
          <cell r="E1" t="str">
            <v>VRBL NBR</v>
          </cell>
          <cell r="F1" t="str">
            <v>LINE NBR</v>
          </cell>
          <cell r="G1" t="str">
            <v>MODEL</v>
          </cell>
          <cell r="H1" t="str">
            <v>S/N</v>
          </cell>
          <cell r="I1" t="str">
            <v>RECEIVED DATE</v>
          </cell>
          <cell r="J1" t="str">
            <v>ORIGINAL APU</v>
          </cell>
          <cell r="K1" t="str">
            <v>ORIGINAL ENG
P/N</v>
          </cell>
          <cell r="L1" t="str">
            <v>ORIGINAL ENG
S/N</v>
          </cell>
          <cell r="M1" t="str">
            <v>LEASING EXPIRES</v>
          </cell>
          <cell r="N1" t="str">
            <v>FFA ACCEP. DATE</v>
          </cell>
          <cell r="O1" t="str">
            <v>LESSOR</v>
          </cell>
          <cell r="P1" t="str">
            <v>ARMNOSE</v>
          </cell>
          <cell r="Q1" t="str">
            <v>SELCAL CODE</v>
          </cell>
        </row>
        <row r="2">
          <cell r="B2" t="str">
            <v>PR-GEA</v>
          </cell>
          <cell r="C2" t="str">
            <v>Y</v>
          </cell>
          <cell r="D2" t="str">
            <v>101</v>
          </cell>
          <cell r="E2" t="str">
            <v>YN261</v>
          </cell>
          <cell r="F2">
            <v>3026</v>
          </cell>
          <cell r="G2" t="str">
            <v>7EH</v>
          </cell>
          <cell r="H2">
            <v>37595</v>
          </cell>
          <cell r="I2" t="str">
            <v>17/09/2009</v>
          </cell>
          <cell r="J2" t="str">
            <v>P-8316</v>
          </cell>
          <cell r="K2" t="str">
            <v>-7B22-3</v>
          </cell>
          <cell r="L2">
            <v>802533</v>
          </cell>
          <cell r="M2" t="str">
            <v/>
          </cell>
          <cell r="N2" t="str">
            <v>17/09/2009</v>
          </cell>
          <cell r="O2" t="str">
            <v>EXIM</v>
          </cell>
          <cell r="P2">
            <v>211</v>
          </cell>
          <cell r="Q2" t="str">
            <v>DH-AB</v>
          </cell>
        </row>
        <row r="3">
          <cell r="B3" t="str">
            <v>PR-GEC</v>
          </cell>
          <cell r="C3" t="str">
            <v>Y</v>
          </cell>
          <cell r="D3" t="str">
            <v>102</v>
          </cell>
          <cell r="E3" t="str">
            <v>YN701</v>
          </cell>
          <cell r="F3">
            <v>3678</v>
          </cell>
          <cell r="G3" t="str">
            <v>7EH</v>
          </cell>
          <cell r="H3">
            <v>37608</v>
          </cell>
          <cell r="I3" t="str">
            <v>23/06/2011</v>
          </cell>
          <cell r="J3" t="str">
            <v>P-8981</v>
          </cell>
          <cell r="K3" t="str">
            <v>-7B22-3</v>
          </cell>
          <cell r="L3">
            <v>805978</v>
          </cell>
          <cell r="M3" t="str">
            <v/>
          </cell>
          <cell r="N3" t="str">
            <v>23/06/2011</v>
          </cell>
          <cell r="O3" t="str">
            <v>EXIM</v>
          </cell>
          <cell r="P3">
            <v>211</v>
          </cell>
          <cell r="Q3" t="str">
            <v>DP-MR</v>
          </cell>
        </row>
        <row r="4">
          <cell r="B4" t="str">
            <v>PR-GED</v>
          </cell>
          <cell r="C4" t="str">
            <v>Y</v>
          </cell>
          <cell r="D4" t="str">
            <v>103</v>
          </cell>
          <cell r="E4" t="str">
            <v>YN702</v>
          </cell>
          <cell r="F4">
            <v>3799</v>
          </cell>
          <cell r="G4" t="str">
            <v>7EH</v>
          </cell>
          <cell r="H4">
            <v>37609</v>
          </cell>
          <cell r="I4" t="str">
            <v>11/10/2011</v>
          </cell>
          <cell r="J4" t="str">
            <v>P-9114</v>
          </cell>
          <cell r="K4" t="str">
            <v>-7B22E</v>
          </cell>
          <cell r="L4">
            <v>960333</v>
          </cell>
          <cell r="M4" t="str">
            <v/>
          </cell>
          <cell r="N4" t="str">
            <v>11/10/2011</v>
          </cell>
          <cell r="O4" t="str">
            <v>EXIM</v>
          </cell>
          <cell r="P4">
            <v>211</v>
          </cell>
          <cell r="Q4" t="str">
            <v>JR-AQ</v>
          </cell>
        </row>
        <row r="5">
          <cell r="B5" t="str">
            <v>PR-GEE</v>
          </cell>
          <cell r="C5" t="str">
            <v>Y</v>
          </cell>
          <cell r="D5" t="str">
            <v>250</v>
          </cell>
          <cell r="E5" t="str">
            <v>YB119</v>
          </cell>
          <cell r="F5">
            <v>1260</v>
          </cell>
          <cell r="G5" t="str">
            <v>73V</v>
          </cell>
          <cell r="H5">
            <v>32415</v>
          </cell>
          <cell r="I5" t="str">
            <v>08/06/2012</v>
          </cell>
          <cell r="J5" t="str">
            <v>P-6271</v>
          </cell>
          <cell r="K5" t="str">
            <v>-7B22</v>
          </cell>
          <cell r="L5">
            <v>890311</v>
          </cell>
          <cell r="M5" t="str">
            <v/>
          </cell>
          <cell r="N5" t="str">
            <v>19/12/2002</v>
          </cell>
          <cell r="O5" t="str">
            <v/>
          </cell>
          <cell r="P5">
            <v>211</v>
          </cell>
          <cell r="Q5" t="str">
            <v>KP-DH</v>
          </cell>
        </row>
        <row r="6">
          <cell r="B6" t="str">
            <v>PR-GEH</v>
          </cell>
          <cell r="C6" t="str">
            <v>Y</v>
          </cell>
          <cell r="D6" t="str">
            <v>248</v>
          </cell>
          <cell r="E6" t="str">
            <v>YN111</v>
          </cell>
          <cell r="F6">
            <v>2241</v>
          </cell>
          <cell r="G6" t="str">
            <v>76N</v>
          </cell>
          <cell r="H6">
            <v>34757</v>
          </cell>
          <cell r="I6" t="str">
            <v>07/07/2015</v>
          </cell>
          <cell r="J6" t="str">
            <v>P-7471</v>
          </cell>
          <cell r="K6" t="str">
            <v>-7B22</v>
          </cell>
          <cell r="L6">
            <v>894583</v>
          </cell>
          <cell r="M6" t="str">
            <v/>
          </cell>
          <cell r="N6" t="str">
            <v>12/04/2007</v>
          </cell>
          <cell r="O6" t="str">
            <v/>
          </cell>
          <cell r="P6">
            <v>211</v>
          </cell>
          <cell r="Q6" t="str">
            <v>BC-RS</v>
          </cell>
        </row>
        <row r="7">
          <cell r="B7" t="str">
            <v>PR-GEI</v>
          </cell>
          <cell r="C7" t="str">
            <v>Y</v>
          </cell>
          <cell r="D7" t="str">
            <v>249</v>
          </cell>
          <cell r="E7" t="str">
            <v>YN112</v>
          </cell>
          <cell r="F7">
            <v>2266</v>
          </cell>
          <cell r="G7" t="str">
            <v>76N</v>
          </cell>
          <cell r="H7">
            <v>34758</v>
          </cell>
          <cell r="I7" t="str">
            <v>23/07/2015</v>
          </cell>
          <cell r="J7" t="str">
            <v>P-7505</v>
          </cell>
          <cell r="K7" t="str">
            <v>-7B22-3</v>
          </cell>
          <cell r="L7">
            <v>894633</v>
          </cell>
          <cell r="M7" t="str">
            <v/>
          </cell>
          <cell r="N7" t="str">
            <v>17/05/2007</v>
          </cell>
          <cell r="O7" t="str">
            <v/>
          </cell>
          <cell r="P7">
            <v>211</v>
          </cell>
          <cell r="Q7" t="str">
            <v>AQ-CH</v>
          </cell>
        </row>
        <row r="8">
          <cell r="B8" t="str">
            <v>PR-GEJ</v>
          </cell>
          <cell r="C8" t="str">
            <v>Y</v>
          </cell>
          <cell r="D8" t="str">
            <v>247</v>
          </cell>
          <cell r="E8" t="str">
            <v>YN107</v>
          </cell>
          <cell r="F8">
            <v>2165</v>
          </cell>
          <cell r="G8" t="str">
            <v>76N</v>
          </cell>
          <cell r="H8">
            <v>34753</v>
          </cell>
          <cell r="I8" t="str">
            <v>04/04/2016</v>
          </cell>
          <cell r="J8" t="str">
            <v>P-7385</v>
          </cell>
          <cell r="K8" t="str">
            <v>-7B22</v>
          </cell>
          <cell r="L8">
            <v>894425</v>
          </cell>
          <cell r="M8" t="str">
            <v/>
          </cell>
          <cell r="N8" t="str">
            <v>26/01/2007</v>
          </cell>
          <cell r="O8" t="str">
            <v/>
          </cell>
          <cell r="P8">
            <v>211</v>
          </cell>
          <cell r="Q8" t="str">
            <v>GH-FR</v>
          </cell>
        </row>
        <row r="9">
          <cell r="B9" t="str">
            <v>PR-GEK</v>
          </cell>
          <cell r="C9" t="str">
            <v>Y</v>
          </cell>
          <cell r="D9" t="str">
            <v>304</v>
          </cell>
          <cell r="E9" t="str">
            <v>YN109</v>
          </cell>
          <cell r="F9">
            <v>2187</v>
          </cell>
          <cell r="G9" t="str">
            <v>76N</v>
          </cell>
          <cell r="H9">
            <v>34755</v>
          </cell>
          <cell r="I9" t="str">
            <v>09/01/2016</v>
          </cell>
          <cell r="J9" t="str">
            <v>P-7419</v>
          </cell>
          <cell r="K9" t="str">
            <v>-7B22</v>
          </cell>
          <cell r="L9">
            <v>894484</v>
          </cell>
          <cell r="M9" t="str">
            <v/>
          </cell>
          <cell r="N9" t="str">
            <v>21/02/2007</v>
          </cell>
          <cell r="O9" t="str">
            <v/>
          </cell>
          <cell r="P9">
            <v>211</v>
          </cell>
          <cell r="Q9" t="str">
            <v>AB-DS</v>
          </cell>
        </row>
        <row r="10">
          <cell r="B10" t="str">
            <v>PR-GEQ</v>
          </cell>
          <cell r="C10" t="str">
            <v>Y</v>
          </cell>
          <cell r="D10" t="str">
            <v/>
          </cell>
          <cell r="E10" t="str">
            <v>YM648</v>
          </cell>
          <cell r="F10">
            <v>2585</v>
          </cell>
          <cell r="G10" t="str">
            <v/>
          </cell>
          <cell r="H10">
            <v>35282</v>
          </cell>
          <cell r="I10" t="str">
            <v>28/10/2019</v>
          </cell>
          <cell r="J10" t="str">
            <v>P-7848</v>
          </cell>
          <cell r="K10" t="str">
            <v>-7B22-3</v>
          </cell>
          <cell r="L10">
            <v>896435</v>
          </cell>
          <cell r="M10" t="str">
            <v/>
          </cell>
          <cell r="N10" t="str">
            <v>22/04/2008</v>
          </cell>
          <cell r="O10" t="str">
            <v>AERCAP</v>
          </cell>
          <cell r="P10">
            <v>211</v>
          </cell>
          <cell r="Q10" t="str">
            <v>JL-CD</v>
          </cell>
        </row>
        <row r="11">
          <cell r="B11" t="str">
            <v>PR-GEU</v>
          </cell>
          <cell r="C11" t="str">
            <v>Y</v>
          </cell>
          <cell r="D11" t="str">
            <v/>
          </cell>
          <cell r="E11" t="str">
            <v>YM502</v>
          </cell>
          <cell r="F11">
            <v>1765</v>
          </cell>
          <cell r="G11" t="str">
            <v/>
          </cell>
          <cell r="H11">
            <v>34295</v>
          </cell>
          <cell r="I11" t="str">
            <v>11/08/2005</v>
          </cell>
          <cell r="J11" t="str">
            <v>P-6929</v>
          </cell>
          <cell r="K11" t="str">
            <v>-7B22</v>
          </cell>
          <cell r="L11">
            <v>892496</v>
          </cell>
          <cell r="M11" t="str">
            <v/>
          </cell>
          <cell r="N11" t="str">
            <v>11/08/2005</v>
          </cell>
          <cell r="O11" t="str">
            <v>BBAM</v>
          </cell>
          <cell r="P11">
            <v>211</v>
          </cell>
          <cell r="Q11" t="str">
            <v>FJ-BD</v>
          </cell>
        </row>
        <row r="12">
          <cell r="B12" t="str">
            <v>PR-GIH</v>
          </cell>
          <cell r="C12" t="str">
            <v>Y</v>
          </cell>
          <cell r="D12" t="str">
            <v>239</v>
          </cell>
          <cell r="E12" t="str">
            <v>YA631</v>
          </cell>
          <cell r="F12">
            <v>1503</v>
          </cell>
          <cell r="G12" t="str">
            <v>76N</v>
          </cell>
          <cell r="H12">
            <v>32743</v>
          </cell>
          <cell r="I12" t="str">
            <v>29/11/2005</v>
          </cell>
          <cell r="J12" t="str">
            <v>P-5491</v>
          </cell>
          <cell r="K12" t="str">
            <v>-7B24</v>
          </cell>
          <cell r="L12">
            <v>890832</v>
          </cell>
          <cell r="M12" t="str">
            <v/>
          </cell>
          <cell r="N12" t="str">
            <v>18/05/2004</v>
          </cell>
          <cell r="O12" t="str">
            <v>GECAS</v>
          </cell>
          <cell r="P12">
            <v>211</v>
          </cell>
          <cell r="Q12" t="str">
            <v>JK-CD</v>
          </cell>
        </row>
        <row r="13">
          <cell r="B13" t="str">
            <v>PR-GOQ</v>
          </cell>
          <cell r="C13" t="str">
            <v>N</v>
          </cell>
          <cell r="D13" t="str">
            <v>234</v>
          </cell>
          <cell r="E13" t="str">
            <v>YA648</v>
          </cell>
          <cell r="F13">
            <v>1215</v>
          </cell>
          <cell r="G13" t="str">
            <v>76N</v>
          </cell>
          <cell r="H13">
            <v>33417</v>
          </cell>
          <cell r="I13" t="str">
            <v>24/10/2002</v>
          </cell>
          <cell r="J13" t="str">
            <v>P-6369</v>
          </cell>
          <cell r="K13" t="str">
            <v>-7B22</v>
          </cell>
          <cell r="L13">
            <v>890222</v>
          </cell>
          <cell r="M13" t="str">
            <v/>
          </cell>
          <cell r="N13" t="str">
            <v>24/10/2002</v>
          </cell>
          <cell r="O13" t="str">
            <v>GECAS</v>
          </cell>
          <cell r="P13">
            <v>211</v>
          </cell>
          <cell r="Q13" t="str">
            <v>LQ-GK</v>
          </cell>
        </row>
        <row r="14">
          <cell r="B14" t="str">
            <v>PR-GOR</v>
          </cell>
          <cell r="C14" t="str">
            <v>N</v>
          </cell>
          <cell r="D14" t="str">
            <v>235</v>
          </cell>
          <cell r="E14" t="str">
            <v>YA650</v>
          </cell>
          <cell r="F14">
            <v>1231</v>
          </cell>
          <cell r="G14" t="str">
            <v>76N</v>
          </cell>
          <cell r="H14">
            <v>33380</v>
          </cell>
          <cell r="I14" t="str">
            <v>21/11/2002</v>
          </cell>
          <cell r="J14" t="str">
            <v>P-5988</v>
          </cell>
          <cell r="K14" t="str">
            <v>-7B22</v>
          </cell>
          <cell r="L14">
            <v>890253</v>
          </cell>
          <cell r="M14" t="str">
            <v/>
          </cell>
          <cell r="N14" t="str">
            <v>21/11/2002</v>
          </cell>
          <cell r="O14" t="str">
            <v>GECAS</v>
          </cell>
          <cell r="P14">
            <v>211</v>
          </cell>
          <cell r="Q14" t="str">
            <v>LQ-JP</v>
          </cell>
        </row>
        <row r="15">
          <cell r="B15" t="str">
            <v>PR-N351AE</v>
          </cell>
          <cell r="C15" t="str">
            <v>N</v>
          </cell>
          <cell r="D15" t="str">
            <v>222</v>
          </cell>
          <cell r="E15" t="str">
            <v>YA611</v>
          </cell>
          <cell r="F15">
            <v>436</v>
          </cell>
          <cell r="G15" t="str">
            <v>76N</v>
          </cell>
          <cell r="H15">
            <v>30051</v>
          </cell>
          <cell r="I15" t="str">
            <v>08/02/2002</v>
          </cell>
          <cell r="J15" t="str">
            <v>P-5488</v>
          </cell>
          <cell r="K15" t="str">
            <v>-7B22</v>
          </cell>
          <cell r="L15">
            <v>876154</v>
          </cell>
          <cell r="M15" t="str">
            <v/>
          </cell>
          <cell r="N15" t="str">
            <v>14/12/1999</v>
          </cell>
          <cell r="O15" t="str">
            <v>GECAS</v>
          </cell>
          <cell r="P15">
            <v>211</v>
          </cell>
          <cell r="Q15" t="str">
            <v>LS-KP</v>
          </cell>
        </row>
        <row r="16">
          <cell r="B16" t="str">
            <v>PR-VBQ</v>
          </cell>
          <cell r="C16" t="str">
            <v>N</v>
          </cell>
          <cell r="D16" t="str">
            <v>236</v>
          </cell>
          <cell r="E16" t="str">
            <v>YA657</v>
          </cell>
          <cell r="F16">
            <v>1068</v>
          </cell>
          <cell r="G16" t="str">
            <v>76N</v>
          </cell>
          <cell r="H16">
            <v>30135</v>
          </cell>
          <cell r="I16" t="str">
            <v>28/03/2002</v>
          </cell>
          <cell r="J16" t="str">
            <v>P-6187</v>
          </cell>
          <cell r="K16" t="str">
            <v>-7B22</v>
          </cell>
          <cell r="L16">
            <v>888821</v>
          </cell>
          <cell r="M16" t="str">
            <v/>
          </cell>
          <cell r="N16" t="str">
            <v>23/02/2002</v>
          </cell>
          <cell r="O16" t="str">
            <v>GECAS</v>
          </cell>
          <cell r="P16">
            <v>211</v>
          </cell>
          <cell r="Q16" t="str">
            <v>LS-KQ</v>
          </cell>
        </row>
        <row r="17">
          <cell r="B17" t="str">
            <v>PR-VBW</v>
          </cell>
          <cell r="C17" t="str">
            <v>N</v>
          </cell>
          <cell r="D17" t="str">
            <v>244</v>
          </cell>
          <cell r="E17" t="str">
            <v>YA684</v>
          </cell>
          <cell r="F17" t="str">
            <v>0758</v>
          </cell>
          <cell r="G17" t="str">
            <v>7BX</v>
          </cell>
          <cell r="H17">
            <v>30739</v>
          </cell>
          <cell r="I17" t="str">
            <v>06/02/2009</v>
          </cell>
          <cell r="J17" t="str">
            <v/>
          </cell>
          <cell r="K17" t="str">
            <v>-7B24</v>
          </cell>
          <cell r="L17">
            <v>888168</v>
          </cell>
          <cell r="M17" t="str">
            <v/>
          </cell>
          <cell r="N17" t="str">
            <v>30/01/2001</v>
          </cell>
          <cell r="O17" t="str">
            <v>GECAS</v>
          </cell>
          <cell r="P17">
            <v>211</v>
          </cell>
          <cell r="Q17" t="str">
            <v>FG-DP</v>
          </cell>
        </row>
        <row r="18">
          <cell r="B18" t="str">
            <v>PR-VBX</v>
          </cell>
          <cell r="C18" t="str">
            <v>N</v>
          </cell>
          <cell r="D18" t="str">
            <v>243</v>
          </cell>
          <cell r="E18" t="str">
            <v>YA683</v>
          </cell>
          <cell r="F18">
            <v>716</v>
          </cell>
          <cell r="G18" t="str">
            <v>7BX</v>
          </cell>
          <cell r="H18">
            <v>30738</v>
          </cell>
          <cell r="I18" t="str">
            <v>16/04/2009</v>
          </cell>
          <cell r="J18" t="str">
            <v>P-5810</v>
          </cell>
          <cell r="K18" t="str">
            <v>-7B24</v>
          </cell>
          <cell r="L18">
            <v>876687</v>
          </cell>
          <cell r="M18" t="str">
            <v/>
          </cell>
          <cell r="N18" t="str">
            <v>29/11/2000</v>
          </cell>
          <cell r="O18" t="str">
            <v>GECAS</v>
          </cell>
          <cell r="P18">
            <v>211</v>
          </cell>
          <cell r="Q18" t="str">
            <v>FL-BM</v>
          </cell>
        </row>
        <row r="19">
          <cell r="B19" t="str">
            <v>PR-GZS</v>
          </cell>
          <cell r="C19" t="str">
            <v>Y</v>
          </cell>
          <cell r="D19" t="str">
            <v/>
          </cell>
          <cell r="E19" t="str">
            <v>YF631</v>
          </cell>
          <cell r="F19">
            <v>3821</v>
          </cell>
          <cell r="H19">
            <v>34997</v>
          </cell>
          <cell r="I19" t="str">
            <v>02/12/2019</v>
          </cell>
          <cell r="J19" t="str">
            <v>P-9288</v>
          </cell>
          <cell r="K19" t="str">
            <v>-7B22E</v>
          </cell>
          <cell r="L19">
            <v>960405</v>
          </cell>
          <cell r="M19" t="str">
            <v/>
          </cell>
          <cell r="N19" t="str">
            <v>06/12/2011</v>
          </cell>
          <cell r="O19" t="str">
            <v>BBAM</v>
          </cell>
          <cell r="P19">
            <v>93</v>
          </cell>
          <cell r="Q19" t="str">
            <v>AM-QR</v>
          </cell>
        </row>
        <row r="20">
          <cell r="B20" t="str">
            <v>PR-GZU</v>
          </cell>
          <cell r="C20" t="str">
            <v>Y</v>
          </cell>
          <cell r="D20" t="str">
            <v/>
          </cell>
          <cell r="E20" t="str">
            <v>YF632</v>
          </cell>
          <cell r="F20">
            <v>3822</v>
          </cell>
          <cell r="G20" t="str">
            <v>8AS</v>
          </cell>
          <cell r="H20">
            <v>34998</v>
          </cell>
          <cell r="I20" t="str">
            <v>29/11/2011</v>
          </cell>
          <cell r="J20" t="str">
            <v>P-8710</v>
          </cell>
          <cell r="K20" t="str">
            <v>-7B22</v>
          </cell>
          <cell r="L20">
            <v>960410</v>
          </cell>
          <cell r="M20" t="str">
            <v/>
          </cell>
          <cell r="N20" t="str">
            <v>06/12/2011</v>
          </cell>
          <cell r="O20" t="str">
            <v>BBAM</v>
          </cell>
          <cell r="P20">
            <v>93</v>
          </cell>
          <cell r="Q20" t="str">
            <v>AJ-HS</v>
          </cell>
        </row>
        <row r="21">
          <cell r="B21" t="str">
            <v>PR-GZW</v>
          </cell>
          <cell r="C21" t="str">
            <v>N</v>
          </cell>
          <cell r="D21" t="str">
            <v/>
          </cell>
          <cell r="E21" t="str">
            <v>YK653</v>
          </cell>
          <cell r="F21">
            <v>2117</v>
          </cell>
          <cell r="G21" t="str">
            <v/>
          </cell>
          <cell r="H21">
            <v>32682</v>
          </cell>
          <cell r="I21" t="str">
            <v>29/11/2019</v>
          </cell>
          <cell r="J21" t="str">
            <v>P-7322</v>
          </cell>
          <cell r="K21" t="str">
            <v>-7B24</v>
          </cell>
          <cell r="L21">
            <v>894326</v>
          </cell>
          <cell r="M21" t="str">
            <v/>
          </cell>
          <cell r="N21" t="str">
            <v>30/11/2006</v>
          </cell>
          <cell r="O21" t="str">
            <v>NAS INVESTMENTS 75, INC.</v>
          </cell>
          <cell r="P21">
            <v>93</v>
          </cell>
          <cell r="Q21" t="str">
            <v>CR-FH</v>
          </cell>
        </row>
        <row r="22">
          <cell r="B22" t="str">
            <v>PR-N3062A</v>
          </cell>
          <cell r="C22" t="str">
            <v>Y</v>
          </cell>
          <cell r="D22" t="str">
            <v>416</v>
          </cell>
          <cell r="E22" t="str">
            <v>YD256</v>
          </cell>
          <cell r="F22">
            <v>1194</v>
          </cell>
          <cell r="G22" t="str">
            <v>8BK</v>
          </cell>
          <cell r="H22">
            <v>30621</v>
          </cell>
          <cell r="I22" t="str">
            <v>26/09/2002</v>
          </cell>
          <cell r="J22" t="str">
            <v>P-6294</v>
          </cell>
          <cell r="K22" t="str">
            <v>-7B22</v>
          </cell>
          <cell r="L22">
            <v>890179</v>
          </cell>
          <cell r="M22" t="str">
            <v/>
          </cell>
          <cell r="N22" t="str">
            <v>26/09/2002</v>
          </cell>
          <cell r="O22" t="str">
            <v>CIT</v>
          </cell>
          <cell r="P22">
            <v>93</v>
          </cell>
          <cell r="Q22" t="str">
            <v>LQ-AJ</v>
          </cell>
        </row>
        <row r="23">
          <cell r="B23" t="str">
            <v>PR-GGE</v>
          </cell>
          <cell r="C23" t="str">
            <v>Y</v>
          </cell>
          <cell r="D23" t="str">
            <v>330</v>
          </cell>
          <cell r="E23" t="str">
            <v>YK759</v>
          </cell>
          <cell r="F23">
            <v>2665</v>
          </cell>
          <cell r="G23" t="str">
            <v>8EH</v>
          </cell>
          <cell r="H23">
            <v>35824</v>
          </cell>
          <cell r="I23" t="str">
            <v>14/07/2008</v>
          </cell>
          <cell r="J23" t="str">
            <v>P-7929</v>
          </cell>
          <cell r="K23" t="str">
            <v>-7B27-3B1</v>
          </cell>
          <cell r="L23">
            <v>896618</v>
          </cell>
          <cell r="M23" t="str">
            <v/>
          </cell>
          <cell r="N23" t="str">
            <v>14/07/2008</v>
          </cell>
          <cell r="O23" t="str">
            <v>EXIM</v>
          </cell>
          <cell r="P23">
            <v>93</v>
          </cell>
          <cell r="Q23" t="str">
            <v>JK-GP</v>
          </cell>
        </row>
        <row r="24">
          <cell r="B24" t="str">
            <v>PR-GGF</v>
          </cell>
          <cell r="C24" t="str">
            <v>Y</v>
          </cell>
          <cell r="D24" t="str">
            <v>333</v>
          </cell>
          <cell r="E24" t="str">
            <v>YK762</v>
          </cell>
          <cell r="F24">
            <v>2749</v>
          </cell>
          <cell r="G24" t="str">
            <v>8EH</v>
          </cell>
          <cell r="H24">
            <v>35826</v>
          </cell>
          <cell r="I24" t="str">
            <v>11/12/2008</v>
          </cell>
          <cell r="J24" t="str">
            <v>P-8019</v>
          </cell>
          <cell r="K24" t="str">
            <v>-7B27-3B1</v>
          </cell>
          <cell r="L24">
            <v>896818</v>
          </cell>
          <cell r="M24" t="str">
            <v/>
          </cell>
          <cell r="N24" t="str">
            <v>11/12/2008</v>
          </cell>
          <cell r="O24" t="str">
            <v>EXIM</v>
          </cell>
          <cell r="P24">
            <v>93</v>
          </cell>
          <cell r="Q24" t="str">
            <v>GJ-BR</v>
          </cell>
        </row>
        <row r="25">
          <cell r="B25" t="str">
            <v>PR-GGG</v>
          </cell>
          <cell r="C25" t="str">
            <v>Y</v>
          </cell>
          <cell r="D25" t="str">
            <v>335</v>
          </cell>
          <cell r="E25" t="str">
            <v>YK764</v>
          </cell>
          <cell r="F25">
            <v>2809</v>
          </cell>
          <cell r="G25" t="str">
            <v>8EH</v>
          </cell>
          <cell r="H25">
            <v>36566</v>
          </cell>
          <cell r="I25" t="str">
            <v>20/02/2009</v>
          </cell>
          <cell r="J25" t="str">
            <v>P-8104</v>
          </cell>
          <cell r="K25" t="str">
            <v>-7B26</v>
          </cell>
          <cell r="L25">
            <v>896957</v>
          </cell>
          <cell r="M25" t="str">
            <v/>
          </cell>
          <cell r="N25" t="str">
            <v>20/02/2009</v>
          </cell>
          <cell r="O25" t="str">
            <v>GECAS</v>
          </cell>
          <cell r="P25">
            <v>93</v>
          </cell>
          <cell r="Q25" t="str">
            <v>GQ-BJ</v>
          </cell>
        </row>
        <row r="26">
          <cell r="B26" t="str">
            <v>PR-GGH</v>
          </cell>
          <cell r="C26" t="str">
            <v>Y</v>
          </cell>
          <cell r="D26" t="str">
            <v>336</v>
          </cell>
          <cell r="E26" t="str">
            <v>YK765</v>
          </cell>
          <cell r="F26">
            <v>2864</v>
          </cell>
          <cell r="G26" t="str">
            <v>8EH</v>
          </cell>
          <cell r="H26">
            <v>36147</v>
          </cell>
          <cell r="I26" t="str">
            <v>09/04/2009</v>
          </cell>
          <cell r="J26" t="str">
            <v>P-8148</v>
          </cell>
          <cell r="K26" t="str">
            <v>-7B24-3</v>
          </cell>
          <cell r="L26">
            <v>802195</v>
          </cell>
          <cell r="M26" t="str">
            <v/>
          </cell>
          <cell r="N26" t="str">
            <v>09/04/2009</v>
          </cell>
          <cell r="O26" t="str">
            <v>EXIM</v>
          </cell>
          <cell r="P26">
            <v>93</v>
          </cell>
          <cell r="Q26" t="str">
            <v>DL-AJ</v>
          </cell>
        </row>
        <row r="27">
          <cell r="B27" t="str">
            <v>PR-GGJ</v>
          </cell>
          <cell r="C27" t="str">
            <v>Y</v>
          </cell>
          <cell r="D27" t="str">
            <v>334</v>
          </cell>
          <cell r="E27" t="str">
            <v>YK763</v>
          </cell>
          <cell r="F27">
            <v>2786</v>
          </cell>
          <cell r="G27" t="str">
            <v>8EH</v>
          </cell>
          <cell r="H27">
            <v>35825</v>
          </cell>
          <cell r="I27" t="str">
            <v>29/01/2009</v>
          </cell>
          <cell r="J27" t="str">
            <v>P-8077</v>
          </cell>
          <cell r="K27" t="str">
            <v>-7B22</v>
          </cell>
          <cell r="L27">
            <v>896896</v>
          </cell>
          <cell r="M27" t="str">
            <v/>
          </cell>
          <cell r="N27" t="str">
            <v>29/01/2009</v>
          </cell>
          <cell r="O27" t="str">
            <v>JACKSON</v>
          </cell>
          <cell r="P27">
            <v>93</v>
          </cell>
          <cell r="Q27" t="str">
            <v>HR-PQ</v>
          </cell>
        </row>
        <row r="28">
          <cell r="B28" t="str">
            <v>PR-GGL</v>
          </cell>
          <cell r="C28" t="str">
            <v>Y</v>
          </cell>
          <cell r="D28" t="str">
            <v>337</v>
          </cell>
          <cell r="E28" t="str">
            <v>YK766</v>
          </cell>
          <cell r="F28">
            <v>2890</v>
          </cell>
          <cell r="G28" t="str">
            <v>8EH</v>
          </cell>
          <cell r="H28">
            <v>36148</v>
          </cell>
          <cell r="I28" t="str">
            <v>07/05/2009</v>
          </cell>
          <cell r="J28" t="str">
            <v>P-8180</v>
          </cell>
          <cell r="K28" t="str">
            <v>-7B27-3B1</v>
          </cell>
          <cell r="L28">
            <v>802243</v>
          </cell>
          <cell r="M28" t="str">
            <v/>
          </cell>
          <cell r="N28" t="str">
            <v>07/05/2009</v>
          </cell>
          <cell r="O28" t="str">
            <v>EXIM</v>
          </cell>
          <cell r="P28">
            <v>93</v>
          </cell>
          <cell r="Q28" t="str">
            <v>DL-CG</v>
          </cell>
        </row>
        <row r="29">
          <cell r="B29" t="str">
            <v>PR-GGM</v>
          </cell>
          <cell r="C29" t="str">
            <v>Y</v>
          </cell>
          <cell r="D29" t="str">
            <v>338</v>
          </cell>
          <cell r="E29" t="str">
            <v>YK767</v>
          </cell>
          <cell r="F29">
            <v>2920</v>
          </cell>
          <cell r="G29" t="str">
            <v>8EH</v>
          </cell>
          <cell r="H29">
            <v>36149</v>
          </cell>
          <cell r="I29" t="str">
            <v>04/06/2009</v>
          </cell>
          <cell r="J29" t="str">
            <v>P-8208</v>
          </cell>
          <cell r="K29" t="str">
            <v>-7B27-3B1</v>
          </cell>
          <cell r="L29">
            <v>802298</v>
          </cell>
          <cell r="M29" t="str">
            <v/>
          </cell>
          <cell r="N29" t="str">
            <v>04/06/2009</v>
          </cell>
          <cell r="O29" t="str">
            <v>RBS</v>
          </cell>
          <cell r="P29">
            <v>93</v>
          </cell>
          <cell r="Q29" t="str">
            <v>DL-EM</v>
          </cell>
        </row>
        <row r="30">
          <cell r="B30" t="str">
            <v>PR-GGN</v>
          </cell>
          <cell r="C30" t="str">
            <v>Y</v>
          </cell>
          <cell r="D30" t="str">
            <v>339</v>
          </cell>
          <cell r="E30" t="str">
            <v>YK768</v>
          </cell>
          <cell r="F30">
            <v>2991</v>
          </cell>
          <cell r="G30" t="str">
            <v>8EH</v>
          </cell>
          <cell r="H30">
            <v>35827</v>
          </cell>
          <cell r="I30" t="str">
            <v>13/08/2009</v>
          </cell>
          <cell r="J30" t="str">
            <v>P-8290</v>
          </cell>
          <cell r="K30" t="str">
            <v>-7B22-3</v>
          </cell>
          <cell r="L30">
            <v>802463</v>
          </cell>
          <cell r="M30" t="str">
            <v/>
          </cell>
          <cell r="N30" t="str">
            <v>13/08/2009</v>
          </cell>
          <cell r="O30" t="str">
            <v>AERCAP</v>
          </cell>
          <cell r="P30">
            <v>93</v>
          </cell>
          <cell r="Q30" t="str">
            <v>AB-FR</v>
          </cell>
        </row>
        <row r="31">
          <cell r="B31" t="str">
            <v>PR-GGP</v>
          </cell>
          <cell r="C31" t="str">
            <v>Y</v>
          </cell>
          <cell r="D31" t="str">
            <v>341</v>
          </cell>
          <cell r="E31" t="str">
            <v>YK770</v>
          </cell>
          <cell r="F31">
            <v>3076</v>
          </cell>
          <cell r="G31" t="str">
            <v>8EH</v>
          </cell>
          <cell r="H31">
            <v>35829</v>
          </cell>
          <cell r="I31" t="str">
            <v>29/10/2009</v>
          </cell>
          <cell r="J31" t="str">
            <v>P-8362</v>
          </cell>
          <cell r="K31" t="str">
            <v>-7B27-3B1</v>
          </cell>
          <cell r="L31">
            <v>802624</v>
          </cell>
          <cell r="M31" t="str">
            <v/>
          </cell>
          <cell r="N31" t="str">
            <v>29/10/2009</v>
          </cell>
          <cell r="O31" t="str">
            <v>RBS</v>
          </cell>
          <cell r="P31">
            <v>93</v>
          </cell>
          <cell r="Q31" t="str">
            <v>PQ-DS</v>
          </cell>
        </row>
        <row r="32">
          <cell r="B32" t="str">
            <v>PR-GGQ</v>
          </cell>
          <cell r="C32" t="str">
            <v>Y</v>
          </cell>
          <cell r="D32" t="str">
            <v>342</v>
          </cell>
          <cell r="E32" t="str">
            <v>YL801</v>
          </cell>
          <cell r="F32">
            <v>3103</v>
          </cell>
          <cell r="G32" t="str">
            <v>8EH</v>
          </cell>
          <cell r="H32">
            <v>37596</v>
          </cell>
          <cell r="I32" t="str">
            <v>25/11/2009</v>
          </cell>
          <cell r="J32" t="str">
            <v>P-8405</v>
          </cell>
          <cell r="K32" t="str">
            <v>-7B22-3</v>
          </cell>
          <cell r="L32">
            <v>802707</v>
          </cell>
          <cell r="M32" t="str">
            <v/>
          </cell>
          <cell r="N32" t="str">
            <v>25/11/2009</v>
          </cell>
          <cell r="O32" t="str">
            <v>EXIM</v>
          </cell>
          <cell r="P32">
            <v>93</v>
          </cell>
          <cell r="Q32" t="str">
            <v>QS-JR</v>
          </cell>
        </row>
        <row r="33">
          <cell r="B33" t="str">
            <v>PR-GGR</v>
          </cell>
          <cell r="C33" t="str">
            <v>Y</v>
          </cell>
          <cell r="D33" t="str">
            <v>343</v>
          </cell>
          <cell r="E33" t="str">
            <v>YL802</v>
          </cell>
          <cell r="F33">
            <v>3106</v>
          </cell>
          <cell r="G33" t="str">
            <v>8EH</v>
          </cell>
          <cell r="H33">
            <v>36150</v>
          </cell>
          <cell r="I33" t="str">
            <v>25/11/2009</v>
          </cell>
          <cell r="J33" t="str">
            <v>P-8401</v>
          </cell>
          <cell r="K33" t="str">
            <v>-7B27-3B1</v>
          </cell>
          <cell r="L33">
            <v>802684</v>
          </cell>
          <cell r="M33" t="str">
            <v/>
          </cell>
          <cell r="N33" t="str">
            <v>25/11/2009</v>
          </cell>
          <cell r="O33" t="str">
            <v>EXIM</v>
          </cell>
          <cell r="P33">
            <v>93</v>
          </cell>
          <cell r="Q33" t="str">
            <v>BM-KS</v>
          </cell>
        </row>
        <row r="34">
          <cell r="B34" t="str">
            <v>PR-GGW</v>
          </cell>
          <cell r="C34" t="str">
            <v>Y</v>
          </cell>
          <cell r="D34" t="str">
            <v>347</v>
          </cell>
          <cell r="E34" t="str">
            <v>YL806</v>
          </cell>
          <cell r="F34">
            <v>3165</v>
          </cell>
          <cell r="G34" t="str">
            <v>8EH</v>
          </cell>
          <cell r="H34">
            <v>35831</v>
          </cell>
          <cell r="I34" t="str">
            <v>03/02/2010</v>
          </cell>
          <cell r="J34" t="str">
            <v>P-8466</v>
          </cell>
          <cell r="K34" t="str">
            <v>-7B27-3B1</v>
          </cell>
          <cell r="L34">
            <v>802835</v>
          </cell>
          <cell r="M34" t="str">
            <v/>
          </cell>
          <cell r="N34" t="str">
            <v>03/02/2010</v>
          </cell>
          <cell r="O34" t="str">
            <v>YAMASA</v>
          </cell>
          <cell r="P34">
            <v>93</v>
          </cell>
          <cell r="Q34" t="str">
            <v>AB-DF</v>
          </cell>
        </row>
        <row r="35">
          <cell r="B35" t="str">
            <v>PR-GGX</v>
          </cell>
          <cell r="C35" t="str">
            <v>Y</v>
          </cell>
          <cell r="D35" t="str">
            <v>348</v>
          </cell>
          <cell r="E35" t="str">
            <v>YL807</v>
          </cell>
          <cell r="F35">
            <v>3180</v>
          </cell>
          <cell r="G35" t="str">
            <v>8EH</v>
          </cell>
          <cell r="H35">
            <v>36596</v>
          </cell>
          <cell r="I35" t="str">
            <v>13/10/2015</v>
          </cell>
          <cell r="J35" t="str">
            <v>P-8482</v>
          </cell>
          <cell r="K35" t="str">
            <v>-7B27-3B1</v>
          </cell>
          <cell r="L35">
            <v>803844</v>
          </cell>
          <cell r="M35" t="str">
            <v/>
          </cell>
          <cell r="N35" t="str">
            <v>18/02/2010</v>
          </cell>
          <cell r="O35" t="str">
            <v>EXIM</v>
          </cell>
          <cell r="P35">
            <v>93</v>
          </cell>
          <cell r="Q35" t="str">
            <v>AB-KL</v>
          </cell>
        </row>
        <row r="36">
          <cell r="B36" t="str">
            <v>PR-GGZ</v>
          </cell>
          <cell r="C36" t="str">
            <v>Y</v>
          </cell>
          <cell r="D36" t="str">
            <v>350</v>
          </cell>
          <cell r="E36" t="str">
            <v>YL809</v>
          </cell>
          <cell r="F36">
            <v>3205</v>
          </cell>
          <cell r="G36" t="str">
            <v>8EH</v>
          </cell>
          <cell r="H36">
            <v>37600</v>
          </cell>
          <cell r="I36" t="str">
            <v>11/03/2010</v>
          </cell>
          <cell r="J36" t="str">
            <v>P-8501</v>
          </cell>
          <cell r="K36" t="str">
            <v>-7B27-3B1</v>
          </cell>
          <cell r="L36">
            <v>802907</v>
          </cell>
          <cell r="M36" t="str">
            <v/>
          </cell>
          <cell r="N36" t="str">
            <v>11/03/2010</v>
          </cell>
          <cell r="O36" t="str">
            <v>YAMASA</v>
          </cell>
          <cell r="P36">
            <v>93</v>
          </cell>
          <cell r="Q36" t="str">
            <v>AC-BH</v>
          </cell>
        </row>
        <row r="37">
          <cell r="B37" t="str">
            <v>PR-GTC</v>
          </cell>
          <cell r="C37" t="str">
            <v>Y</v>
          </cell>
          <cell r="D37" t="str">
            <v>303</v>
          </cell>
          <cell r="E37" t="str">
            <v>YK723</v>
          </cell>
          <cell r="F37">
            <v>2028</v>
          </cell>
          <cell r="G37" t="str">
            <v>8EH</v>
          </cell>
          <cell r="H37">
            <v>34277</v>
          </cell>
          <cell r="I37" t="str">
            <v>31/08/2006</v>
          </cell>
          <cell r="J37" t="str">
            <v>P-7228</v>
          </cell>
          <cell r="K37" t="str">
            <v>-7B22</v>
          </cell>
          <cell r="L37">
            <v>894144</v>
          </cell>
          <cell r="M37" t="str">
            <v/>
          </cell>
          <cell r="N37" t="str">
            <v>31/08/2006</v>
          </cell>
          <cell r="O37" t="str">
            <v>GECAS</v>
          </cell>
          <cell r="P37">
            <v>93</v>
          </cell>
          <cell r="Q37" t="str">
            <v>BQ-FH</v>
          </cell>
        </row>
        <row r="38">
          <cell r="B38" t="str">
            <v>PR-GTE</v>
          </cell>
          <cell r="C38" t="str">
            <v>Y</v>
          </cell>
          <cell r="D38" t="str">
            <v>305</v>
          </cell>
          <cell r="E38" t="str">
            <v>YK725</v>
          </cell>
          <cell r="F38">
            <v>2052</v>
          </cell>
          <cell r="G38" t="str">
            <v>8EH</v>
          </cell>
          <cell r="H38">
            <v>34278</v>
          </cell>
          <cell r="I38" t="str">
            <v>21/09/2006</v>
          </cell>
          <cell r="J38" t="str">
            <v>P-7249</v>
          </cell>
          <cell r="K38" t="str">
            <v>-7B22</v>
          </cell>
          <cell r="L38">
            <v>894190</v>
          </cell>
          <cell r="M38" t="str">
            <v/>
          </cell>
          <cell r="N38" t="str">
            <v>21/09/2006</v>
          </cell>
          <cell r="O38" t="str">
            <v>GECAS</v>
          </cell>
          <cell r="P38">
            <v>93</v>
          </cell>
          <cell r="Q38" t="str">
            <v>BS-HJ</v>
          </cell>
        </row>
        <row r="39">
          <cell r="B39" t="str">
            <v>PR-GTG</v>
          </cell>
          <cell r="C39" t="str">
            <v>Y</v>
          </cell>
          <cell r="D39" t="str">
            <v>307</v>
          </cell>
          <cell r="E39" t="str">
            <v>YK727</v>
          </cell>
          <cell r="F39">
            <v>2075</v>
          </cell>
          <cell r="G39" t="str">
            <v>8EH</v>
          </cell>
          <cell r="H39">
            <v>34654</v>
          </cell>
          <cell r="I39" t="str">
            <v>12/10/2006</v>
          </cell>
          <cell r="J39" t="str">
            <v>P-7272</v>
          </cell>
          <cell r="K39" t="str">
            <v>-7B24</v>
          </cell>
          <cell r="L39">
            <v>894143</v>
          </cell>
          <cell r="M39" t="str">
            <v/>
          </cell>
          <cell r="N39" t="str">
            <v>12/10/2006</v>
          </cell>
          <cell r="O39" t="str">
            <v>GECAS</v>
          </cell>
          <cell r="P39">
            <v>93</v>
          </cell>
          <cell r="Q39" t="str">
            <v>CH-MS</v>
          </cell>
        </row>
        <row r="40">
          <cell r="B40" t="str">
            <v>PR-GTH</v>
          </cell>
          <cell r="C40" t="str">
            <v>Y</v>
          </cell>
          <cell r="D40" t="str">
            <v>308</v>
          </cell>
          <cell r="E40" t="str">
            <v>YK728</v>
          </cell>
          <cell r="F40">
            <v>2091</v>
          </cell>
          <cell r="G40" t="str">
            <v>8EH</v>
          </cell>
          <cell r="H40">
            <v>34655</v>
          </cell>
          <cell r="I40" t="str">
            <v>30/10/2006</v>
          </cell>
          <cell r="J40" t="str">
            <v>P-7295</v>
          </cell>
          <cell r="K40" t="str">
            <v>-7B24</v>
          </cell>
          <cell r="L40">
            <v>894277</v>
          </cell>
          <cell r="M40" t="str">
            <v/>
          </cell>
          <cell r="N40" t="str">
            <v>30/10/2006</v>
          </cell>
          <cell r="O40" t="str">
            <v>GECAS</v>
          </cell>
          <cell r="P40">
            <v>93</v>
          </cell>
          <cell r="Q40" t="str">
            <v>CH-PR</v>
          </cell>
        </row>
        <row r="41">
          <cell r="B41" t="str">
            <v>PR-GTL</v>
          </cell>
          <cell r="C41" t="str">
            <v>Y</v>
          </cell>
          <cell r="D41" t="str">
            <v>312</v>
          </cell>
          <cell r="E41" t="str">
            <v>YK732</v>
          </cell>
          <cell r="F41">
            <v>2215</v>
          </cell>
          <cell r="G41" t="str">
            <v>8EH</v>
          </cell>
          <cell r="H41">
            <v>34962</v>
          </cell>
          <cell r="I41" t="str">
            <v>22/03/2007</v>
          </cell>
          <cell r="J41" t="str">
            <v>P-7446</v>
          </cell>
          <cell r="K41" t="str">
            <v>-7B26</v>
          </cell>
          <cell r="L41">
            <v>894528</v>
          </cell>
          <cell r="M41" t="str">
            <v/>
          </cell>
          <cell r="N41" t="str">
            <v>22/03/2007</v>
          </cell>
          <cell r="O41" t="str">
            <v>EXIM</v>
          </cell>
          <cell r="P41">
            <v>93</v>
          </cell>
          <cell r="Q41" t="str">
            <v>CQ-LR</v>
          </cell>
        </row>
        <row r="42">
          <cell r="B42" t="str">
            <v>PR-GTM</v>
          </cell>
          <cell r="C42" t="str">
            <v>Y</v>
          </cell>
          <cell r="D42" t="str">
            <v>313</v>
          </cell>
          <cell r="E42" t="str">
            <v>YK733</v>
          </cell>
          <cell r="F42">
            <v>2240</v>
          </cell>
          <cell r="G42" t="str">
            <v>8EH</v>
          </cell>
          <cell r="H42">
            <v>34963</v>
          </cell>
          <cell r="I42" t="str">
            <v>19/04/2007</v>
          </cell>
          <cell r="J42" t="str">
            <v>P-7473</v>
          </cell>
          <cell r="K42" t="str">
            <v>-7B27B1</v>
          </cell>
          <cell r="L42">
            <v>894581</v>
          </cell>
          <cell r="M42" t="str">
            <v/>
          </cell>
          <cell r="N42" t="str">
            <v>19/04/2007</v>
          </cell>
          <cell r="O42" t="str">
            <v>EXIM</v>
          </cell>
          <cell r="P42">
            <v>93</v>
          </cell>
          <cell r="Q42" t="str">
            <v>CR-MQ</v>
          </cell>
        </row>
        <row r="43">
          <cell r="B43" t="str">
            <v>PR-GTV</v>
          </cell>
          <cell r="C43" t="str">
            <v>Y</v>
          </cell>
          <cell r="D43" t="str">
            <v>321</v>
          </cell>
          <cell r="E43" t="str">
            <v>YK741</v>
          </cell>
          <cell r="F43">
            <v>2420</v>
          </cell>
          <cell r="G43" t="str">
            <v>8EH</v>
          </cell>
          <cell r="H43">
            <v>34270</v>
          </cell>
          <cell r="I43" t="str">
            <v>29/10/2007</v>
          </cell>
          <cell r="J43" t="str">
            <v>P-7665</v>
          </cell>
          <cell r="K43" t="str">
            <v>-7B27-3B1</v>
          </cell>
          <cell r="L43">
            <v>894960</v>
          </cell>
          <cell r="M43" t="str">
            <v/>
          </cell>
          <cell r="N43" t="str">
            <v>29/10/2007</v>
          </cell>
          <cell r="O43" t="str">
            <v>GECAS</v>
          </cell>
          <cell r="P43">
            <v>93</v>
          </cell>
          <cell r="Q43" t="str">
            <v>ER-BJ</v>
          </cell>
        </row>
        <row r="44">
          <cell r="B44" t="str">
            <v>PR-GUA</v>
          </cell>
          <cell r="C44" t="str">
            <v>Y</v>
          </cell>
          <cell r="D44" t="str">
            <v>351</v>
          </cell>
          <cell r="E44" t="str">
            <v>YL810</v>
          </cell>
          <cell r="F44">
            <v>3301</v>
          </cell>
          <cell r="G44" t="str">
            <v>8EH</v>
          </cell>
          <cell r="H44">
            <v>37601</v>
          </cell>
          <cell r="I44" t="str">
            <v>01/12/2015</v>
          </cell>
          <cell r="J44" t="str">
            <v>P-8602</v>
          </cell>
          <cell r="K44" t="str">
            <v>-7B27-3B1</v>
          </cell>
          <cell r="L44">
            <v>804210</v>
          </cell>
          <cell r="M44" t="str">
            <v/>
          </cell>
          <cell r="N44" t="str">
            <v>10/06/2010</v>
          </cell>
          <cell r="O44" t="str">
            <v>AERCAP</v>
          </cell>
          <cell r="P44">
            <v>93</v>
          </cell>
          <cell r="Q44" t="str">
            <v>DE-HR</v>
          </cell>
        </row>
        <row r="45">
          <cell r="B45" t="str">
            <v>PR-GUB</v>
          </cell>
          <cell r="C45" t="str">
            <v>Y</v>
          </cell>
          <cell r="D45" t="str">
            <v>352</v>
          </cell>
          <cell r="E45" t="str">
            <v>YL811</v>
          </cell>
          <cell r="F45">
            <v>3309</v>
          </cell>
          <cell r="G45" t="str">
            <v>8EH</v>
          </cell>
          <cell r="H45">
            <v>35832</v>
          </cell>
          <cell r="I45" t="str">
            <v>10/12/2015</v>
          </cell>
          <cell r="J45" t="str">
            <v>P-8598</v>
          </cell>
          <cell r="K45" t="str">
            <v>-7B27-3B1</v>
          </cell>
          <cell r="L45">
            <v>804232</v>
          </cell>
          <cell r="M45" t="str">
            <v/>
          </cell>
          <cell r="N45" t="str">
            <v>17/06/2010</v>
          </cell>
          <cell r="O45" t="str">
            <v>AERCAP</v>
          </cell>
          <cell r="P45">
            <v>93</v>
          </cell>
          <cell r="Q45" t="str">
            <v>DE-KP</v>
          </cell>
        </row>
        <row r="46">
          <cell r="B46" t="str">
            <v>PR-GUC</v>
          </cell>
          <cell r="C46" t="str">
            <v>Y</v>
          </cell>
          <cell r="D46" t="str">
            <v>353</v>
          </cell>
          <cell r="E46" t="str">
            <v>YL812</v>
          </cell>
          <cell r="F46">
            <v>3430</v>
          </cell>
          <cell r="G46" t="str">
            <v>8EH</v>
          </cell>
          <cell r="H46">
            <v>35835</v>
          </cell>
          <cell r="I46" t="str">
            <v>30/11/2015</v>
          </cell>
          <cell r="J46" t="str">
            <v>P-8716</v>
          </cell>
          <cell r="K46" t="str">
            <v>-7B27-3B1</v>
          </cell>
          <cell r="L46">
            <v>804469</v>
          </cell>
          <cell r="M46" t="str">
            <v/>
          </cell>
          <cell r="N46" t="str">
            <v>22/10/2010</v>
          </cell>
          <cell r="O46" t="str">
            <v>EXIM</v>
          </cell>
          <cell r="P46">
            <v>93</v>
          </cell>
          <cell r="Q46" t="str">
            <v>FG-DQ</v>
          </cell>
        </row>
        <row r="47">
          <cell r="B47" t="str">
            <v>PR-GUD</v>
          </cell>
          <cell r="C47" t="str">
            <v>Y</v>
          </cell>
          <cell r="D47" t="str">
            <v>354</v>
          </cell>
          <cell r="E47" t="str">
            <v>YL813</v>
          </cell>
          <cell r="F47">
            <v>3466</v>
          </cell>
          <cell r="G47" t="str">
            <v>8EH</v>
          </cell>
          <cell r="H47">
            <v>35836</v>
          </cell>
          <cell r="I47" t="str">
            <v>08/12/2015</v>
          </cell>
          <cell r="J47" t="str">
            <v>P-8770</v>
          </cell>
          <cell r="K47" t="str">
            <v>-7B27-3B1</v>
          </cell>
          <cell r="L47">
            <v>804548</v>
          </cell>
          <cell r="M47" t="str">
            <v/>
          </cell>
          <cell r="N47" t="str">
            <v>18/11/2010</v>
          </cell>
          <cell r="O47" t="str">
            <v>EXIM</v>
          </cell>
          <cell r="P47">
            <v>93</v>
          </cell>
          <cell r="Q47" t="str">
            <v>FG-EQ</v>
          </cell>
        </row>
        <row r="48">
          <cell r="B48" t="str">
            <v>PR-GUE</v>
          </cell>
          <cell r="C48" t="str">
            <v>Y</v>
          </cell>
          <cell r="D48" t="str">
            <v>355</v>
          </cell>
          <cell r="E48" t="str">
            <v>YL814</v>
          </cell>
          <cell r="F48">
            <v>3473</v>
          </cell>
          <cell r="G48" t="str">
            <v>8EH</v>
          </cell>
          <cell r="H48">
            <v>35837</v>
          </cell>
          <cell r="I48" t="str">
            <v>17/12/2015</v>
          </cell>
          <cell r="J48" t="str">
            <v/>
          </cell>
          <cell r="K48" t="str">
            <v>-7B27-3B1</v>
          </cell>
          <cell r="L48">
            <v>804560</v>
          </cell>
          <cell r="M48" t="str">
            <v/>
          </cell>
          <cell r="N48" t="str">
            <v>22/11/2010</v>
          </cell>
          <cell r="O48" t="str">
            <v>EXIM</v>
          </cell>
          <cell r="P48">
            <v>93</v>
          </cell>
          <cell r="Q48" t="str">
            <v>FG-HQ</v>
          </cell>
        </row>
        <row r="49">
          <cell r="B49" t="str">
            <v>PR-GUF</v>
          </cell>
          <cell r="C49" t="str">
            <v>Y</v>
          </cell>
          <cell r="D49" t="str">
            <v>356</v>
          </cell>
          <cell r="E49" t="str">
            <v>YL815</v>
          </cell>
          <cell r="F49">
            <v>3508</v>
          </cell>
          <cell r="G49" t="str">
            <v>8EH</v>
          </cell>
          <cell r="H49">
            <v>35838</v>
          </cell>
          <cell r="I49" t="str">
            <v>21/12/2015</v>
          </cell>
          <cell r="J49" t="str">
            <v>P-8807</v>
          </cell>
          <cell r="K49" t="str">
            <v>-7B27-3B1</v>
          </cell>
          <cell r="L49">
            <v>804649</v>
          </cell>
          <cell r="M49" t="str">
            <v/>
          </cell>
          <cell r="N49" t="str">
            <v>21/12/2010</v>
          </cell>
          <cell r="O49" t="str">
            <v>EXIM</v>
          </cell>
          <cell r="P49">
            <v>93</v>
          </cell>
          <cell r="Q49" t="str">
            <v>FG-JQ</v>
          </cell>
        </row>
        <row r="50">
          <cell r="B50" t="str">
            <v>PR-GUH</v>
          </cell>
          <cell r="C50" t="str">
            <v>Y</v>
          </cell>
          <cell r="D50" t="str">
            <v>358</v>
          </cell>
          <cell r="E50" t="str">
            <v>YR602</v>
          </cell>
          <cell r="F50">
            <v>3667</v>
          </cell>
          <cell r="G50" t="str">
            <v>8EH</v>
          </cell>
          <cell r="H50">
            <v>35843</v>
          </cell>
          <cell r="I50" t="str">
            <v>09/06/2011</v>
          </cell>
          <cell r="J50" t="str">
            <v>P-8970</v>
          </cell>
          <cell r="K50" t="str">
            <v>-7B22-3</v>
          </cell>
          <cell r="L50">
            <v>804997</v>
          </cell>
          <cell r="M50" t="str">
            <v/>
          </cell>
          <cell r="N50" t="str">
            <v>09/06/2011</v>
          </cell>
          <cell r="O50" t="str">
            <v>EXIM</v>
          </cell>
          <cell r="P50">
            <v>93</v>
          </cell>
          <cell r="Q50" t="str">
            <v>MR-CE</v>
          </cell>
        </row>
        <row r="51">
          <cell r="B51" t="str">
            <v>PR-GUI</v>
          </cell>
          <cell r="C51" t="str">
            <v>Y</v>
          </cell>
          <cell r="D51" t="str">
            <v>359</v>
          </cell>
          <cell r="E51" t="str">
            <v>YR603</v>
          </cell>
          <cell r="F51">
            <v>3722</v>
          </cell>
          <cell r="G51" t="str">
            <v>8EH</v>
          </cell>
          <cell r="H51">
            <v>35844</v>
          </cell>
          <cell r="I51" t="str">
            <v>04/08/2011</v>
          </cell>
          <cell r="J51" t="str">
            <v>P-9000</v>
          </cell>
          <cell r="K51" t="str">
            <v>-7B27EB1</v>
          </cell>
          <cell r="L51">
            <v>960199</v>
          </cell>
          <cell r="M51" t="str">
            <v/>
          </cell>
          <cell r="N51" t="str">
            <v>04/08/2011</v>
          </cell>
          <cell r="O51" t="str">
            <v>EXIM</v>
          </cell>
          <cell r="P51">
            <v>93</v>
          </cell>
          <cell r="Q51" t="str">
            <v>MR-CQ</v>
          </cell>
        </row>
        <row r="52">
          <cell r="B52" t="str">
            <v>PR-GUJ</v>
          </cell>
          <cell r="C52" t="str">
            <v>Y</v>
          </cell>
          <cell r="D52" t="str">
            <v>360</v>
          </cell>
          <cell r="E52" t="str">
            <v>YR604</v>
          </cell>
          <cell r="F52">
            <v>3745</v>
          </cell>
          <cell r="G52" t="str">
            <v>8EH</v>
          </cell>
          <cell r="H52">
            <v>35851</v>
          </cell>
          <cell r="I52" t="str">
            <v>18/08/2011</v>
          </cell>
          <cell r="J52" t="str">
            <v>P-9049</v>
          </cell>
          <cell r="K52" t="str">
            <v>-7B27EB1</v>
          </cell>
          <cell r="L52">
            <v>960237</v>
          </cell>
          <cell r="M52" t="str">
            <v/>
          </cell>
          <cell r="N52" t="str">
            <v>18/08/2011</v>
          </cell>
          <cell r="O52" t="str">
            <v>EXIM</v>
          </cell>
          <cell r="P52">
            <v>93</v>
          </cell>
          <cell r="Q52" t="str">
            <v>ER-DF</v>
          </cell>
        </row>
        <row r="53">
          <cell r="B53" t="str">
            <v>PR-GUK</v>
          </cell>
          <cell r="C53" t="str">
            <v>Y</v>
          </cell>
          <cell r="D53" t="str">
            <v>361</v>
          </cell>
          <cell r="E53" t="str">
            <v>YR605</v>
          </cell>
          <cell r="F53">
            <v>3760</v>
          </cell>
          <cell r="G53" t="str">
            <v>8EH</v>
          </cell>
          <cell r="H53">
            <v>35852</v>
          </cell>
          <cell r="I53" t="str">
            <v>01/09/2011</v>
          </cell>
          <cell r="J53" t="str">
            <v>P-9072</v>
          </cell>
          <cell r="K53" t="str">
            <v>-7B27EB1</v>
          </cell>
          <cell r="L53">
            <v>960270</v>
          </cell>
          <cell r="M53" t="str">
            <v/>
          </cell>
          <cell r="N53" t="str">
            <v>01/09/2011</v>
          </cell>
          <cell r="O53" t="str">
            <v>EXIM</v>
          </cell>
          <cell r="P53">
            <v>93</v>
          </cell>
          <cell r="Q53" t="str">
            <v>JQ-AK</v>
          </cell>
        </row>
        <row r="54">
          <cell r="B54" t="str">
            <v>PR-GUL</v>
          </cell>
          <cell r="C54" t="str">
            <v>Y</v>
          </cell>
          <cell r="D54" t="str">
            <v>362</v>
          </cell>
          <cell r="E54" t="str">
            <v>YR616</v>
          </cell>
          <cell r="F54">
            <v>3785</v>
          </cell>
          <cell r="G54" t="str">
            <v>8EH</v>
          </cell>
          <cell r="H54">
            <v>35845</v>
          </cell>
          <cell r="I54" t="str">
            <v>06/10/2011</v>
          </cell>
          <cell r="J54" t="str">
            <v>P-9085</v>
          </cell>
          <cell r="K54" t="str">
            <v>-7B27EB1</v>
          </cell>
          <cell r="L54">
            <v>960300</v>
          </cell>
          <cell r="M54" t="str">
            <v/>
          </cell>
          <cell r="N54" t="str">
            <v>06/10/2011</v>
          </cell>
          <cell r="O54" t="str">
            <v>&amp; SERVICES INC. - AWAS</v>
          </cell>
          <cell r="P54">
            <v>93</v>
          </cell>
          <cell r="Q54" t="str">
            <v>DF-EP</v>
          </cell>
        </row>
        <row r="55">
          <cell r="B55" t="str">
            <v>PR-GUM</v>
          </cell>
          <cell r="C55" t="str">
            <v>Y</v>
          </cell>
          <cell r="D55" t="str">
            <v>363</v>
          </cell>
          <cell r="E55" t="str">
            <v>YR617</v>
          </cell>
          <cell r="F55">
            <v>3823</v>
          </cell>
          <cell r="G55" t="str">
            <v>8EH</v>
          </cell>
          <cell r="H55">
            <v>35846</v>
          </cell>
          <cell r="I55" t="str">
            <v>01/11/2011</v>
          </cell>
          <cell r="J55" t="str">
            <v>P-9110</v>
          </cell>
          <cell r="K55" t="str">
            <v>-7B24E</v>
          </cell>
          <cell r="L55">
            <v>960365</v>
          </cell>
          <cell r="M55" t="str">
            <v/>
          </cell>
          <cell r="N55" t="str">
            <v>01/11/2011</v>
          </cell>
          <cell r="O55" t="str">
            <v>&amp; SERVICES INC. - AWAS</v>
          </cell>
          <cell r="P55">
            <v>93</v>
          </cell>
          <cell r="Q55" t="str">
            <v>LP-FR</v>
          </cell>
        </row>
        <row r="56">
          <cell r="B56" t="str">
            <v>PR-GUN</v>
          </cell>
          <cell r="C56" t="str">
            <v>Y</v>
          </cell>
          <cell r="D56" t="str">
            <v>364</v>
          </cell>
          <cell r="E56" t="str">
            <v>YR618</v>
          </cell>
          <cell r="F56">
            <v>3912</v>
          </cell>
          <cell r="G56" t="str">
            <v>8EH</v>
          </cell>
          <cell r="H56">
            <v>37610</v>
          </cell>
          <cell r="I56" t="str">
            <v>02/02/2012</v>
          </cell>
          <cell r="J56" t="str">
            <v>P-9230</v>
          </cell>
          <cell r="K56" t="str">
            <v>-7B27EB1</v>
          </cell>
          <cell r="L56">
            <v>960586</v>
          </cell>
          <cell r="M56" t="str">
            <v/>
          </cell>
          <cell r="N56" t="str">
            <v>02/02/2012</v>
          </cell>
          <cell r="O56" t="str">
            <v>&amp; SERVICES INC. - AWAS</v>
          </cell>
          <cell r="P56">
            <v>93</v>
          </cell>
          <cell r="Q56" t="str">
            <v>JK-BQ</v>
          </cell>
        </row>
        <row r="57">
          <cell r="B57" t="str">
            <v>PR-GUP</v>
          </cell>
          <cell r="C57" t="str">
            <v>Y</v>
          </cell>
          <cell r="D57" t="str">
            <v>365</v>
          </cell>
          <cell r="E57" t="str">
            <v>YR661</v>
          </cell>
          <cell r="F57">
            <v>4114</v>
          </cell>
          <cell r="G57" t="str">
            <v>8HX</v>
          </cell>
          <cell r="H57">
            <v>38876</v>
          </cell>
          <cell r="I57" t="str">
            <v>20/07/2012</v>
          </cell>
          <cell r="J57" t="str">
            <v>P-9436</v>
          </cell>
          <cell r="K57" t="str">
            <v>-7B24E</v>
          </cell>
          <cell r="L57">
            <v>960991</v>
          </cell>
          <cell r="M57" t="str">
            <v/>
          </cell>
          <cell r="N57" t="str">
            <v>20/07/2012</v>
          </cell>
          <cell r="O57" t="str">
            <v/>
          </cell>
          <cell r="P57">
            <v>93</v>
          </cell>
          <cell r="Q57" t="str">
            <v>HP-CK</v>
          </cell>
        </row>
        <row r="58">
          <cell r="B58" t="str">
            <v>PR-GUR</v>
          </cell>
          <cell r="C58" t="str">
            <v>Y</v>
          </cell>
          <cell r="D58" t="str">
            <v>367</v>
          </cell>
          <cell r="E58" t="str">
            <v>YR662</v>
          </cell>
          <cell r="F58">
            <v>4144</v>
          </cell>
          <cell r="G58" t="str">
            <v>8HX</v>
          </cell>
          <cell r="H58">
            <v>38877</v>
          </cell>
          <cell r="I58" t="str">
            <v>16/08/2012</v>
          </cell>
          <cell r="J58" t="str">
            <v>P-9472</v>
          </cell>
          <cell r="K58" t="str">
            <v>-7B27EB1</v>
          </cell>
          <cell r="L58">
            <v>963156</v>
          </cell>
          <cell r="M58" t="str">
            <v/>
          </cell>
          <cell r="N58" t="str">
            <v>16/08/2012</v>
          </cell>
          <cell r="O58" t="str">
            <v/>
          </cell>
          <cell r="P58">
            <v>93</v>
          </cell>
          <cell r="Q58" t="str">
            <v>HQ-FK</v>
          </cell>
        </row>
        <row r="59">
          <cell r="B59" t="str">
            <v>PR-GUT</v>
          </cell>
          <cell r="C59" t="str">
            <v>Y</v>
          </cell>
          <cell r="D59" t="str">
            <v>369</v>
          </cell>
          <cell r="E59" t="str">
            <v>YR663</v>
          </cell>
          <cell r="F59">
            <v>4203</v>
          </cell>
          <cell r="G59" t="str">
            <v>8HX</v>
          </cell>
          <cell r="H59">
            <v>38878</v>
          </cell>
          <cell r="I59" t="str">
            <v>05/10/2012</v>
          </cell>
          <cell r="J59" t="str">
            <v>P-9518</v>
          </cell>
          <cell r="K59" t="str">
            <v>-7B24E</v>
          </cell>
          <cell r="L59">
            <v>962276</v>
          </cell>
          <cell r="M59" t="str">
            <v/>
          </cell>
          <cell r="N59" t="str">
            <v>05/10/2012</v>
          </cell>
          <cell r="O59" t="str">
            <v/>
          </cell>
          <cell r="P59">
            <v>93</v>
          </cell>
          <cell r="Q59" t="str">
            <v>HS-LP</v>
          </cell>
        </row>
        <row r="60">
          <cell r="B60" t="str">
            <v>PR-GUU</v>
          </cell>
          <cell r="C60" t="str">
            <v>Y</v>
          </cell>
          <cell r="D60" t="str">
            <v>370</v>
          </cell>
          <cell r="E60" t="str">
            <v>YR621</v>
          </cell>
          <cell r="F60">
            <v>4248</v>
          </cell>
          <cell r="G60" t="str">
            <v>8EH</v>
          </cell>
          <cell r="H60">
            <v>39607</v>
          </cell>
          <cell r="I60" t="str">
            <v>13/11/2012</v>
          </cell>
          <cell r="J60" t="str">
            <v>P-9571</v>
          </cell>
          <cell r="K60" t="str">
            <v>-7B27EB1</v>
          </cell>
          <cell r="L60">
            <v>962381</v>
          </cell>
          <cell r="M60" t="str">
            <v/>
          </cell>
          <cell r="N60" t="str">
            <v>13/11/2012</v>
          </cell>
          <cell r="O60" t="str">
            <v/>
          </cell>
          <cell r="P60">
            <v>93</v>
          </cell>
          <cell r="Q60" t="str">
            <v>AJ-DS</v>
          </cell>
        </row>
        <row r="61">
          <cell r="B61" t="str">
            <v>PR-GUV</v>
          </cell>
          <cell r="C61" t="str">
            <v>Y</v>
          </cell>
          <cell r="D61" t="str">
            <v>371</v>
          </cell>
          <cell r="E61" t="str">
            <v>YR622</v>
          </cell>
          <cell r="F61">
            <v>4283</v>
          </cell>
          <cell r="G61" t="str">
            <v>8EH</v>
          </cell>
          <cell r="H61">
            <v>39609</v>
          </cell>
          <cell r="I61" t="str">
            <v>14/12/2012</v>
          </cell>
          <cell r="J61" t="str">
            <v>P-9634</v>
          </cell>
          <cell r="K61" t="str">
            <v>-7B27EB1</v>
          </cell>
          <cell r="L61">
            <v>962438</v>
          </cell>
          <cell r="M61" t="str">
            <v/>
          </cell>
          <cell r="N61" t="str">
            <v>14/12/2012</v>
          </cell>
          <cell r="O61" t="str">
            <v/>
          </cell>
          <cell r="P61">
            <v>93</v>
          </cell>
          <cell r="Q61" t="str">
            <v>AJ-GR</v>
          </cell>
        </row>
        <row r="62">
          <cell r="B62" t="str">
            <v>PR-GUX</v>
          </cell>
          <cell r="C62" t="str">
            <v>Y</v>
          </cell>
          <cell r="D62" t="str">
            <v>373</v>
          </cell>
          <cell r="E62" t="str">
            <v>YR624</v>
          </cell>
          <cell r="F62">
            <v>4319</v>
          </cell>
          <cell r="G62" t="str">
            <v>8EH</v>
          </cell>
          <cell r="H62">
            <v>39611</v>
          </cell>
          <cell r="I62" t="str">
            <v>24/01/2013</v>
          </cell>
          <cell r="J62" t="str">
            <v>P-9662</v>
          </cell>
          <cell r="K62" t="str">
            <v>-7B27EB1</v>
          </cell>
          <cell r="L62">
            <v>962526</v>
          </cell>
          <cell r="M62" t="str">
            <v/>
          </cell>
          <cell r="N62" t="str">
            <v>24/01/2013</v>
          </cell>
          <cell r="O62" t="str">
            <v/>
          </cell>
          <cell r="P62">
            <v>93</v>
          </cell>
          <cell r="Q62" t="str">
            <v>EP-AG</v>
          </cell>
        </row>
        <row r="63">
          <cell r="B63" t="str">
            <v>PR-GUY</v>
          </cell>
          <cell r="C63" t="str">
            <v>Y</v>
          </cell>
          <cell r="D63" t="str">
            <v>374</v>
          </cell>
          <cell r="E63" t="str">
            <v>YR625</v>
          </cell>
          <cell r="F63">
            <v>4329</v>
          </cell>
          <cell r="G63" t="str">
            <v>8EH</v>
          </cell>
          <cell r="H63">
            <v>39612</v>
          </cell>
          <cell r="I63" t="str">
            <v>01/02/2013</v>
          </cell>
          <cell r="J63" t="str">
            <v>P-9670</v>
          </cell>
          <cell r="K63" t="str">
            <v>-7B27EB1</v>
          </cell>
          <cell r="L63">
            <v>962540</v>
          </cell>
          <cell r="M63" t="str">
            <v/>
          </cell>
          <cell r="N63" t="str">
            <v>01/02/2013</v>
          </cell>
          <cell r="O63" t="str">
            <v/>
          </cell>
          <cell r="P63">
            <v>93</v>
          </cell>
          <cell r="Q63" t="str">
            <v>EP-CL</v>
          </cell>
        </row>
        <row r="64">
          <cell r="B64" t="str">
            <v>PR-GUZ</v>
          </cell>
          <cell r="C64" t="str">
            <v>Y</v>
          </cell>
          <cell r="D64" t="str">
            <v>375</v>
          </cell>
          <cell r="E64" t="str">
            <v>YR626</v>
          </cell>
          <cell r="F64">
            <v>4353</v>
          </cell>
          <cell r="G64" t="str">
            <v>8EH</v>
          </cell>
          <cell r="H64">
            <v>39613</v>
          </cell>
          <cell r="I64" t="str">
            <v>21/02/2013</v>
          </cell>
          <cell r="J64" t="str">
            <v>P-9688</v>
          </cell>
          <cell r="K64" t="str">
            <v>-7B27EB1</v>
          </cell>
          <cell r="L64">
            <v>962550</v>
          </cell>
          <cell r="M64" t="str">
            <v/>
          </cell>
          <cell r="N64" t="str">
            <v>21/02/2013</v>
          </cell>
          <cell r="O64" t="str">
            <v/>
          </cell>
          <cell r="P64">
            <v>93</v>
          </cell>
          <cell r="Q64" t="str">
            <v>FR-AC</v>
          </cell>
        </row>
        <row r="65">
          <cell r="B65" t="str">
            <v>PR-GXA</v>
          </cell>
          <cell r="C65" t="str">
            <v>Y</v>
          </cell>
          <cell r="D65" t="str">
            <v>377</v>
          </cell>
          <cell r="E65" t="str">
            <v>YR628</v>
          </cell>
          <cell r="F65">
            <v>4387</v>
          </cell>
          <cell r="G65" t="str">
            <v>8EH</v>
          </cell>
          <cell r="H65">
            <v>39614</v>
          </cell>
          <cell r="I65" t="str">
            <v>25/03/2013</v>
          </cell>
          <cell r="J65" t="str">
            <v>P-9728</v>
          </cell>
          <cell r="K65" t="str">
            <v>-7B22E</v>
          </cell>
          <cell r="L65">
            <v>962661</v>
          </cell>
          <cell r="M65" t="str">
            <v/>
          </cell>
          <cell r="N65" t="str">
            <v>25/03/2013</v>
          </cell>
          <cell r="O65" t="str">
            <v/>
          </cell>
          <cell r="P65">
            <v>93</v>
          </cell>
          <cell r="Q65" t="str">
            <v>BR-CQ</v>
          </cell>
        </row>
        <row r="66">
          <cell r="B66" t="str">
            <v>PR-GXB</v>
          </cell>
          <cell r="C66" t="str">
            <v>Y</v>
          </cell>
          <cell r="D66" t="str">
            <v>376</v>
          </cell>
          <cell r="E66" t="str">
            <v>YR627</v>
          </cell>
          <cell r="F66">
            <v>4382</v>
          </cell>
          <cell r="G66" t="str">
            <v>8EH</v>
          </cell>
          <cell r="H66">
            <v>39615</v>
          </cell>
          <cell r="I66" t="str">
            <v>22/03/2013</v>
          </cell>
          <cell r="J66" t="str">
            <v>P-9731</v>
          </cell>
          <cell r="K66" t="str">
            <v>-7B27EB1</v>
          </cell>
          <cell r="L66">
            <v>962656</v>
          </cell>
          <cell r="M66" t="str">
            <v/>
          </cell>
          <cell r="N66" t="str">
            <v>22/03/2013</v>
          </cell>
          <cell r="O66" t="str">
            <v/>
          </cell>
          <cell r="P66">
            <v>93</v>
          </cell>
          <cell r="Q66" t="str">
            <v>DS-LP</v>
          </cell>
        </row>
        <row r="67">
          <cell r="B67" t="str">
            <v>PR-GXC</v>
          </cell>
          <cell r="C67" t="str">
            <v>Y</v>
          </cell>
          <cell r="D67" t="str">
            <v>378</v>
          </cell>
          <cell r="E67" t="str">
            <v>YR629</v>
          </cell>
          <cell r="F67">
            <v>4432</v>
          </cell>
          <cell r="G67" t="str">
            <v>8EH</v>
          </cell>
          <cell r="H67">
            <v>39616</v>
          </cell>
          <cell r="I67" t="str">
            <v>25/04/2013</v>
          </cell>
          <cell r="J67" t="str">
            <v>P-9775</v>
          </cell>
          <cell r="K67" t="str">
            <v>-7B24E</v>
          </cell>
          <cell r="L67">
            <v>962743</v>
          </cell>
          <cell r="M67" t="str">
            <v/>
          </cell>
          <cell r="N67" t="str">
            <v>25/04/2013</v>
          </cell>
          <cell r="O67" t="str">
            <v/>
          </cell>
          <cell r="P67">
            <v>93</v>
          </cell>
          <cell r="Q67" t="str">
            <v>EJ-BQ</v>
          </cell>
        </row>
        <row r="68">
          <cell r="B68" t="str">
            <v>PR-GXD</v>
          </cell>
          <cell r="C68" t="str">
            <v>Y</v>
          </cell>
          <cell r="D68" t="str">
            <v>379</v>
          </cell>
          <cell r="E68" t="str">
            <v>YR630</v>
          </cell>
          <cell r="F68">
            <v>4435</v>
          </cell>
          <cell r="G68" t="str">
            <v>8EH</v>
          </cell>
          <cell r="H68">
            <v>39617</v>
          </cell>
          <cell r="I68" t="str">
            <v>03/05/2013</v>
          </cell>
          <cell r="J68" t="str">
            <v>P-9780</v>
          </cell>
          <cell r="K68" t="str">
            <v>-7B27EB1</v>
          </cell>
          <cell r="L68">
            <v>962752</v>
          </cell>
          <cell r="M68" t="str">
            <v/>
          </cell>
          <cell r="N68" t="str">
            <v>03/05/2013</v>
          </cell>
          <cell r="O68" t="str">
            <v/>
          </cell>
          <cell r="P68">
            <v>93</v>
          </cell>
          <cell r="Q68" t="str">
            <v>AL-MR</v>
          </cell>
        </row>
        <row r="69">
          <cell r="B69" t="str">
            <v>PR-GXE</v>
          </cell>
          <cell r="C69" t="str">
            <v>Y</v>
          </cell>
          <cell r="D69" t="str">
            <v>380</v>
          </cell>
          <cell r="E69" t="str">
            <v>YR631</v>
          </cell>
          <cell r="F69">
            <v>4501</v>
          </cell>
          <cell r="G69" t="str">
            <v>8EH</v>
          </cell>
          <cell r="H69">
            <v>39618</v>
          </cell>
          <cell r="I69" t="str">
            <v>18/06/2013</v>
          </cell>
          <cell r="J69" t="str">
            <v>P-9853</v>
          </cell>
          <cell r="K69" t="str">
            <v>-7B22E</v>
          </cell>
          <cell r="L69">
            <v>962923</v>
          </cell>
          <cell r="M69" t="str">
            <v/>
          </cell>
          <cell r="N69" t="str">
            <v>18/06/2013</v>
          </cell>
          <cell r="O69" t="str">
            <v/>
          </cell>
          <cell r="P69">
            <v>93</v>
          </cell>
          <cell r="Q69" t="str">
            <v>CM-HS</v>
          </cell>
        </row>
        <row r="70">
          <cell r="B70" t="str">
            <v>PR-GXF</v>
          </cell>
          <cell r="C70" t="str">
            <v>Y</v>
          </cell>
          <cell r="D70" t="str">
            <v>381</v>
          </cell>
          <cell r="E70" t="str">
            <v>YR632</v>
          </cell>
          <cell r="F70">
            <v>4509</v>
          </cell>
          <cell r="G70" t="str">
            <v>8EH</v>
          </cell>
          <cell r="H70">
            <v>39619</v>
          </cell>
          <cell r="I70" t="str">
            <v>26/06/2013</v>
          </cell>
          <cell r="J70" t="str">
            <v/>
          </cell>
          <cell r="K70" t="str">
            <v>-7B27EB1</v>
          </cell>
          <cell r="L70">
            <v>962910</v>
          </cell>
          <cell r="M70" t="str">
            <v/>
          </cell>
          <cell r="N70" t="str">
            <v>26/06/2013</v>
          </cell>
          <cell r="O70" t="str">
            <v/>
          </cell>
          <cell r="P70">
            <v>93</v>
          </cell>
          <cell r="Q70" t="str">
            <v>DQ-FJ</v>
          </cell>
        </row>
        <row r="71">
          <cell r="B71" t="str">
            <v>PR-GXH</v>
          </cell>
          <cell r="C71" t="str">
            <v>Y</v>
          </cell>
          <cell r="D71" t="str">
            <v>383</v>
          </cell>
          <cell r="E71" t="str">
            <v>YR634</v>
          </cell>
          <cell r="F71">
            <v>4544</v>
          </cell>
          <cell r="G71" t="str">
            <v>8EH</v>
          </cell>
          <cell r="H71">
            <v>39621</v>
          </cell>
          <cell r="I71" t="str">
            <v>25/07/2013</v>
          </cell>
          <cell r="J71" t="str">
            <v>P-9887</v>
          </cell>
          <cell r="K71" t="str">
            <v>-7B27EB1</v>
          </cell>
          <cell r="L71">
            <v>658111</v>
          </cell>
          <cell r="M71" t="str">
            <v/>
          </cell>
          <cell r="N71" t="str">
            <v>25/07/2013</v>
          </cell>
          <cell r="O71" t="str">
            <v/>
          </cell>
          <cell r="P71">
            <v>93</v>
          </cell>
          <cell r="Q71" t="str">
            <v>BD-CM</v>
          </cell>
        </row>
        <row r="72">
          <cell r="B72" t="str">
            <v>PR-GXI</v>
          </cell>
          <cell r="C72" t="str">
            <v>Y</v>
          </cell>
          <cell r="D72" t="str">
            <v>384</v>
          </cell>
          <cell r="E72" t="str">
            <v>YR635</v>
          </cell>
          <cell r="F72">
            <v>4551</v>
          </cell>
          <cell r="G72" t="str">
            <v>8EH</v>
          </cell>
          <cell r="H72">
            <v>39622</v>
          </cell>
          <cell r="I72" t="str">
            <v>01/08/2013</v>
          </cell>
          <cell r="J72" t="str">
            <v>P-9895</v>
          </cell>
          <cell r="K72" t="str">
            <v>-7B22E</v>
          </cell>
          <cell r="L72">
            <v>658107</v>
          </cell>
          <cell r="M72" t="str">
            <v/>
          </cell>
          <cell r="N72" t="str">
            <v>01/08/2013</v>
          </cell>
          <cell r="O72" t="str">
            <v/>
          </cell>
          <cell r="P72">
            <v>93</v>
          </cell>
          <cell r="Q72" t="str">
            <v>BF-CE</v>
          </cell>
        </row>
        <row r="73">
          <cell r="B73" t="str">
            <v>PR-GXJ</v>
          </cell>
          <cell r="C73" t="str">
            <v>Y</v>
          </cell>
          <cell r="D73" t="str">
            <v>385</v>
          </cell>
          <cell r="E73" t="str">
            <v>YR636</v>
          </cell>
          <cell r="F73">
            <v>4553</v>
          </cell>
          <cell r="G73" t="str">
            <v>8EH</v>
          </cell>
          <cell r="H73">
            <v>39623</v>
          </cell>
          <cell r="I73" t="str">
            <v>13/08/2013</v>
          </cell>
          <cell r="J73" t="str">
            <v>P-9885</v>
          </cell>
          <cell r="K73" t="str">
            <v>-7B27EB1</v>
          </cell>
          <cell r="L73">
            <v>657121</v>
          </cell>
          <cell r="M73" t="str">
            <v/>
          </cell>
          <cell r="N73" t="str">
            <v>13/08/2013</v>
          </cell>
          <cell r="O73" t="str">
            <v/>
          </cell>
          <cell r="P73">
            <v>93</v>
          </cell>
          <cell r="Q73" t="str">
            <v>BH-CR</v>
          </cell>
        </row>
        <row r="74">
          <cell r="B74" t="str">
            <v>PR-GXL</v>
          </cell>
          <cell r="C74" t="str">
            <v>Y</v>
          </cell>
          <cell r="D74" t="str">
            <v>386</v>
          </cell>
          <cell r="E74" t="str">
            <v>YR637</v>
          </cell>
          <cell r="F74">
            <v>4591</v>
          </cell>
          <cell r="G74" t="str">
            <v>8EH</v>
          </cell>
          <cell r="H74">
            <v>39625</v>
          </cell>
          <cell r="I74" t="str">
            <v>04/09/2013</v>
          </cell>
          <cell r="J74" t="str">
            <v>P-9967</v>
          </cell>
          <cell r="K74" t="str">
            <v>-7B24E</v>
          </cell>
          <cell r="L74">
            <v>658211</v>
          </cell>
          <cell r="M74" t="str">
            <v/>
          </cell>
          <cell r="N74" t="str">
            <v>04/09/2013</v>
          </cell>
          <cell r="O74" t="str">
            <v/>
          </cell>
          <cell r="P74">
            <v>93</v>
          </cell>
          <cell r="Q74" t="str">
            <v>BH-MR</v>
          </cell>
        </row>
        <row r="75">
          <cell r="B75" t="str">
            <v>PR-GXM</v>
          </cell>
          <cell r="C75" t="str">
            <v>Y</v>
          </cell>
          <cell r="D75" t="str">
            <v>388</v>
          </cell>
          <cell r="E75" t="str">
            <v>YR639</v>
          </cell>
          <cell r="F75">
            <v>4713</v>
          </cell>
          <cell r="G75" t="str">
            <v>8EH</v>
          </cell>
          <cell r="H75">
            <v>39629</v>
          </cell>
          <cell r="I75" t="str">
            <v>05/12/2013</v>
          </cell>
          <cell r="J75" t="str">
            <v>P-10069</v>
          </cell>
          <cell r="K75" t="str">
            <v>-7B27EB1</v>
          </cell>
          <cell r="L75">
            <v>658446</v>
          </cell>
          <cell r="M75" t="str">
            <v/>
          </cell>
          <cell r="N75" t="str">
            <v>05/12/2013</v>
          </cell>
          <cell r="O75" t="str">
            <v/>
          </cell>
          <cell r="P75">
            <v>93</v>
          </cell>
          <cell r="Q75" t="str">
            <v>EM-JS</v>
          </cell>
        </row>
        <row r="76">
          <cell r="B76" t="str">
            <v>PR-GXN</v>
          </cell>
          <cell r="C76" t="str">
            <v>Y</v>
          </cell>
          <cell r="D76" t="str">
            <v>389</v>
          </cell>
          <cell r="E76" t="str">
            <v>YR640</v>
          </cell>
          <cell r="F76">
            <v>4741</v>
          </cell>
          <cell r="G76" t="str">
            <v>8EH</v>
          </cell>
          <cell r="H76">
            <v>39631</v>
          </cell>
          <cell r="I76" t="str">
            <v>08/01/2014</v>
          </cell>
          <cell r="J76" t="str">
            <v>P-10097</v>
          </cell>
          <cell r="K76" t="str">
            <v>-7B24E</v>
          </cell>
          <cell r="L76">
            <v>658508</v>
          </cell>
          <cell r="M76" t="str">
            <v/>
          </cell>
          <cell r="N76" t="str">
            <v>08/01/2014</v>
          </cell>
          <cell r="O76" t="str">
            <v/>
          </cell>
          <cell r="P76">
            <v>93</v>
          </cell>
          <cell r="Q76" t="str">
            <v>FR-BK</v>
          </cell>
        </row>
        <row r="77">
          <cell r="B77" t="str">
            <v>PR-GXP</v>
          </cell>
          <cell r="C77" t="str">
            <v>Y</v>
          </cell>
          <cell r="D77" t="str">
            <v>391</v>
          </cell>
          <cell r="E77" t="str">
            <v>YR642</v>
          </cell>
          <cell r="F77">
            <v>4771</v>
          </cell>
          <cell r="G77" t="str">
            <v>8EH</v>
          </cell>
          <cell r="H77">
            <v>41163</v>
          </cell>
          <cell r="I77" t="str">
            <v>29/01/2014</v>
          </cell>
          <cell r="J77" t="str">
            <v>P-10128</v>
          </cell>
          <cell r="K77" t="str">
            <v>-7B24E</v>
          </cell>
          <cell r="L77">
            <v>658570</v>
          </cell>
          <cell r="M77" t="str">
            <v/>
          </cell>
          <cell r="N77" t="str">
            <v>29/01/2014</v>
          </cell>
          <cell r="O77" t="str">
            <v/>
          </cell>
          <cell r="P77">
            <v>93</v>
          </cell>
          <cell r="Q77" t="str">
            <v>AP-BS</v>
          </cell>
        </row>
        <row r="78">
          <cell r="B78" t="str">
            <v>PR-GXQ</v>
          </cell>
          <cell r="C78" t="str">
            <v>Y</v>
          </cell>
          <cell r="D78" t="str">
            <v>392</v>
          </cell>
          <cell r="E78" t="str">
            <v>YR643</v>
          </cell>
          <cell r="F78">
            <v>4779</v>
          </cell>
          <cell r="G78" t="str">
            <v>8EH</v>
          </cell>
          <cell r="H78">
            <v>39633</v>
          </cell>
          <cell r="I78" t="str">
            <v>04/02/2014</v>
          </cell>
          <cell r="J78" t="str">
            <v>P-10138</v>
          </cell>
          <cell r="K78" t="str">
            <v>-7B26E</v>
          </cell>
          <cell r="L78">
            <v>658585</v>
          </cell>
          <cell r="M78" t="str">
            <v/>
          </cell>
          <cell r="N78" t="str">
            <v>04/02/2014</v>
          </cell>
          <cell r="O78" t="str">
            <v/>
          </cell>
          <cell r="P78">
            <v>93</v>
          </cell>
          <cell r="Q78" t="str">
            <v>BR-AQ</v>
          </cell>
        </row>
        <row r="79">
          <cell r="B79" t="str">
            <v>PR-GXR</v>
          </cell>
          <cell r="C79" t="str">
            <v>Y</v>
          </cell>
          <cell r="D79" t="str">
            <v>393</v>
          </cell>
          <cell r="E79" t="str">
            <v>YR644</v>
          </cell>
          <cell r="F79">
            <v>4801</v>
          </cell>
          <cell r="G79" t="str">
            <v>8EH</v>
          </cell>
          <cell r="H79">
            <v>39634</v>
          </cell>
          <cell r="I79" t="str">
            <v>20/02/2014</v>
          </cell>
          <cell r="J79" t="str">
            <v>P-10161</v>
          </cell>
          <cell r="K79" t="str">
            <v>-7B24E</v>
          </cell>
          <cell r="L79">
            <v>657636</v>
          </cell>
          <cell r="M79" t="str">
            <v/>
          </cell>
          <cell r="N79" t="str">
            <v>20/02/2014</v>
          </cell>
          <cell r="O79" t="str">
            <v/>
          </cell>
          <cell r="P79">
            <v>93</v>
          </cell>
          <cell r="Q79" t="str">
            <v>ER-AK</v>
          </cell>
        </row>
        <row r="80">
          <cell r="B80" t="str">
            <v>PR-GXT</v>
          </cell>
          <cell r="C80" t="str">
            <v>Y</v>
          </cell>
          <cell r="D80" t="str">
            <v>394</v>
          </cell>
          <cell r="E80" t="str">
            <v>YR645</v>
          </cell>
          <cell r="F80">
            <v>4844</v>
          </cell>
          <cell r="G80" t="str">
            <v>8EH</v>
          </cell>
          <cell r="H80">
            <v>39636</v>
          </cell>
          <cell r="I80" t="str">
            <v>27/03/2014</v>
          </cell>
          <cell r="J80" t="str">
            <v>P-10205</v>
          </cell>
          <cell r="K80" t="str">
            <v>-7B27EB1</v>
          </cell>
          <cell r="L80">
            <v>658701</v>
          </cell>
          <cell r="M80" t="str">
            <v/>
          </cell>
          <cell r="N80" t="str">
            <v>27/03/2014</v>
          </cell>
          <cell r="O80" t="str">
            <v/>
          </cell>
          <cell r="P80">
            <v>93</v>
          </cell>
          <cell r="Q80" t="str">
            <v>DG-KL</v>
          </cell>
        </row>
        <row r="81">
          <cell r="B81" t="str">
            <v>PR-GXU</v>
          </cell>
          <cell r="C81" t="str">
            <v>Y</v>
          </cell>
          <cell r="D81" t="str">
            <v>395</v>
          </cell>
          <cell r="E81" t="str">
            <v>YR646</v>
          </cell>
          <cell r="F81">
            <v>4856</v>
          </cell>
          <cell r="G81" t="str">
            <v>8EH</v>
          </cell>
          <cell r="H81">
            <v>39637</v>
          </cell>
          <cell r="I81" t="str">
            <v>04/04/2014</v>
          </cell>
          <cell r="J81" t="str">
            <v>P-10218</v>
          </cell>
          <cell r="K81" t="str">
            <v>-7B22E</v>
          </cell>
          <cell r="L81">
            <v>658734</v>
          </cell>
          <cell r="M81" t="str">
            <v/>
          </cell>
          <cell r="N81" t="str">
            <v>04/04/2014</v>
          </cell>
          <cell r="O81" t="str">
            <v/>
          </cell>
          <cell r="P81">
            <v>93</v>
          </cell>
          <cell r="Q81" t="str">
            <v>DG-LM</v>
          </cell>
        </row>
        <row r="82">
          <cell r="B82" t="str">
            <v>PR-GXV</v>
          </cell>
          <cell r="C82" t="str">
            <v>Y</v>
          </cell>
          <cell r="D82" t="str">
            <v>396</v>
          </cell>
          <cell r="E82" t="str">
            <v>YR647</v>
          </cell>
          <cell r="F82">
            <v>4931</v>
          </cell>
          <cell r="G82" t="str">
            <v>8EH</v>
          </cell>
          <cell r="H82">
            <v>39639</v>
          </cell>
          <cell r="I82" t="str">
            <v>03/06/2014</v>
          </cell>
          <cell r="J82" t="str">
            <v>P-10296</v>
          </cell>
          <cell r="K82" t="str">
            <v>-7B27EB1</v>
          </cell>
          <cell r="L82">
            <v>658879</v>
          </cell>
          <cell r="M82" t="str">
            <v/>
          </cell>
          <cell r="N82" t="str">
            <v>03/06/2014</v>
          </cell>
          <cell r="O82" t="str">
            <v/>
          </cell>
          <cell r="P82">
            <v>93</v>
          </cell>
          <cell r="Q82" t="str">
            <v>EJ-AG</v>
          </cell>
        </row>
        <row r="83">
          <cell r="B83" t="str">
            <v>PR-GXW</v>
          </cell>
          <cell r="C83" t="str">
            <v>Y</v>
          </cell>
          <cell r="D83" t="str">
            <v>397</v>
          </cell>
          <cell r="E83" t="str">
            <v>YR648</v>
          </cell>
          <cell r="F83">
            <v>4933</v>
          </cell>
          <cell r="G83" t="str">
            <v>8EH</v>
          </cell>
          <cell r="H83">
            <v>39640</v>
          </cell>
          <cell r="I83" t="str">
            <v>10/06/2014</v>
          </cell>
          <cell r="J83" t="str">
            <v>P-10295</v>
          </cell>
          <cell r="K83" t="str">
            <v>-7B27EB1</v>
          </cell>
          <cell r="L83">
            <v>658942</v>
          </cell>
          <cell r="M83" t="str">
            <v/>
          </cell>
          <cell r="N83" t="str">
            <v>10/06/2014</v>
          </cell>
          <cell r="O83" t="str">
            <v/>
          </cell>
          <cell r="P83">
            <v>93</v>
          </cell>
          <cell r="Q83" t="str">
            <v>FH-AC</v>
          </cell>
        </row>
        <row r="84">
          <cell r="B84" t="str">
            <v>PR-GXX</v>
          </cell>
          <cell r="C84" t="str">
            <v>Y</v>
          </cell>
          <cell r="D84" t="str">
            <v>398</v>
          </cell>
          <cell r="E84" t="str">
            <v>YR649</v>
          </cell>
          <cell r="F84">
            <v>5224</v>
          </cell>
          <cell r="G84" t="str">
            <v>8EH</v>
          </cell>
          <cell r="H84">
            <v>41166</v>
          </cell>
          <cell r="I84" t="str">
            <v>12/01/2015</v>
          </cell>
          <cell r="J84" t="str">
            <v>P-10601</v>
          </cell>
          <cell r="K84" t="str">
            <v>-7B27EB1</v>
          </cell>
          <cell r="L84">
            <v>660630</v>
          </cell>
          <cell r="M84" t="str">
            <v/>
          </cell>
          <cell r="N84" t="str">
            <v>12/01/2015</v>
          </cell>
          <cell r="O84" t="str">
            <v/>
          </cell>
          <cell r="P84">
            <v>93</v>
          </cell>
          <cell r="Q84" t="str">
            <v>FR-CM</v>
          </cell>
        </row>
        <row r="85">
          <cell r="B85" t="str">
            <v>PR-GYA</v>
          </cell>
          <cell r="C85" t="str">
            <v>Y</v>
          </cell>
          <cell r="D85" t="str">
            <v>431</v>
          </cell>
          <cell r="E85" t="str">
            <v>YT702</v>
          </cell>
          <cell r="F85">
            <v>5477</v>
          </cell>
          <cell r="G85" t="str">
            <v>8EH</v>
          </cell>
          <cell r="H85">
            <v>41170</v>
          </cell>
          <cell r="I85" t="str">
            <v>30/09/2015</v>
          </cell>
          <cell r="J85" t="str">
            <v>P-10863</v>
          </cell>
          <cell r="K85" t="str">
            <v>-7B27EB1</v>
          </cell>
          <cell r="L85">
            <v>862245</v>
          </cell>
          <cell r="M85" t="str">
            <v/>
          </cell>
          <cell r="N85" t="str">
            <v>30/09/2015</v>
          </cell>
          <cell r="O85" t="str">
            <v/>
          </cell>
          <cell r="P85">
            <v>93</v>
          </cell>
          <cell r="Q85" t="str">
            <v>ER-LM</v>
          </cell>
        </row>
        <row r="86">
          <cell r="B86" t="str">
            <v>PR-GYD</v>
          </cell>
          <cell r="C86" t="str">
            <v>Y</v>
          </cell>
          <cell r="D86" t="str">
            <v>434</v>
          </cell>
          <cell r="E86" t="str">
            <v>YT705</v>
          </cell>
          <cell r="F86">
            <v>5757</v>
          </cell>
          <cell r="G86" t="str">
            <v>8EH</v>
          </cell>
          <cell r="H86">
            <v>41467</v>
          </cell>
          <cell r="I86" t="str">
            <v>30/01/2016</v>
          </cell>
          <cell r="J86" t="str">
            <v>P-11159</v>
          </cell>
          <cell r="K86" t="str">
            <v>-7B27EB1</v>
          </cell>
          <cell r="L86">
            <v>862836</v>
          </cell>
          <cell r="M86" t="str">
            <v/>
          </cell>
          <cell r="N86" t="str">
            <v>28/01/2016</v>
          </cell>
          <cell r="O86" t="str">
            <v/>
          </cell>
          <cell r="P86">
            <v>93</v>
          </cell>
          <cell r="Q86" t="str">
            <v>DH-EF</v>
          </cell>
        </row>
        <row r="87">
          <cell r="B87" t="str">
            <v>PR-GZH</v>
          </cell>
          <cell r="C87" t="str">
            <v>Y</v>
          </cell>
          <cell r="D87" t="str">
            <v>&amp;#160;430</v>
          </cell>
          <cell r="E87" t="str">
            <v>YT602</v>
          </cell>
          <cell r="F87">
            <v>5054</v>
          </cell>
          <cell r="G87" t="str">
            <v>85R</v>
          </cell>
          <cell r="H87">
            <v>42800</v>
          </cell>
          <cell r="I87" t="str">
            <v>28/05/2019</v>
          </cell>
          <cell r="J87" t="str">
            <v>P-7682</v>
          </cell>
          <cell r="K87" t="str">
            <v>-7B22E</v>
          </cell>
          <cell r="L87">
            <v>660265</v>
          </cell>
          <cell r="M87" t="str">
            <v/>
          </cell>
          <cell r="N87" t="str">
            <v>26/08/2014</v>
          </cell>
          <cell r="O87" t="str">
            <v>ORIX</v>
          </cell>
          <cell r="P87">
            <v>93</v>
          </cell>
          <cell r="Q87" t="str">
            <v>PQ-BK</v>
          </cell>
        </row>
        <row r="88">
          <cell r="B88" t="str">
            <v>PR-GZI</v>
          </cell>
          <cell r="C88" t="str">
            <v>Y</v>
          </cell>
          <cell r="D88" t="str">
            <v>399</v>
          </cell>
          <cell r="E88" t="str">
            <v>YR528</v>
          </cell>
          <cell r="F88">
            <v>4111</v>
          </cell>
          <cell r="G88" t="str">
            <v>86J</v>
          </cell>
          <cell r="H88">
            <v>38029</v>
          </cell>
          <cell r="I88" t="str">
            <v>28/05/2019</v>
          </cell>
          <cell r="J88" t="str">
            <v>P-6088</v>
          </cell>
          <cell r="K88" t="str">
            <v>-7B26E</v>
          </cell>
          <cell r="L88">
            <v>960989</v>
          </cell>
          <cell r="M88" t="str">
            <v/>
          </cell>
          <cell r="N88" t="str">
            <v>20/07/2012</v>
          </cell>
          <cell r="O88" t="str">
            <v>ORIX</v>
          </cell>
          <cell r="P88">
            <v>93</v>
          </cell>
          <cell r="Q88" t="str">
            <v>PQ-BH</v>
          </cell>
        </row>
        <row r="89">
          <cell r="B89" t="str">
            <v>PR-GZV</v>
          </cell>
          <cell r="C89" t="str">
            <v>Y</v>
          </cell>
          <cell r="D89" t="str">
            <v/>
          </cell>
          <cell r="E89" t="str">
            <v>YF703</v>
          </cell>
          <cell r="F89">
            <v>3053</v>
          </cell>
          <cell r="G89" t="str">
            <v>8KN</v>
          </cell>
          <cell r="H89">
            <v>40235</v>
          </cell>
          <cell r="I89" t="str">
            <v>20/10/2019</v>
          </cell>
          <cell r="J89" t="str">
            <v>P-8347</v>
          </cell>
          <cell r="K89" t="str">
            <v>-7B22-3</v>
          </cell>
          <cell r="L89">
            <v>802376</v>
          </cell>
          <cell r="M89" t="str">
            <v/>
          </cell>
          <cell r="N89" t="str">
            <v>06/10/2009</v>
          </cell>
          <cell r="O89" t="str">
            <v/>
          </cell>
          <cell r="P89">
            <v>93</v>
          </cell>
          <cell r="Q89" t="str">
            <v>AC-LP</v>
          </cell>
        </row>
        <row r="90">
          <cell r="B90" t="str">
            <v>PR-VBF</v>
          </cell>
          <cell r="C90" t="str">
            <v>Y</v>
          </cell>
          <cell r="D90" t="str">
            <v>332</v>
          </cell>
          <cell r="E90" t="str">
            <v>YK761</v>
          </cell>
          <cell r="F90">
            <v>2716</v>
          </cell>
          <cell r="G90" t="str">
            <v>8EH</v>
          </cell>
          <cell r="H90">
            <v>34276</v>
          </cell>
          <cell r="I90" t="str">
            <v>27/08/2008</v>
          </cell>
          <cell r="J90" t="str">
            <v>P-7987</v>
          </cell>
          <cell r="K90" t="str">
            <v>-7B24-3</v>
          </cell>
          <cell r="L90">
            <v>896728</v>
          </cell>
          <cell r="M90" t="str">
            <v/>
          </cell>
          <cell r="N90" t="str">
            <v>27/08/2008</v>
          </cell>
          <cell r="O90" t="str">
            <v>GY AVIATION</v>
          </cell>
          <cell r="P90">
            <v>93</v>
          </cell>
          <cell r="Q90" t="str">
            <v>BL-PR</v>
          </cell>
        </row>
        <row r="91">
          <cell r="B91" t="str">
            <v>PR-VBG</v>
          </cell>
          <cell r="C91" t="str">
            <v>Y</v>
          </cell>
          <cell r="D91" t="str">
            <v>331</v>
          </cell>
          <cell r="E91" t="str">
            <v>YK760</v>
          </cell>
          <cell r="F91">
            <v>2700</v>
          </cell>
          <cell r="G91" t="str">
            <v>8EH</v>
          </cell>
          <cell r="H91">
            <v>35066</v>
          </cell>
          <cell r="I91" t="str">
            <v>27/08/2008</v>
          </cell>
          <cell r="J91" t="str">
            <v>P-7971</v>
          </cell>
          <cell r="K91" t="str">
            <v>-7B24-3</v>
          </cell>
          <cell r="L91">
            <v>896795</v>
          </cell>
          <cell r="M91" t="str">
            <v/>
          </cell>
          <cell r="N91" t="str">
            <v>27/08/2008</v>
          </cell>
          <cell r="O91" t="str">
            <v>GECAS</v>
          </cell>
          <cell r="P91">
            <v>93</v>
          </cell>
          <cell r="Q91" t="str">
            <v>AS-LR</v>
          </cell>
        </row>
        <row r="92">
          <cell r="B92" t="str">
            <v>PR-VBK</v>
          </cell>
          <cell r="C92" t="str">
            <v>Y</v>
          </cell>
          <cell r="D92" t="str">
            <v>322</v>
          </cell>
          <cell r="E92" t="str">
            <v>YK751</v>
          </cell>
          <cell r="F92">
            <v>2445</v>
          </cell>
          <cell r="G92" t="str">
            <v>8EH</v>
          </cell>
          <cell r="H92">
            <v>34271</v>
          </cell>
          <cell r="I92" t="str">
            <v>30/11/2007</v>
          </cell>
          <cell r="J92" t="str">
            <v>P-7685</v>
          </cell>
          <cell r="K92" t="str">
            <v>-7B24-3</v>
          </cell>
          <cell r="L92">
            <v>896126</v>
          </cell>
          <cell r="M92" t="str">
            <v/>
          </cell>
          <cell r="N92" t="str">
            <v>10/09/2007</v>
          </cell>
          <cell r="O92" t="str">
            <v/>
          </cell>
          <cell r="P92">
            <v>93</v>
          </cell>
          <cell r="Q92" t="str">
            <v>EF-CK</v>
          </cell>
        </row>
        <row r="93">
          <cell r="B93" t="str">
            <v>PR-VBL</v>
          </cell>
          <cell r="C93" t="str">
            <v>Y</v>
          </cell>
          <cell r="D93" t="str">
            <v>323</v>
          </cell>
          <cell r="E93" t="str">
            <v>YK752</v>
          </cell>
          <cell r="F93">
            <v>2449</v>
          </cell>
          <cell r="G93" t="str">
            <v>8EH</v>
          </cell>
          <cell r="H93">
            <v>34272</v>
          </cell>
          <cell r="I93" t="str">
            <v>29/11/2007</v>
          </cell>
          <cell r="J93" t="str">
            <v>P-7695</v>
          </cell>
          <cell r="K93" t="str">
            <v>-7B22-3</v>
          </cell>
          <cell r="L93">
            <v>896131</v>
          </cell>
          <cell r="M93" t="str">
            <v/>
          </cell>
          <cell r="N93" t="str">
            <v>29/11/2007</v>
          </cell>
          <cell r="O93" t="str">
            <v>INVESTEC</v>
          </cell>
          <cell r="P93">
            <v>93</v>
          </cell>
          <cell r="Q93" t="str">
            <v>FJ-CM</v>
          </cell>
        </row>
        <row r="94">
          <cell r="B94" t="str">
            <v>PS-GFA</v>
          </cell>
          <cell r="C94" t="str">
            <v>Y</v>
          </cell>
          <cell r="D94" t="str">
            <v>316</v>
          </cell>
          <cell r="E94" t="str">
            <v>YK736</v>
          </cell>
          <cell r="F94">
            <v>2341</v>
          </cell>
          <cell r="G94" t="str">
            <v>8EH</v>
          </cell>
          <cell r="H94">
            <v>34965</v>
          </cell>
          <cell r="I94" t="str">
            <v>09/08/2007</v>
          </cell>
          <cell r="J94" t="str">
            <v>P-7578</v>
          </cell>
          <cell r="K94" t="str">
            <v>-7B22</v>
          </cell>
          <cell r="L94">
            <v>888733</v>
          </cell>
          <cell r="M94" t="str">
            <v/>
          </cell>
          <cell r="N94" t="str">
            <v>09/08/2007</v>
          </cell>
          <cell r="O94" t="str">
            <v>AERCAP</v>
          </cell>
          <cell r="P94">
            <v>93</v>
          </cell>
          <cell r="Q94" t="str">
            <v>EL-KS</v>
          </cell>
        </row>
        <row r="95">
          <cell r="B95" t="str">
            <v>PS-GFB</v>
          </cell>
          <cell r="C95" t="str">
            <v>Y</v>
          </cell>
          <cell r="D95" t="str">
            <v>306</v>
          </cell>
          <cell r="E95" t="str">
            <v>YK726</v>
          </cell>
          <cell r="F95">
            <v>2061</v>
          </cell>
          <cell r="G95" t="str">
            <v>8EH</v>
          </cell>
          <cell r="H95">
            <v>34279</v>
          </cell>
          <cell r="I95" t="str">
            <v>14/09/2022</v>
          </cell>
          <cell r="J95" t="str">
            <v>P-7261</v>
          </cell>
          <cell r="K95" t="str">
            <v/>
          </cell>
          <cell r="L95" t="str">
            <v/>
          </cell>
          <cell r="M95" t="str">
            <v/>
          </cell>
          <cell r="N95" t="str">
            <v>29/09/2006</v>
          </cell>
          <cell r="O95" t="str">
            <v>AERCAP</v>
          </cell>
          <cell r="P95">
            <v>93</v>
          </cell>
          <cell r="Q95" t="str">
            <v>CG-FS</v>
          </cell>
        </row>
        <row r="96">
          <cell r="B96" t="str">
            <v>PS-GFC</v>
          </cell>
          <cell r="C96" t="str">
            <v>Y</v>
          </cell>
          <cell r="D96" t="str">
            <v>317</v>
          </cell>
          <cell r="E96" t="str">
            <v>YK737</v>
          </cell>
          <cell r="F96">
            <v>2358</v>
          </cell>
          <cell r="G96" t="str">
            <v>8EH</v>
          </cell>
          <cell r="H96">
            <v>36146</v>
          </cell>
          <cell r="I96" t="str">
            <v>27/08/2007</v>
          </cell>
          <cell r="J96" t="str">
            <v>P-7553</v>
          </cell>
          <cell r="K96" t="str">
            <v>-7B27-3B1</v>
          </cell>
          <cell r="L96">
            <v>894801</v>
          </cell>
          <cell r="M96" t="str">
            <v/>
          </cell>
          <cell r="N96" t="str">
            <v>27/08/2007</v>
          </cell>
          <cell r="O96" t="str">
            <v>EXIM</v>
          </cell>
          <cell r="P96">
            <v>93</v>
          </cell>
          <cell r="Q96" t="str">
            <v>EM-LQ</v>
          </cell>
        </row>
        <row r="97">
          <cell r="B97" t="str">
            <v>PS-GFD</v>
          </cell>
          <cell r="C97" t="str">
            <v>Y</v>
          </cell>
          <cell r="D97" t="str">
            <v>329</v>
          </cell>
          <cell r="E97" t="str">
            <v>YK758</v>
          </cell>
          <cell r="F97">
            <v>2588</v>
          </cell>
          <cell r="G97" t="str">
            <v>8EH</v>
          </cell>
          <cell r="H97">
            <v>34275</v>
          </cell>
          <cell r="I97" t="str">
            <v>24/04/2008</v>
          </cell>
          <cell r="J97" t="str">
            <v/>
          </cell>
          <cell r="K97" t="str">
            <v>-7B24-3</v>
          </cell>
          <cell r="L97">
            <v>896461</v>
          </cell>
          <cell r="M97" t="str">
            <v/>
          </cell>
          <cell r="N97" t="str">
            <v>24/04/2008</v>
          </cell>
          <cell r="O97" t="str">
            <v>EXIM</v>
          </cell>
          <cell r="P97">
            <v>93</v>
          </cell>
          <cell r="Q97" t="str">
            <v>DF-CK</v>
          </cell>
        </row>
        <row r="98">
          <cell r="B98" t="str">
            <v>PS-GFE</v>
          </cell>
          <cell r="C98" t="str">
            <v>Y</v>
          </cell>
          <cell r="D98" t="str">
            <v>315</v>
          </cell>
          <cell r="E98" t="str">
            <v>YK735</v>
          </cell>
          <cell r="F98">
            <v>2332</v>
          </cell>
          <cell r="G98" t="str">
            <v>8EH</v>
          </cell>
          <cell r="H98">
            <v>34964</v>
          </cell>
          <cell r="I98" t="str">
            <v>26/07/2007</v>
          </cell>
          <cell r="J98" t="str">
            <v>P-7570</v>
          </cell>
          <cell r="K98" t="str">
            <v>-7B27-3B1</v>
          </cell>
          <cell r="L98">
            <v>894761</v>
          </cell>
          <cell r="M98" t="str">
            <v/>
          </cell>
          <cell r="N98" t="str">
            <v>26/07/2007</v>
          </cell>
          <cell r="O98" t="str">
            <v>EXIM</v>
          </cell>
          <cell r="P98">
            <v>93</v>
          </cell>
          <cell r="Q98" t="str">
            <v>EK-HR</v>
          </cell>
        </row>
        <row r="99">
          <cell r="B99" t="str">
            <v>PS-GFF</v>
          </cell>
          <cell r="C99" t="str">
            <v>Y</v>
          </cell>
          <cell r="D99" t="str">
            <v>328</v>
          </cell>
          <cell r="E99" t="str">
            <v>YK757</v>
          </cell>
          <cell r="F99">
            <v>2561</v>
          </cell>
          <cell r="G99" t="str">
            <v>8EH</v>
          </cell>
          <cell r="H99">
            <v>35065</v>
          </cell>
          <cell r="I99" t="str">
            <v>03/04/2008</v>
          </cell>
          <cell r="J99" t="str">
            <v>P-7826</v>
          </cell>
          <cell r="K99" t="str">
            <v>-7B27-3B1</v>
          </cell>
          <cell r="L99">
            <v>897360</v>
          </cell>
          <cell r="M99" t="str">
            <v/>
          </cell>
          <cell r="N99" t="str">
            <v>03/04/2008</v>
          </cell>
          <cell r="O99" t="str">
            <v>EXIM</v>
          </cell>
          <cell r="P99">
            <v>93</v>
          </cell>
          <cell r="Q99" t="str">
            <v>DF-BL</v>
          </cell>
        </row>
        <row r="100">
          <cell r="B100" t="str">
            <v>PR-XMA</v>
          </cell>
          <cell r="C100" t="str">
            <v>Y</v>
          </cell>
          <cell r="D100" t="str">
            <v>001</v>
          </cell>
          <cell r="E100" t="str">
            <v>1B801</v>
          </cell>
          <cell r="F100">
            <v>6978</v>
          </cell>
          <cell r="G100" t="str">
            <v>MAX</v>
          </cell>
          <cell r="H100">
            <v>43986</v>
          </cell>
          <cell r="I100" t="str">
            <v>28/06/2018</v>
          </cell>
          <cell r="J100" t="str">
            <v>P-12396</v>
          </cell>
          <cell r="K100" t="str">
            <v>1B27</v>
          </cell>
          <cell r="L100">
            <v>602452</v>
          </cell>
          <cell r="M100" t="str">
            <v/>
          </cell>
          <cell r="N100" t="str">
            <v>28/06/2018</v>
          </cell>
          <cell r="O100" t="str">
            <v>&amp; SERVICES INC. - AWAS</v>
          </cell>
          <cell r="P100">
            <v>93</v>
          </cell>
          <cell r="Q100" t="str">
            <v>GM-AC</v>
          </cell>
        </row>
        <row r="101">
          <cell r="B101" t="str">
            <v>PR-XMB</v>
          </cell>
          <cell r="C101" t="str">
            <v>Y</v>
          </cell>
          <cell r="D101" t="str">
            <v>002</v>
          </cell>
          <cell r="E101" t="str">
            <v>1B802</v>
          </cell>
          <cell r="F101">
            <v>7079</v>
          </cell>
          <cell r="G101" t="str">
            <v>MAX</v>
          </cell>
          <cell r="H101">
            <v>43987</v>
          </cell>
          <cell r="I101" t="str">
            <v>20/08/2018</v>
          </cell>
          <cell r="J101" t="str">
            <v>P-12513</v>
          </cell>
          <cell r="K101" t="str">
            <v>1B28</v>
          </cell>
          <cell r="L101">
            <v>602542</v>
          </cell>
          <cell r="M101" t="str">
            <v/>
          </cell>
          <cell r="N101" t="str">
            <v>20/08/2018</v>
          </cell>
          <cell r="O101" t="str">
            <v>&amp; SERVICES INC. - AWAS</v>
          </cell>
          <cell r="P101">
            <v>93</v>
          </cell>
          <cell r="Q101" t="str">
            <v>GM-AB</v>
          </cell>
        </row>
        <row r="102">
          <cell r="B102" t="str">
            <v>PR-XMC</v>
          </cell>
          <cell r="C102" t="str">
            <v>Y</v>
          </cell>
          <cell r="D102" t="str">
            <v>003</v>
          </cell>
          <cell r="E102" t="str">
            <v>1B803</v>
          </cell>
          <cell r="F102">
            <v>7178</v>
          </cell>
          <cell r="G102" t="str">
            <v>MAX</v>
          </cell>
          <cell r="H102">
            <v>43989</v>
          </cell>
          <cell r="I102" t="str">
            <v>09/10/2018</v>
          </cell>
          <cell r="J102" t="str">
            <v>P-12616</v>
          </cell>
          <cell r="K102" t="str">
            <v>1B28B1</v>
          </cell>
          <cell r="L102">
            <v>602619</v>
          </cell>
          <cell r="M102" t="str">
            <v/>
          </cell>
          <cell r="N102" t="str">
            <v>09/10/2018</v>
          </cell>
          <cell r="O102" t="str">
            <v>&amp; SERVICES INC. - AWAS</v>
          </cell>
          <cell r="P102">
            <v>93</v>
          </cell>
          <cell r="Q102" t="str">
            <v>AM-FP</v>
          </cell>
        </row>
        <row r="103">
          <cell r="B103" t="str">
            <v>PR-XMD</v>
          </cell>
          <cell r="C103" t="str">
            <v>Y</v>
          </cell>
          <cell r="D103" t="str">
            <v>005</v>
          </cell>
          <cell r="E103" t="str">
            <v>1B804</v>
          </cell>
          <cell r="F103">
            <v>7205</v>
          </cell>
          <cell r="G103" t="str">
            <v>MAX</v>
          </cell>
          <cell r="H103">
            <v>43988</v>
          </cell>
          <cell r="I103" t="str">
            <v>30/11/2018</v>
          </cell>
          <cell r="J103" t="str">
            <v>P-12645</v>
          </cell>
          <cell r="K103" t="str">
            <v>1B28B1</v>
          </cell>
          <cell r="L103">
            <v>602758</v>
          </cell>
          <cell r="M103" t="str">
            <v/>
          </cell>
          <cell r="N103" t="str">
            <v>30/11/2018</v>
          </cell>
          <cell r="O103" t="str">
            <v>&amp; SERVICES INC. - AWAS</v>
          </cell>
          <cell r="P103">
            <v>93</v>
          </cell>
          <cell r="Q103" t="str">
            <v>AD-GJ</v>
          </cell>
        </row>
        <row r="104">
          <cell r="B104" t="str">
            <v>PR-XME</v>
          </cell>
          <cell r="C104" t="str">
            <v>Y</v>
          </cell>
          <cell r="D104" t="str">
            <v>004</v>
          </cell>
          <cell r="E104" t="str">
            <v>1B401</v>
          </cell>
          <cell r="F104">
            <v>7198</v>
          </cell>
          <cell r="G104" t="str">
            <v>MAX</v>
          </cell>
          <cell r="H104">
            <v>60708</v>
          </cell>
          <cell r="I104" t="str">
            <v>30/10/2018</v>
          </cell>
          <cell r="J104" t="str">
            <v>P-12640</v>
          </cell>
          <cell r="K104" t="str">
            <v>1B28</v>
          </cell>
          <cell r="L104">
            <v>602639</v>
          </cell>
          <cell r="M104" t="str">
            <v/>
          </cell>
          <cell r="N104" t="str">
            <v>30/10/2018</v>
          </cell>
          <cell r="O104" t="str">
            <v>&amp; SERVICES INC. - AWAS</v>
          </cell>
          <cell r="P104">
            <v>93</v>
          </cell>
          <cell r="Q104" t="str">
            <v>AM-PR</v>
          </cell>
        </row>
        <row r="105">
          <cell r="B105" t="str">
            <v>PR-XMF</v>
          </cell>
          <cell r="C105" t="str">
            <v>Y</v>
          </cell>
          <cell r="D105" t="str">
            <v>006</v>
          </cell>
          <cell r="E105" t="str">
            <v>1B805</v>
          </cell>
          <cell r="F105">
            <v>7245</v>
          </cell>
          <cell r="G105" t="str">
            <v>MAX</v>
          </cell>
          <cell r="H105">
            <v>43990</v>
          </cell>
          <cell r="I105" t="str">
            <v>20/12/2018</v>
          </cell>
          <cell r="J105" t="str">
            <v>P-12686</v>
          </cell>
          <cell r="K105" t="str">
            <v>1B28</v>
          </cell>
          <cell r="L105">
            <v>602826</v>
          </cell>
          <cell r="M105" t="str">
            <v/>
          </cell>
          <cell r="N105" t="str">
            <v>20/12/2018</v>
          </cell>
          <cell r="O105" t="str">
            <v>&amp; SERVICES INC. - AWAS</v>
          </cell>
          <cell r="P105">
            <v>93</v>
          </cell>
          <cell r="Q105" t="str">
            <v>AD-GK</v>
          </cell>
        </row>
        <row r="106">
          <cell r="B106" t="str">
            <v>PR-XMG</v>
          </cell>
          <cell r="C106" t="str">
            <v>Y</v>
          </cell>
          <cell r="D106" t="str">
            <v>007</v>
          </cell>
          <cell r="E106" t="str">
            <v>1B806</v>
          </cell>
          <cell r="F106">
            <v>7350</v>
          </cell>
          <cell r="G106" t="str">
            <v>MAX</v>
          </cell>
          <cell r="H106">
            <v>43991</v>
          </cell>
          <cell r="I106" t="str">
            <v>30/01/2019</v>
          </cell>
          <cell r="J106" t="str">
            <v>P-12797</v>
          </cell>
          <cell r="K106" t="str">
            <v>1B28B1</v>
          </cell>
          <cell r="L106">
            <v>602873</v>
          </cell>
          <cell r="M106" t="str">
            <v/>
          </cell>
          <cell r="N106" t="str">
            <v>30/01/2019</v>
          </cell>
          <cell r="O106" t="str">
            <v>&amp; SERVICES INC. - AWAS</v>
          </cell>
          <cell r="P106">
            <v>93</v>
          </cell>
          <cell r="Q106" t="str">
            <v>AD-GM</v>
          </cell>
        </row>
        <row r="107">
          <cell r="B107" t="str">
            <v>PR-XMH</v>
          </cell>
          <cell r="C107" t="str">
            <v>Y</v>
          </cell>
          <cell r="D107" t="str">
            <v>008</v>
          </cell>
          <cell r="E107" t="str">
            <v>1B807</v>
          </cell>
          <cell r="F107">
            <v>7495</v>
          </cell>
          <cell r="G107" t="str">
            <v>MAX</v>
          </cell>
          <cell r="H107">
            <v>43993</v>
          </cell>
          <cell r="I107" t="str">
            <v>21/01/2022</v>
          </cell>
          <cell r="J107" t="str">
            <v>P-12971</v>
          </cell>
          <cell r="K107" t="str">
            <v>1B28</v>
          </cell>
          <cell r="L107">
            <v>603154</v>
          </cell>
          <cell r="M107" t="str">
            <v/>
          </cell>
          <cell r="N107" t="str">
            <v>21/01/2022</v>
          </cell>
          <cell r="O107" t="str">
            <v/>
          </cell>
          <cell r="P107">
            <v>93</v>
          </cell>
          <cell r="Q107" t="str">
            <v>AH-BJ</v>
          </cell>
        </row>
        <row r="108">
          <cell r="B108" t="str">
            <v>PR-XMI</v>
          </cell>
          <cell r="C108" t="str">
            <v>Y</v>
          </cell>
          <cell r="D108" t="str">
            <v>010</v>
          </cell>
          <cell r="E108" t="str">
            <v>1B808</v>
          </cell>
          <cell r="F108">
            <v>7626</v>
          </cell>
          <cell r="G108" t="str">
            <v>MAX</v>
          </cell>
          <cell r="H108">
            <v>43994</v>
          </cell>
          <cell r="I108" t="str">
            <v>01/02/2022</v>
          </cell>
          <cell r="J108" t="str">
            <v>P-13100</v>
          </cell>
          <cell r="K108" t="str">
            <v>1B28</v>
          </cell>
          <cell r="L108">
            <v>603139</v>
          </cell>
          <cell r="M108" t="str">
            <v/>
          </cell>
          <cell r="N108" t="str">
            <v>01/02/2022</v>
          </cell>
          <cell r="O108" t="str">
            <v/>
          </cell>
          <cell r="P108">
            <v>93</v>
          </cell>
          <cell r="Q108" t="str">
            <v>AP-LM</v>
          </cell>
        </row>
        <row r="109">
          <cell r="B109" t="str">
            <v>PR-XMJ</v>
          </cell>
          <cell r="C109" t="str">
            <v>Y</v>
          </cell>
          <cell r="D109" t="str">
            <v>009</v>
          </cell>
          <cell r="E109" t="str">
            <v>1B402</v>
          </cell>
          <cell r="F109">
            <v>7608</v>
          </cell>
          <cell r="G109" t="str">
            <v>MAX</v>
          </cell>
          <cell r="H109">
            <v>60715</v>
          </cell>
          <cell r="I109" t="str">
            <v>02/12/2021</v>
          </cell>
          <cell r="J109" t="str">
            <v>P-13078</v>
          </cell>
          <cell r="K109" t="str">
            <v>1B27</v>
          </cell>
          <cell r="L109">
            <v>603099</v>
          </cell>
          <cell r="M109" t="str">
            <v/>
          </cell>
          <cell r="N109" t="str">
            <v>02/12/2021</v>
          </cell>
          <cell r="O109" t="str">
            <v/>
          </cell>
          <cell r="P109">
            <v>93</v>
          </cell>
          <cell r="Q109" t="str">
            <v>AP-JM</v>
          </cell>
        </row>
        <row r="110">
          <cell r="B110" t="str">
            <v>PR-XMK</v>
          </cell>
          <cell r="C110" t="str">
            <v>Y</v>
          </cell>
          <cell r="D110" t="str">
            <v>011</v>
          </cell>
          <cell r="E110" t="str">
            <v>1B809</v>
          </cell>
          <cell r="F110">
            <v>7670</v>
          </cell>
          <cell r="G110" t="str">
            <v>MAX</v>
          </cell>
          <cell r="H110">
            <v>43995</v>
          </cell>
          <cell r="I110" t="str">
            <v>19/04/2022</v>
          </cell>
          <cell r="J110" t="str">
            <v>P-13147</v>
          </cell>
          <cell r="K110" t="str">
            <v>1B28</v>
          </cell>
          <cell r="L110">
            <v>603433</v>
          </cell>
          <cell r="M110" t="str">
            <v/>
          </cell>
          <cell r="N110" t="str">
            <v>19/04/2022</v>
          </cell>
          <cell r="O110" t="str">
            <v/>
          </cell>
          <cell r="P110">
            <v>93</v>
          </cell>
          <cell r="Q110" t="str">
            <v>AS-ER</v>
          </cell>
        </row>
        <row r="111">
          <cell r="B111" t="str">
            <v>PR-XML</v>
          </cell>
          <cell r="C111" t="str">
            <v>Y</v>
          </cell>
          <cell r="D111" t="str">
            <v>012</v>
          </cell>
          <cell r="E111" t="str">
            <v>1B810</v>
          </cell>
          <cell r="F111">
            <v>7712</v>
          </cell>
          <cell r="G111" t="str">
            <v>MAX</v>
          </cell>
          <cell r="H111">
            <v>43996</v>
          </cell>
          <cell r="I111" t="str">
            <v>17/03/2022</v>
          </cell>
          <cell r="J111" t="str">
            <v>P-13582</v>
          </cell>
          <cell r="K111" t="str">
            <v>1B28</v>
          </cell>
          <cell r="L111">
            <v>603351</v>
          </cell>
          <cell r="M111" t="str">
            <v/>
          </cell>
          <cell r="N111" t="str">
            <v>17/03/2022</v>
          </cell>
          <cell r="O111" t="str">
            <v/>
          </cell>
          <cell r="P111">
            <v>93</v>
          </cell>
          <cell r="Q111" t="str">
            <v>BL-FJ</v>
          </cell>
        </row>
        <row r="112">
          <cell r="B112" t="str">
            <v>PR-XMM</v>
          </cell>
          <cell r="C112" t="str">
            <v>Y</v>
          </cell>
          <cell r="D112" t="str">
            <v>013</v>
          </cell>
          <cell r="E112" t="str">
            <v>1B811</v>
          </cell>
          <cell r="F112">
            <v>7725</v>
          </cell>
          <cell r="G112" t="str">
            <v>MAX</v>
          </cell>
          <cell r="H112">
            <v>60232</v>
          </cell>
          <cell r="I112" t="str">
            <v>25/01/2021</v>
          </cell>
          <cell r="J112" t="str">
            <v>P-13216</v>
          </cell>
          <cell r="K112" t="str">
            <v>1B27</v>
          </cell>
          <cell r="L112">
            <v>603328</v>
          </cell>
          <cell r="M112" t="str">
            <v/>
          </cell>
          <cell r="N112" t="str">
            <v>25/01/2021</v>
          </cell>
          <cell r="O112" t="str">
            <v>&amp; SERVICES INC. - AWAS</v>
          </cell>
          <cell r="P112">
            <v>93</v>
          </cell>
          <cell r="Q112" t="str">
            <v>CD-HK</v>
          </cell>
        </row>
        <row r="113">
          <cell r="B113" t="str">
            <v>PR-XMN</v>
          </cell>
          <cell r="C113" t="str">
            <v>Y</v>
          </cell>
          <cell r="D113" t="str">
            <v>014</v>
          </cell>
          <cell r="E113" t="str">
            <v>1B812</v>
          </cell>
          <cell r="F113">
            <v>7789</v>
          </cell>
          <cell r="G113" t="str">
            <v>MAX</v>
          </cell>
          <cell r="H113">
            <v>61582</v>
          </cell>
          <cell r="I113" t="str">
            <v>04/08/2021</v>
          </cell>
          <cell r="J113" t="str">
            <v>P-13281</v>
          </cell>
          <cell r="K113" t="str">
            <v>1B27</v>
          </cell>
          <cell r="L113">
            <v>603770</v>
          </cell>
          <cell r="M113" t="str">
            <v/>
          </cell>
          <cell r="N113" t="str">
            <v>04/08/2021</v>
          </cell>
          <cell r="O113" t="str">
            <v>JACKSON</v>
          </cell>
          <cell r="P113">
            <v>93</v>
          </cell>
          <cell r="Q113" t="str">
            <v>CE-MP</v>
          </cell>
        </row>
        <row r="114">
          <cell r="B114" t="str">
            <v>PR-XMO</v>
          </cell>
          <cell r="C114" t="str">
            <v>Y</v>
          </cell>
          <cell r="D114" t="str">
            <v>015</v>
          </cell>
          <cell r="E114" t="str">
            <v>1B813</v>
          </cell>
          <cell r="F114">
            <v>7808</v>
          </cell>
          <cell r="G114" t="str">
            <v>MAX</v>
          </cell>
          <cell r="H114">
            <v>61583</v>
          </cell>
          <cell r="I114" t="str">
            <v>08/06/2021</v>
          </cell>
          <cell r="J114" t="str">
            <v>P-13304</v>
          </cell>
          <cell r="K114" t="str">
            <v>1B28</v>
          </cell>
          <cell r="L114">
            <v>603806</v>
          </cell>
          <cell r="M114" t="str">
            <v/>
          </cell>
          <cell r="N114" t="str">
            <v>08/06/2021</v>
          </cell>
          <cell r="O114" t="str">
            <v>JACKSON</v>
          </cell>
          <cell r="P114">
            <v>93</v>
          </cell>
          <cell r="Q114" t="str">
            <v>CF-LM</v>
          </cell>
        </row>
        <row r="115">
          <cell r="B115" t="str">
            <v>PR-XMP</v>
          </cell>
          <cell r="C115" t="str">
            <v>Y</v>
          </cell>
          <cell r="D115" t="str">
            <v>016</v>
          </cell>
          <cell r="E115" t="str">
            <v>1B814</v>
          </cell>
          <cell r="F115">
            <v>7830</v>
          </cell>
          <cell r="G115" t="str">
            <v>MAX</v>
          </cell>
          <cell r="H115">
            <v>61584</v>
          </cell>
          <cell r="I115" t="str">
            <v>30/06/2021</v>
          </cell>
          <cell r="J115" t="str">
            <v>P-13315</v>
          </cell>
          <cell r="K115" t="str">
            <v>1B27</v>
          </cell>
          <cell r="L115">
            <v>603831</v>
          </cell>
          <cell r="M115" t="str">
            <v/>
          </cell>
          <cell r="N115" t="str">
            <v>15/06/2021</v>
          </cell>
          <cell r="O115" t="str">
            <v>BOC</v>
          </cell>
          <cell r="P115">
            <v>93</v>
          </cell>
          <cell r="Q115" t="str">
            <v>CH-DM</v>
          </cell>
        </row>
        <row r="116">
          <cell r="B116" t="str">
            <v>PR-XMQ</v>
          </cell>
          <cell r="C116" t="str">
            <v>Y</v>
          </cell>
          <cell r="D116" t="str">
            <v>018</v>
          </cell>
          <cell r="E116" t="str">
            <v>1B815</v>
          </cell>
          <cell r="F116">
            <v>7864</v>
          </cell>
          <cell r="G116" t="str">
            <v>MAX</v>
          </cell>
          <cell r="H116">
            <v>60234</v>
          </cell>
          <cell r="I116" t="str">
            <v>21/07/2021</v>
          </cell>
          <cell r="J116" t="str">
            <v>P-13371</v>
          </cell>
          <cell r="K116" t="str">
            <v>1B27</v>
          </cell>
          <cell r="L116">
            <v>603920</v>
          </cell>
          <cell r="M116" t="str">
            <v/>
          </cell>
          <cell r="N116" t="str">
            <v>21/07/2021</v>
          </cell>
          <cell r="O116" t="str">
            <v>JACKSON</v>
          </cell>
          <cell r="P116">
            <v>93</v>
          </cell>
          <cell r="Q116" t="str">
            <v>CL-AF</v>
          </cell>
        </row>
        <row r="117">
          <cell r="B117" t="str">
            <v>PR-XMR</v>
          </cell>
          <cell r="C117" t="str">
            <v>Y</v>
          </cell>
          <cell r="D117" t="str">
            <v>017</v>
          </cell>
          <cell r="E117" t="str">
            <v>1B820</v>
          </cell>
          <cell r="F117">
            <v>7850</v>
          </cell>
          <cell r="G117" t="str">
            <v>MAX</v>
          </cell>
          <cell r="H117">
            <v>60233</v>
          </cell>
          <cell r="I117" t="str">
            <v>17/08/2021</v>
          </cell>
          <cell r="J117" t="str">
            <v>P-13352</v>
          </cell>
          <cell r="K117" t="str">
            <v>1B28</v>
          </cell>
          <cell r="L117">
            <v>603848</v>
          </cell>
          <cell r="M117" t="str">
            <v/>
          </cell>
          <cell r="N117" t="str">
            <v>17/08/2021</v>
          </cell>
          <cell r="O117" t="str">
            <v>JACKSON</v>
          </cell>
          <cell r="P117">
            <v>93</v>
          </cell>
          <cell r="Q117" t="str">
            <v>CL-AH</v>
          </cell>
        </row>
        <row r="118">
          <cell r="B118" t="str">
            <v>PR-XMS</v>
          </cell>
          <cell r="C118" t="str">
            <v>Y</v>
          </cell>
          <cell r="D118" t="str">
            <v>033</v>
          </cell>
          <cell r="E118" t="str">
            <v>1B405</v>
          </cell>
          <cell r="F118">
            <v>8383</v>
          </cell>
          <cell r="G118" t="str">
            <v>MAX</v>
          </cell>
          <cell r="H118">
            <v>67772</v>
          </cell>
          <cell r="I118" t="str">
            <v>20/10/2022</v>
          </cell>
          <cell r="J118" t="str">
            <v>P-13852</v>
          </cell>
          <cell r="K118" t="str">
            <v>1B28</v>
          </cell>
          <cell r="L118" t="str">
            <v>60A766</v>
          </cell>
          <cell r="M118" t="str">
            <v/>
          </cell>
          <cell r="N118" t="str">
            <v>20/10/2022</v>
          </cell>
          <cell r="O118" t="str">
            <v/>
          </cell>
          <cell r="P118">
            <v>93</v>
          </cell>
          <cell r="Q118" t="str">
            <v>AD-FG</v>
          </cell>
        </row>
        <row r="119">
          <cell r="B119" t="str">
            <v>PR-XMT</v>
          </cell>
          <cell r="C119" t="str">
            <v>Y</v>
          </cell>
          <cell r="D119" t="str">
            <v>019</v>
          </cell>
          <cell r="E119" t="str">
            <v>1B821</v>
          </cell>
          <cell r="F119">
            <v>7896</v>
          </cell>
          <cell r="G119" t="str">
            <v>MAX</v>
          </cell>
          <cell r="H119">
            <v>60235</v>
          </cell>
          <cell r="I119" t="str">
            <v>30/09/2021</v>
          </cell>
          <cell r="J119" t="str">
            <v>P-13489</v>
          </cell>
          <cell r="K119" t="str">
            <v>1B28</v>
          </cell>
          <cell r="L119">
            <v>603569</v>
          </cell>
          <cell r="M119" t="str">
            <v/>
          </cell>
          <cell r="N119" t="str">
            <v>30/09/2021</v>
          </cell>
          <cell r="O119" t="str">
            <v>BOC</v>
          </cell>
          <cell r="P119">
            <v>93</v>
          </cell>
          <cell r="Q119" t="str">
            <v>DF-JL</v>
          </cell>
        </row>
        <row r="120">
          <cell r="B120" t="str">
            <v>PR-XMU</v>
          </cell>
          <cell r="C120" t="str">
            <v>Y</v>
          </cell>
          <cell r="D120" t="str">
            <v>029</v>
          </cell>
          <cell r="E120" t="str">
            <v>1B822</v>
          </cell>
          <cell r="F120">
            <v>7916</v>
          </cell>
          <cell r="G120" t="str">
            <v>MAX</v>
          </cell>
          <cell r="H120">
            <v>60236</v>
          </cell>
          <cell r="I120" t="str">
            <v>21/10/2021</v>
          </cell>
          <cell r="J120" t="str">
            <v>P-13625</v>
          </cell>
          <cell r="K120" t="str">
            <v>1B27</v>
          </cell>
          <cell r="L120" t="str">
            <v>60A015</v>
          </cell>
          <cell r="M120" t="str">
            <v/>
          </cell>
          <cell r="N120" t="str">
            <v>21/10/2021</v>
          </cell>
          <cell r="O120" t="str">
            <v>BOC</v>
          </cell>
          <cell r="P120">
            <v>93</v>
          </cell>
          <cell r="Q120" t="str">
            <v>DG-JM</v>
          </cell>
        </row>
        <row r="121">
          <cell r="B121" t="str">
            <v>PR-XMV</v>
          </cell>
          <cell r="C121" t="str">
            <v>Y</v>
          </cell>
          <cell r="D121" t="str">
            <v>030</v>
          </cell>
          <cell r="E121" t="str">
            <v>1B823</v>
          </cell>
          <cell r="F121">
            <v>7928</v>
          </cell>
          <cell r="G121" t="str">
            <v>MAX</v>
          </cell>
          <cell r="H121">
            <v>61585</v>
          </cell>
          <cell r="I121" t="str">
            <v>15/12/2021</v>
          </cell>
          <cell r="J121" t="str">
            <v>P-13658</v>
          </cell>
          <cell r="K121" t="str">
            <v>1B28</v>
          </cell>
          <cell r="L121" t="str">
            <v>60A054</v>
          </cell>
          <cell r="M121" t="str">
            <v/>
          </cell>
          <cell r="N121" t="str">
            <v>15/12/2021</v>
          </cell>
          <cell r="O121" t="str">
            <v>BOC</v>
          </cell>
          <cell r="P121">
            <v>93</v>
          </cell>
          <cell r="Q121" t="str">
            <v>DJ-AH</v>
          </cell>
        </row>
        <row r="122">
          <cell r="B122" t="str">
            <v>PR-XMW</v>
          </cell>
          <cell r="C122" t="str">
            <v>Y</v>
          </cell>
          <cell r="D122" t="str">
            <v>031</v>
          </cell>
          <cell r="E122" t="str">
            <v>1B824</v>
          </cell>
          <cell r="F122">
            <v>7946</v>
          </cell>
          <cell r="G122" t="str">
            <v>MAX</v>
          </cell>
          <cell r="H122">
            <v>60237</v>
          </cell>
          <cell r="I122" t="str">
            <v>28/10/2021</v>
          </cell>
          <cell r="J122" t="str">
            <v>P-13560</v>
          </cell>
          <cell r="K122" t="str">
            <v>1B27</v>
          </cell>
          <cell r="L122">
            <v>603990</v>
          </cell>
          <cell r="M122" t="str">
            <v/>
          </cell>
          <cell r="N122" t="str">
            <v>28/10/2021</v>
          </cell>
          <cell r="O122" t="str">
            <v>BOC</v>
          </cell>
          <cell r="P122">
            <v>93</v>
          </cell>
          <cell r="Q122" t="str">
            <v>FG-CQ</v>
          </cell>
        </row>
        <row r="123">
          <cell r="B123" t="str">
            <v>PR-XMX</v>
          </cell>
          <cell r="C123" t="str">
            <v>Y</v>
          </cell>
          <cell r="D123" t="str">
            <v>032</v>
          </cell>
          <cell r="E123" t="str">
            <v>1B825</v>
          </cell>
          <cell r="F123">
            <v>7960</v>
          </cell>
          <cell r="G123" t="str">
            <v>MAX</v>
          </cell>
          <cell r="H123">
            <v>61586</v>
          </cell>
          <cell r="I123" t="str">
            <v>14/01/2022</v>
          </cell>
          <cell r="J123" t="str">
            <v>P-13373</v>
          </cell>
          <cell r="K123" t="str">
            <v>1B28</v>
          </cell>
          <cell r="L123" t="str">
            <v>60A263</v>
          </cell>
          <cell r="M123" t="str">
            <v/>
          </cell>
          <cell r="N123" t="str">
            <v>14/01/2022</v>
          </cell>
          <cell r="O123" t="str">
            <v>BOC</v>
          </cell>
          <cell r="P123">
            <v>93</v>
          </cell>
          <cell r="Q123" t="str">
            <v>FH-CD</v>
          </cell>
        </row>
        <row r="124">
          <cell r="B124" t="str">
            <v>PR-XMY</v>
          </cell>
          <cell r="C124" t="str">
            <v>Y</v>
          </cell>
          <cell r="D124" t="str">
            <v>034</v>
          </cell>
          <cell r="E124" t="str">
            <v>1B831</v>
          </cell>
          <cell r="F124">
            <v>8706</v>
          </cell>
          <cell r="G124" t="str">
            <v>MAX</v>
          </cell>
          <cell r="H124">
            <v>44008</v>
          </cell>
          <cell r="I124" t="str">
            <v>30/11/2023</v>
          </cell>
          <cell r="J124" t="str">
            <v>P-14157</v>
          </cell>
          <cell r="K124" t="str">
            <v>1B28</v>
          </cell>
          <cell r="L124" t="str">
            <v>60B377</v>
          </cell>
          <cell r="M124" t="str">
            <v/>
          </cell>
          <cell r="N124" t="str">
            <v>30/11/2023</v>
          </cell>
          <cell r="O124" t="str">
            <v/>
          </cell>
          <cell r="P124">
            <v>93</v>
          </cell>
          <cell r="Q124" t="str">
            <v>HL-DM</v>
          </cell>
        </row>
        <row r="125">
          <cell r="B125" t="str">
            <v>PR-XMZ</v>
          </cell>
          <cell r="C125" t="str">
            <v>Y</v>
          </cell>
          <cell r="D125" t="str">
            <v>035</v>
          </cell>
          <cell r="E125" t="str">
            <v>1B832</v>
          </cell>
          <cell r="F125">
            <v>8710</v>
          </cell>
          <cell r="G125" t="str">
            <v>MAX</v>
          </cell>
          <cell r="H125">
            <v>44020</v>
          </cell>
          <cell r="I125" t="str">
            <v>29/08/2023</v>
          </cell>
          <cell r="J125" t="str">
            <v>P-14159</v>
          </cell>
          <cell r="K125" t="str">
            <v>1B28</v>
          </cell>
          <cell r="L125" t="str">
            <v>60B379</v>
          </cell>
          <cell r="M125" t="str">
            <v/>
          </cell>
          <cell r="N125" t="str">
            <v>29/08/2023</v>
          </cell>
          <cell r="O125" t="str">
            <v/>
          </cell>
          <cell r="P125">
            <v>93</v>
          </cell>
          <cell r="Q125" t="str">
            <v>HL-EF</v>
          </cell>
        </row>
        <row r="126">
          <cell r="B126" t="str">
            <v>PS-GPA</v>
          </cell>
          <cell r="C126" t="str">
            <v>Y</v>
          </cell>
          <cell r="D126" t="str">
            <v>129</v>
          </cell>
          <cell r="E126" t="str">
            <v>1B568</v>
          </cell>
          <cell r="F126">
            <v>7155</v>
          </cell>
          <cell r="G126" t="str">
            <v>MAX</v>
          </cell>
          <cell r="H126">
            <v>43615</v>
          </cell>
          <cell r="I126" t="str">
            <v>22/07/2021</v>
          </cell>
          <cell r="J126" t="str">
            <v>P-12600</v>
          </cell>
          <cell r="K126" t="str">
            <v>1B27</v>
          </cell>
          <cell r="L126">
            <v>602748</v>
          </cell>
          <cell r="M126" t="str">
            <v/>
          </cell>
          <cell r="N126" t="str">
            <v>30/11/2018</v>
          </cell>
          <cell r="O126" t="str">
            <v/>
          </cell>
          <cell r="P126">
            <v>93</v>
          </cell>
          <cell r="Q126" t="str">
            <v>AH-BK</v>
          </cell>
        </row>
        <row r="127">
          <cell r="B127" t="str">
            <v>PS-GPB</v>
          </cell>
          <cell r="C127" t="str">
            <v>Y</v>
          </cell>
          <cell r="D127" t="str">
            <v>130</v>
          </cell>
          <cell r="E127" t="str">
            <v>1B569</v>
          </cell>
          <cell r="F127">
            <v>7248</v>
          </cell>
          <cell r="G127" t="str">
            <v>MAX</v>
          </cell>
          <cell r="H127">
            <v>43616</v>
          </cell>
          <cell r="I127" t="str">
            <v>21/10/2021</v>
          </cell>
          <cell r="J127" t="str">
            <v>P-12688</v>
          </cell>
          <cell r="K127" t="str">
            <v>1B27</v>
          </cell>
          <cell r="L127">
            <v>602713</v>
          </cell>
          <cell r="M127" t="str">
            <v/>
          </cell>
          <cell r="N127" t="str">
            <v>26/11/2018</v>
          </cell>
          <cell r="O127" t="str">
            <v/>
          </cell>
          <cell r="P127">
            <v>93</v>
          </cell>
          <cell r="Q127" t="str">
            <v>AJ-GR</v>
          </cell>
        </row>
        <row r="128">
          <cell r="B128" t="str">
            <v>PS-GPC</v>
          </cell>
          <cell r="C128" t="str">
            <v>Y</v>
          </cell>
          <cell r="D128" t="str">
            <v>133</v>
          </cell>
          <cell r="E128" t="str">
            <v>1B578</v>
          </cell>
          <cell r="F128">
            <v>7293</v>
          </cell>
          <cell r="G128" t="str">
            <v>MAX</v>
          </cell>
          <cell r="H128">
            <v>44864</v>
          </cell>
          <cell r="I128" t="str">
            <v>14/10/2021</v>
          </cell>
          <cell r="J128" t="str">
            <v>P-12740</v>
          </cell>
          <cell r="K128" t="str">
            <v>1B28</v>
          </cell>
          <cell r="L128">
            <v>602820</v>
          </cell>
          <cell r="M128" t="str">
            <v/>
          </cell>
          <cell r="N128" t="str">
            <v>31/12/2018</v>
          </cell>
          <cell r="O128" t="str">
            <v/>
          </cell>
          <cell r="P128">
            <v>93</v>
          </cell>
          <cell r="Q128" t="str">
            <v>AS-LQ</v>
          </cell>
        </row>
        <row r="129">
          <cell r="B129" t="str">
            <v>PS-GPD</v>
          </cell>
          <cell r="C129" t="str">
            <v>Y</v>
          </cell>
          <cell r="D129" t="str">
            <v>131</v>
          </cell>
          <cell r="E129" t="str">
            <v>1B701</v>
          </cell>
          <cell r="F129">
            <v>6973</v>
          </cell>
          <cell r="G129" t="str">
            <v>MAX</v>
          </cell>
          <cell r="H129">
            <v>44861</v>
          </cell>
          <cell r="I129" t="str">
            <v>18/06/2018</v>
          </cell>
          <cell r="J129" t="str">
            <v>P-12418</v>
          </cell>
          <cell r="K129" t="str">
            <v>1B28</v>
          </cell>
          <cell r="L129">
            <v>602448</v>
          </cell>
          <cell r="M129" t="str">
            <v/>
          </cell>
          <cell r="N129" t="str">
            <v>18/06/2018</v>
          </cell>
          <cell r="O129" t="str">
            <v/>
          </cell>
          <cell r="P129">
            <v>93</v>
          </cell>
          <cell r="Q129" t="str">
            <v>BL-PS</v>
          </cell>
        </row>
        <row r="130">
          <cell r="B130" t="str">
            <v>PS-GPE</v>
          </cell>
          <cell r="C130" t="str">
            <v>Y</v>
          </cell>
          <cell r="D130" t="str">
            <v>134</v>
          </cell>
          <cell r="E130" t="str">
            <v>1B566</v>
          </cell>
          <cell r="F130">
            <v>7003</v>
          </cell>
          <cell r="G130" t="str">
            <v>MAX</v>
          </cell>
          <cell r="H130">
            <v>60703</v>
          </cell>
          <cell r="I130" t="str">
            <v>01/10/2021</v>
          </cell>
          <cell r="J130" t="str">
            <v>P-12435</v>
          </cell>
          <cell r="K130" t="str">
            <v>1B27</v>
          </cell>
          <cell r="L130">
            <v>602497</v>
          </cell>
          <cell r="M130" t="str">
            <v/>
          </cell>
          <cell r="N130" t="str">
            <v>02/07/2018</v>
          </cell>
          <cell r="O130" t="str">
            <v/>
          </cell>
          <cell r="P130">
            <v>93</v>
          </cell>
          <cell r="Q130" t="str">
            <v>BR-DG</v>
          </cell>
        </row>
        <row r="131">
          <cell r="B131" t="str">
            <v>PS-GPF</v>
          </cell>
          <cell r="C131" t="str">
            <v>Y</v>
          </cell>
          <cell r="D131" t="str">
            <v>128</v>
          </cell>
          <cell r="E131" t="str">
            <v>1B567</v>
          </cell>
          <cell r="F131">
            <v>7045</v>
          </cell>
          <cell r="G131" t="str">
            <v>MAX</v>
          </cell>
          <cell r="H131">
            <v>43558</v>
          </cell>
          <cell r="I131" t="str">
            <v>13/03/2022</v>
          </cell>
          <cell r="J131" t="str">
            <v>P-12486</v>
          </cell>
          <cell r="K131" t="str">
            <v>1B27</v>
          </cell>
          <cell r="L131">
            <v>602552</v>
          </cell>
          <cell r="M131" t="str">
            <v/>
          </cell>
          <cell r="N131" t="str">
            <v>30/08/2018</v>
          </cell>
          <cell r="O131" t="str">
            <v/>
          </cell>
          <cell r="P131">
            <v>93</v>
          </cell>
          <cell r="Q131" t="str">
            <v>CM-DS</v>
          </cell>
        </row>
        <row r="132">
          <cell r="B132" t="str">
            <v>PS-GPG</v>
          </cell>
          <cell r="C132" t="str">
            <v>Y</v>
          </cell>
          <cell r="D132" t="str">
            <v>132</v>
          </cell>
          <cell r="E132" t="str">
            <v>1B576</v>
          </cell>
          <cell r="F132">
            <v>7038</v>
          </cell>
          <cell r="G132" t="str">
            <v>MAX</v>
          </cell>
          <cell r="H132">
            <v>44862</v>
          </cell>
          <cell r="I132" t="str">
            <v>24/11/2021</v>
          </cell>
          <cell r="J132" t="str">
            <v>P-12484</v>
          </cell>
          <cell r="K132" t="str">
            <v>1B28</v>
          </cell>
          <cell r="L132">
            <v>602536</v>
          </cell>
          <cell r="M132" t="str">
            <v/>
          </cell>
          <cell r="N132" t="str">
            <v>23/08/2018</v>
          </cell>
          <cell r="O132" t="str">
            <v/>
          </cell>
          <cell r="P132">
            <v>93</v>
          </cell>
          <cell r="Q132" t="str">
            <v>CQ-GS</v>
          </cell>
        </row>
        <row r="133">
          <cell r="B133" t="str">
            <v>PS-GPH</v>
          </cell>
          <cell r="C133" t="str">
            <v>Y</v>
          </cell>
          <cell r="D133" t="str">
            <v>126</v>
          </cell>
          <cell r="E133" t="str">
            <v>1B496</v>
          </cell>
          <cell r="F133">
            <v>7805</v>
          </cell>
          <cell r="G133" t="str">
            <v>MAX</v>
          </cell>
          <cell r="H133">
            <v>44310</v>
          </cell>
          <cell r="I133" t="str">
            <v>21/09/2022</v>
          </cell>
          <cell r="J133" t="str">
            <v>P-13307</v>
          </cell>
          <cell r="K133" t="str">
            <v>1B27</v>
          </cell>
          <cell r="L133">
            <v>603592</v>
          </cell>
          <cell r="M133" t="str">
            <v/>
          </cell>
          <cell r="N133" t="str">
            <v>21/09/2022</v>
          </cell>
          <cell r="O133" t="str">
            <v/>
          </cell>
          <cell r="P133">
            <v>93</v>
          </cell>
          <cell r="Q133" t="str">
            <v>EP-AS</v>
          </cell>
        </row>
        <row r="134">
          <cell r="B134" t="str">
            <v>PS-GPI</v>
          </cell>
          <cell r="C134" t="str">
            <v>Y</v>
          </cell>
          <cell r="D134" t="str">
            <v>127</v>
          </cell>
          <cell r="E134" t="str">
            <v>1B497</v>
          </cell>
          <cell r="F134">
            <v>7841</v>
          </cell>
          <cell r="G134" t="str">
            <v>MAX</v>
          </cell>
          <cell r="H134">
            <v>44348</v>
          </cell>
          <cell r="I134" t="str">
            <v>15/03/2022</v>
          </cell>
          <cell r="J134" t="str">
            <v>P-13338</v>
          </cell>
          <cell r="K134" t="str">
            <v>1B27</v>
          </cell>
          <cell r="L134">
            <v>603764</v>
          </cell>
          <cell r="M134" t="str">
            <v/>
          </cell>
          <cell r="N134" t="str">
            <v>15/03/2022</v>
          </cell>
          <cell r="O134" t="str">
            <v/>
          </cell>
          <cell r="P134">
            <v>93</v>
          </cell>
          <cell r="Q134" t="str">
            <v>EP-JS</v>
          </cell>
        </row>
        <row r="135">
          <cell r="B135" t="str">
            <v>PS-GPJ</v>
          </cell>
          <cell r="C135" t="str">
            <v>Y</v>
          </cell>
          <cell r="D135" t="str">
            <v>124</v>
          </cell>
          <cell r="E135" t="str">
            <v>1K043</v>
          </cell>
          <cell r="F135">
            <v>7743</v>
          </cell>
          <cell r="G135" t="str">
            <v>MAX</v>
          </cell>
          <cell r="H135">
            <v>60220</v>
          </cell>
          <cell r="I135" t="str">
            <v>30/01/2022</v>
          </cell>
          <cell r="J135" t="str">
            <v>P-13238</v>
          </cell>
          <cell r="K135" t="str">
            <v>1B27</v>
          </cell>
          <cell r="L135">
            <v>603620</v>
          </cell>
          <cell r="M135" t="str">
            <v/>
          </cell>
          <cell r="N135" t="str">
            <v>30/01/2022</v>
          </cell>
          <cell r="O135" t="str">
            <v/>
          </cell>
          <cell r="P135">
            <v>93</v>
          </cell>
          <cell r="Q135" t="str">
            <v>FH-CD</v>
          </cell>
        </row>
        <row r="136">
          <cell r="B136" t="str">
            <v>PS-GPK</v>
          </cell>
          <cell r="C136" t="str">
            <v>Y</v>
          </cell>
          <cell r="D136" t="str">
            <v>125</v>
          </cell>
          <cell r="E136" t="str">
            <v>1K045</v>
          </cell>
          <cell r="F136">
            <v>7844</v>
          </cell>
          <cell r="G136" t="str">
            <v>MAX</v>
          </cell>
          <cell r="H136">
            <v>60202</v>
          </cell>
          <cell r="I136" t="str">
            <v>29/07/2022</v>
          </cell>
          <cell r="J136" t="str">
            <v>P-13349</v>
          </cell>
          <cell r="K136" t="str">
            <v>1B28</v>
          </cell>
          <cell r="L136">
            <v>603866</v>
          </cell>
          <cell r="M136" t="str">
            <v/>
          </cell>
          <cell r="N136" t="str">
            <v>29/07/2022</v>
          </cell>
          <cell r="O136" t="str">
            <v/>
          </cell>
          <cell r="P136">
            <v>93</v>
          </cell>
          <cell r="Q136" t="str">
            <v>HJ-ER</v>
          </cell>
        </row>
        <row r="137">
          <cell r="B137" t="str">
            <v>PS-GPL</v>
          </cell>
          <cell r="C137" t="str">
            <v>Y</v>
          </cell>
          <cell r="D137" t="str">
            <v>121</v>
          </cell>
          <cell r="E137" t="str">
            <v>1L266</v>
          </cell>
          <cell r="F137">
            <v>7735</v>
          </cell>
          <cell r="G137" t="str">
            <v>MAX</v>
          </cell>
          <cell r="H137">
            <v>65052</v>
          </cell>
          <cell r="I137" t="str">
            <v>27/07/2022</v>
          </cell>
          <cell r="J137" t="str">
            <v>P-13200</v>
          </cell>
          <cell r="K137" t="str">
            <v>1B28</v>
          </cell>
          <cell r="L137">
            <v>603540</v>
          </cell>
          <cell r="M137" t="str">
            <v/>
          </cell>
          <cell r="N137" t="str">
            <v>27/07/2022</v>
          </cell>
          <cell r="O137" t="str">
            <v/>
          </cell>
          <cell r="P137">
            <v>93</v>
          </cell>
          <cell r="Q137" t="str">
            <v>JP-MS</v>
          </cell>
        </row>
        <row r="138">
          <cell r="B138" t="str">
            <v>PS-GPM</v>
          </cell>
          <cell r="C138" t="str">
            <v>Y</v>
          </cell>
          <cell r="D138" t="str">
            <v>122</v>
          </cell>
          <cell r="E138" t="str">
            <v>1L267</v>
          </cell>
          <cell r="F138">
            <v>7801</v>
          </cell>
          <cell r="G138" t="str">
            <v>MAX</v>
          </cell>
          <cell r="H138">
            <v>65053</v>
          </cell>
          <cell r="I138" t="str">
            <v>11/03/2022</v>
          </cell>
          <cell r="J138" t="str">
            <v>P-13296</v>
          </cell>
          <cell r="K138" t="str">
            <v>1B27</v>
          </cell>
          <cell r="L138">
            <v>603755</v>
          </cell>
          <cell r="M138" t="str">
            <v/>
          </cell>
          <cell r="N138" t="str">
            <v>11/03/2022</v>
          </cell>
          <cell r="O138" t="str">
            <v/>
          </cell>
          <cell r="P138">
            <v>93</v>
          </cell>
          <cell r="Q138" t="str">
            <v>LP-CJ</v>
          </cell>
        </row>
        <row r="139">
          <cell r="B139" t="str">
            <v>PS-GPN</v>
          </cell>
          <cell r="C139" t="str">
            <v>Y</v>
          </cell>
          <cell r="D139" t="str">
            <v>123</v>
          </cell>
          <cell r="E139" t="str">
            <v>1L268</v>
          </cell>
          <cell r="F139">
            <v>7959</v>
          </cell>
          <cell r="G139" t="str">
            <v>MAX</v>
          </cell>
          <cell r="H139">
            <v>65054</v>
          </cell>
          <cell r="I139" t="str">
            <v>28/01/2022</v>
          </cell>
          <cell r="J139" t="str">
            <v>P-13492</v>
          </cell>
          <cell r="K139" t="str">
            <v>1B27</v>
          </cell>
          <cell r="L139" t="str">
            <v>60A074</v>
          </cell>
          <cell r="M139" t="str">
            <v/>
          </cell>
          <cell r="N139" t="str">
            <v>28/01/2022</v>
          </cell>
          <cell r="O139" t="str">
            <v/>
          </cell>
          <cell r="P139">
            <v>93</v>
          </cell>
          <cell r="Q139" t="str">
            <v>LR-BC</v>
          </cell>
        </row>
        <row r="140">
          <cell r="B140" t="str">
            <v>PS-GPO</v>
          </cell>
          <cell r="C140" t="str">
            <v>Y</v>
          </cell>
          <cell r="D140" t="str">
            <v>137</v>
          </cell>
          <cell r="E140" t="str">
            <v>1L101</v>
          </cell>
          <cell r="F140">
            <v>7610</v>
          </cell>
          <cell r="G140" t="str">
            <v>MAX</v>
          </cell>
          <cell r="H140">
            <v>61283</v>
          </cell>
          <cell r="I140" t="str">
            <v>21/12/2023</v>
          </cell>
          <cell r="J140" t="str">
            <v>P-13082</v>
          </cell>
          <cell r="K140" t="str">
            <v>1B27</v>
          </cell>
          <cell r="L140">
            <v>603390</v>
          </cell>
          <cell r="M140" t="str">
            <v/>
          </cell>
          <cell r="N140" t="str">
            <v>21/12/2023</v>
          </cell>
          <cell r="O140" t="str">
            <v/>
          </cell>
          <cell r="P140">
            <v>93</v>
          </cell>
          <cell r="Q140" t="str">
            <v>FQ-GH</v>
          </cell>
        </row>
        <row r="141">
          <cell r="B141" t="str">
            <v>PS-GPP</v>
          </cell>
          <cell r="C141" t="str">
            <v>Y</v>
          </cell>
          <cell r="D141" t="str">
            <v/>
          </cell>
          <cell r="E141" t="str">
            <v>1L102</v>
          </cell>
          <cell r="F141">
            <v>7685</v>
          </cell>
          <cell r="G141" t="str">
            <v/>
          </cell>
          <cell r="H141">
            <v>61284</v>
          </cell>
          <cell r="I141" t="str">
            <v>08/03/2024</v>
          </cell>
          <cell r="J141" t="str">
            <v>P-13160</v>
          </cell>
          <cell r="K141" t="str">
            <v>1B27</v>
          </cell>
          <cell r="L141">
            <v>603511</v>
          </cell>
          <cell r="M141" t="str">
            <v/>
          </cell>
          <cell r="N141" t="str">
            <v>08/03/2024</v>
          </cell>
          <cell r="O141" t="str">
            <v/>
          </cell>
          <cell r="P141">
            <v>93</v>
          </cell>
          <cell r="Q141" t="str">
            <v>GM-AD</v>
          </cell>
        </row>
        <row r="142">
          <cell r="B142" t="str">
            <v>PS-GRA</v>
          </cell>
          <cell r="C142" t="str">
            <v>Y</v>
          </cell>
          <cell r="D142" t="str">
            <v>036</v>
          </cell>
          <cell r="E142" t="str">
            <v>1B833</v>
          </cell>
          <cell r="F142">
            <v>8727</v>
          </cell>
          <cell r="G142" t="str">
            <v>MAX</v>
          </cell>
          <cell r="H142">
            <v>44031</v>
          </cell>
          <cell r="I142" t="str">
            <v>14/11/2023</v>
          </cell>
          <cell r="J142" t="str">
            <v>P-14179</v>
          </cell>
          <cell r="K142" t="str">
            <v>1B28</v>
          </cell>
          <cell r="L142" t="str">
            <v>60A805</v>
          </cell>
          <cell r="M142" t="str">
            <v/>
          </cell>
          <cell r="N142" t="str">
            <v>14/11/2023</v>
          </cell>
          <cell r="O142" t="str">
            <v/>
          </cell>
          <cell r="P142">
            <v>93</v>
          </cell>
          <cell r="Q142" t="str">
            <v>RS-FP</v>
          </cell>
        </row>
        <row r="143">
          <cell r="B143" t="str">
            <v>PS-GRB</v>
          </cell>
          <cell r="C143" t="str">
            <v>Y</v>
          </cell>
          <cell r="D143" t="str">
            <v>037</v>
          </cell>
          <cell r="E143" t="str">
            <v>1B834</v>
          </cell>
          <cell r="F143">
            <v>8733</v>
          </cell>
          <cell r="G143" t="str">
            <v>MAX</v>
          </cell>
          <cell r="H143">
            <v>44021</v>
          </cell>
          <cell r="I143" t="str">
            <v>22/12/2023</v>
          </cell>
          <cell r="J143" t="str">
            <v>P-14176</v>
          </cell>
          <cell r="K143" t="str">
            <v>1B28</v>
          </cell>
          <cell r="L143" t="str">
            <v>60B410</v>
          </cell>
          <cell r="M143" t="str">
            <v/>
          </cell>
          <cell r="N143" t="str">
            <v>22/12/2023</v>
          </cell>
          <cell r="O143" t="str">
            <v/>
          </cell>
          <cell r="P143">
            <v>93</v>
          </cell>
          <cell r="Q143" t="str">
            <v>BL-FG</v>
          </cell>
        </row>
        <row r="144">
          <cell r="B144" t="str">
            <v>PS-GRC</v>
          </cell>
          <cell r="C144" t="str">
            <v>Y</v>
          </cell>
          <cell r="D144" t="str">
            <v>038</v>
          </cell>
          <cell r="E144" t="str">
            <v>1B835</v>
          </cell>
          <cell r="F144">
            <v>8742</v>
          </cell>
          <cell r="G144" t="str">
            <v>MAX</v>
          </cell>
          <cell r="H144">
            <v>44023</v>
          </cell>
          <cell r="I144" t="str">
            <v>22/11/2023</v>
          </cell>
          <cell r="J144" t="str">
            <v>P-14179</v>
          </cell>
          <cell r="K144" t="str">
            <v>1B28</v>
          </cell>
          <cell r="L144" t="str">
            <v>60B446</v>
          </cell>
          <cell r="M144" t="str">
            <v/>
          </cell>
          <cell r="N144" t="str">
            <v>22/11/2023</v>
          </cell>
          <cell r="O144" t="str">
            <v/>
          </cell>
          <cell r="P144">
            <v>93</v>
          </cell>
          <cell r="Q144" t="str">
            <v>DE-AJ</v>
          </cell>
        </row>
        <row r="145">
          <cell r="B145" t="str">
            <v>PR-GOL</v>
          </cell>
          <cell r="C145" t="str">
            <v>Y</v>
          </cell>
          <cell r="D145" t="str">
            <v>001</v>
          </cell>
          <cell r="E145" t="str">
            <v>1B801</v>
          </cell>
          <cell r="F145">
            <v>6978</v>
          </cell>
          <cell r="G145" t="str">
            <v>MAX</v>
          </cell>
          <cell r="H145">
            <v>43986</v>
          </cell>
          <cell r="I145" t="str">
            <v>28/06/2018</v>
          </cell>
          <cell r="J145" t="str">
            <v>P-12396</v>
          </cell>
          <cell r="K145" t="str">
            <v>1B27</v>
          </cell>
          <cell r="L145">
            <v>602452</v>
          </cell>
          <cell r="M145" t="str">
            <v/>
          </cell>
          <cell r="N145" t="str">
            <v>28/06/2018</v>
          </cell>
          <cell r="O145" t="str">
            <v>&amp; SERVICES INC. - AWAS</v>
          </cell>
          <cell r="P145">
            <v>93</v>
          </cell>
          <cell r="Q145" t="str">
            <v>GM-AC</v>
          </cell>
        </row>
        <row r="146">
          <cell r="B146" t="str">
            <v>PR-RAU</v>
          </cell>
          <cell r="C146" t="str">
            <v>Y</v>
          </cell>
          <cell r="D146" t="str">
            <v>001</v>
          </cell>
          <cell r="E146" t="str">
            <v>1B801</v>
          </cell>
          <cell r="F146">
            <v>6978</v>
          </cell>
          <cell r="G146" t="str">
            <v>MAX</v>
          </cell>
          <cell r="H146">
            <v>43986</v>
          </cell>
          <cell r="I146" t="str">
            <v>28/06/2018</v>
          </cell>
          <cell r="J146" t="str">
            <v>P-12396</v>
          </cell>
          <cell r="K146" t="str">
            <v>1B27</v>
          </cell>
          <cell r="L146">
            <v>602452</v>
          </cell>
          <cell r="M146" t="str">
            <v/>
          </cell>
          <cell r="N146" t="str">
            <v>28/06/2018</v>
          </cell>
          <cell r="O146" t="str">
            <v>&amp; SERVICES INC. - AWAS</v>
          </cell>
          <cell r="P146">
            <v>93</v>
          </cell>
          <cell r="Q146" t="str">
            <v>GM-AC</v>
          </cell>
        </row>
        <row r="147">
          <cell r="B147" t="str">
            <v>PS-GRF</v>
          </cell>
          <cell r="F147" t="str">
            <v>8948</v>
          </cell>
          <cell r="H147" t="str">
            <v>44010</v>
          </cell>
          <cell r="P147">
            <v>93</v>
          </cell>
        </row>
        <row r="148">
          <cell r="B148" t="str">
            <v>XMN</v>
          </cell>
          <cell r="F148" t="str">
            <v>3444</v>
          </cell>
          <cell r="H148" t="str">
            <v>2222</v>
          </cell>
          <cell r="P148">
            <v>93</v>
          </cell>
        </row>
        <row r="149">
          <cell r="B149" t="str">
            <v>PR-PIU</v>
          </cell>
          <cell r="E149" t="str">
            <v>231</v>
          </cell>
          <cell r="F149" t="str">
            <v>123</v>
          </cell>
          <cell r="H149" t="str">
            <v>3821</v>
          </cell>
          <cell r="P149">
            <v>93</v>
          </cell>
        </row>
        <row r="150">
          <cell r="B150" t="str">
            <v>PR-LIU</v>
          </cell>
          <cell r="E150" t="str">
            <v>232</v>
          </cell>
          <cell r="F150" t="str">
            <v>1231</v>
          </cell>
          <cell r="H150" t="str">
            <v>123</v>
          </cell>
          <cell r="P150">
            <v>93</v>
          </cell>
        </row>
        <row r="151">
          <cell r="B151" t="str">
            <v>PR-PEI</v>
          </cell>
          <cell r="E151" t="str">
            <v>1231</v>
          </cell>
          <cell r="F151" t="str">
            <v>2131</v>
          </cell>
          <cell r="H151" t="str">
            <v>21321</v>
          </cell>
          <cell r="P151">
            <v>93</v>
          </cell>
        </row>
        <row r="152">
          <cell r="B152" t="str">
            <v>PR-LEI</v>
          </cell>
          <cell r="E152" t="str">
            <v>1233</v>
          </cell>
          <cell r="F152" t="str">
            <v>123123</v>
          </cell>
          <cell r="H152" t="str">
            <v>123213</v>
          </cell>
          <cell r="P152">
            <v>93</v>
          </cell>
        </row>
        <row r="153">
          <cell r="B153" t="str">
            <v>PS-GPQ</v>
          </cell>
          <cell r="E153" t="str">
            <v>1A003</v>
          </cell>
          <cell r="F153" t="str">
            <v>5728</v>
          </cell>
          <cell r="G153" t="str">
            <v>MAX</v>
          </cell>
          <cell r="H153" t="str">
            <v>42556</v>
          </cell>
          <cell r="P153">
            <v>93</v>
          </cell>
        </row>
        <row r="154">
          <cell r="B154" t="str">
            <v>PS-GRI</v>
          </cell>
          <cell r="E154" t="str">
            <v>1B842</v>
          </cell>
          <cell r="F154" t="str">
            <v>9077</v>
          </cell>
          <cell r="G154" t="str">
            <v>MAX</v>
          </cell>
          <cell r="H154" t="str">
            <v>44039</v>
          </cell>
          <cell r="P154">
            <v>93</v>
          </cell>
        </row>
        <row r="155">
          <cell r="B155" t="str">
            <v>PS-GRJ</v>
          </cell>
          <cell r="E155" t="str">
            <v>1B843</v>
          </cell>
          <cell r="F155" t="str">
            <v>9129</v>
          </cell>
          <cell r="G155" t="str">
            <v>MAX</v>
          </cell>
          <cell r="H155" t="str">
            <v>44040</v>
          </cell>
          <cell r="P155">
            <v>93</v>
          </cell>
        </row>
        <row r="156">
          <cell r="B156" t="str">
            <v>PS-GRK</v>
          </cell>
          <cell r="E156" t="str">
            <v>1B844</v>
          </cell>
          <cell r="F156" t="str">
            <v>9146</v>
          </cell>
          <cell r="G156" t="str">
            <v>MAX</v>
          </cell>
          <cell r="H156" t="str">
            <v>44036</v>
          </cell>
          <cell r="P156">
            <v>93</v>
          </cell>
        </row>
        <row r="157">
          <cell r="B157" t="str">
            <v>PS-GRL</v>
          </cell>
          <cell r="E157" t="str">
            <v>1B845</v>
          </cell>
          <cell r="F157" t="str">
            <v>9179</v>
          </cell>
          <cell r="G157" t="str">
            <v>MAX</v>
          </cell>
          <cell r="H157" t="str">
            <v>44038</v>
          </cell>
          <cell r="P157">
            <v>93</v>
          </cell>
        </row>
        <row r="158">
          <cell r="B158" t="str">
            <v>PS-GFH</v>
          </cell>
          <cell r="E158" t="str">
            <v>YJ810</v>
          </cell>
          <cell r="F158" t="str">
            <v>1384</v>
          </cell>
          <cell r="G158" t="str">
            <v>BCF</v>
          </cell>
          <cell r="H158" t="str">
            <v>33551</v>
          </cell>
          <cell r="P158">
            <v>93</v>
          </cell>
        </row>
        <row r="159">
          <cell r="B159" t="str">
            <v>PS-GFG</v>
          </cell>
          <cell r="E159" t="str">
            <v>YK151</v>
          </cell>
          <cell r="F159">
            <v>1892</v>
          </cell>
          <cell r="G159" t="str">
            <v>BCF</v>
          </cell>
          <cell r="H159">
            <v>30696</v>
          </cell>
          <cell r="P159">
            <v>93</v>
          </cell>
        </row>
        <row r="160">
          <cell r="B160" t="str">
            <v>PS-GFI</v>
          </cell>
          <cell r="E160" t="str">
            <v>YJ812</v>
          </cell>
          <cell r="F160" t="str">
            <v>1372</v>
          </cell>
          <cell r="G160" t="str">
            <v>800BCF</v>
          </cell>
          <cell r="H160" t="str">
            <v>33553</v>
          </cell>
          <cell r="P160">
            <v>93</v>
          </cell>
        </row>
        <row r="161">
          <cell r="B161" t="str">
            <v>PS-GRM</v>
          </cell>
          <cell r="E161" t="str">
            <v>1B850</v>
          </cell>
          <cell r="F161" t="str">
            <v>9264</v>
          </cell>
          <cell r="G161" t="str">
            <v>MAX</v>
          </cell>
          <cell r="H161" t="str">
            <v>44009</v>
          </cell>
          <cell r="P161">
            <v>93</v>
          </cell>
        </row>
        <row r="162">
          <cell r="B162" t="str">
            <v>PR-GKA</v>
          </cell>
          <cell r="E162" t="str">
            <v>YS640</v>
          </cell>
          <cell r="F162" t="str">
            <v>4627</v>
          </cell>
          <cell r="G162">
            <v>800</v>
          </cell>
          <cell r="H162" t="str">
            <v>36914</v>
          </cell>
          <cell r="P162">
            <v>93</v>
          </cell>
        </row>
        <row r="163">
          <cell r="B163" t="str">
            <v>PS-GRN</v>
          </cell>
          <cell r="E163" t="str">
            <v>1B851</v>
          </cell>
          <cell r="F163" t="str">
            <v>9370</v>
          </cell>
          <cell r="G163" t="str">
            <v>MAX</v>
          </cell>
          <cell r="H163" t="str">
            <v>44029</v>
          </cell>
          <cell r="P163">
            <v>93</v>
          </cell>
        </row>
        <row r="164">
          <cell r="B164" t="str">
            <v>PR-GKB</v>
          </cell>
          <cell r="E164" t="str">
            <v>YS641</v>
          </cell>
          <cell r="F164" t="str">
            <v>4631</v>
          </cell>
          <cell r="G164">
            <v>800</v>
          </cell>
          <cell r="H164" t="str">
            <v>36912</v>
          </cell>
          <cell r="P164">
            <v>93</v>
          </cell>
        </row>
        <row r="165">
          <cell r="B165" t="str">
            <v>PR-GKD</v>
          </cell>
          <cell r="E165" t="str">
            <v>YS642</v>
          </cell>
          <cell r="F165" t="str">
            <v>4667</v>
          </cell>
          <cell r="G165">
            <v>800</v>
          </cell>
          <cell r="H165" t="str">
            <v>36915</v>
          </cell>
          <cell r="P165">
            <v>93</v>
          </cell>
        </row>
        <row r="166">
          <cell r="B166" t="str">
            <v>PR-GKC</v>
          </cell>
          <cell r="E166" t="str">
            <v>YS639</v>
          </cell>
          <cell r="F166" t="str">
            <v>4613</v>
          </cell>
          <cell r="G166">
            <v>800</v>
          </cell>
          <cell r="H166" t="str">
            <v>36933</v>
          </cell>
          <cell r="P166">
            <v>93</v>
          </cell>
        </row>
        <row r="167">
          <cell r="B167" t="str">
            <v>PR-GKE</v>
          </cell>
          <cell r="E167" t="str">
            <v>YS644</v>
          </cell>
          <cell r="F167" t="str">
            <v>4674</v>
          </cell>
          <cell r="G167">
            <v>800</v>
          </cell>
          <cell r="H167" t="str">
            <v>42526</v>
          </cell>
          <cell r="P167">
            <v>93</v>
          </cell>
        </row>
        <row r="168">
          <cell r="B168" t="str">
            <v>PS-GRO</v>
          </cell>
          <cell r="E168" t="str">
            <v>1B852</v>
          </cell>
          <cell r="F168" t="str">
            <v>9494</v>
          </cell>
          <cell r="G168" t="str">
            <v>MAX 8</v>
          </cell>
          <cell r="H168" t="str">
            <v>44017</v>
          </cell>
          <cell r="P168">
            <v>93</v>
          </cell>
        </row>
        <row r="169">
          <cell r="B169" t="str">
            <v>PR-XRR</v>
          </cell>
          <cell r="E169" t="str">
            <v>123</v>
          </cell>
          <cell r="F169" t="str">
            <v>12</v>
          </cell>
          <cell r="G169" t="str">
            <v>737-800</v>
          </cell>
          <cell r="H169" t="str">
            <v>151</v>
          </cell>
          <cell r="P169">
            <v>93</v>
          </cell>
        </row>
        <row r="170">
          <cell r="B170" t="str">
            <v>PR-XDD</v>
          </cell>
          <cell r="E170" t="str">
            <v>123</v>
          </cell>
          <cell r="F170" t="str">
            <v>12</v>
          </cell>
          <cell r="G170" t="str">
            <v>737-800</v>
          </cell>
          <cell r="H170" t="str">
            <v>151</v>
          </cell>
          <cell r="P170">
            <v>93</v>
          </cell>
        </row>
        <row r="171">
          <cell r="B171" t="str">
            <v>PS-DDD</v>
          </cell>
          <cell r="E171" t="str">
            <v>2313</v>
          </cell>
          <cell r="F171" t="str">
            <v>46545</v>
          </cell>
          <cell r="G171" t="str">
            <v>737</v>
          </cell>
          <cell r="H171" t="str">
            <v>1165</v>
          </cell>
          <cell r="P171">
            <v>211</v>
          </cell>
        </row>
        <row r="172">
          <cell r="B172" t="str">
            <v>PS-GRE</v>
          </cell>
          <cell r="E172" t="str">
            <v>1B837</v>
          </cell>
          <cell r="F172" t="str">
            <v>8925</v>
          </cell>
          <cell r="G172" t="str">
            <v>MAX</v>
          </cell>
          <cell r="H172" t="str">
            <v>44026</v>
          </cell>
          <cell r="P172">
            <v>93</v>
          </cell>
        </row>
        <row r="173">
          <cell r="P173">
            <v>93</v>
          </cell>
        </row>
        <row r="174">
          <cell r="P174">
            <v>93</v>
          </cell>
        </row>
        <row r="175">
          <cell r="P175">
            <v>93</v>
          </cell>
        </row>
        <row r="176">
          <cell r="P176">
            <v>93</v>
          </cell>
        </row>
        <row r="177">
          <cell r="P177">
            <v>93</v>
          </cell>
        </row>
        <row r="178">
          <cell r="P178">
            <v>93</v>
          </cell>
        </row>
        <row r="179">
          <cell r="P179">
            <v>93</v>
          </cell>
        </row>
        <row r="180">
          <cell r="P180">
            <v>93</v>
          </cell>
        </row>
        <row r="181">
          <cell r="P181">
            <v>93</v>
          </cell>
        </row>
        <row r="182">
          <cell r="P182">
            <v>93</v>
          </cell>
        </row>
        <row r="183">
          <cell r="P183">
            <v>93</v>
          </cell>
        </row>
        <row r="184">
          <cell r="P184">
            <v>93</v>
          </cell>
        </row>
        <row r="185">
          <cell r="P185">
            <v>93</v>
          </cell>
        </row>
        <row r="186">
          <cell r="P186">
            <v>93</v>
          </cell>
        </row>
        <row r="187">
          <cell r="P187">
            <v>93</v>
          </cell>
        </row>
        <row r="188">
          <cell r="P188">
            <v>93</v>
          </cell>
        </row>
        <row r="189">
          <cell r="P189">
            <v>93</v>
          </cell>
        </row>
        <row r="190">
          <cell r="P190">
            <v>93</v>
          </cell>
        </row>
        <row r="191">
          <cell r="P191">
            <v>93</v>
          </cell>
        </row>
        <row r="192">
          <cell r="P192">
            <v>93</v>
          </cell>
        </row>
        <row r="193">
          <cell r="P193">
            <v>93</v>
          </cell>
        </row>
        <row r="194">
          <cell r="P194">
            <v>93</v>
          </cell>
        </row>
        <row r="195">
          <cell r="P195">
            <v>93</v>
          </cell>
        </row>
        <row r="196">
          <cell r="P196">
            <v>93</v>
          </cell>
        </row>
        <row r="197">
          <cell r="P197">
            <v>93</v>
          </cell>
        </row>
        <row r="198">
          <cell r="P198">
            <v>93</v>
          </cell>
        </row>
        <row r="199">
          <cell r="P199">
            <v>93</v>
          </cell>
        </row>
        <row r="200">
          <cell r="P200">
            <v>93</v>
          </cell>
        </row>
        <row r="201">
          <cell r="P201">
            <v>93</v>
          </cell>
        </row>
        <row r="202">
          <cell r="P202">
            <v>93</v>
          </cell>
        </row>
        <row r="203">
          <cell r="P203">
            <v>93</v>
          </cell>
        </row>
        <row r="204">
          <cell r="P204">
            <v>93</v>
          </cell>
        </row>
        <row r="205">
          <cell r="P205">
            <v>93</v>
          </cell>
        </row>
        <row r="206">
          <cell r="P206">
            <v>93</v>
          </cell>
        </row>
        <row r="207">
          <cell r="P207">
            <v>93</v>
          </cell>
        </row>
        <row r="208">
          <cell r="P208">
            <v>93</v>
          </cell>
        </row>
        <row r="209">
          <cell r="P209">
            <v>93</v>
          </cell>
        </row>
        <row r="210">
          <cell r="P210">
            <v>93</v>
          </cell>
        </row>
        <row r="211">
          <cell r="P211">
            <v>93</v>
          </cell>
        </row>
        <row r="212">
          <cell r="P212">
            <v>93</v>
          </cell>
        </row>
        <row r="213">
          <cell r="P213">
            <v>93</v>
          </cell>
        </row>
        <row r="214">
          <cell r="P214">
            <v>93</v>
          </cell>
        </row>
        <row r="215">
          <cell r="P215">
            <v>93</v>
          </cell>
        </row>
        <row r="216">
          <cell r="P216">
            <v>93</v>
          </cell>
        </row>
        <row r="217">
          <cell r="P217">
            <v>93</v>
          </cell>
        </row>
        <row r="218">
          <cell r="P218">
            <v>93</v>
          </cell>
        </row>
        <row r="219">
          <cell r="P219">
            <v>93</v>
          </cell>
        </row>
        <row r="220">
          <cell r="P220">
            <v>93</v>
          </cell>
        </row>
        <row r="221">
          <cell r="P221">
            <v>93</v>
          </cell>
        </row>
        <row r="222">
          <cell r="P222">
            <v>93</v>
          </cell>
        </row>
        <row r="223">
          <cell r="P223">
            <v>93</v>
          </cell>
        </row>
        <row r="224">
          <cell r="P224">
            <v>93</v>
          </cell>
        </row>
        <row r="225">
          <cell r="P225">
            <v>93</v>
          </cell>
        </row>
        <row r="226">
          <cell r="P226">
            <v>93</v>
          </cell>
        </row>
        <row r="227">
          <cell r="P227">
            <v>93</v>
          </cell>
        </row>
        <row r="228">
          <cell r="P228">
            <v>93</v>
          </cell>
        </row>
        <row r="229">
          <cell r="P229">
            <v>93</v>
          </cell>
        </row>
        <row r="230">
          <cell r="P230">
            <v>93</v>
          </cell>
        </row>
        <row r="231">
          <cell r="P231">
            <v>93</v>
          </cell>
        </row>
        <row r="232">
          <cell r="P232">
            <v>93</v>
          </cell>
        </row>
        <row r="233">
          <cell r="P233">
            <v>93</v>
          </cell>
        </row>
        <row r="234">
          <cell r="P234">
            <v>93</v>
          </cell>
        </row>
        <row r="235">
          <cell r="P235">
            <v>93</v>
          </cell>
        </row>
        <row r="236">
          <cell r="P236">
            <v>93</v>
          </cell>
        </row>
        <row r="237">
          <cell r="P237">
            <v>93</v>
          </cell>
        </row>
        <row r="238">
          <cell r="P238">
            <v>93</v>
          </cell>
        </row>
        <row r="239">
          <cell r="P239">
            <v>93</v>
          </cell>
        </row>
        <row r="240">
          <cell r="P240">
            <v>93</v>
          </cell>
        </row>
        <row r="241">
          <cell r="P241">
            <v>93</v>
          </cell>
        </row>
        <row r="242">
          <cell r="P242">
            <v>93</v>
          </cell>
        </row>
        <row r="243">
          <cell r="P243">
            <v>93</v>
          </cell>
        </row>
        <row r="244">
          <cell r="P244">
            <v>93</v>
          </cell>
        </row>
        <row r="245">
          <cell r="P245">
            <v>93</v>
          </cell>
        </row>
        <row r="246">
          <cell r="P246">
            <v>93</v>
          </cell>
        </row>
        <row r="247">
          <cell r="P247">
            <v>93</v>
          </cell>
        </row>
        <row r="248">
          <cell r="P248">
            <v>93</v>
          </cell>
        </row>
        <row r="249">
          <cell r="P249">
            <v>93</v>
          </cell>
        </row>
        <row r="250">
          <cell r="P250">
            <v>93</v>
          </cell>
        </row>
        <row r="251">
          <cell r="P251">
            <v>93</v>
          </cell>
        </row>
        <row r="252">
          <cell r="P252">
            <v>93</v>
          </cell>
        </row>
        <row r="253">
          <cell r="P253">
            <v>93</v>
          </cell>
        </row>
        <row r="254">
          <cell r="P254">
            <v>93</v>
          </cell>
        </row>
        <row r="255">
          <cell r="P255">
            <v>93</v>
          </cell>
        </row>
        <row r="256">
          <cell r="P256">
            <v>93</v>
          </cell>
        </row>
        <row r="257">
          <cell r="P257">
            <v>93</v>
          </cell>
        </row>
        <row r="258">
          <cell r="P258">
            <v>93</v>
          </cell>
        </row>
        <row r="259">
          <cell r="P259">
            <v>93</v>
          </cell>
        </row>
        <row r="260">
          <cell r="P260">
            <v>93</v>
          </cell>
        </row>
        <row r="261">
          <cell r="P261">
            <v>93</v>
          </cell>
        </row>
        <row r="262">
          <cell r="P262">
            <v>93</v>
          </cell>
        </row>
        <row r="263">
          <cell r="P263">
            <v>93</v>
          </cell>
        </row>
        <row r="264">
          <cell r="P264">
            <v>93</v>
          </cell>
        </row>
        <row r="265">
          <cell r="P265">
            <v>93</v>
          </cell>
        </row>
        <row r="266">
          <cell r="P266">
            <v>93</v>
          </cell>
        </row>
        <row r="267">
          <cell r="P267">
            <v>93</v>
          </cell>
        </row>
        <row r="268">
          <cell r="P268">
            <v>93</v>
          </cell>
        </row>
        <row r="269">
          <cell r="P269">
            <v>93</v>
          </cell>
        </row>
        <row r="270">
          <cell r="P270">
            <v>93</v>
          </cell>
        </row>
        <row r="271">
          <cell r="P271">
            <v>93</v>
          </cell>
        </row>
        <row r="272">
          <cell r="P272">
            <v>93</v>
          </cell>
        </row>
        <row r="273">
          <cell r="P273">
            <v>93</v>
          </cell>
        </row>
        <row r="274">
          <cell r="P274">
            <v>93</v>
          </cell>
        </row>
        <row r="275">
          <cell r="P275">
            <v>93</v>
          </cell>
        </row>
        <row r="276">
          <cell r="P276">
            <v>93</v>
          </cell>
        </row>
        <row r="277">
          <cell r="P277">
            <v>93</v>
          </cell>
        </row>
        <row r="278">
          <cell r="P278">
            <v>93</v>
          </cell>
        </row>
        <row r="279">
          <cell r="P279">
            <v>93</v>
          </cell>
        </row>
        <row r="280">
          <cell r="P280">
            <v>93</v>
          </cell>
        </row>
        <row r="281">
          <cell r="P281">
            <v>93</v>
          </cell>
        </row>
        <row r="282">
          <cell r="P282">
            <v>93</v>
          </cell>
        </row>
        <row r="283">
          <cell r="P283">
            <v>93</v>
          </cell>
        </row>
        <row r="284">
          <cell r="P284">
            <v>93</v>
          </cell>
        </row>
        <row r="285">
          <cell r="P285">
            <v>93</v>
          </cell>
        </row>
        <row r="286">
          <cell r="P286">
            <v>93</v>
          </cell>
        </row>
        <row r="287">
          <cell r="P287">
            <v>93</v>
          </cell>
        </row>
        <row r="288">
          <cell r="P288">
            <v>93</v>
          </cell>
        </row>
        <row r="289">
          <cell r="P289">
            <v>93</v>
          </cell>
        </row>
        <row r="290">
          <cell r="P290">
            <v>93</v>
          </cell>
        </row>
        <row r="291">
          <cell r="P291">
            <v>93</v>
          </cell>
        </row>
        <row r="292">
          <cell r="P292">
            <v>93</v>
          </cell>
        </row>
        <row r="293">
          <cell r="P293">
            <v>93</v>
          </cell>
        </row>
        <row r="294">
          <cell r="P294">
            <v>93</v>
          </cell>
        </row>
        <row r="295">
          <cell r="P295">
            <v>93</v>
          </cell>
        </row>
        <row r="296">
          <cell r="P296">
            <v>93</v>
          </cell>
        </row>
        <row r="297">
          <cell r="P297">
            <v>93</v>
          </cell>
        </row>
        <row r="298">
          <cell r="P298">
            <v>93</v>
          </cell>
        </row>
        <row r="299">
          <cell r="P299">
            <v>93</v>
          </cell>
        </row>
        <row r="300">
          <cell r="P300">
            <v>93</v>
          </cell>
        </row>
        <row r="301">
          <cell r="P301">
            <v>93</v>
          </cell>
        </row>
        <row r="302">
          <cell r="P302">
            <v>93</v>
          </cell>
        </row>
        <row r="303">
          <cell r="P303">
            <v>93</v>
          </cell>
        </row>
        <row r="304">
          <cell r="P304">
            <v>93</v>
          </cell>
        </row>
        <row r="305">
          <cell r="P305">
            <v>93</v>
          </cell>
        </row>
        <row r="306">
          <cell r="P306">
            <v>93</v>
          </cell>
        </row>
        <row r="307">
          <cell r="P307">
            <v>93</v>
          </cell>
        </row>
        <row r="308">
          <cell r="P308">
            <v>93</v>
          </cell>
        </row>
        <row r="309">
          <cell r="P309">
            <v>93</v>
          </cell>
        </row>
        <row r="310">
          <cell r="P310">
            <v>93</v>
          </cell>
        </row>
        <row r="311">
          <cell r="P311">
            <v>93</v>
          </cell>
        </row>
        <row r="312">
          <cell r="P312">
            <v>93</v>
          </cell>
        </row>
        <row r="313">
          <cell r="P313">
            <v>93</v>
          </cell>
        </row>
        <row r="314">
          <cell r="P314">
            <v>93</v>
          </cell>
        </row>
        <row r="315">
          <cell r="P315">
            <v>93</v>
          </cell>
        </row>
        <row r="316">
          <cell r="P316">
            <v>93</v>
          </cell>
        </row>
        <row r="317">
          <cell r="P317">
            <v>93</v>
          </cell>
        </row>
        <row r="318">
          <cell r="P318">
            <v>93</v>
          </cell>
        </row>
        <row r="319">
          <cell r="P319">
            <v>93</v>
          </cell>
        </row>
        <row r="320">
          <cell r="P320">
            <v>93</v>
          </cell>
        </row>
        <row r="321">
          <cell r="P321">
            <v>93</v>
          </cell>
        </row>
        <row r="322">
          <cell r="P322">
            <v>93</v>
          </cell>
        </row>
        <row r="323">
          <cell r="P323">
            <v>93</v>
          </cell>
        </row>
        <row r="324">
          <cell r="P324">
            <v>93</v>
          </cell>
        </row>
        <row r="325">
          <cell r="P325">
            <v>93</v>
          </cell>
        </row>
        <row r="326">
          <cell r="P326">
            <v>93</v>
          </cell>
        </row>
        <row r="327">
          <cell r="P327">
            <v>93</v>
          </cell>
        </row>
        <row r="328">
          <cell r="P328">
            <v>93</v>
          </cell>
        </row>
        <row r="329">
          <cell r="P329">
            <v>93</v>
          </cell>
        </row>
        <row r="330">
          <cell r="P330">
            <v>93</v>
          </cell>
        </row>
        <row r="331">
          <cell r="P331">
            <v>93</v>
          </cell>
        </row>
        <row r="332">
          <cell r="P332">
            <v>93</v>
          </cell>
        </row>
        <row r="333">
          <cell r="P333">
            <v>93</v>
          </cell>
        </row>
        <row r="334">
          <cell r="P334">
            <v>93</v>
          </cell>
        </row>
        <row r="335">
          <cell r="P335">
            <v>93</v>
          </cell>
        </row>
        <row r="336">
          <cell r="P336">
            <v>93</v>
          </cell>
        </row>
        <row r="337">
          <cell r="P337">
            <v>93</v>
          </cell>
        </row>
        <row r="338">
          <cell r="P338">
            <v>93</v>
          </cell>
        </row>
        <row r="339">
          <cell r="P339">
            <v>93</v>
          </cell>
        </row>
        <row r="340">
          <cell r="P340">
            <v>93</v>
          </cell>
        </row>
        <row r="341">
          <cell r="P341">
            <v>93</v>
          </cell>
        </row>
        <row r="342">
          <cell r="P342">
            <v>93</v>
          </cell>
        </row>
        <row r="343">
          <cell r="P343">
            <v>93</v>
          </cell>
        </row>
        <row r="344">
          <cell r="P344">
            <v>93</v>
          </cell>
        </row>
        <row r="345">
          <cell r="P345">
            <v>93</v>
          </cell>
        </row>
        <row r="346">
          <cell r="P346">
            <v>93</v>
          </cell>
        </row>
        <row r="347">
          <cell r="P347">
            <v>93</v>
          </cell>
        </row>
        <row r="348">
          <cell r="P348">
            <v>93</v>
          </cell>
        </row>
        <row r="349">
          <cell r="P349">
            <v>93</v>
          </cell>
        </row>
        <row r="350">
          <cell r="P350">
            <v>93</v>
          </cell>
        </row>
        <row r="351">
          <cell r="P351">
            <v>93</v>
          </cell>
        </row>
        <row r="352">
          <cell r="P352">
            <v>93</v>
          </cell>
        </row>
        <row r="353">
          <cell r="P353">
            <v>93</v>
          </cell>
        </row>
        <row r="354">
          <cell r="P354">
            <v>93</v>
          </cell>
        </row>
        <row r="355">
          <cell r="P355">
            <v>93</v>
          </cell>
        </row>
        <row r="356">
          <cell r="P356">
            <v>93</v>
          </cell>
        </row>
        <row r="357">
          <cell r="P357">
            <v>93</v>
          </cell>
        </row>
        <row r="358">
          <cell r="P358">
            <v>93</v>
          </cell>
        </row>
        <row r="359">
          <cell r="P359">
            <v>93</v>
          </cell>
        </row>
        <row r="360">
          <cell r="P360">
            <v>93</v>
          </cell>
        </row>
        <row r="361">
          <cell r="P361">
            <v>93</v>
          </cell>
        </row>
        <row r="362">
          <cell r="P362">
            <v>93</v>
          </cell>
        </row>
        <row r="363">
          <cell r="P363">
            <v>93</v>
          </cell>
        </row>
        <row r="364">
          <cell r="P364">
            <v>93</v>
          </cell>
        </row>
        <row r="365">
          <cell r="P365">
            <v>93</v>
          </cell>
        </row>
        <row r="366">
          <cell r="P366">
            <v>93</v>
          </cell>
        </row>
        <row r="367">
          <cell r="P367">
            <v>93</v>
          </cell>
        </row>
        <row r="368">
          <cell r="P368">
            <v>93</v>
          </cell>
        </row>
        <row r="369">
          <cell r="P369">
            <v>93</v>
          </cell>
        </row>
        <row r="370">
          <cell r="P370">
            <v>93</v>
          </cell>
        </row>
        <row r="371">
          <cell r="P371">
            <v>93</v>
          </cell>
        </row>
        <row r="372">
          <cell r="P372">
            <v>93</v>
          </cell>
        </row>
        <row r="373">
          <cell r="P373">
            <v>93</v>
          </cell>
        </row>
        <row r="374">
          <cell r="P374">
            <v>93</v>
          </cell>
        </row>
        <row r="375">
          <cell r="P375">
            <v>93</v>
          </cell>
        </row>
        <row r="376">
          <cell r="P376">
            <v>93</v>
          </cell>
        </row>
        <row r="377">
          <cell r="P377">
            <v>93</v>
          </cell>
        </row>
        <row r="378">
          <cell r="P378">
            <v>93</v>
          </cell>
        </row>
        <row r="379">
          <cell r="P379">
            <v>93</v>
          </cell>
        </row>
        <row r="380">
          <cell r="P380">
            <v>93</v>
          </cell>
        </row>
        <row r="381">
          <cell r="P381">
            <v>93</v>
          </cell>
        </row>
        <row r="382">
          <cell r="P382">
            <v>93</v>
          </cell>
        </row>
        <row r="383">
          <cell r="P383">
            <v>93</v>
          </cell>
        </row>
        <row r="384">
          <cell r="P384">
            <v>93</v>
          </cell>
        </row>
        <row r="385">
          <cell r="P385">
            <v>93</v>
          </cell>
        </row>
        <row r="386">
          <cell r="P386">
            <v>93</v>
          </cell>
        </row>
        <row r="387">
          <cell r="P387">
            <v>93</v>
          </cell>
        </row>
        <row r="388">
          <cell r="P388">
            <v>93</v>
          </cell>
        </row>
        <row r="389">
          <cell r="P389">
            <v>93</v>
          </cell>
        </row>
        <row r="390">
          <cell r="P390">
            <v>93</v>
          </cell>
        </row>
        <row r="391">
          <cell r="P391">
            <v>93</v>
          </cell>
        </row>
        <row r="392">
          <cell r="P392">
            <v>93</v>
          </cell>
        </row>
        <row r="393">
          <cell r="P393">
            <v>93</v>
          </cell>
        </row>
        <row r="394">
          <cell r="P394">
            <v>93</v>
          </cell>
        </row>
        <row r="395">
          <cell r="P395">
            <v>93</v>
          </cell>
        </row>
        <row r="396">
          <cell r="P396">
            <v>93</v>
          </cell>
        </row>
        <row r="397">
          <cell r="P397">
            <v>93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C8D2-C2A1-4C7F-AE2B-A556FF3588D8}">
  <sheetPr codeName="Plan1"/>
  <dimension ref="A1:DR150"/>
  <sheetViews>
    <sheetView showGridLines="0" tabSelected="1" view="pageBreakPreview" topLeftCell="A90" zoomScaleNormal="85" zoomScaleSheetLayoutView="100" workbookViewId="0">
      <selection activeCell="N31" sqref="N31:R31"/>
    </sheetView>
  </sheetViews>
  <sheetFormatPr defaultColWidth="3" defaultRowHeight="12.6" customHeight="1" x14ac:dyDescent="0.2"/>
  <cols>
    <col min="1" max="1" width="3.42578125" style="9" customWidth="1"/>
    <col min="2" max="5" width="3" style="9" customWidth="1"/>
    <col min="6" max="6" width="4.42578125" style="9" customWidth="1"/>
    <col min="7" max="10" width="3" style="9" customWidth="1"/>
    <col min="11" max="11" width="3.42578125" style="9" customWidth="1"/>
    <col min="12" max="13" width="5.42578125" style="9" customWidth="1"/>
    <col min="14" max="14" width="4.42578125" style="9" bestFit="1" customWidth="1"/>
    <col min="15" max="15" width="8.5703125" style="9" customWidth="1"/>
    <col min="16" max="16" width="1.42578125" style="9" customWidth="1"/>
    <col min="17" max="17" width="4.42578125" style="9" customWidth="1"/>
    <col min="18" max="18" width="3.42578125" style="9" customWidth="1"/>
    <col min="19" max="19" width="3" style="9" customWidth="1"/>
    <col min="20" max="20" width="4.5703125" style="9" customWidth="1"/>
    <col min="21" max="21" width="1.42578125" style="9" customWidth="1"/>
    <col min="22" max="22" width="3" style="9" customWidth="1"/>
    <col min="23" max="24" width="3.42578125" style="9" customWidth="1"/>
    <col min="25" max="25" width="1.42578125" style="9" customWidth="1"/>
    <col min="26" max="26" width="2.42578125" style="9" customWidth="1"/>
    <col min="27" max="28" width="3" style="9" customWidth="1"/>
    <col min="29" max="29" width="1.42578125" style="9" customWidth="1"/>
    <col min="30" max="30" width="3.42578125" style="9" customWidth="1"/>
    <col min="31" max="32" width="3" style="7"/>
    <col min="33" max="33" width="7" style="7" customWidth="1"/>
    <col min="34" max="34" width="2.42578125" style="7" customWidth="1"/>
    <col min="35" max="35" width="5.42578125" style="7" bestFit="1" customWidth="1"/>
    <col min="36" max="36" width="3" style="7" customWidth="1"/>
    <col min="37" max="37" width="5.42578125" style="7" bestFit="1" customWidth="1"/>
    <col min="38" max="38" width="6" style="7" bestFit="1" customWidth="1"/>
    <col min="39" max="40" width="5.42578125" style="7" bestFit="1" customWidth="1"/>
    <col min="41" max="41" width="6.42578125" style="7" bestFit="1" customWidth="1"/>
    <col min="42" max="42" width="4.42578125" style="7" bestFit="1" customWidth="1"/>
    <col min="43" max="45" width="3" style="7"/>
    <col min="46" max="46" width="13.42578125" style="7" bestFit="1" customWidth="1"/>
    <col min="47" max="48" width="3" style="7"/>
    <col min="49" max="49" width="4" style="7" bestFit="1" customWidth="1"/>
    <col min="50" max="51" width="3.42578125" style="7" bestFit="1" customWidth="1"/>
    <col min="52" max="52" width="13.42578125" style="7" bestFit="1" customWidth="1"/>
    <col min="53" max="53" width="20" style="7" customWidth="1"/>
    <col min="54" max="54" width="13.42578125" style="7" bestFit="1" customWidth="1"/>
    <col min="55" max="55" width="7.42578125" style="7" customWidth="1"/>
    <col min="56" max="56" width="7" style="7" bestFit="1" customWidth="1"/>
    <col min="57" max="57" width="30.42578125" style="7" bestFit="1" customWidth="1"/>
    <col min="58" max="58" width="4.42578125" style="7" customWidth="1"/>
    <col min="59" max="59" width="5" style="7" bestFit="1" customWidth="1"/>
    <col min="60" max="60" width="4.42578125" style="7" bestFit="1" customWidth="1"/>
    <col min="61" max="16384" width="3" style="7"/>
  </cols>
  <sheetData>
    <row r="1" spans="1:39" ht="6" customHeight="1" x14ac:dyDescent="0.2">
      <c r="A1" s="1"/>
      <c r="B1" s="2"/>
      <c r="C1" s="2"/>
      <c r="D1" s="2"/>
      <c r="E1" s="2"/>
      <c r="F1" s="3"/>
      <c r="G1" s="4" t="s">
        <v>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spans="1:39" ht="12.6" customHeight="1" x14ac:dyDescent="0.2">
      <c r="A2" s="8"/>
      <c r="C2" s="10"/>
      <c r="D2" s="10"/>
      <c r="E2" s="10"/>
      <c r="F2" s="11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4"/>
    </row>
    <row r="3" spans="1:39" ht="12.6" customHeight="1" x14ac:dyDescent="0.2">
      <c r="A3" s="8"/>
      <c r="B3" s="10"/>
      <c r="C3" s="10"/>
      <c r="D3" s="10"/>
      <c r="E3" s="10"/>
      <c r="F3" s="11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4"/>
    </row>
    <row r="4" spans="1:39" ht="12.6" customHeight="1" x14ac:dyDescent="0.2">
      <c r="A4" s="8"/>
      <c r="B4" s="10"/>
      <c r="C4" s="10"/>
      <c r="D4" s="10"/>
      <c r="E4" s="10"/>
      <c r="F4" s="11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</row>
    <row r="5" spans="1:39" ht="5.25" customHeight="1" thickBot="1" x14ac:dyDescent="0.25">
      <c r="A5" s="15"/>
      <c r="B5" s="16"/>
      <c r="C5" s="16"/>
      <c r="D5" s="16"/>
      <c r="E5" s="16"/>
      <c r="F5" s="17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20"/>
    </row>
    <row r="6" spans="1:39" ht="6" customHeight="1" thickBot="1" x14ac:dyDescent="0.25"/>
    <row r="7" spans="1:39" s="24" customFormat="1" ht="16.5" customHeight="1" thickBot="1" x14ac:dyDescent="0.3">
      <c r="A7" s="21" t="s">
        <v>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2" t="s">
        <v>2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3"/>
    </row>
    <row r="8" spans="1:39" s="24" customFormat="1" ht="16.5" customHeight="1" x14ac:dyDescent="0.2">
      <c r="A8" s="25" t="s">
        <v>3</v>
      </c>
      <c r="B8" s="26"/>
      <c r="C8" s="26"/>
      <c r="D8" s="26"/>
      <c r="E8" s="26"/>
      <c r="F8" s="27"/>
      <c r="G8" s="28" t="str">
        <f>UPPER([1]Planilha3!C1)</f>
        <v>PR-GTM</v>
      </c>
      <c r="H8" s="28"/>
      <c r="I8" s="28"/>
      <c r="J8" s="28"/>
      <c r="K8" s="28"/>
      <c r="L8" s="28"/>
      <c r="M8" s="28"/>
      <c r="N8" s="28"/>
      <c r="O8" s="29"/>
      <c r="P8" s="30" t="s">
        <v>4</v>
      </c>
      <c r="Q8" s="31"/>
      <c r="R8" s="31"/>
      <c r="S8" s="31"/>
      <c r="T8" s="31"/>
      <c r="U8" s="31"/>
      <c r="V8" s="32" t="str" cm="1">
        <f t="array" ref="V8">LOOKUP(2,1/([1]Planilha1!A2:A29621=G8)/([1]Planilha1!E2:E29621=X43)/([1]Planilha1!F2:F29621=AC43),([1]Planilha1!DU2:DU29621))</f>
        <v>GOL</v>
      </c>
      <c r="W8" s="32"/>
      <c r="X8" s="32"/>
      <c r="Y8" s="32"/>
      <c r="Z8" s="32"/>
      <c r="AA8" s="32"/>
      <c r="AB8" s="32"/>
      <c r="AC8" s="32"/>
      <c r="AD8" s="33"/>
    </row>
    <row r="9" spans="1:39" s="24" customFormat="1" ht="29.85" customHeight="1" x14ac:dyDescent="0.25">
      <c r="A9" s="34" t="s">
        <v>5</v>
      </c>
      <c r="B9" s="35"/>
      <c r="C9" s="35"/>
      <c r="D9" s="35"/>
      <c r="E9" s="35"/>
      <c r="F9" s="35"/>
      <c r="G9" s="28" t="str">
        <f>"737-"&amp;VLOOKUP($G$8,[1]Sheet1!$B:$Q,6,FALSE)</f>
        <v>737-8EH</v>
      </c>
      <c r="H9" s="28"/>
      <c r="I9" s="28"/>
      <c r="J9" s="28"/>
      <c r="K9" s="28"/>
      <c r="L9" s="28"/>
      <c r="M9" s="28"/>
      <c r="N9" s="28"/>
      <c r="O9" s="29"/>
      <c r="P9" s="36" t="s">
        <v>6</v>
      </c>
      <c r="Q9" s="35"/>
      <c r="R9" s="35"/>
      <c r="S9" s="35"/>
      <c r="T9" s="35"/>
      <c r="U9" s="35"/>
      <c r="V9" s="32" t="str" cm="1">
        <f t="array" ref="V9">LOOKUP(2,1/([1]Planilha1!A2:A29621=G8)/([1]Planilha1!E2:E29621=X43)/([1]Planilha1!F2:F29621=AC43),([1]Planilha1!G2:G29621))</f>
        <v>Lagoa Santa, MG - Brazil</v>
      </c>
      <c r="W9" s="32"/>
      <c r="X9" s="32"/>
      <c r="Y9" s="32"/>
      <c r="Z9" s="32"/>
      <c r="AA9" s="32"/>
      <c r="AB9" s="32"/>
      <c r="AC9" s="32"/>
      <c r="AD9" s="33"/>
    </row>
    <row r="10" spans="1:39" s="24" customFormat="1" ht="17.850000000000001" customHeight="1" x14ac:dyDescent="0.25">
      <c r="A10" s="34" t="s">
        <v>7</v>
      </c>
      <c r="B10" s="35"/>
      <c r="C10" s="35"/>
      <c r="D10" s="35"/>
      <c r="E10" s="35"/>
      <c r="F10" s="35"/>
      <c r="G10" s="28" t="str">
        <f>VLOOKUP($G$8,[1]Sheet1!$B:$Q,4,FALSE)</f>
        <v>YK733</v>
      </c>
      <c r="H10" s="28"/>
      <c r="I10" s="28"/>
      <c r="J10" s="28"/>
      <c r="K10" s="28"/>
      <c r="L10" s="28"/>
      <c r="M10" s="28"/>
      <c r="N10" s="28"/>
      <c r="O10" s="29"/>
      <c r="P10" s="36" t="s">
        <v>8</v>
      </c>
      <c r="Q10" s="35"/>
      <c r="R10" s="35"/>
      <c r="S10" s="35"/>
      <c r="T10" s="35"/>
      <c r="U10" s="35"/>
      <c r="V10" s="37" t="str" cm="1">
        <f t="array" ref="V10">LOOKUP(2,1/([1]Planilha1!A2:A29621=G8)/([1]Planilha1!E2:E29621=X43)/([1]Planilha1!F2:F29621=AC43),([1]Planilha1!D2:D29621))</f>
        <v>08/08/2026</v>
      </c>
      <c r="W10" s="37"/>
      <c r="X10" s="37"/>
      <c r="Y10" s="37"/>
      <c r="Z10" s="37"/>
      <c r="AA10" s="37"/>
      <c r="AB10" s="37"/>
      <c r="AC10" s="37"/>
      <c r="AD10" s="38"/>
    </row>
    <row r="11" spans="1:39" s="24" customFormat="1" ht="17.100000000000001" customHeight="1" x14ac:dyDescent="0.25">
      <c r="A11" s="34" t="s">
        <v>9</v>
      </c>
      <c r="B11" s="35"/>
      <c r="C11" s="35"/>
      <c r="D11" s="35"/>
      <c r="E11" s="35"/>
      <c r="F11" s="35"/>
      <c r="G11" s="28">
        <f>VLOOKUP($G$8,[1]Sheet1!$B:$Q,7,FALSE)</f>
        <v>34963</v>
      </c>
      <c r="H11" s="28"/>
      <c r="I11" s="28"/>
      <c r="J11" s="28"/>
      <c r="K11" s="28"/>
      <c r="L11" s="28"/>
      <c r="M11" s="28"/>
      <c r="N11" s="28"/>
      <c r="O11" s="29"/>
      <c r="P11" s="39" t="s">
        <v>10</v>
      </c>
      <c r="Q11" s="40"/>
      <c r="R11" s="40"/>
      <c r="S11" s="40"/>
      <c r="T11" s="40"/>
      <c r="U11" s="40"/>
      <c r="V11" s="41" t="s">
        <v>11</v>
      </c>
      <c r="W11" s="41"/>
      <c r="X11" s="41"/>
      <c r="Y11" s="41"/>
      <c r="Z11" s="41"/>
      <c r="AA11" s="41"/>
      <c r="AB11" s="41"/>
      <c r="AC11" s="41"/>
      <c r="AD11" s="42"/>
    </row>
    <row r="12" spans="1:39" s="24" customFormat="1" ht="16.5" customHeight="1" thickBot="1" x14ac:dyDescent="0.3">
      <c r="A12" s="34" t="s">
        <v>12</v>
      </c>
      <c r="B12" s="35"/>
      <c r="C12" s="35"/>
      <c r="D12" s="35"/>
      <c r="E12" s="35"/>
      <c r="F12" s="35"/>
      <c r="G12" s="28">
        <f>VLOOKUP($G$8,[1]Sheet1!$B:$Q,5,FALSE)</f>
        <v>2240</v>
      </c>
      <c r="H12" s="28"/>
      <c r="I12" s="28"/>
      <c r="J12" s="28"/>
      <c r="K12" s="28"/>
      <c r="L12" s="28"/>
      <c r="M12" s="28"/>
      <c r="N12" s="28"/>
      <c r="O12" s="29"/>
      <c r="P12" s="39" t="s">
        <v>13</v>
      </c>
      <c r="Q12" s="40"/>
      <c r="R12" s="40"/>
      <c r="S12" s="40"/>
      <c r="T12" s="40"/>
      <c r="U12" s="40"/>
      <c r="V12" s="43" t="str" cm="1">
        <f t="array" ref="V12">LOOKUP(2,1/([1]Planilha1!A2:A29621=G8)/([1]Planilha1!E2:E29621=X43)/([1]Planilha1!F2:F29621=AC43),([1]Planilha1!H2:H29621))</f>
        <v>New Painting</v>
      </c>
      <c r="W12" s="43"/>
      <c r="X12" s="43"/>
      <c r="Y12" s="43"/>
      <c r="Z12" s="43"/>
      <c r="AA12" s="43"/>
      <c r="AB12" s="43"/>
      <c r="AC12" s="43"/>
      <c r="AD12" s="44"/>
    </row>
    <row r="13" spans="1:39" s="24" customFormat="1" ht="39.6" customHeight="1" thickBot="1" x14ac:dyDescent="0.3">
      <c r="A13" s="34" t="s">
        <v>14</v>
      </c>
      <c r="B13" s="35"/>
      <c r="C13" s="35"/>
      <c r="D13" s="35"/>
      <c r="E13" s="35"/>
      <c r="F13" s="35"/>
      <c r="G13" s="28" t="str">
        <f>LOOKUP(2,1/([1]Planilha1!A2:A29621=G8)/([1]Planilha1!E2:E29621=X43)/([1]Planilha1!F2:F29621=AC43),([1]Planilha1!DV2:DV29621))</f>
        <v>186 Pax + 10 Flight Crew</v>
      </c>
      <c r="H13" s="28"/>
      <c r="I13" s="28"/>
      <c r="J13" s="28"/>
      <c r="K13" s="28"/>
      <c r="L13" s="28"/>
      <c r="M13" s="28"/>
      <c r="N13" s="28"/>
      <c r="O13" s="29"/>
      <c r="P13" s="45" t="s">
        <v>15</v>
      </c>
      <c r="Q13" s="46"/>
      <c r="R13" s="46"/>
      <c r="S13" s="46"/>
      <c r="T13" s="46"/>
      <c r="U13" s="46"/>
      <c r="V13" s="46"/>
      <c r="W13" s="46"/>
      <c r="X13" s="22"/>
      <c r="Y13" s="22"/>
      <c r="Z13" s="22"/>
      <c r="AA13" s="22"/>
      <c r="AB13" s="22"/>
      <c r="AC13" s="22"/>
      <c r="AD13" s="23"/>
    </row>
    <row r="14" spans="1:39" s="24" customFormat="1" ht="16.350000000000001" customHeight="1" thickBot="1" x14ac:dyDescent="0.3">
      <c r="A14" s="47" t="s">
        <v>16</v>
      </c>
      <c r="B14" s="48"/>
      <c r="C14" s="48"/>
      <c r="D14" s="48"/>
      <c r="E14" s="48"/>
      <c r="F14" s="48"/>
      <c r="G14" s="49" t="str">
        <f>LOOKUP(2,1/([1]Planilha1!A2:A29621=G8)/([1]Planilha1!E2:E29621=X43)/([1]Planilha1!F2:F29621=AC43),([1]Planilha1!DW2:DW29621))</f>
        <v>GLP-800-004-GTM</v>
      </c>
      <c r="H14" s="50"/>
      <c r="I14" s="50"/>
      <c r="J14" s="50"/>
      <c r="K14" s="50"/>
      <c r="L14" s="50"/>
      <c r="M14" s="50"/>
      <c r="N14" s="50"/>
      <c r="O14" s="50"/>
      <c r="P14" s="51" t="s">
        <v>17</v>
      </c>
      <c r="Q14" s="52"/>
      <c r="R14" s="52"/>
      <c r="S14" s="52"/>
      <c r="T14" s="52"/>
      <c r="U14" s="52"/>
      <c r="V14" s="52"/>
      <c r="W14" s="52"/>
      <c r="X14" s="53" t="s">
        <v>18</v>
      </c>
      <c r="Y14" s="53"/>
      <c r="Z14" s="54"/>
      <c r="AA14" s="55" t="s">
        <v>19</v>
      </c>
      <c r="AB14" s="56"/>
      <c r="AC14" s="56"/>
      <c r="AD14" s="57"/>
      <c r="AM14" s="58"/>
    </row>
    <row r="15" spans="1:39" s="24" customFormat="1" ht="16.5" customHeight="1" x14ac:dyDescent="0.25">
      <c r="A15" s="59"/>
      <c r="B15" s="59"/>
      <c r="C15" s="59"/>
      <c r="D15" s="59"/>
      <c r="E15" s="59"/>
      <c r="F15" s="59"/>
      <c r="G15" s="60"/>
      <c r="H15" s="60"/>
      <c r="I15" s="60"/>
      <c r="J15" s="60"/>
      <c r="K15" s="60"/>
      <c r="L15" s="60"/>
      <c r="M15" s="60"/>
      <c r="N15" s="60"/>
      <c r="O15" s="61"/>
      <c r="P15" s="62" t="s">
        <v>20</v>
      </c>
      <c r="Q15" s="63"/>
      <c r="R15" s="63"/>
      <c r="S15" s="63"/>
      <c r="T15" s="63"/>
      <c r="U15" s="63"/>
      <c r="V15" s="63"/>
      <c r="W15" s="63"/>
      <c r="X15" s="64" t="s">
        <v>21</v>
      </c>
      <c r="Y15" s="64"/>
      <c r="Z15" s="65"/>
      <c r="AA15" s="66"/>
      <c r="AB15" s="67"/>
      <c r="AC15" s="67"/>
      <c r="AD15" s="68"/>
    </row>
    <row r="16" spans="1:39" s="24" customFormat="1" ht="16.5" customHeight="1" x14ac:dyDescent="0.25">
      <c r="A16" s="69"/>
      <c r="B16" s="69"/>
      <c r="C16" s="69"/>
      <c r="D16" s="69"/>
      <c r="E16" s="69"/>
      <c r="F16" s="69"/>
      <c r="G16" s="70"/>
      <c r="H16" s="70"/>
      <c r="I16" s="70"/>
      <c r="J16" s="70"/>
      <c r="K16" s="70"/>
      <c r="L16" s="70"/>
      <c r="M16" s="70"/>
      <c r="N16" s="70"/>
      <c r="O16" s="71"/>
      <c r="P16" s="62" t="s">
        <v>22</v>
      </c>
      <c r="Q16" s="63"/>
      <c r="R16" s="63"/>
      <c r="S16" s="63"/>
      <c r="T16" s="63"/>
      <c r="U16" s="63"/>
      <c r="V16" s="63"/>
      <c r="W16" s="63"/>
      <c r="X16" s="64" t="s">
        <v>23</v>
      </c>
      <c r="Y16" s="64"/>
      <c r="Z16" s="65"/>
      <c r="AA16" s="66"/>
      <c r="AB16" s="67"/>
      <c r="AC16" s="67"/>
      <c r="AD16" s="68"/>
    </row>
    <row r="17" spans="1:43" s="24" customFormat="1" ht="16.5" customHeight="1" thickBot="1" x14ac:dyDescent="0.3">
      <c r="A17" s="69"/>
      <c r="B17" s="69"/>
      <c r="C17" s="69"/>
      <c r="D17" s="69"/>
      <c r="E17" s="69"/>
      <c r="F17" s="69"/>
      <c r="G17" s="70"/>
      <c r="H17" s="70"/>
      <c r="I17" s="70"/>
      <c r="J17" s="70"/>
      <c r="K17" s="70"/>
      <c r="L17" s="70"/>
      <c r="M17" s="70"/>
      <c r="N17" s="70"/>
      <c r="O17" s="71"/>
      <c r="P17" s="72" t="s">
        <v>24</v>
      </c>
      <c r="Q17" s="73"/>
      <c r="R17" s="73"/>
      <c r="S17" s="73"/>
      <c r="T17" s="73"/>
      <c r="U17" s="73"/>
      <c r="V17" s="73"/>
      <c r="W17" s="73"/>
      <c r="X17" s="74" t="s">
        <v>25</v>
      </c>
      <c r="Y17" s="74"/>
      <c r="Z17" s="75"/>
      <c r="AA17" s="76"/>
      <c r="AB17" s="77"/>
      <c r="AC17" s="77"/>
      <c r="AD17" s="78"/>
      <c r="AQ17" s="10"/>
    </row>
    <row r="18" spans="1:43" s="24" customFormat="1" ht="6" customHeight="1" thickBot="1" x14ac:dyDescent="0.3">
      <c r="A18" s="79"/>
      <c r="B18" s="79"/>
      <c r="C18" s="79"/>
      <c r="D18" s="79"/>
      <c r="E18" s="79"/>
      <c r="F18" s="79"/>
      <c r="G18" s="80"/>
      <c r="H18" s="80"/>
      <c r="I18" s="80"/>
      <c r="J18" s="80"/>
      <c r="K18" s="80"/>
      <c r="L18" s="80"/>
      <c r="M18" s="80"/>
      <c r="N18" s="80"/>
      <c r="O18" s="80"/>
      <c r="W18" s="81"/>
      <c r="X18" s="81"/>
      <c r="Y18" s="81"/>
      <c r="Z18" s="81"/>
      <c r="AA18" s="81"/>
      <c r="AB18" s="81"/>
      <c r="AC18" s="81"/>
      <c r="AD18" s="81"/>
    </row>
    <row r="19" spans="1:43" ht="15" customHeight="1" x14ac:dyDescent="0.2">
      <c r="A19" s="82" t="s">
        <v>26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85" t="s">
        <v>27</v>
      </c>
      <c r="Q19" s="86"/>
      <c r="R19" s="86"/>
      <c r="S19" s="86"/>
      <c r="T19" s="86"/>
      <c r="U19" s="86"/>
      <c r="V19" s="87"/>
      <c r="W19" s="85" t="s">
        <v>28</v>
      </c>
      <c r="X19" s="86"/>
      <c r="Y19" s="86"/>
      <c r="Z19" s="86"/>
      <c r="AA19" s="86"/>
      <c r="AB19" s="86"/>
      <c r="AC19" s="86"/>
      <c r="AD19" s="87"/>
      <c r="AH19" s="24"/>
      <c r="AI19" s="24"/>
      <c r="AJ19" s="24"/>
      <c r="AK19" s="24"/>
      <c r="AL19" s="24"/>
      <c r="AM19" s="24"/>
      <c r="AN19" s="24"/>
      <c r="AO19" s="24"/>
    </row>
    <row r="20" spans="1:43" ht="15" customHeight="1" x14ac:dyDescent="0.2">
      <c r="A20" s="88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9"/>
      <c r="P20" s="90" t="s">
        <v>29</v>
      </c>
      <c r="Q20" s="91"/>
      <c r="R20" s="91"/>
      <c r="S20" s="91"/>
      <c r="T20" s="91"/>
      <c r="U20" s="91"/>
      <c r="V20" s="92"/>
      <c r="W20" s="90" t="s">
        <v>30</v>
      </c>
      <c r="X20" s="91"/>
      <c r="Y20" s="91"/>
      <c r="Z20" s="91"/>
      <c r="AA20" s="91"/>
      <c r="AB20" s="91"/>
      <c r="AC20" s="91"/>
      <c r="AD20" s="92"/>
      <c r="AH20" s="24"/>
      <c r="AI20" s="24"/>
      <c r="AJ20" s="24"/>
      <c r="AK20" s="24"/>
      <c r="AL20" s="24"/>
      <c r="AM20" s="24"/>
      <c r="AN20" s="24"/>
      <c r="AO20" s="24"/>
    </row>
    <row r="21" spans="1:43" ht="10.5" customHeight="1" x14ac:dyDescent="0.2">
      <c r="A21" s="8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9"/>
      <c r="P21" s="88"/>
      <c r="Q21" s="7"/>
      <c r="R21" s="7"/>
      <c r="S21" s="7"/>
      <c r="T21" s="7"/>
      <c r="U21" s="7"/>
      <c r="V21" s="89"/>
      <c r="W21" s="88"/>
      <c r="X21" s="7"/>
      <c r="Y21" s="7"/>
      <c r="Z21" s="7"/>
      <c r="AA21" s="7"/>
      <c r="AB21" s="7"/>
      <c r="AC21" s="7"/>
      <c r="AD21" s="89"/>
      <c r="AH21" s="24"/>
      <c r="AI21" s="24"/>
      <c r="AJ21" s="24"/>
      <c r="AK21" s="24"/>
      <c r="AL21" s="24"/>
      <c r="AM21" s="24"/>
      <c r="AN21" s="24"/>
      <c r="AO21" s="24"/>
    </row>
    <row r="22" spans="1:43" ht="12.6" customHeight="1" x14ac:dyDescent="0.2">
      <c r="A22" s="8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93" t="s">
        <v>31</v>
      </c>
      <c r="Q22" s="94"/>
      <c r="R22" s="94"/>
      <c r="S22" s="95">
        <f>VLOOKUP($G$8,[1]Sheet1!$B:$Q,15,FALSE)</f>
        <v>93</v>
      </c>
      <c r="T22" s="95"/>
      <c r="U22" s="95"/>
      <c r="V22" s="96"/>
      <c r="W22" s="97" t="s">
        <v>32</v>
      </c>
      <c r="X22" s="97"/>
      <c r="Y22" s="97"/>
      <c r="Z22" s="97"/>
      <c r="AA22" s="98" t="s">
        <v>33</v>
      </c>
      <c r="AB22" s="98"/>
      <c r="AC22" s="98"/>
      <c r="AD22" s="89"/>
      <c r="AH22" s="24"/>
      <c r="AI22" s="24"/>
      <c r="AJ22" s="24"/>
      <c r="AK22" s="24"/>
      <c r="AL22" s="24"/>
      <c r="AM22" s="24"/>
      <c r="AN22" s="24"/>
      <c r="AO22" s="24"/>
    </row>
    <row r="23" spans="1:43" ht="12.6" customHeight="1" x14ac:dyDescent="0.2">
      <c r="A23" s="8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9"/>
      <c r="P23" s="99"/>
      <c r="Q23" s="100"/>
      <c r="R23" s="100"/>
      <c r="S23" s="101"/>
      <c r="T23" s="101"/>
      <c r="U23" s="101"/>
      <c r="V23" s="102"/>
      <c r="W23" s="103"/>
      <c r="X23" s="104"/>
      <c r="Y23" s="104"/>
      <c r="Z23" s="104"/>
      <c r="AA23" s="105"/>
      <c r="AB23" s="105"/>
      <c r="AC23" s="105"/>
      <c r="AD23" s="89"/>
    </row>
    <row r="24" spans="1:43" ht="12.6" customHeight="1" x14ac:dyDescent="0.2">
      <c r="A24" s="8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3" t="s">
        <v>34</v>
      </c>
      <c r="Q24" s="94"/>
      <c r="R24" s="94"/>
      <c r="S24" s="95" cm="1">
        <f t="array" ref="S24">((LOOKUP(2,1/([1]Planilha1!A2:A29621=G8)/([1]Planilha1!E2:E29621=X43)/([1]Planilha1!F2:F29621=AC43),([1]Planilha1!U2:U29621)))*0.1304)+706.17</f>
        <v>706.74242519685038</v>
      </c>
      <c r="T24" s="95"/>
      <c r="U24" s="95"/>
      <c r="V24" s="96"/>
      <c r="W24" s="97" t="s">
        <v>35</v>
      </c>
      <c r="X24" s="97"/>
      <c r="Y24" s="97"/>
      <c r="Z24" s="97"/>
      <c r="AA24" s="98" t="s">
        <v>36</v>
      </c>
      <c r="AB24" s="98"/>
      <c r="AC24" s="98"/>
      <c r="AD24" s="89"/>
      <c r="AK24" s="106"/>
    </row>
    <row r="25" spans="1:43" ht="12.6" customHeight="1" x14ac:dyDescent="0.2">
      <c r="A25" s="8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93" t="s">
        <v>37</v>
      </c>
      <c r="Q25" s="94"/>
      <c r="R25" s="94"/>
      <c r="S25" s="95" cm="1">
        <f t="array" ref="S25">((LOOKUP(2,1/([1]Planilha1!A2:A29621=G8)/([1]Planilha1!E2:E29621=X43)/([1]Planilha1!F2:F29621=AC43),([1]Planilha1!V2:V29621)))*0.1304)+706.17</f>
        <v>706.74499212598425</v>
      </c>
      <c r="T25" s="95"/>
      <c r="U25" s="95"/>
      <c r="V25" s="96"/>
      <c r="W25" s="104"/>
      <c r="X25" s="104"/>
      <c r="Y25" s="104"/>
      <c r="Z25" s="104"/>
      <c r="AA25" s="105"/>
      <c r="AB25" s="105"/>
      <c r="AC25" s="105"/>
      <c r="AD25" s="89"/>
    </row>
    <row r="26" spans="1:43" ht="12.6" customHeight="1" x14ac:dyDescent="0.2">
      <c r="A26" s="8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9"/>
      <c r="P26" s="99"/>
      <c r="Q26" s="100"/>
      <c r="R26" s="100"/>
      <c r="S26" s="107"/>
      <c r="T26" s="107"/>
      <c r="U26" s="107"/>
      <c r="V26" s="102"/>
      <c r="W26" s="108" t="s">
        <v>38</v>
      </c>
      <c r="X26" s="97"/>
      <c r="Y26" s="97"/>
      <c r="Z26" s="97"/>
      <c r="AA26" s="98" t="s">
        <v>39</v>
      </c>
      <c r="AB26" s="98"/>
      <c r="AC26" s="98"/>
      <c r="AD26" s="109"/>
    </row>
    <row r="27" spans="1:43" ht="12.6" customHeight="1" x14ac:dyDescent="0.2">
      <c r="A27" s="8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93" t="s">
        <v>40</v>
      </c>
      <c r="Q27" s="94"/>
      <c r="R27" s="94"/>
      <c r="S27" s="95">
        <v>1298.9000000000001</v>
      </c>
      <c r="T27" s="95"/>
      <c r="U27" s="95"/>
      <c r="V27" s="96"/>
      <c r="W27" s="7"/>
      <c r="X27" s="7"/>
      <c r="Y27" s="7"/>
      <c r="Z27" s="7"/>
      <c r="AA27" s="7"/>
      <c r="AB27" s="7"/>
      <c r="AC27" s="7"/>
      <c r="AD27" s="89"/>
    </row>
    <row r="28" spans="1:43" ht="6" customHeight="1" thickBot="1" x14ac:dyDescent="0.25">
      <c r="A28" s="110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2"/>
      <c r="P28" s="15"/>
      <c r="Q28" s="16"/>
      <c r="R28" s="16"/>
      <c r="S28" s="16"/>
      <c r="T28" s="16"/>
      <c r="U28" s="16"/>
      <c r="V28" s="17"/>
      <c r="W28" s="110"/>
      <c r="X28" s="111"/>
      <c r="Y28" s="111"/>
      <c r="Z28" s="111"/>
      <c r="AA28" s="111"/>
      <c r="AB28" s="111"/>
      <c r="AC28" s="111"/>
      <c r="AD28" s="112"/>
      <c r="AI28" s="113"/>
      <c r="AJ28" s="113"/>
      <c r="AK28" s="113"/>
      <c r="AL28" s="113"/>
      <c r="AM28" s="113"/>
      <c r="AN28" s="113"/>
      <c r="AO28" s="113"/>
    </row>
    <row r="29" spans="1:43" ht="6" customHeight="1" thickBot="1" x14ac:dyDescent="0.25">
      <c r="AI29" s="113"/>
      <c r="AJ29" s="113"/>
      <c r="AK29" s="113"/>
      <c r="AL29" s="113"/>
      <c r="AM29" s="113"/>
      <c r="AN29" s="113"/>
      <c r="AO29" s="113"/>
    </row>
    <row r="30" spans="1:43" s="119" customFormat="1" ht="18" customHeight="1" thickBot="1" x14ac:dyDescent="0.3">
      <c r="A30" s="114" t="s">
        <v>41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6"/>
      <c r="N30" s="117" t="s">
        <v>42</v>
      </c>
      <c r="O30" s="117"/>
      <c r="P30" s="117"/>
      <c r="Q30" s="117"/>
      <c r="R30" s="118"/>
      <c r="S30" s="21" t="s">
        <v>43</v>
      </c>
      <c r="T30" s="22"/>
      <c r="U30" s="22"/>
      <c r="V30" s="22"/>
      <c r="W30" s="23"/>
      <c r="X30" s="21" t="s">
        <v>44</v>
      </c>
      <c r="Y30" s="22"/>
      <c r="Z30" s="22"/>
      <c r="AA30" s="22"/>
      <c r="AB30" s="22"/>
      <c r="AC30" s="22"/>
      <c r="AD30" s="23"/>
      <c r="AI30" s="120"/>
      <c r="AJ30" s="120"/>
      <c r="AK30" s="120">
        <v>8699</v>
      </c>
      <c r="AL30" s="120"/>
      <c r="AM30" s="120"/>
      <c r="AN30" s="120"/>
      <c r="AO30" s="120"/>
    </row>
    <row r="31" spans="1:43" s="119" customFormat="1" ht="18" customHeight="1" x14ac:dyDescent="0.25">
      <c r="A31" s="121" t="s">
        <v>45</v>
      </c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3"/>
      <c r="N31" s="124" cm="1">
        <f t="array" ref="N31">((SUM((1*LOOKUP(2,1/([1]Planilha1!A2:A29621=G8)/([1]Planilha1!E2:E29621=X43)/([1]Planilha1!F2:F29621=AC43),([1]Planilha1!K2:K29621))),(1*LOOKUP(2,1/([1]Planilha1!A2:A29621=G8)/([1]Planilha1!E2:E29621=X43)/([1]Planilha1!F2:F29621=AC43),([1]Planilha1!L2:L29621)))))+(SUM((1*LOOKUP(2,1/([1]Planilha1!A2:A29621=G8)/([1]Planilha1!E2:E29621=X43)/([1]Planilha1!F2:F29621=AC43),([1]Planilha1!Q2:Q29621))),(1*LOOKUP(2,1/([1]Planilha1!A2:A29621=G8)/([1]Planilha1!E2:E29621=X43)/([1]Planilha1!F2:F29621=AC43),([1]Planilha1!R2:R29621))))))/2</f>
        <v>18887</v>
      </c>
      <c r="O31" s="125"/>
      <c r="P31" s="125"/>
      <c r="Q31" s="125"/>
      <c r="R31" s="126"/>
      <c r="S31" s="127">
        <f>S24</f>
        <v>706.74242519685038</v>
      </c>
      <c r="T31" s="128"/>
      <c r="U31" s="128"/>
      <c r="V31" s="128"/>
      <c r="W31" s="129"/>
      <c r="X31" s="127">
        <f>N31*S31</f>
        <v>13348244.184692914</v>
      </c>
      <c r="Y31" s="128"/>
      <c r="Z31" s="128"/>
      <c r="AA31" s="128"/>
      <c r="AB31" s="128"/>
      <c r="AC31" s="128"/>
      <c r="AD31" s="129"/>
      <c r="AI31" s="120">
        <v>8699</v>
      </c>
      <c r="AJ31" s="120">
        <v>8699</v>
      </c>
      <c r="AL31" s="120">
        <v>8699</v>
      </c>
      <c r="AM31" s="120">
        <v>8699</v>
      </c>
      <c r="AN31" s="120">
        <v>8699</v>
      </c>
      <c r="AO31" s="120"/>
    </row>
    <row r="32" spans="1:43" s="119" customFormat="1" ht="18" customHeight="1" x14ac:dyDescent="0.25">
      <c r="A32" s="130" t="s">
        <v>46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2"/>
      <c r="N32" s="124" cm="1">
        <f t="array" ref="N32">((SUM((LOOKUP(2,1/([1]Planilha1!A2:A29621=G8)/([1]Planilha1!E2:E29621=X43)/([1]Planilha1!F2:F29621=AC43),([1]Planilha1!M2:M29621))),(LOOKUP(2,1/([1]Planilha1!A2:A29621=G8)/([1]Planilha1!E2:E29621=X43)/([1]Planilha1!F2:F29621=AC43),([1]Planilha1!N2:N29621)))))+(SUM((LOOKUP(2,1/([1]Planilha1!A2:A29621=G8)/([1]Planilha1!E2:E29621=X43)/([1]Planilha1!F2:F29621=AC43),([1]Planilha1!S2:S29621))),(LOOKUP(2,1/([1]Planilha1!A2:A29621=G8)/([1]Planilha1!E2:E29621=X43)/([1]Planilha1!F2:F29621=AC43),([1]Planilha1!T2:T29621))))))/2</f>
        <v>19007</v>
      </c>
      <c r="O32" s="125"/>
      <c r="P32" s="125"/>
      <c r="Q32" s="125"/>
      <c r="R32" s="126"/>
      <c r="S32" s="133">
        <f>S25</f>
        <v>706.74499212598425</v>
      </c>
      <c r="T32" s="134"/>
      <c r="U32" s="134"/>
      <c r="V32" s="134"/>
      <c r="W32" s="135"/>
      <c r="X32" s="133">
        <f>N32*S32</f>
        <v>13433102.065338582</v>
      </c>
      <c r="Y32" s="134"/>
      <c r="Z32" s="134"/>
      <c r="AA32" s="134"/>
      <c r="AB32" s="134"/>
      <c r="AC32" s="134"/>
      <c r="AD32" s="135"/>
      <c r="AI32" s="120"/>
      <c r="AJ32" s="120"/>
      <c r="AK32" s="120"/>
      <c r="AL32" s="120"/>
      <c r="AM32" s="120"/>
      <c r="AN32" s="120"/>
      <c r="AO32" s="120"/>
    </row>
    <row r="33" spans="1:122" s="119" customFormat="1" ht="18" customHeight="1" x14ac:dyDescent="0.25">
      <c r="A33" s="130" t="s">
        <v>47</v>
      </c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2"/>
      <c r="N33" s="124" cm="1">
        <f t="array" ref="N33">((SUM((LOOKUP(2,1/([1]Planilha1!A2:A29621=G8)/([1]Planilha1!E2:E29621=X43)/([1]Planilha1!F2:F29621=AC43),([1]Planilha1!I2:I29621))),(LOOKUP(2,1/([1]Planilha1!A2:A29621=G8)/([1]Planilha1!E2:E29621=X43)/([1]Planilha1!F2:F29621=AC43),([1]Planilha1!J2:J29621)))))+(SUM((LOOKUP(2,1/([1]Planilha1!A2:A29621=G8)/([1]Planilha1!E2:E29621=X43)/([1]Planilha1!F2:F29621=AC43),([1]Planilha1!P2:P29621))),(LOOKUP(2,1/([1]Planilha1!A2:A29621=G8)/([1]Planilha1!E2:E29621=X43)/([1]Planilha1!F2:F29621=AC43),([1]Planilha1!O2:O29621))))))/2</f>
        <v>2956</v>
      </c>
      <c r="O33" s="125"/>
      <c r="P33" s="125"/>
      <c r="Q33" s="125"/>
      <c r="R33" s="126"/>
      <c r="S33" s="133">
        <f>S22</f>
        <v>93</v>
      </c>
      <c r="T33" s="134"/>
      <c r="U33" s="134"/>
      <c r="V33" s="134"/>
      <c r="W33" s="135"/>
      <c r="X33" s="133">
        <f>N33*S33</f>
        <v>274908</v>
      </c>
      <c r="Y33" s="134"/>
      <c r="Z33" s="134"/>
      <c r="AA33" s="134"/>
      <c r="AB33" s="134"/>
      <c r="AC33" s="134"/>
      <c r="AD33" s="135"/>
      <c r="AI33" s="136"/>
    </row>
    <row r="34" spans="1:122" s="119" customFormat="1" ht="18" customHeight="1" thickBot="1" x14ac:dyDescent="0.3">
      <c r="A34" s="137" t="s">
        <v>48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9"/>
      <c r="N34" s="140">
        <v>0</v>
      </c>
      <c r="O34" s="141"/>
      <c r="P34" s="141"/>
      <c r="Q34" s="141"/>
      <c r="R34" s="142"/>
      <c r="S34" s="143">
        <f>S27</f>
        <v>1298.9000000000001</v>
      </c>
      <c r="T34" s="144"/>
      <c r="U34" s="144"/>
      <c r="V34" s="144"/>
      <c r="W34" s="145"/>
      <c r="X34" s="143">
        <f>N34*S34</f>
        <v>0</v>
      </c>
      <c r="Y34" s="144"/>
      <c r="Z34" s="144"/>
      <c r="AA34" s="144"/>
      <c r="AB34" s="144"/>
      <c r="AC34" s="144"/>
      <c r="AD34" s="145"/>
    </row>
    <row r="35" spans="1:122" s="149" customFormat="1" ht="18" customHeight="1" thickBot="1" x14ac:dyDescent="0.3">
      <c r="A35" s="114" t="s">
        <v>49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6"/>
      <c r="N35" s="146">
        <f>SUM(N31:Q34)</f>
        <v>40850</v>
      </c>
      <c r="O35" s="147"/>
      <c r="P35" s="147"/>
      <c r="Q35" s="147"/>
      <c r="R35" s="148"/>
      <c r="S35" s="146">
        <f>X35/N35</f>
        <v>662.33180538632791</v>
      </c>
      <c r="T35" s="147"/>
      <c r="U35" s="147"/>
      <c r="V35" s="147"/>
      <c r="W35" s="148"/>
      <c r="X35" s="146">
        <f>SUM(X31:AC34)</f>
        <v>27056254.250031494</v>
      </c>
      <c r="Y35" s="147"/>
      <c r="Z35" s="147"/>
      <c r="AA35" s="147"/>
      <c r="AB35" s="147"/>
      <c r="AC35" s="147"/>
      <c r="AD35" s="148"/>
    </row>
    <row r="36" spans="1:122" s="119" customFormat="1" ht="18" customHeight="1" x14ac:dyDescent="0.25">
      <c r="A36" s="150" t="s">
        <v>50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27">
        <f>R92</f>
        <v>1.2</v>
      </c>
      <c r="O36" s="128"/>
      <c r="P36" s="128"/>
      <c r="Q36" s="128"/>
      <c r="R36" s="129"/>
      <c r="S36" s="127">
        <f>V92</f>
        <v>542.16666666666674</v>
      </c>
      <c r="T36" s="128"/>
      <c r="U36" s="128"/>
      <c r="V36" s="128"/>
      <c r="W36" s="129"/>
      <c r="X36" s="127">
        <f>Z92</f>
        <v>650.6</v>
      </c>
      <c r="Y36" s="128"/>
      <c r="Z36" s="128"/>
      <c r="AA36" s="128"/>
      <c r="AB36" s="128"/>
      <c r="AC36" s="128"/>
      <c r="AD36" s="129"/>
    </row>
    <row r="37" spans="1:122" s="119" customFormat="1" ht="18" customHeight="1" thickBot="1" x14ac:dyDescent="0.3">
      <c r="A37" s="153" t="s">
        <v>51</v>
      </c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33">
        <f>R127</f>
        <v>280.39999999999998</v>
      </c>
      <c r="O37" s="134"/>
      <c r="P37" s="134"/>
      <c r="Q37" s="134"/>
      <c r="R37" s="135"/>
      <c r="S37" s="133">
        <f>V127</f>
        <v>1137.8323823109845</v>
      </c>
      <c r="T37" s="134"/>
      <c r="U37" s="134"/>
      <c r="V37" s="134"/>
      <c r="W37" s="135"/>
      <c r="X37" s="133">
        <f>Z127</f>
        <v>319048.2</v>
      </c>
      <c r="Y37" s="134"/>
      <c r="Z37" s="134"/>
      <c r="AA37" s="134"/>
      <c r="AB37" s="134"/>
      <c r="AC37" s="134"/>
      <c r="AD37" s="135"/>
    </row>
    <row r="38" spans="1:122" s="149" customFormat="1" ht="18" customHeight="1" thickBot="1" x14ac:dyDescent="0.3">
      <c r="A38" s="156" t="s">
        <v>52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8"/>
      <c r="N38" s="159">
        <f>N35-N36+N37</f>
        <v>41129.200000000004</v>
      </c>
      <c r="O38" s="160"/>
      <c r="P38" s="160"/>
      <c r="Q38" s="160"/>
      <c r="R38" s="161"/>
      <c r="S38" s="159">
        <f>(X38/N38)</f>
        <v>665.577055961008</v>
      </c>
      <c r="T38" s="160"/>
      <c r="U38" s="160"/>
      <c r="V38" s="160"/>
      <c r="W38" s="161"/>
      <c r="X38" s="159">
        <f>X35-X36+X37</f>
        <v>27374651.850031491</v>
      </c>
      <c r="Y38" s="160"/>
      <c r="Z38" s="160"/>
      <c r="AA38" s="160"/>
      <c r="AB38" s="160"/>
      <c r="AC38" s="160"/>
      <c r="AD38" s="161"/>
      <c r="AI38" s="162"/>
      <c r="AJ38" s="162"/>
      <c r="AK38" s="162"/>
      <c r="AL38" s="162"/>
    </row>
    <row r="39" spans="1:122" s="119" customFormat="1" ht="23.85" customHeight="1" thickBot="1" x14ac:dyDescent="0.3">
      <c r="A39" s="163" t="s">
        <v>53</v>
      </c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5"/>
      <c r="N39" s="166" t="s">
        <v>54</v>
      </c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8"/>
    </row>
    <row r="40" spans="1:122" s="119" customFormat="1" ht="5.0999999999999996" hidden="1" customHeight="1" x14ac:dyDescent="0.25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70"/>
      <c r="O40" s="170"/>
      <c r="P40" s="170"/>
      <c r="Q40" s="170"/>
      <c r="R40" s="171"/>
      <c r="S40" s="170"/>
      <c r="T40" s="170"/>
      <c r="U40" s="170"/>
      <c r="V40" s="170"/>
      <c r="W40" s="171"/>
      <c r="X40" s="170"/>
      <c r="Y40" s="170"/>
      <c r="Z40" s="170"/>
      <c r="AA40" s="170"/>
      <c r="AB40" s="170"/>
      <c r="AC40" s="170"/>
      <c r="AD40" s="171"/>
    </row>
    <row r="41" spans="1:122" ht="6" customHeight="1" thickBot="1" x14ac:dyDescent="0.25"/>
    <row r="42" spans="1:122" ht="12.6" customHeight="1" x14ac:dyDescent="0.2">
      <c r="A42" s="172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4"/>
      <c r="P42" s="173" t="s">
        <v>55</v>
      </c>
      <c r="Q42" s="173"/>
      <c r="R42" s="173"/>
      <c r="S42" s="173"/>
      <c r="T42" s="173"/>
      <c r="U42" s="174"/>
      <c r="V42" s="175" t="s">
        <v>56</v>
      </c>
      <c r="W42" s="173"/>
      <c r="X42" s="173"/>
      <c r="Y42" s="173"/>
      <c r="Z42" s="173"/>
      <c r="AA42" s="175" t="s">
        <v>57</v>
      </c>
      <c r="AB42" s="173"/>
      <c r="AC42" s="173"/>
      <c r="AD42" s="174"/>
    </row>
    <row r="43" spans="1:122" ht="10.5" customHeight="1" x14ac:dyDescent="0.2">
      <c r="A43" s="176" t="s">
        <v>58</v>
      </c>
      <c r="B43" s="177"/>
      <c r="C43" s="177"/>
      <c r="D43" s="177" t="s">
        <v>59</v>
      </c>
      <c r="E43" s="177"/>
      <c r="F43" s="177"/>
      <c r="G43" s="177"/>
      <c r="H43" s="177"/>
      <c r="I43" s="177" t="s">
        <v>60</v>
      </c>
      <c r="J43" s="178"/>
      <c r="K43" s="178"/>
      <c r="L43" s="178"/>
      <c r="M43" s="7"/>
      <c r="N43" s="7"/>
      <c r="O43" s="89"/>
      <c r="P43" s="179" t="str">
        <f>LOOKUP(2,1/([1]Planilha1!A2:A29621=G8)/([1]Planilha1!E2:E29621=X43)/([1]Planilha1!F2:F29621=AC43),([1]Planilha1!DN2:DN29621))</f>
        <v>11/08/2026</v>
      </c>
      <c r="Q43" s="179"/>
      <c r="R43" s="179"/>
      <c r="S43" s="179"/>
      <c r="T43" s="179"/>
      <c r="U43" s="180"/>
      <c r="V43" s="181" t="str">
        <f>RIGHT(G8,3)</f>
        <v>GTM</v>
      </c>
      <c r="W43" s="182"/>
      <c r="X43" s="183">
        <f>[1]Planilha3!D1*1</f>
        <v>7</v>
      </c>
      <c r="Y43" s="183"/>
      <c r="Z43" s="184"/>
      <c r="AA43" s="185" t="s">
        <v>61</v>
      </c>
      <c r="AB43" s="186"/>
      <c r="AC43" s="187">
        <f>[1]Planilha3!E1*1</f>
        <v>0</v>
      </c>
      <c r="AD43" s="188"/>
      <c r="DR43" s="7">
        <v>0</v>
      </c>
    </row>
    <row r="44" spans="1:122" ht="10.5" customHeight="1" thickBot="1" x14ac:dyDescent="0.25">
      <c r="A44" s="176"/>
      <c r="B44" s="177"/>
      <c r="C44" s="177"/>
      <c r="D44" s="189"/>
      <c r="E44" s="189"/>
      <c r="F44" s="189"/>
      <c r="G44" s="189"/>
      <c r="H44" s="189"/>
      <c r="I44" s="177"/>
      <c r="J44" s="190">
        <f>((S38-627.1)/1.558)</f>
        <v>24.696441566757365</v>
      </c>
      <c r="K44" s="190"/>
      <c r="L44" s="177" t="s">
        <v>62</v>
      </c>
      <c r="M44" s="177"/>
      <c r="N44" s="177"/>
      <c r="O44" s="89"/>
      <c r="P44" s="191"/>
      <c r="Q44" s="191"/>
      <c r="R44" s="191"/>
      <c r="S44" s="191"/>
      <c r="T44" s="191"/>
      <c r="U44" s="192"/>
      <c r="V44" s="193"/>
      <c r="W44" s="194"/>
      <c r="X44" s="195"/>
      <c r="Y44" s="195"/>
      <c r="Z44" s="196"/>
      <c r="AA44" s="197"/>
      <c r="AB44" s="198"/>
      <c r="AC44" s="199"/>
      <c r="AD44" s="200"/>
    </row>
    <row r="45" spans="1:122" ht="10.5" customHeight="1" x14ac:dyDescent="0.2">
      <c r="A45" s="176"/>
      <c r="B45" s="177"/>
      <c r="C45" s="177"/>
      <c r="D45" s="201">
        <v>1.5580000000000001</v>
      </c>
      <c r="E45" s="201"/>
      <c r="F45" s="201"/>
      <c r="G45" s="201"/>
      <c r="H45" s="201"/>
      <c r="I45" s="177"/>
      <c r="J45" s="190"/>
      <c r="K45" s="190"/>
      <c r="L45" s="177"/>
      <c r="M45" s="177"/>
      <c r="N45" s="177"/>
      <c r="O45" s="89"/>
      <c r="P45" s="45" t="s">
        <v>63</v>
      </c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202"/>
    </row>
    <row r="46" spans="1:122" ht="10.5" customHeight="1" x14ac:dyDescent="0.2">
      <c r="A46" s="176"/>
      <c r="B46" s="177"/>
      <c r="C46" s="177"/>
      <c r="D46" s="201"/>
      <c r="E46" s="201"/>
      <c r="F46" s="201"/>
      <c r="G46" s="201"/>
      <c r="H46" s="201"/>
      <c r="I46" s="177"/>
      <c r="J46" s="178"/>
      <c r="K46" s="178"/>
      <c r="L46" s="178"/>
      <c r="M46" s="7"/>
      <c r="N46" s="7"/>
      <c r="O46" s="89"/>
      <c r="P46" s="203"/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5"/>
    </row>
    <row r="47" spans="1:122" ht="7.5" customHeight="1" thickBot="1" x14ac:dyDescent="0.25">
      <c r="A47" s="110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2"/>
      <c r="P47" s="206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8"/>
    </row>
    <row r="48" spans="1:122" ht="6" customHeight="1" thickBot="1" x14ac:dyDescent="0.25"/>
    <row r="49" spans="1:33" s="212" customFormat="1" ht="12.6" customHeight="1" x14ac:dyDescent="0.2">
      <c r="A49" s="209" t="s">
        <v>64</v>
      </c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1"/>
      <c r="P49" s="210" t="s">
        <v>65</v>
      </c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1"/>
    </row>
    <row r="50" spans="1:33" ht="12.6" customHeight="1" x14ac:dyDescent="0.2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5"/>
      <c r="P50" s="213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5"/>
    </row>
    <row r="51" spans="1:33" ht="12.6" customHeight="1" x14ac:dyDescent="0.2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5"/>
      <c r="P51" s="213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5"/>
    </row>
    <row r="52" spans="1:33" ht="12.6" customHeight="1" x14ac:dyDescent="0.2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5"/>
      <c r="P52" s="213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5"/>
    </row>
    <row r="53" spans="1:33" ht="7.35" customHeight="1" thickBot="1" x14ac:dyDescent="0.25">
      <c r="A53" s="216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8"/>
      <c r="P53" s="216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8"/>
    </row>
    <row r="54" spans="1:33" ht="6.75" customHeight="1" thickBo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3" ht="12.6" customHeight="1" x14ac:dyDescent="0.2">
      <c r="A55" s="172" t="s">
        <v>66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4"/>
    </row>
    <row r="56" spans="1:33" ht="13.5" customHeight="1" x14ac:dyDescent="0.2">
      <c r="A56" s="88" t="str">
        <f t="shared" ref="A56:A63" si="0">IF(BH126="","",BH126)</f>
        <v/>
      </c>
      <c r="B56" s="212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  <c r="AD56" s="219"/>
    </row>
    <row r="57" spans="1:33" ht="2.25" customHeight="1" x14ac:dyDescent="0.2">
      <c r="A57" s="88" t="str">
        <f>IF(BH127="","",BH127)</f>
        <v/>
      </c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9"/>
    </row>
    <row r="58" spans="1:33" ht="12.6" customHeight="1" x14ac:dyDescent="0.25">
      <c r="A58" s="88" t="str">
        <f>IF(BH127="","",BH127)</f>
        <v/>
      </c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9"/>
    </row>
    <row r="59" spans="1:33" ht="7.5" customHeight="1" x14ac:dyDescent="0.2">
      <c r="A59" s="88" t="str">
        <f t="shared" si="0"/>
        <v/>
      </c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9"/>
    </row>
    <row r="60" spans="1:33" ht="9.75" customHeight="1" x14ac:dyDescent="0.2">
      <c r="A60" s="88" t="str">
        <f t="shared" si="0"/>
        <v/>
      </c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9"/>
      <c r="AG60" s="220"/>
    </row>
    <row r="61" spans="1:33" ht="5.25" customHeight="1" x14ac:dyDescent="0.2">
      <c r="A61" s="88" t="str">
        <f t="shared" si="0"/>
        <v/>
      </c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9"/>
    </row>
    <row r="62" spans="1:33" ht="5.0999999999999996" customHeight="1" x14ac:dyDescent="0.2">
      <c r="A62" s="88" t="str">
        <f t="shared" si="0"/>
        <v/>
      </c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9"/>
    </row>
    <row r="63" spans="1:33" ht="3.6" customHeight="1" thickBot="1" x14ac:dyDescent="0.25">
      <c r="A63" s="110" t="str">
        <f t="shared" si="0"/>
        <v/>
      </c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  <c r="AB63" s="221"/>
      <c r="AC63" s="221"/>
      <c r="AD63" s="222"/>
    </row>
    <row r="64" spans="1:33" ht="11.85" customHeight="1" thickBo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93" s="119" customFormat="1" ht="19.5" customHeight="1" thickBot="1" x14ac:dyDescent="0.3">
      <c r="A65" s="223" t="s">
        <v>67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5" t="str">
        <f>M67</f>
        <v>GTM</v>
      </c>
      <c r="N65" s="224"/>
      <c r="O65" s="226" cm="1">
        <f t="array" ref="O65">(LOOKUP(2,1/([1]Planilha1!A2:A29621=G8)/([1]Planilha1!E2:E29621=X43)/([1]Planilha1!F2:F29621=AC43),([1]Planilha1!DS2:DS29621)))*1</f>
        <v>6</v>
      </c>
      <c r="P65" s="227"/>
      <c r="Q65" s="228"/>
      <c r="R65" s="229"/>
      <c r="S65" s="224" t="s">
        <v>68</v>
      </c>
      <c r="T65" s="224"/>
      <c r="U65" s="224"/>
      <c r="V65" s="224" t="s">
        <v>61</v>
      </c>
      <c r="W65" s="230" cm="1">
        <f t="array" ref="W65">LOOKUP(2,1/([1]Planilha1!A2:A29621=G8)/([1]Planilha1!E2:E29621=X43)/([1]Planilha1!F2:F29621=AC43),([1]Planilha1!DT2:DT29621))</f>
        <v>0</v>
      </c>
      <c r="X65" s="229"/>
      <c r="Y65" s="229"/>
      <c r="Z65" s="229"/>
      <c r="AA65" s="231" t="s">
        <v>69</v>
      </c>
      <c r="AB65" s="231"/>
      <c r="AC65" s="231"/>
      <c r="AD65" s="232"/>
    </row>
    <row r="66" spans="1:93" s="119" customFormat="1" ht="7.5" customHeight="1" thickBot="1" x14ac:dyDescent="0.3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119" t="s">
        <v>70</v>
      </c>
      <c r="AU66" s="119" t="str" cm="1">
        <f t="array" ref="AU66">LOOKUP(2,1/([1]Planilha1!A2:A29621=G8)/([1]Planilha1!E2:E29621=X43)/([1]Planilha1!F2:F29621=AC43),([1]Planilha1!DQ2:DQ29621))</f>
        <v>Raul</v>
      </c>
    </row>
    <row r="67" spans="1:93" s="119" customFormat="1" ht="16.5" customHeight="1" thickBot="1" x14ac:dyDescent="0.3">
      <c r="A67" s="234" t="s">
        <v>71</v>
      </c>
      <c r="B67" s="235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6" t="str">
        <f>V43</f>
        <v>GTM</v>
      </c>
      <c r="N67" s="236"/>
      <c r="O67" s="237">
        <f>X43</f>
        <v>7</v>
      </c>
      <c r="P67" s="237"/>
      <c r="Q67" s="235"/>
      <c r="R67" s="235" t="s">
        <v>68</v>
      </c>
      <c r="S67" s="235"/>
      <c r="T67" s="238"/>
      <c r="U67" s="239" t="str">
        <f>AA43</f>
        <v>R</v>
      </c>
      <c r="V67" s="238">
        <f>AC43</f>
        <v>0</v>
      </c>
      <c r="W67" s="240" t="s">
        <v>72</v>
      </c>
      <c r="X67" s="240"/>
      <c r="Y67" s="240"/>
      <c r="Z67" s="240"/>
      <c r="AA67" s="241" t="str">
        <f>P43</f>
        <v>11/08/2026</v>
      </c>
      <c r="AB67" s="240"/>
      <c r="AC67" s="240"/>
      <c r="AD67" s="242"/>
      <c r="AT67" s="119" t="s">
        <v>73</v>
      </c>
      <c r="AU67" s="119" t="str" cm="1">
        <f t="array" ref="AU67">LOOKUP(2,1/([1]Planilha1!A2:A29621=G8)/([1]Planilha1!E2:E29621=X43)/([1]Planilha1!F2:F29621=AC43),([1]Planilha1!DR2:DR29621))</f>
        <v>Jeferson</v>
      </c>
    </row>
    <row r="68" spans="1:93" s="119" customFormat="1" ht="14.1" customHeight="1" thickBot="1" x14ac:dyDescent="0.3">
      <c r="A68" s="233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43"/>
      <c r="P68" s="243"/>
      <c r="Q68" s="243"/>
      <c r="R68" s="233"/>
      <c r="S68" s="233"/>
      <c r="T68" s="233"/>
      <c r="U68" s="243"/>
      <c r="V68" s="243"/>
      <c r="W68" s="233"/>
      <c r="X68" s="233"/>
      <c r="Y68" s="233"/>
      <c r="Z68" s="233"/>
      <c r="AA68" s="244"/>
      <c r="AB68" s="244"/>
      <c r="AC68" s="244"/>
      <c r="AD68" s="244"/>
    </row>
    <row r="69" spans="1:93" s="119" customFormat="1" ht="14.1" customHeight="1" thickBot="1" x14ac:dyDescent="0.3">
      <c r="A69" s="21" t="s">
        <v>50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3"/>
      <c r="R69" s="245" t="str">
        <f>R94</f>
        <v>WEIGHT</v>
      </c>
      <c r="S69" s="117"/>
      <c r="T69" s="117"/>
      <c r="U69" s="118"/>
      <c r="V69" s="245" t="str">
        <f>V94</f>
        <v>ARM</v>
      </c>
      <c r="W69" s="117"/>
      <c r="X69" s="117"/>
      <c r="Y69" s="118"/>
      <c r="Z69" s="245" t="str">
        <f>Z94</f>
        <v>MOMENT</v>
      </c>
      <c r="AA69" s="117"/>
      <c r="AB69" s="117"/>
      <c r="AC69" s="117"/>
      <c r="AD69" s="118"/>
      <c r="AI69" s="246"/>
      <c r="AJ69" s="246"/>
      <c r="AK69" s="246"/>
      <c r="AL69" s="246"/>
      <c r="AM69" s="246"/>
      <c r="AN69" s="246"/>
      <c r="AO69" s="246"/>
      <c r="AP69" s="246"/>
      <c r="AQ69" s="246"/>
      <c r="AR69" s="246"/>
      <c r="AS69" s="246"/>
      <c r="AT69" s="246"/>
      <c r="AU69" s="246"/>
      <c r="AV69" s="246"/>
      <c r="AW69" s="246"/>
      <c r="AX69" s="246"/>
      <c r="AY69" s="246"/>
      <c r="AZ69" s="246"/>
      <c r="BA69" s="246"/>
      <c r="BB69" s="246"/>
      <c r="BC69" s="246"/>
      <c r="BD69" s="246"/>
      <c r="BE69" s="246"/>
      <c r="BF69" s="246"/>
      <c r="BG69" s="246"/>
      <c r="BH69" s="246"/>
      <c r="BI69" s="246"/>
      <c r="BK69" s="246"/>
      <c r="BL69" s="246"/>
      <c r="BM69" s="246"/>
      <c r="BN69" s="246"/>
      <c r="BO69" s="246"/>
      <c r="BP69" s="246"/>
      <c r="BQ69" s="246"/>
      <c r="BR69" s="246"/>
      <c r="BS69" s="246"/>
      <c r="BT69" s="246"/>
      <c r="BU69" s="246"/>
      <c r="BV69" s="246"/>
      <c r="BW69" s="246"/>
      <c r="BX69" s="246"/>
      <c r="BY69" s="246"/>
      <c r="BZ69" s="246"/>
      <c r="CA69" s="246"/>
      <c r="CB69" s="246"/>
      <c r="CC69" s="246"/>
      <c r="CD69" s="246"/>
      <c r="CE69" s="246"/>
      <c r="CF69" s="246"/>
      <c r="CG69" s="246"/>
      <c r="CH69" s="246"/>
      <c r="CI69" s="246"/>
      <c r="CJ69" s="246"/>
      <c r="CK69" s="246"/>
      <c r="CL69" s="246"/>
      <c r="CM69" s="246"/>
      <c r="CN69" s="246"/>
      <c r="CO69" s="246"/>
    </row>
    <row r="70" spans="1:93" s="119" customFormat="1" ht="12.6" customHeight="1" thickBot="1" x14ac:dyDescent="0.25">
      <c r="A70" s="247">
        <v>1</v>
      </c>
      <c r="B70" s="248" t="str">
        <f t="shared" ref="B70:B83" si="1">BE70</f>
        <v>Down Lock, Nose Gear</v>
      </c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9"/>
      <c r="R70" s="250">
        <f t="shared" ref="R70:R84" si="2">IF(BF70="",0,BF70*1)</f>
        <v>0.3</v>
      </c>
      <c r="S70" s="251"/>
      <c r="T70" s="251"/>
      <c r="U70" s="252"/>
      <c r="V70" s="250">
        <f t="shared" ref="V70:V79" si="3">IF(AND(R70=0, B70&lt;&gt;0), 0, BG70*1)</f>
        <v>91</v>
      </c>
      <c r="W70" s="251"/>
      <c r="X70" s="251"/>
      <c r="Y70" s="252"/>
      <c r="Z70" s="253">
        <f t="shared" ref="Z70:Z84" si="4">R70*V70</f>
        <v>27.3</v>
      </c>
      <c r="AA70" s="254"/>
      <c r="AB70" s="254"/>
      <c r="AC70" s="254"/>
      <c r="AD70" s="255"/>
      <c r="AH70" s="7"/>
      <c r="AI70" s="7"/>
      <c r="AT70" s="256" t="b">
        <f>ISTEXT(BA70)</f>
        <v>1</v>
      </c>
      <c r="AU70" s="256"/>
      <c r="AV70" s="256"/>
      <c r="AW70" s="256">
        <v>11</v>
      </c>
      <c r="AX70" s="256">
        <v>1</v>
      </c>
      <c r="AY70" s="256">
        <v>1</v>
      </c>
      <c r="AZ70" s="256">
        <f>IF(AT70=TRUE,COUNTIF($AT$70:AT70,TRUE),0)</f>
        <v>1</v>
      </c>
      <c r="BA70" s="257" t="str" cm="1">
        <f t="array" ref="BA70">LOOKUP(1,1/([1]Planilha1!$A$2:$A$29621=$G$8)/([1]Planilha1!$E$2:$E$29621=$X$43)/([1]Planilha1!$F$2:$F$29621=$AC$43),([1]Planilha1!$W$2:$W$29620))</f>
        <v>Down Lock, Nose Gear</v>
      </c>
      <c r="BB70" s="257" t="str" cm="1">
        <f t="array" ref="BB70">LOOKUP(1,1/([1]Planilha1!$A$2:$A$29621=$G$8)/([1]Planilha1!$E$2:$E$29621=$X$43)/([1]Planilha1!$F$2:$F$29621=$AC$43),([1]Planilha1!$AK$2:$AK$29620))</f>
        <v>0,3</v>
      </c>
      <c r="BC70" s="257" t="str" cm="1">
        <f t="array" ref="BC70">LOOKUP(1,1/([1]Planilha1!$A$2:$A$29621=$G$8)/([1]Planilha1!$E$2:$E$29621=$X$43)/([1]Planilha1!$F$2:$F$29621=$AC$43),([1]Planilha1!$AY$2:$AY$29620))</f>
        <v>91</v>
      </c>
      <c r="BD70" s="258">
        <v>11</v>
      </c>
      <c r="BE70" s="259" t="str">
        <f>IFERROR(IF(VLOOKUP($BD70,$AW$70:$BC83,5,FALSE)=0,"",VLOOKUP($BD70,$AW$70:$BC83,5,FALSE)),"")</f>
        <v>Down Lock, Nose Gear</v>
      </c>
      <c r="BF70" s="260" t="str">
        <f>IFERROR(IF(VLOOKUP($BD70,$AW$70:$BC$83,6,FALSE)=0,0,VLOOKUP($BD70,$AW$70:$BC$83,6,FALSE)),0)</f>
        <v>0,3</v>
      </c>
      <c r="BG70" s="261" t="str">
        <f>IFERROR(IF(VLOOKUP($BD70,$AW$70:$BC83,7,FALSE)=0,0,VLOOKUP($BD70,$AW$70:$BC83,7,FALSE)),0)</f>
        <v>91</v>
      </c>
    </row>
    <row r="71" spans="1:93" s="119" customFormat="1" ht="12.6" customHeight="1" thickBot="1" x14ac:dyDescent="0.25">
      <c r="A71" s="247">
        <v>2</v>
      </c>
      <c r="B71" s="248" t="str">
        <f t="shared" si="1"/>
        <v>Down Lock, Main Gear</v>
      </c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9"/>
      <c r="R71" s="250">
        <f t="shared" si="2"/>
        <v>0.4</v>
      </c>
      <c r="S71" s="251"/>
      <c r="T71" s="251"/>
      <c r="U71" s="252"/>
      <c r="V71" s="250">
        <f t="shared" si="3"/>
        <v>702</v>
      </c>
      <c r="W71" s="251"/>
      <c r="X71" s="251"/>
      <c r="Y71" s="252"/>
      <c r="Z71" s="253">
        <f t="shared" si="4"/>
        <v>280.8</v>
      </c>
      <c r="AA71" s="254"/>
      <c r="AB71" s="254"/>
      <c r="AC71" s="254"/>
      <c r="AD71" s="255"/>
      <c r="AI71" s="7"/>
      <c r="AT71" s="256" t="b">
        <f t="shared" ref="AT71:AT83" si="5">ISTEXT(BA71)</f>
        <v>1</v>
      </c>
      <c r="AU71" s="256"/>
      <c r="AV71" s="256"/>
      <c r="AW71" s="256">
        <v>12</v>
      </c>
      <c r="AX71" s="256">
        <v>1</v>
      </c>
      <c r="AY71" s="256">
        <v>2</v>
      </c>
      <c r="AZ71" s="256">
        <f>IF(AT71=TRUE,COUNTIF($AT$70:AT71,TRUE),0)</f>
        <v>2</v>
      </c>
      <c r="BA71" s="257" t="str" cm="1">
        <f t="array" ref="BA71">LOOKUP(2,1/([1]Planilha1!$A$2:$A$29621=$G$8)/([1]Planilha1!$E$2:$E$29621=$X$43)/([1]Planilha1!$F$2:$F$29621=$AC$43),([1]Planilha1!$X$2:$X$29620))</f>
        <v>Down Lock, Main Gear</v>
      </c>
      <c r="BB71" s="257" t="str" cm="1">
        <f t="array" ref="BB71">LOOKUP(1,1/([1]Planilha1!$A$2:$A$29621=$G$8)/([1]Planilha1!$E$2:$E$29621=$X$43)/([1]Planilha1!$F$2:$F$29621=$AC$43),([1]Planilha1!$AL$2:$AL$29620))</f>
        <v>0,4</v>
      </c>
      <c r="BC71" s="257" t="str" cm="1">
        <f t="array" ref="BC71">LOOKUP(1,1/([1]Planilha1!$A$2:$A$29621=$G$8)/([1]Planilha1!$E$2:$E$29621=$X$43)/([1]Planilha1!$F$2:$F$29621=$AC$43),([1]Planilha1!$AZ$2:$AZ$29620))</f>
        <v>702</v>
      </c>
      <c r="BD71" s="258">
        <v>12</v>
      </c>
      <c r="BE71" s="262" t="str">
        <f>IFERROR(IF(VLOOKUP($BD71,$AW$70:$BC84,5,FALSE)=0,"",VLOOKUP($BD71,$AW$70:$BC84,5,FALSE)),"")</f>
        <v>Down Lock, Main Gear</v>
      </c>
      <c r="BF71" s="263" t="str">
        <f t="shared" ref="BF71:BF83" si="6">IFERROR(IF(VLOOKUP($BD71,$AW$70:$BC$83,6,FALSE)=0,0,VLOOKUP($BD71,$AW$70:$BC$83,6,FALSE)),0)</f>
        <v>0,4</v>
      </c>
      <c r="BG71" s="264" t="str">
        <f>IFERROR(IF(VLOOKUP($BD71,$AW$70:$BC84,7,FALSE)=0,0,VLOOKUP($BD71,$AW$70:$BC84,7,FALSE)),0)</f>
        <v>702</v>
      </c>
    </row>
    <row r="72" spans="1:93" s="119" customFormat="1" ht="12.6" customHeight="1" thickBot="1" x14ac:dyDescent="0.3">
      <c r="A72" s="247">
        <v>3</v>
      </c>
      <c r="B72" s="248" t="str">
        <f t="shared" si="1"/>
        <v>Plumb Bob</v>
      </c>
      <c r="C72" s="248"/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/>
      <c r="P72" s="248"/>
      <c r="Q72" s="249"/>
      <c r="R72" s="250">
        <f t="shared" si="2"/>
        <v>0.5</v>
      </c>
      <c r="S72" s="251"/>
      <c r="T72" s="251"/>
      <c r="U72" s="252"/>
      <c r="V72" s="250">
        <f t="shared" si="3"/>
        <v>685</v>
      </c>
      <c r="W72" s="251"/>
      <c r="X72" s="251"/>
      <c r="Y72" s="252"/>
      <c r="Z72" s="253">
        <f t="shared" si="4"/>
        <v>342.5</v>
      </c>
      <c r="AA72" s="254"/>
      <c r="AB72" s="254"/>
      <c r="AC72" s="254"/>
      <c r="AD72" s="255"/>
      <c r="AT72" s="256" t="b">
        <f t="shared" si="5"/>
        <v>1</v>
      </c>
      <c r="AU72" s="256"/>
      <c r="AV72" s="256"/>
      <c r="AW72" s="256">
        <v>13</v>
      </c>
      <c r="AX72" s="256">
        <v>1</v>
      </c>
      <c r="AY72" s="256">
        <v>3</v>
      </c>
      <c r="AZ72" s="256">
        <f>IF(AT72=TRUE,COUNTIF($AT$70:AT72,TRUE),0)</f>
        <v>3</v>
      </c>
      <c r="BA72" s="257" t="str" cm="1">
        <f t="array" ref="BA72">LOOKUP(2,1/([1]Planilha1!$A$2:$A$29621=$G$8)/([1]Planilha1!$E$2:$E$29621=$X$43)/([1]Planilha1!$F$2:$F$29621=$AC$43),([1]Planilha1!$Y$2:$Y$29620))</f>
        <v>Plumb Bob</v>
      </c>
      <c r="BB72" s="257" t="str" cm="1">
        <f t="array" ref="BB72">LOOKUP(1,1/([1]Planilha1!$A$2:$A$29621=$G$8)/([1]Planilha1!$E$2:$E$29621=$X$43)/([1]Planilha1!$F$2:$F$29621=$AC$43),([1]Planilha1!$AM$2:$AM$29620))</f>
        <v>0,5</v>
      </c>
      <c r="BC72" s="257" t="str" cm="1">
        <f t="array" ref="BC72">LOOKUP(1,1/([1]Planilha1!$A$2:$A$29621=$G$8)/([1]Planilha1!$E$2:$E$29621=$X$43)/([1]Planilha1!$F$2:$F$29621=$AC$43),([1]Planilha1!$BA$2:$BA$29620))</f>
        <v>685</v>
      </c>
      <c r="BD72" s="258">
        <v>13</v>
      </c>
      <c r="BE72" s="262" t="str">
        <f>IFERROR(IF(VLOOKUP($BD72,$AW$70:$BC85,5,FALSE)=0,"",VLOOKUP($BD72,$AW$70:$BC85,5,FALSE)),"")</f>
        <v>Plumb Bob</v>
      </c>
      <c r="BF72" s="263" t="str">
        <f t="shared" si="6"/>
        <v>0,5</v>
      </c>
      <c r="BG72" s="264" t="str">
        <f>IFERROR(IF(VLOOKUP($BD72,$AW$70:$BC85,7,FALSE)=0,0,VLOOKUP($BD72,$AW$70:$BC85,7,FALSE)),0)</f>
        <v>685</v>
      </c>
    </row>
    <row r="73" spans="1:93" s="119" customFormat="1" ht="12.6" customHeight="1" thickBot="1" x14ac:dyDescent="0.3">
      <c r="A73" s="247">
        <v>4</v>
      </c>
      <c r="B73" s="248" t="str">
        <f t="shared" si="1"/>
        <v/>
      </c>
      <c r="C73" s="248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/>
      <c r="P73" s="248"/>
      <c r="Q73" s="249"/>
      <c r="R73" s="250">
        <f t="shared" si="2"/>
        <v>0</v>
      </c>
      <c r="S73" s="251"/>
      <c r="T73" s="251"/>
      <c r="U73" s="252"/>
      <c r="V73" s="250">
        <f t="shared" si="3"/>
        <v>0</v>
      </c>
      <c r="W73" s="251"/>
      <c r="X73" s="251"/>
      <c r="Y73" s="252"/>
      <c r="Z73" s="253">
        <f t="shared" si="4"/>
        <v>0</v>
      </c>
      <c r="AA73" s="254"/>
      <c r="AB73" s="254"/>
      <c r="AC73" s="254"/>
      <c r="AD73" s="255"/>
      <c r="AT73" s="256" t="b">
        <f t="shared" si="5"/>
        <v>1</v>
      </c>
      <c r="AU73" s="256"/>
      <c r="AV73" s="256"/>
      <c r="AW73" s="256">
        <v>14</v>
      </c>
      <c r="AX73" s="256">
        <v>1</v>
      </c>
      <c r="AY73" s="256">
        <v>4</v>
      </c>
      <c r="AZ73" s="256">
        <f>IF(AT73=TRUE,COUNTIF($AT$70:AT73,TRUE),0)</f>
        <v>4</v>
      </c>
      <c r="BA73" s="257" t="str" cm="1">
        <f t="array" ref="BA73">LOOKUP(2,1/([1]Planilha1!$A$2:$A$29621=$G$8)/([1]Planilha1!$E$2:$E$29621=$X$43)/([1]Planilha1!$F$2:$F$29621=$AC$43),([1]Planilha1!$Z$2:$Z$29620))</f>
        <v/>
      </c>
      <c r="BB73" s="257" t="str" cm="1">
        <f t="array" ref="BB73">LOOKUP(1,1/([1]Planilha1!$A$2:$A$29621=$G$8)/([1]Planilha1!$E$2:$E$29621=$X$43)/([1]Planilha1!$F$2:$F$29621=$AC$43),([1]Planilha1!$AN$2:$AN$29620))</f>
        <v>0</v>
      </c>
      <c r="BC73" s="257" t="str" cm="1">
        <f t="array" ref="BC73">LOOKUP(1,1/([1]Planilha1!$A$2:$A$29621=$G$8)/([1]Planilha1!$E$2:$E$29621=$X$43)/([1]Planilha1!$F$2:$F$29621=$AC$43),([1]Planilha1!$BB$2:$BB$29620))</f>
        <v>0</v>
      </c>
      <c r="BD73" s="258">
        <v>14</v>
      </c>
      <c r="BE73" s="262" t="str">
        <f>IFERROR(IF(VLOOKUP($BD73,$AW$70:$BC86,5,FALSE)=0,"",VLOOKUP($BD73,$AW$70:$BC86,5,FALSE)),"")</f>
        <v/>
      </c>
      <c r="BF73" s="263" t="str">
        <f t="shared" si="6"/>
        <v>0</v>
      </c>
      <c r="BG73" s="261" t="str">
        <f>IFERROR(IF(VLOOKUP($BD73,$AW$70:$BC86,7,FALSE)=0,0,VLOOKUP($BD73,$AW$70:$BC86,7,FALSE)),0)</f>
        <v>0</v>
      </c>
    </row>
    <row r="74" spans="1:93" s="119" customFormat="1" ht="12.6" customHeight="1" thickBot="1" x14ac:dyDescent="0.3">
      <c r="A74" s="247">
        <v>5</v>
      </c>
      <c r="B74" s="248" t="str">
        <f t="shared" si="1"/>
        <v/>
      </c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8"/>
      <c r="Q74" s="249"/>
      <c r="R74" s="250">
        <f t="shared" si="2"/>
        <v>0</v>
      </c>
      <c r="S74" s="251"/>
      <c r="T74" s="251"/>
      <c r="U74" s="252"/>
      <c r="V74" s="250">
        <f t="shared" si="3"/>
        <v>0</v>
      </c>
      <c r="W74" s="251"/>
      <c r="X74" s="251"/>
      <c r="Y74" s="252"/>
      <c r="Z74" s="253">
        <f t="shared" si="4"/>
        <v>0</v>
      </c>
      <c r="AA74" s="254"/>
      <c r="AB74" s="254"/>
      <c r="AC74" s="254"/>
      <c r="AD74" s="255"/>
      <c r="AT74" s="256" t="b">
        <f t="shared" si="5"/>
        <v>1</v>
      </c>
      <c r="AU74" s="256"/>
      <c r="AV74" s="256"/>
      <c r="AW74" s="256">
        <v>15</v>
      </c>
      <c r="AX74" s="256">
        <v>1</v>
      </c>
      <c r="AY74" s="256">
        <v>5</v>
      </c>
      <c r="AZ74" s="256">
        <f>IF(AT74=TRUE,COUNTIF($AT$70:AT74,TRUE),0)</f>
        <v>5</v>
      </c>
      <c r="BA74" s="257" t="str" cm="1">
        <f t="array" ref="BA74">LOOKUP(2,1/([1]Planilha1!$A$2:$A$29621=$G$8)/([1]Planilha1!$E$2:$E$29621=$X$43)/([1]Planilha1!$F$2:$F$29621=$AC$43),([1]Planilha1!$AA$2:$AA$29620))</f>
        <v/>
      </c>
      <c r="BB74" s="257" t="str" cm="1">
        <f t="array" ref="BB74">LOOKUP(1,1/([1]Planilha1!$A$2:$A$29621=$G$8)/([1]Planilha1!$E$2:$E$29621=$X$43)/([1]Planilha1!$F$2:$F$29621=$AC$43),([1]Planilha1!$AO$2:$AO$29620))</f>
        <v>0</v>
      </c>
      <c r="BC74" s="257" t="str" cm="1">
        <f t="array" ref="BC74">LOOKUP(1,1/([1]Planilha1!$A$2:$A$29621=$G$8)/([1]Planilha1!$E$2:$E$29621=$X$43)/([1]Planilha1!$F$2:$F$29621=$AC$43),([1]Planilha1!$BC$2:$BC$29620))</f>
        <v>0</v>
      </c>
      <c r="BD74" s="258">
        <v>15</v>
      </c>
      <c r="BE74" s="262" t="str">
        <f>IFERROR(IF(VLOOKUP($BD74,$AW$70:$BC87,5,FALSE)=0,"",VLOOKUP($BD74,$AW$70:$BC87,5,FALSE)),"")</f>
        <v/>
      </c>
      <c r="BF74" s="263" t="str">
        <f t="shared" si="6"/>
        <v>0</v>
      </c>
      <c r="BG74" s="264" t="str">
        <f>IFERROR(IF(VLOOKUP($BD74,$AW$70:$BC87,7,FALSE)=0,0,VLOOKUP($BD74,$AW$70:$BC87,7,FALSE)),0)</f>
        <v>0</v>
      </c>
    </row>
    <row r="75" spans="1:93" s="119" customFormat="1" ht="12.6" customHeight="1" thickBot="1" x14ac:dyDescent="0.3">
      <c r="A75" s="265">
        <v>6</v>
      </c>
      <c r="B75" s="248" t="str">
        <f t="shared" si="1"/>
        <v/>
      </c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9"/>
      <c r="R75" s="266">
        <f t="shared" si="2"/>
        <v>0</v>
      </c>
      <c r="S75" s="267"/>
      <c r="T75" s="267"/>
      <c r="U75" s="268"/>
      <c r="V75" s="250">
        <f t="shared" si="3"/>
        <v>0</v>
      </c>
      <c r="W75" s="251"/>
      <c r="X75" s="251"/>
      <c r="Y75" s="252"/>
      <c r="Z75" s="253">
        <f t="shared" si="4"/>
        <v>0</v>
      </c>
      <c r="AA75" s="254"/>
      <c r="AB75" s="254"/>
      <c r="AC75" s="254"/>
      <c r="AD75" s="255"/>
      <c r="AT75" s="256" t="b">
        <f t="shared" si="5"/>
        <v>1</v>
      </c>
      <c r="AU75" s="256"/>
      <c r="AV75" s="256"/>
      <c r="AW75" s="256">
        <v>16</v>
      </c>
      <c r="AX75" s="256">
        <v>1</v>
      </c>
      <c r="AY75" s="256">
        <v>6</v>
      </c>
      <c r="AZ75" s="256">
        <f>IF(AT75=TRUE,COUNTIF($AT$70:AT75,TRUE),0)</f>
        <v>6</v>
      </c>
      <c r="BA75" s="257" t="str" cm="1">
        <f t="array" ref="BA75">LOOKUP(2,1/([1]Planilha1!$A$2:$A$29621=$G$8)/([1]Planilha1!$E$2:$E$29621=$X$43)/([1]Planilha1!$F$2:$F$29621=$AC$43),([1]Planilha1!$AB$2:$AB$29620))</f>
        <v/>
      </c>
      <c r="BB75" s="257" t="str" cm="1">
        <f t="array" ref="BB75">LOOKUP(1,1/([1]Planilha1!$A$2:$A$29621=$G$8)/([1]Planilha1!$E$2:$E$29621=$X$43)/([1]Planilha1!$F$2:$F$29621=$AC$43),([1]Planilha1!$AP$2:$AP$29620))</f>
        <v>0</v>
      </c>
      <c r="BC75" s="257" t="str" cm="1">
        <f t="array" ref="BC75">LOOKUP(1,1/([1]Planilha1!$A$2:$A$29621=$G$8)/([1]Planilha1!$E$2:$E$29621=$X$43)/([1]Planilha1!$F$2:$F$29621=$AC$43),([1]Planilha1!$BD$2:$BD$29620))</f>
        <v>0</v>
      </c>
      <c r="BD75" s="258">
        <v>16</v>
      </c>
      <c r="BE75" s="262" t="str">
        <f>IFERROR(IF(VLOOKUP($BD75,$AW$70:$BC88,5,FALSE)=0,"",VLOOKUP($BD75,$AW$70:$BC88,5,FALSE)),"")</f>
        <v/>
      </c>
      <c r="BF75" s="263" t="str">
        <f t="shared" si="6"/>
        <v>0</v>
      </c>
      <c r="BG75" s="264" t="str">
        <f>IFERROR(IF(VLOOKUP($BD75,$AW$70:$BC88,7,FALSE)=0,0,VLOOKUP($BD75,$AW$70:$BC88,7,FALSE)),0)</f>
        <v>0</v>
      </c>
    </row>
    <row r="76" spans="1:93" s="119" customFormat="1" ht="12.6" customHeight="1" thickBot="1" x14ac:dyDescent="0.3">
      <c r="A76" s="247">
        <v>8</v>
      </c>
      <c r="B76" s="248" t="str">
        <f t="shared" si="1"/>
        <v/>
      </c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9"/>
      <c r="R76" s="266">
        <f t="shared" si="2"/>
        <v>0</v>
      </c>
      <c r="S76" s="267"/>
      <c r="T76" s="267"/>
      <c r="U76" s="268"/>
      <c r="V76" s="250">
        <f t="shared" si="3"/>
        <v>0</v>
      </c>
      <c r="W76" s="251"/>
      <c r="X76" s="251"/>
      <c r="Y76" s="252"/>
      <c r="Z76" s="253">
        <f t="shared" si="4"/>
        <v>0</v>
      </c>
      <c r="AA76" s="254"/>
      <c r="AB76" s="254"/>
      <c r="AC76" s="254"/>
      <c r="AD76" s="255"/>
      <c r="AT76" s="256" t="b">
        <f t="shared" si="5"/>
        <v>1</v>
      </c>
      <c r="AU76" s="256"/>
      <c r="AV76" s="256"/>
      <c r="AW76" s="256">
        <v>17</v>
      </c>
      <c r="AX76" s="256">
        <v>1</v>
      </c>
      <c r="AY76" s="256">
        <v>7</v>
      </c>
      <c r="AZ76" s="256">
        <f>IF(AT76=TRUE,COUNTIF($AT$70:AT76,TRUE),0)</f>
        <v>7</v>
      </c>
      <c r="BA76" s="257" t="str" cm="1">
        <f t="array" ref="BA76">LOOKUP(2,1/([1]Planilha1!$A$2:$A$29621=$G$8)/([1]Planilha1!$E$2:$E$29621=$X$43)/([1]Planilha1!$F$2:$F$29621=$AC$43),([1]Planilha1!$AC$2:$AC$29620))</f>
        <v/>
      </c>
      <c r="BB76" s="257" t="str" cm="1">
        <f t="array" ref="BB76">LOOKUP(1,1/([1]Planilha1!$A$2:$A$29621=$G$8)/([1]Planilha1!$E$2:$E$29621=$X$43)/([1]Planilha1!$F$2:$F$29621=$AC$43),([1]Planilha1!$AQ$2:$AQ$29620))</f>
        <v>0</v>
      </c>
      <c r="BC76" s="257" t="str" cm="1">
        <f t="array" ref="BC76">LOOKUP(1,1/([1]Planilha1!$A$2:$A$29621=$G$8)/([1]Planilha1!$E$2:$E$29621=$X$43)/([1]Planilha1!$F$2:$F$29621=$AC$43),([1]Planilha1!$BE$2:$BE$29620))</f>
        <v>0</v>
      </c>
      <c r="BD76" s="258">
        <v>17</v>
      </c>
      <c r="BE76" s="262" t="str">
        <f>IFERROR(IF(VLOOKUP($BD76,$AW$70:$BC89,5,FALSE)=0,"",VLOOKUP($BD76,$AW$70:$BC89,5,FALSE)),"")</f>
        <v/>
      </c>
      <c r="BF76" s="263" t="str">
        <f t="shared" si="6"/>
        <v>0</v>
      </c>
      <c r="BG76" s="261" t="str">
        <f>IFERROR(IF(VLOOKUP($BD76,$AW$70:$BC89,7,FALSE)=0,0,VLOOKUP($BD76,$AW$70:$BC89,7,FALSE)),0)</f>
        <v>0</v>
      </c>
    </row>
    <row r="77" spans="1:93" s="119" customFormat="1" ht="12.6" customHeight="1" thickBot="1" x14ac:dyDescent="0.3">
      <c r="A77" s="247">
        <v>9</v>
      </c>
      <c r="B77" s="248" t="str">
        <f t="shared" si="1"/>
        <v/>
      </c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9"/>
      <c r="R77" s="266">
        <f t="shared" si="2"/>
        <v>0</v>
      </c>
      <c r="S77" s="267"/>
      <c r="T77" s="267"/>
      <c r="U77" s="268"/>
      <c r="V77" s="250">
        <f t="shared" si="3"/>
        <v>0</v>
      </c>
      <c r="W77" s="251"/>
      <c r="X77" s="251"/>
      <c r="Y77" s="252"/>
      <c r="Z77" s="253">
        <f t="shared" si="4"/>
        <v>0</v>
      </c>
      <c r="AA77" s="254"/>
      <c r="AB77" s="254"/>
      <c r="AC77" s="254"/>
      <c r="AD77" s="255"/>
      <c r="AT77" s="256" t="b">
        <f t="shared" si="5"/>
        <v>1</v>
      </c>
      <c r="AU77" s="256"/>
      <c r="AV77" s="256"/>
      <c r="AW77" s="256">
        <v>18</v>
      </c>
      <c r="AX77" s="256">
        <v>1</v>
      </c>
      <c r="AY77" s="256">
        <v>8</v>
      </c>
      <c r="AZ77" s="256">
        <f>IF(AT77=TRUE,COUNTIF($AT$70:AT77,TRUE),0)</f>
        <v>8</v>
      </c>
      <c r="BA77" s="257" t="str" cm="1">
        <f t="array" ref="BA77">LOOKUP(2,1/([1]Planilha1!$A$2:$A$29621=$G$8)/([1]Planilha1!$E$2:$E$29621=$X$43)/([1]Planilha1!$F$2:$F$29621=$AC$43),([1]Planilha1!$AD$2:$AD$29620))</f>
        <v/>
      </c>
      <c r="BB77" s="257" t="str" cm="1">
        <f t="array" ref="BB77">LOOKUP(1,1/([1]Planilha1!$A$2:$A$29621=$G$8)/([1]Planilha1!$E$2:$E$29621=$X$43)/([1]Planilha1!$F$2:$F$29621=$AC$43),([1]Planilha1!$AR$2:$AR$29620))</f>
        <v>0</v>
      </c>
      <c r="BC77" s="257" t="str" cm="1">
        <f t="array" ref="BC77">LOOKUP(1,1/([1]Planilha1!$A$2:$A$29621=$G$8)/([1]Planilha1!$E$2:$E$29621=$X$43)/([1]Planilha1!$F$2:$F$29621=$AC$43),([1]Planilha1!$BF$2:$BF$29620))</f>
        <v>0</v>
      </c>
      <c r="BD77" s="258">
        <v>18</v>
      </c>
      <c r="BE77" s="262" t="str">
        <f>IFERROR(IF(VLOOKUP($BD77,$AW$70:$BC90,5,FALSE)=0,"",VLOOKUP($BD77,$AW$70:$BC90,5,FALSE)),"")</f>
        <v/>
      </c>
      <c r="BF77" s="263" t="str">
        <f t="shared" si="6"/>
        <v>0</v>
      </c>
      <c r="BG77" s="264" t="str">
        <f>IFERROR(IF(VLOOKUP($BD77,$AW$70:$BC90,7,FALSE)=0,0,VLOOKUP($BD77,$AW$70:$BC90,7,FALSE)),0)</f>
        <v>0</v>
      </c>
    </row>
    <row r="78" spans="1:93" s="119" customFormat="1" ht="12.6" customHeight="1" thickBot="1" x14ac:dyDescent="0.3">
      <c r="A78" s="247">
        <v>10</v>
      </c>
      <c r="B78" s="248" t="str">
        <f t="shared" si="1"/>
        <v/>
      </c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9"/>
      <c r="R78" s="266">
        <f t="shared" si="2"/>
        <v>0</v>
      </c>
      <c r="S78" s="267"/>
      <c r="T78" s="267"/>
      <c r="U78" s="268"/>
      <c r="V78" s="250">
        <f t="shared" si="3"/>
        <v>0</v>
      </c>
      <c r="W78" s="251"/>
      <c r="X78" s="251"/>
      <c r="Y78" s="252"/>
      <c r="Z78" s="253">
        <f t="shared" si="4"/>
        <v>0</v>
      </c>
      <c r="AA78" s="254"/>
      <c r="AB78" s="254"/>
      <c r="AC78" s="254"/>
      <c r="AD78" s="255"/>
      <c r="AT78" s="256" t="b">
        <f t="shared" si="5"/>
        <v>1</v>
      </c>
      <c r="AU78" s="256"/>
      <c r="AV78" s="256"/>
      <c r="AW78" s="256">
        <v>19</v>
      </c>
      <c r="AX78" s="256">
        <v>1</v>
      </c>
      <c r="AY78" s="256">
        <v>9</v>
      </c>
      <c r="AZ78" s="256">
        <f>IF(AT78=TRUE,COUNTIF($AT$70:AT78,TRUE),0)</f>
        <v>9</v>
      </c>
      <c r="BA78" s="257" t="str" cm="1">
        <f t="array" ref="BA78">LOOKUP(2,1/([1]Planilha1!$A$2:$A$29621=$G$8)/([1]Planilha1!$E$2:$E$29621=$X$43)/([1]Planilha1!$F$2:$F$29621=$AC$43),([1]Planilha1!$AE$2:$AE$29620))</f>
        <v/>
      </c>
      <c r="BB78" s="257" t="str" cm="1">
        <f t="array" ref="BB78">LOOKUP(1,1/([1]Planilha1!$A$2:$A$29621=$G$8)/([1]Planilha1!$E$2:$E$29621=$X$43)/([1]Planilha1!$F$2:$F$29621=$AC$43),([1]Planilha1!$AS$2:$AS$29620))</f>
        <v>0</v>
      </c>
      <c r="BC78" s="257" t="str" cm="1">
        <f t="array" ref="BC78">LOOKUP(1,1/([1]Planilha1!$A$2:$A$29621=$G$8)/([1]Planilha1!$E$2:$E$29621=$X$43)/([1]Planilha1!$F$2:$F$29621=$AC$43),([1]Planilha1!$BG$2:$BG$29620))</f>
        <v>0</v>
      </c>
      <c r="BD78" s="258">
        <v>19</v>
      </c>
      <c r="BE78" s="262" t="str">
        <f>IFERROR(IF(VLOOKUP($BD78,$AW$70:$BC91,5,FALSE)=0,"",VLOOKUP($BD78,$AW$70:$BC91,5,FALSE)),"")</f>
        <v/>
      </c>
      <c r="BF78" s="263" t="str">
        <f t="shared" si="6"/>
        <v>0</v>
      </c>
      <c r="BG78" s="264" t="str">
        <f>IFERROR(IF(VLOOKUP($BD78,$AW$70:$BC91,7,FALSE)=0,0,VLOOKUP($BD78,$AW$70:$BC91,7,FALSE)),0)</f>
        <v>0</v>
      </c>
    </row>
    <row r="79" spans="1:93" s="119" customFormat="1" ht="12.6" customHeight="1" thickBot="1" x14ac:dyDescent="0.3">
      <c r="A79" s="247">
        <v>11</v>
      </c>
      <c r="B79" s="248" t="str">
        <f t="shared" si="1"/>
        <v/>
      </c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9"/>
      <c r="R79" s="266">
        <f t="shared" si="2"/>
        <v>0</v>
      </c>
      <c r="S79" s="267"/>
      <c r="T79" s="267"/>
      <c r="U79" s="268"/>
      <c r="V79" s="250">
        <f t="shared" si="3"/>
        <v>0</v>
      </c>
      <c r="W79" s="251"/>
      <c r="X79" s="251"/>
      <c r="Y79" s="252"/>
      <c r="Z79" s="253">
        <f t="shared" si="4"/>
        <v>0</v>
      </c>
      <c r="AA79" s="254"/>
      <c r="AB79" s="254"/>
      <c r="AC79" s="254"/>
      <c r="AD79" s="255"/>
      <c r="AT79" s="256" t="b">
        <f t="shared" si="5"/>
        <v>1</v>
      </c>
      <c r="AU79" s="256"/>
      <c r="AV79" s="256"/>
      <c r="AW79" s="256">
        <v>110</v>
      </c>
      <c r="AX79" s="256">
        <v>1</v>
      </c>
      <c r="AY79" s="256">
        <v>10</v>
      </c>
      <c r="AZ79" s="256">
        <f>IF(AT79=TRUE,COUNTIF($AT$70:AT79,TRUE),0)</f>
        <v>10</v>
      </c>
      <c r="BA79" s="257" t="str" cm="1">
        <f t="array" ref="BA79">LOOKUP(2,1/([1]Planilha1!$A$2:$A$29621=$G$8)/([1]Planilha1!$E$2:$E$29621=$X$43)/([1]Planilha1!$F$2:$F$29621=$AC$43),([1]Planilha1!$AF$2:$AF$29620))</f>
        <v/>
      </c>
      <c r="BB79" s="257" t="str" cm="1">
        <f t="array" ref="BB79">LOOKUP(1,1/([1]Planilha1!$A$2:$A$29621=$G$8)/([1]Planilha1!$E$2:$E$29621=$X$43)/([1]Planilha1!$F$2:$F$29621=$AC$43),([1]Planilha1!$AT$2:$AT$29620))</f>
        <v>0</v>
      </c>
      <c r="BC79" s="257" t="str" cm="1">
        <f t="array" ref="BC79">LOOKUP(1,1/([1]Planilha1!$A$2:$A$29621=$G$8)/([1]Planilha1!$E$2:$E$29621=$X$43)/([1]Planilha1!$F$2:$F$29621=$AC$43),([1]Planilha1!$BH$2:$BH$29620))</f>
        <v>0</v>
      </c>
      <c r="BD79" s="258">
        <v>110</v>
      </c>
      <c r="BE79" s="262" t="str">
        <f>IFERROR(IF(VLOOKUP($BD79,$AW$70:$BC92,5,FALSE)=0,"",VLOOKUP($BD79,$AW$70:$BC92,5,FALSE)),"")</f>
        <v/>
      </c>
      <c r="BF79" s="263" t="str">
        <f t="shared" si="6"/>
        <v>0</v>
      </c>
      <c r="BG79" s="261" t="str">
        <f>IFERROR(IF(VLOOKUP($BD79,$AW$70:$BC92,7,FALSE)=0,0,VLOOKUP($BD79,$AW$70:$BC92,7,FALSE)),0)</f>
        <v>0</v>
      </c>
    </row>
    <row r="80" spans="1:93" s="119" customFormat="1" ht="12.6" customHeight="1" thickBot="1" x14ac:dyDescent="0.3">
      <c r="A80" s="247">
        <v>12</v>
      </c>
      <c r="B80" s="248" t="str">
        <f t="shared" si="1"/>
        <v/>
      </c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9"/>
      <c r="R80" s="266">
        <f t="shared" si="2"/>
        <v>0</v>
      </c>
      <c r="S80" s="267"/>
      <c r="T80" s="267"/>
      <c r="U80" s="268"/>
      <c r="V80" s="250">
        <f>IF(AND(R80=0, B80&lt;&gt;0), 0, BG80)</f>
        <v>0</v>
      </c>
      <c r="W80" s="251"/>
      <c r="X80" s="251"/>
      <c r="Y80" s="252"/>
      <c r="Z80" s="253">
        <f t="shared" si="4"/>
        <v>0</v>
      </c>
      <c r="AA80" s="254"/>
      <c r="AB80" s="254"/>
      <c r="AC80" s="254"/>
      <c r="AD80" s="255"/>
      <c r="AT80" s="256" t="b">
        <f t="shared" si="5"/>
        <v>1</v>
      </c>
      <c r="AU80" s="256"/>
      <c r="AV80" s="256"/>
      <c r="AW80" s="256">
        <v>111</v>
      </c>
      <c r="AX80" s="256">
        <v>1</v>
      </c>
      <c r="AY80" s="256">
        <v>11</v>
      </c>
      <c r="AZ80" s="256">
        <f>IF(AT80=TRUE,COUNTIF($AT$70:AT80,TRUE),0)</f>
        <v>11</v>
      </c>
      <c r="BA80" s="257" t="str" cm="1">
        <f t="array" ref="BA80">LOOKUP(2,1/([1]Planilha1!$A$2:$A$29621=$G$8)/([1]Planilha1!$E$2:$E$29621=$X$43)/([1]Planilha1!$F$2:$F$29621=$AC$43),([1]Planilha1!$AG$2:$AG$29620))</f>
        <v/>
      </c>
      <c r="BB80" s="257" t="str" cm="1">
        <f t="array" ref="BB80">LOOKUP(1,1/([1]Planilha1!$A$2:$A$29621=$G$8)/([1]Planilha1!$E$2:$E$29621=$X$43)/([1]Planilha1!$F$2:$F$29621=$AC$43),([1]Planilha1!$AU$2:$AU$29620))</f>
        <v>0</v>
      </c>
      <c r="BC80" s="257" t="str" cm="1">
        <f t="array" ref="BC80">LOOKUP(1,1/([1]Planilha1!$A$2:$A$29621=$G$8)/([1]Planilha1!$E$2:$E$29621=$X$43)/([1]Planilha1!$F$2:$F$29621=$AC$43),([1]Planilha1!$BI$2:$BI$29620))</f>
        <v>0</v>
      </c>
      <c r="BD80" s="258">
        <v>111</v>
      </c>
      <c r="BE80" s="262" t="str">
        <f>IFERROR(IF(VLOOKUP($BD80,$AW$70:$BC93,5,FALSE)=0,"",VLOOKUP($BD80,$AW$70:$BC93,5,FALSE)),"")</f>
        <v/>
      </c>
      <c r="BF80" s="263" t="str">
        <f t="shared" si="6"/>
        <v>0</v>
      </c>
      <c r="BG80" s="264" t="str">
        <f>IFERROR(IF(VLOOKUP($BD80,$AW$70:$BC93,7,FALSE)=0,0,VLOOKUP($BD80,$AW$70:$BC93,7,FALSE)),0)</f>
        <v>0</v>
      </c>
    </row>
    <row r="81" spans="1:59" s="119" customFormat="1" ht="12.6" customHeight="1" thickBot="1" x14ac:dyDescent="0.3">
      <c r="A81" s="247">
        <v>13</v>
      </c>
      <c r="B81" s="248" t="str">
        <f t="shared" si="1"/>
        <v/>
      </c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9"/>
      <c r="R81" s="266">
        <f t="shared" si="2"/>
        <v>0</v>
      </c>
      <c r="S81" s="267"/>
      <c r="T81" s="267"/>
      <c r="U81" s="268"/>
      <c r="V81" s="250">
        <f>IF(AND(R81=0, B81&lt;&gt;0), 0, BG81)</f>
        <v>0</v>
      </c>
      <c r="W81" s="251"/>
      <c r="X81" s="251"/>
      <c r="Y81" s="252"/>
      <c r="Z81" s="253">
        <f t="shared" si="4"/>
        <v>0</v>
      </c>
      <c r="AA81" s="254"/>
      <c r="AB81" s="254"/>
      <c r="AC81" s="254"/>
      <c r="AD81" s="255"/>
      <c r="AT81" s="256" t="b">
        <f t="shared" si="5"/>
        <v>1</v>
      </c>
      <c r="AU81" s="256"/>
      <c r="AV81" s="256"/>
      <c r="AW81" s="256">
        <v>112</v>
      </c>
      <c r="AX81" s="256">
        <v>1</v>
      </c>
      <c r="AY81" s="256">
        <v>12</v>
      </c>
      <c r="AZ81" s="256">
        <f>IF(AT81=TRUE,COUNTIF($AT$70:AT81,TRUE),0)</f>
        <v>12</v>
      </c>
      <c r="BA81" s="257" t="str" cm="1">
        <f t="array" ref="BA81">LOOKUP(2,1/([1]Planilha1!$A$2:$A$29621=$G$8)/([1]Planilha1!$E$2:$E$29621=$X$43)/([1]Planilha1!$F$2:$F$29621=$AC$43),([1]Planilha1!$AH$2:$AH$29620))</f>
        <v/>
      </c>
      <c r="BB81" s="257" t="str" cm="1">
        <f t="array" ref="BB81">LOOKUP(1,1/([1]Planilha1!$A$2:$A$29621=$G$8)/([1]Planilha1!$E$2:$E$29621=$X$43)/([1]Planilha1!$F$2:$F$29621=$AC$43),([1]Planilha1!$AV$2:$AV$29620))</f>
        <v>0</v>
      </c>
      <c r="BC81" s="257" t="str" cm="1">
        <f t="array" ref="BC81">LOOKUP(1,1/([1]Planilha1!$A$2:$A$29621=$G$8)/([1]Planilha1!$E$2:$E$29621=$X$43)/([1]Planilha1!$F$2:$F$29621=$AC$43),([1]Planilha1!$BJ$2:$BJ$29620))</f>
        <v>0</v>
      </c>
      <c r="BD81" s="258">
        <v>112</v>
      </c>
      <c r="BE81" s="262" t="str">
        <f>IFERROR(IF(VLOOKUP($BD81,$AW$70:$BC94,5,FALSE)=0,"",VLOOKUP($BD81,$AW$70:$BC94,5,FALSE)),"")</f>
        <v/>
      </c>
      <c r="BF81" s="263" t="str">
        <f t="shared" si="6"/>
        <v>0</v>
      </c>
      <c r="BG81" s="264" t="str">
        <f>IFERROR(IF(VLOOKUP($BD81,$AW$70:$BC94,7,FALSE)=0,0,VLOOKUP($BD81,$AW$70:$BC94,7,FALSE)),0)</f>
        <v>0</v>
      </c>
    </row>
    <row r="82" spans="1:59" s="119" customFormat="1" ht="12.6" customHeight="1" thickBot="1" x14ac:dyDescent="0.3">
      <c r="A82" s="247">
        <v>14</v>
      </c>
      <c r="B82" s="248" t="str">
        <f t="shared" si="1"/>
        <v/>
      </c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9"/>
      <c r="R82" s="266">
        <f t="shared" si="2"/>
        <v>0</v>
      </c>
      <c r="S82" s="267"/>
      <c r="T82" s="267"/>
      <c r="U82" s="268"/>
      <c r="V82" s="250">
        <f>IF(AND(R82=0, B82&lt;&gt;0), 0, BG82)</f>
        <v>0</v>
      </c>
      <c r="W82" s="251"/>
      <c r="X82" s="251"/>
      <c r="Y82" s="252"/>
      <c r="Z82" s="253">
        <f t="shared" si="4"/>
        <v>0</v>
      </c>
      <c r="AA82" s="254"/>
      <c r="AB82" s="254"/>
      <c r="AC82" s="254"/>
      <c r="AD82" s="255"/>
      <c r="AT82" s="256" t="b">
        <f t="shared" si="5"/>
        <v>1</v>
      </c>
      <c r="AU82" s="256"/>
      <c r="AV82" s="256"/>
      <c r="AW82" s="256">
        <v>113</v>
      </c>
      <c r="AX82" s="256">
        <v>1</v>
      </c>
      <c r="AY82" s="256">
        <v>13</v>
      </c>
      <c r="AZ82" s="256">
        <f>IF(AT82=TRUE,COUNTIF($AT$70:AT82,TRUE),0)</f>
        <v>13</v>
      </c>
      <c r="BA82" s="257" t="str" cm="1">
        <f t="array" ref="BA82">LOOKUP(2,1/([1]Planilha1!$A$2:$A$29621=$G$8)/([1]Planilha1!$E$2:$E$29621=$X$43)/([1]Planilha1!$F$2:$F$29621=$AC$43),([1]Planilha1!$AI$2:$AI$29620))</f>
        <v/>
      </c>
      <c r="BB82" s="257" t="str" cm="1">
        <f t="array" ref="BB82">LOOKUP(1,1/([1]Planilha1!$A$2:$A$29621=$G$8)/([1]Planilha1!$E$2:$E$29621=$X$43)/([1]Planilha1!$F$2:$F$29621=$AC$43),([1]Planilha1!$AW$2:$AW$29620))</f>
        <v>0</v>
      </c>
      <c r="BC82" s="257" t="str" cm="1">
        <f t="array" ref="BC82">LOOKUP(1,1/([1]Planilha1!$A$2:$A$29621=$G$8)/([1]Planilha1!$E$2:$E$29621=$X$43)/([1]Planilha1!$F$2:$F$29621=$AC$43),([1]Planilha1!$BK$2:$BK$29620))</f>
        <v>0</v>
      </c>
      <c r="BD82" s="258">
        <v>113</v>
      </c>
      <c r="BE82" s="262" t="str">
        <f>IFERROR(IF(VLOOKUP($BD82,$AW$70:$BC95,5,FALSE)=0,"",VLOOKUP($BD82,$AW$70:$BC95,5,FALSE)),"")</f>
        <v/>
      </c>
      <c r="BF82" s="263" t="str">
        <f t="shared" si="6"/>
        <v>0</v>
      </c>
      <c r="BG82" s="261" t="str">
        <f>IFERROR(IF(VLOOKUP($BD82,$AW$70:$BC95,7,FALSE)=0,0,VLOOKUP($BD82,$AW$70:$BC95,7,FALSE)),0)</f>
        <v>0</v>
      </c>
    </row>
    <row r="83" spans="1:59" s="119" customFormat="1" ht="12.6" customHeight="1" thickBot="1" x14ac:dyDescent="0.3">
      <c r="A83" s="247">
        <v>15</v>
      </c>
      <c r="B83" s="248" t="str">
        <f t="shared" si="1"/>
        <v/>
      </c>
      <c r="C83" s="248"/>
      <c r="D83" s="248"/>
      <c r="E83" s="248"/>
      <c r="F83" s="248"/>
      <c r="G83" s="248"/>
      <c r="H83" s="248"/>
      <c r="I83" s="248"/>
      <c r="J83" s="248"/>
      <c r="K83" s="248"/>
      <c r="L83" s="248"/>
      <c r="M83" s="248"/>
      <c r="N83" s="248"/>
      <c r="O83" s="248"/>
      <c r="P83" s="248"/>
      <c r="Q83" s="249"/>
      <c r="R83" s="266">
        <f t="shared" si="2"/>
        <v>0</v>
      </c>
      <c r="S83" s="267"/>
      <c r="T83" s="267"/>
      <c r="U83" s="268"/>
      <c r="V83" s="250">
        <f>IF(AND(R83=0, B83&lt;&gt;0), 0, BG83)</f>
        <v>0</v>
      </c>
      <c r="W83" s="251"/>
      <c r="X83" s="251"/>
      <c r="Y83" s="252"/>
      <c r="Z83" s="253">
        <f t="shared" si="4"/>
        <v>0</v>
      </c>
      <c r="AA83" s="254"/>
      <c r="AB83" s="254"/>
      <c r="AC83" s="254"/>
      <c r="AD83" s="255"/>
      <c r="AT83" s="256" t="b">
        <f t="shared" si="5"/>
        <v>1</v>
      </c>
      <c r="AU83" s="256"/>
      <c r="AV83" s="256"/>
      <c r="AW83" s="256">
        <v>114</v>
      </c>
      <c r="AX83" s="256">
        <v>1</v>
      </c>
      <c r="AY83" s="256">
        <v>14</v>
      </c>
      <c r="AZ83" s="256">
        <f>IF(AT83=TRUE,COUNTIF($AT$70:AT83,TRUE),0)</f>
        <v>14</v>
      </c>
      <c r="BA83" s="257" t="str" cm="1">
        <f t="array" ref="BA83">LOOKUP(2,1/([1]Planilha1!$A$2:$A$29621=$G$8)/([1]Planilha1!$E$2:$E$29621=$X$43)/([1]Planilha1!$F$2:$F$29621=$AC$43),([1]Planilha1!AJ$2:AJ$29620))</f>
        <v/>
      </c>
      <c r="BB83" s="257" t="str" cm="1">
        <f t="array" ref="BB83">LOOKUP(1,1/([1]Planilha1!$A$2:$A$29621=$G$8)/([1]Planilha1!$E$2:$E$29621=$X$43)/([1]Planilha1!$F$2:$F$29621=$AC$43),([1]Planilha1!$AX$2:$AX$29620))</f>
        <v>0</v>
      </c>
      <c r="BC83" s="257" t="str" cm="1">
        <f t="array" ref="BC83">LOOKUP(1,1/([1]Planilha1!$A$2:$A$29621=$G$8)/([1]Planilha1!$E$2:$E$29621=$X$43)/([1]Planilha1!$F$2:$F$29621=$AC$43),([1]Planilha1!$BL$2:$BL$29620))</f>
        <v>0</v>
      </c>
      <c r="BD83" s="258">
        <v>114</v>
      </c>
      <c r="BE83" s="269" t="str">
        <f>IFERROR(IF(VLOOKUP($BD83,$AW$70:$BC96,5,FALSE)=0,"",VLOOKUP($BD83,$AW$70:$BC96,5,FALSE)),"")</f>
        <v/>
      </c>
      <c r="BF83" s="263" t="str">
        <f t="shared" si="6"/>
        <v>0</v>
      </c>
      <c r="BG83" s="264" t="str">
        <f>IFERROR(IF(VLOOKUP($BD83,$AW$70:$BC96,7,FALSE)=0,0,VLOOKUP($BD83,$AW$70:$BC96,7,FALSE)),0)</f>
        <v>0</v>
      </c>
    </row>
    <row r="84" spans="1:59" s="119" customFormat="1" ht="12.6" customHeight="1" thickBot="1" x14ac:dyDescent="0.3">
      <c r="A84" s="247">
        <v>16</v>
      </c>
      <c r="B84" s="248"/>
      <c r="C84" s="248"/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  <c r="Q84" s="249"/>
      <c r="R84" s="266">
        <f t="shared" si="2"/>
        <v>0</v>
      </c>
      <c r="S84" s="267"/>
      <c r="T84" s="267"/>
      <c r="U84" s="268"/>
      <c r="V84" s="266">
        <f>IF(AND(R84=0, B84&lt;&gt;0), 0, BG84*1)</f>
        <v>0</v>
      </c>
      <c r="W84" s="267"/>
      <c r="X84" s="267"/>
      <c r="Y84" s="268"/>
      <c r="Z84" s="253">
        <f t="shared" si="4"/>
        <v>0</v>
      </c>
      <c r="AA84" s="254"/>
      <c r="AB84" s="254"/>
      <c r="AC84" s="254"/>
      <c r="AD84" s="255"/>
      <c r="AT84" s="256"/>
      <c r="AU84" s="256"/>
      <c r="AV84" s="256"/>
      <c r="AW84" s="256"/>
      <c r="AX84" s="256"/>
      <c r="AY84" s="256"/>
      <c r="AZ84" s="256"/>
      <c r="BA84" s="257"/>
      <c r="BB84" s="257"/>
      <c r="BC84" s="257"/>
      <c r="BD84" s="256"/>
      <c r="BE84" s="270"/>
      <c r="BF84" s="270"/>
      <c r="BG84" s="270"/>
    </row>
    <row r="85" spans="1:59" s="119" customFormat="1" ht="12.6" customHeight="1" thickBot="1" x14ac:dyDescent="0.3">
      <c r="A85" s="247">
        <v>17</v>
      </c>
      <c r="B85" s="248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9"/>
      <c r="R85" s="266">
        <v>0</v>
      </c>
      <c r="S85" s="267"/>
      <c r="T85" s="267"/>
      <c r="U85" s="268"/>
      <c r="V85" s="266">
        <v>0</v>
      </c>
      <c r="W85" s="267"/>
      <c r="X85" s="267"/>
      <c r="Y85" s="268"/>
      <c r="Z85" s="253">
        <v>0</v>
      </c>
      <c r="AA85" s="254"/>
      <c r="AB85" s="254"/>
      <c r="AC85" s="254"/>
      <c r="AD85" s="255"/>
      <c r="AT85" s="256" t="b">
        <f>ISTEXT(BA85)</f>
        <v>1</v>
      </c>
      <c r="AU85" s="256"/>
      <c r="AV85" s="256"/>
      <c r="AW85" s="256">
        <v>11</v>
      </c>
      <c r="AX85" s="256">
        <v>1</v>
      </c>
      <c r="AY85" s="256">
        <v>1</v>
      </c>
      <c r="AZ85" s="256">
        <f>IF(AT85=TRUE,COUNTIF($AT$85:AT85,TRUE),0)</f>
        <v>1</v>
      </c>
      <c r="BA85" s="256" t="str" cm="1">
        <f t="array" ref="BA85">LOOKUP(1,1/([1]Planilha1!$A$2:$A$29621=$G$8)/([1]Planilha1!$E$2:$E$29621=$X$43)/([1]Planilha1!$F$2:$F$29621=$AC$43),([1]Planilha1!$BM$2:$BM$29620))</f>
        <v/>
      </c>
      <c r="BB85" s="256" t="str" cm="1">
        <f t="array" ref="BB85">LOOKUP(1,1/([1]Planilha1!$A$2:$A$29621=$G$8)/([1]Planilha1!$E$2:$E$29621=$X$43)/([1]Planilha1!$F$2:$F$29621=$AC$43),([1]Planilha1!$CB$2:$CB$29620))</f>
        <v/>
      </c>
      <c r="BC85" s="256" t="str" cm="1">
        <f t="array" ref="BC85">LOOKUP(1,1/([1]Planilha1!$A$2:$A$29621=$G$8)/([1]Planilha1!$E$2:$E$29621=$X$43)/([1]Planilha1!$F$2:$F$29621=$AC$43),([1]Planilha1!$CP$2:$CP$29620))</f>
        <v/>
      </c>
      <c r="BD85" s="258">
        <v>11</v>
      </c>
      <c r="BE85" s="259" t="str">
        <f>IFERROR(IF(VLOOKUP($BD85,$AW$85:$BC$98,5,FALSE)=0,"",VLOOKUP($BD85,$AW$85:$BC$98,5,FALSE)),"")</f>
        <v/>
      </c>
      <c r="BF85" s="263" t="str">
        <f>IFERROR(IF(VLOOKUP(BD85,$AW$85:$BC$98,6,FALSE)=0,0,VLOOKUP(BD85,$AW$85:$BC$98,6,FALSE)),0)</f>
        <v/>
      </c>
      <c r="BG85" s="261" t="str">
        <f>IFERROR(IF(VLOOKUP(BD85,$AW$85:$BC$98,7,FALSE)=0,0,VLOOKUP(BD85,$AW$85:$BC$98,7,FALSE)),0)</f>
        <v/>
      </c>
    </row>
    <row r="86" spans="1:59" s="119" customFormat="1" ht="12.6" customHeight="1" thickBot="1" x14ac:dyDescent="0.3">
      <c r="A86" s="247">
        <v>18</v>
      </c>
      <c r="B86" s="248"/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9"/>
      <c r="R86" s="266">
        <v>0</v>
      </c>
      <c r="S86" s="267"/>
      <c r="T86" s="267"/>
      <c r="U86" s="268"/>
      <c r="V86" s="266">
        <v>0</v>
      </c>
      <c r="W86" s="267"/>
      <c r="X86" s="267"/>
      <c r="Y86" s="268"/>
      <c r="Z86" s="253">
        <f t="shared" ref="Z86:Z97" si="7">R86*V86</f>
        <v>0</v>
      </c>
      <c r="AA86" s="254"/>
      <c r="AB86" s="254"/>
      <c r="AC86" s="254"/>
      <c r="AD86" s="255"/>
      <c r="AT86" s="256" t="b">
        <f t="shared" ref="AT86:AT108" si="8">ISTEXT(BA86)</f>
        <v>1</v>
      </c>
      <c r="AU86" s="256"/>
      <c r="AV86" s="256"/>
      <c r="AW86" s="256">
        <v>12</v>
      </c>
      <c r="AX86" s="256">
        <v>1</v>
      </c>
      <c r="AY86" s="256">
        <v>2</v>
      </c>
      <c r="AZ86" s="256">
        <f>IF(AT86=TRUE,COUNTIF($AT$85:AT86,TRUE),0)</f>
        <v>2</v>
      </c>
      <c r="BA86" s="256" t="str" cm="1">
        <f t="array" ref="BA86">LOOKUP(1,1/([1]Planilha1!$A$2:$A$29621=$G$8)/([1]Planilha1!$E$2:$E$29621=$X$43)/([1]Planilha1!$F$2:$F$29621=$AC$43),([1]Planilha1!$BN$2:$BN$29620))</f>
        <v>Flaps 0 - 40° (Up when weighed)</v>
      </c>
      <c r="BB86" s="256" t="str" cm="1">
        <f t="array" ref="BB86">LOOKUP(1,1/([1]Planilha1!$A$2:$A$29621=$G$8)/([1]Planilha1!$E$2:$E$29621=$X$43)/([1]Planilha1!$F$2:$F$29621=$AC$43),([1]Planilha1!$CC$2:$CC$29620))</f>
        <v/>
      </c>
      <c r="BC86" s="256" t="str" cm="1">
        <f t="array" ref="BC86">LOOKUP(1,1/([1]Planilha1!$A$2:$A$29621=$G$8)/([1]Planilha1!$E$2:$E$29621=$X$43)/([1]Planilha1!$F$2:$F$29621=$AC$43),([1]Planilha1!$CQ$2:$CQ$29620))</f>
        <v/>
      </c>
      <c r="BD86" s="258">
        <v>12</v>
      </c>
      <c r="BE86" s="262" t="str">
        <f t="shared" ref="BE86:BE97" si="9">IFERROR(IF(VLOOKUP($BD86,$AW$85:$BC$98,5,FALSE)=0,"",VLOOKUP($BD86,$AW$85:$BC$98,5,FALSE)),"")</f>
        <v>Flaps 0 - 40° (Up when weighed)</v>
      </c>
      <c r="BF86" s="256" t="str">
        <f>IFERROR(IF(VLOOKUP(BD86,$AW$85:$BC$98,6,FALSE)=0,0,VLOOKUP(BD86,$AW$85:$BC$98,6,FALSE)),0)</f>
        <v/>
      </c>
      <c r="BG86" s="261" t="str">
        <f t="shared" ref="BG86:BG97" si="10">IFERROR(IF(VLOOKUP(BD86,$AW$85:$BC$98,7,FALSE)=0,0,VLOOKUP(BD86,$AW$85:$BC$98,7,FALSE)),0)</f>
        <v/>
      </c>
    </row>
    <row r="87" spans="1:59" s="119" customFormat="1" ht="12.6" customHeight="1" thickBot="1" x14ac:dyDescent="0.3">
      <c r="A87" s="247">
        <v>19</v>
      </c>
      <c r="B87" s="248"/>
      <c r="C87" s="248"/>
      <c r="D87" s="248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9"/>
      <c r="R87" s="266">
        <v>0</v>
      </c>
      <c r="S87" s="267"/>
      <c r="T87" s="267"/>
      <c r="U87" s="268"/>
      <c r="V87" s="266">
        <v>0</v>
      </c>
      <c r="W87" s="267"/>
      <c r="X87" s="267"/>
      <c r="Y87" s="268"/>
      <c r="Z87" s="253">
        <f t="shared" si="7"/>
        <v>0</v>
      </c>
      <c r="AA87" s="254"/>
      <c r="AB87" s="254"/>
      <c r="AC87" s="254"/>
      <c r="AD87" s="255"/>
      <c r="AT87" s="256" t="b">
        <f t="shared" si="8"/>
        <v>1</v>
      </c>
      <c r="AU87" s="256"/>
      <c r="AV87" s="256"/>
      <c r="AW87" s="256">
        <v>13</v>
      </c>
      <c r="AX87" s="256">
        <v>1</v>
      </c>
      <c r="AY87" s="256">
        <v>3</v>
      </c>
      <c r="AZ87" s="256">
        <f>IF(AT87=TRUE,COUNTIF($AT$85:AT87,TRUE),0)</f>
        <v>3</v>
      </c>
      <c r="BA87" s="256" t="str" cm="1">
        <f t="array" ref="BA87">LOOKUP(1,1/([1]Planilha1!$A$2:$A$29621=$G$8)/([1]Planilha1!$E$2:$E$29621=$X$43)/([1]Planilha1!$F$2:$F$29621=$AC$43),([1]Planilha1!$BO$2:$BO$29620))</f>
        <v>Fuel, Drain, Unusable (5.6 Gal)</v>
      </c>
      <c r="BB87" s="256" t="str" cm="1">
        <f t="array" ref="BB87">LOOKUP(1,1/([1]Planilha1!$A$2:$A$29621=$G$8)/([1]Planilha1!$E$2:$E$29621=$X$43)/([1]Planilha1!$F$2:$F$29621=$AC$43),([1]Planilha1!$CD$2:$CD$29620))</f>
        <v>17,3</v>
      </c>
      <c r="BC87" s="256" t="str" cm="1">
        <f t="array" ref="BC87">LOOKUP(1,1/([1]Planilha1!$A$2:$A$29621=$G$8)/([1]Planilha1!$E$2:$E$29621=$X$43)/([1]Planilha1!$F$2:$F$29621=$AC$43),([1]Planilha1!$CR$2:$CR$29620))</f>
        <v>646</v>
      </c>
      <c r="BD87" s="258">
        <v>13</v>
      </c>
      <c r="BE87" s="262" t="str">
        <f t="shared" si="9"/>
        <v>Fuel, Drain, Unusable (5.6 Gal)</v>
      </c>
      <c r="BF87" s="256" t="str">
        <f>IFERROR(IF(VLOOKUP(BD87,$AW$85:$BC$98,6,FALSE)=0,0,VLOOKUP(BD87,$AW$85:$BC$98,6,FALSE)),0)</f>
        <v>17,3</v>
      </c>
      <c r="BG87" s="261" t="str">
        <f t="shared" si="10"/>
        <v>646</v>
      </c>
    </row>
    <row r="88" spans="1:59" s="119" customFormat="1" ht="12.6" customHeight="1" thickBot="1" x14ac:dyDescent="0.3">
      <c r="A88" s="247">
        <v>20</v>
      </c>
      <c r="B88" s="248"/>
      <c r="C88" s="248"/>
      <c r="D88" s="248"/>
      <c r="E88" s="248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9"/>
      <c r="R88" s="266">
        <v>0</v>
      </c>
      <c r="S88" s="267"/>
      <c r="T88" s="267"/>
      <c r="U88" s="268"/>
      <c r="V88" s="266">
        <v>0</v>
      </c>
      <c r="W88" s="267"/>
      <c r="X88" s="267"/>
      <c r="Y88" s="268"/>
      <c r="Z88" s="253">
        <f t="shared" si="7"/>
        <v>0</v>
      </c>
      <c r="AA88" s="254"/>
      <c r="AB88" s="254"/>
      <c r="AC88" s="254"/>
      <c r="AD88" s="255"/>
      <c r="AT88" s="256" t="b">
        <f t="shared" si="8"/>
        <v>1</v>
      </c>
      <c r="AU88" s="256"/>
      <c r="AV88" s="256"/>
      <c r="AW88" s="256">
        <v>14</v>
      </c>
      <c r="AX88" s="256">
        <v>1</v>
      </c>
      <c r="AY88" s="256">
        <v>4</v>
      </c>
      <c r="AZ88" s="256">
        <f>IF(AT88=TRUE,COUNTIF($AT$85:AT88,TRUE),0)</f>
        <v>4</v>
      </c>
      <c r="BA88" s="256" t="str" cm="1">
        <f t="array" ref="BA88">LOOKUP(1,1/([1]Planilha1!$A$2:$A$29621=$G$8)/([1]Planilha1!$E$2:$E$29621=$X$43)/([1]Planilha1!$F$2:$F$29621=$AC$43),([1]Planilha1!$BP$2:$BP$29620))</f>
        <v>Lavatory Dry Supplies</v>
      </c>
      <c r="BB88" s="256" t="str" cm="1">
        <f t="array" ref="BB88">LOOKUP(1,1/([1]Planilha1!$A$2:$A$29621=$G$8)/([1]Planilha1!$E$2:$E$29621=$X$43)/([1]Planilha1!$F$2:$F$29621=$AC$43),([1]Planilha1!$CE$2:$CE$29620))</f>
        <v>4</v>
      </c>
      <c r="BC88" s="256" t="str" cm="1">
        <f t="array" ref="BC88">LOOKUP(1,1/([1]Planilha1!$A$2:$A$29621=$G$8)/([1]Planilha1!$E$2:$E$29621=$X$43)/([1]Planilha1!$F$2:$F$29621=$AC$43),([1]Planilha1!$CS$2:$CS$29620))</f>
        <v>1145</v>
      </c>
      <c r="BD88" s="258">
        <v>14</v>
      </c>
      <c r="BE88" s="262" t="str">
        <f t="shared" si="9"/>
        <v>Lavatory Dry Supplies</v>
      </c>
      <c r="BF88" s="256" t="str">
        <f>IFERROR(IF(VLOOKUP(BD88,$AW$85:$BC$98,6,FALSE)=0,0,VLOOKUP(BD88,$AW$85:$BC$98,6,FALSE)),0)</f>
        <v>4</v>
      </c>
      <c r="BG88" s="261" t="str">
        <f t="shared" si="10"/>
        <v>1145</v>
      </c>
    </row>
    <row r="89" spans="1:59" s="119" customFormat="1" ht="12.6" customHeight="1" thickBot="1" x14ac:dyDescent="0.3">
      <c r="A89" s="247">
        <v>21</v>
      </c>
      <c r="B89" s="248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9"/>
      <c r="R89" s="266">
        <v>0</v>
      </c>
      <c r="S89" s="267"/>
      <c r="T89" s="267"/>
      <c r="U89" s="268"/>
      <c r="V89" s="266">
        <v>0</v>
      </c>
      <c r="W89" s="267"/>
      <c r="X89" s="267"/>
      <c r="Y89" s="268"/>
      <c r="Z89" s="253">
        <f t="shared" si="7"/>
        <v>0</v>
      </c>
      <c r="AA89" s="254"/>
      <c r="AB89" s="254"/>
      <c r="AC89" s="254"/>
      <c r="AD89" s="255"/>
      <c r="AT89" s="256" t="b">
        <f t="shared" si="8"/>
        <v>1</v>
      </c>
      <c r="AU89" s="256"/>
      <c r="AV89" s="256"/>
      <c r="AW89" s="256">
        <v>15</v>
      </c>
      <c r="AX89" s="256">
        <v>1</v>
      </c>
      <c r="AY89" s="256">
        <v>5</v>
      </c>
      <c r="AZ89" s="256">
        <f>IF(AT89=TRUE,COUNTIF($AT$85:AT89,TRUE),0)</f>
        <v>5</v>
      </c>
      <c r="BA89" s="256" t="str" cm="1">
        <f t="array" ref="BA89">LOOKUP(1,1/([1]Planilha1!$A$2:$A$29621=$G$8)/([1]Planilha1!$E$2:$E$29621=$X$43)/([1]Planilha1!$F$2:$F$29621=$AC$43),([1]Planilha1!$BQ$2:$BQ$29620))</f>
        <v>Lavatory Pre-charge Fluid (6.0 Gal)</v>
      </c>
      <c r="BB89" s="256" t="str" cm="1">
        <f t="array" ref="BB89">LOOKUP(1,1/([1]Planilha1!$A$2:$A$29621=$G$8)/([1]Planilha1!$E$2:$E$29621=$X$43)/([1]Planilha1!$F$2:$F$29621=$AC$43),([1]Planilha1!$CF$2:$CF$29620))</f>
        <v>22,7</v>
      </c>
      <c r="BC89" s="256" t="str" cm="1">
        <f t="array" ref="BC89">LOOKUP(1,1/([1]Planilha1!$A$2:$A$29621=$G$8)/([1]Planilha1!$E$2:$E$29621=$X$43)/([1]Planilha1!$F$2:$F$29621=$AC$43),([1]Planilha1!$CT$2:$CT$29620))</f>
        <v>1112</v>
      </c>
      <c r="BD89" s="258">
        <v>15</v>
      </c>
      <c r="BE89" s="262" t="str">
        <f t="shared" si="9"/>
        <v>Lavatory Pre-charge Fluid (6.0 Gal)</v>
      </c>
      <c r="BF89" s="256" t="str">
        <f>IFERROR(IF(VLOOKUP(BD89,$AW$85:$BC$98,6,FALSE)=0,0,VLOOKUP(BD89,$AW$85:$BC$98,6,FALSE)),0)</f>
        <v>22,7</v>
      </c>
      <c r="BG89" s="261" t="str">
        <f t="shared" si="10"/>
        <v>1112</v>
      </c>
    </row>
    <row r="90" spans="1:59" s="119" customFormat="1" ht="12.6" customHeight="1" thickBot="1" x14ac:dyDescent="0.3">
      <c r="A90" s="247">
        <v>22</v>
      </c>
      <c r="B90" s="248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9"/>
      <c r="R90" s="266">
        <v>0</v>
      </c>
      <c r="S90" s="267"/>
      <c r="T90" s="267"/>
      <c r="U90" s="268"/>
      <c r="V90" s="266">
        <v>0</v>
      </c>
      <c r="W90" s="267"/>
      <c r="X90" s="267"/>
      <c r="Y90" s="268"/>
      <c r="Z90" s="253">
        <f t="shared" si="7"/>
        <v>0</v>
      </c>
      <c r="AA90" s="254"/>
      <c r="AB90" s="254"/>
      <c r="AC90" s="254"/>
      <c r="AD90" s="255"/>
      <c r="AT90" s="256" t="b">
        <f t="shared" si="8"/>
        <v>1</v>
      </c>
      <c r="AU90" s="256"/>
      <c r="AV90" s="256"/>
      <c r="AW90" s="256">
        <v>16</v>
      </c>
      <c r="AX90" s="256">
        <v>1</v>
      </c>
      <c r="AY90" s="256">
        <v>6</v>
      </c>
      <c r="AZ90" s="256">
        <f>IF(AT90=TRUE,COUNTIF($AT$85:AT90,TRUE),0)</f>
        <v>6</v>
      </c>
      <c r="BA90" s="256" t="str" cm="1">
        <f t="array" ref="BA90">LOOKUP(1,1/([1]Planilha1!$A$2:$A$29621=$G$8)/([1]Planilha1!$E$2:$E$29621=$X$43)/([1]Planilha1!$F$2:$F$29621=$AC$43),([1]Planilha1!$BR$2:$BR$29620))</f>
        <v>Water, Potable (62.6 Gal)</v>
      </c>
      <c r="BB90" s="256" t="str" cm="1">
        <f t="array" ref="BB90">LOOKUP(1,1/([1]Planilha1!$A$2:$A$29621=$G$8)/([1]Planilha1!$E$2:$E$29621=$X$43)/([1]Planilha1!$F$2:$F$29621=$AC$43),([1]Planilha1!$CG$2:$CG$29620))</f>
        <v>236,4</v>
      </c>
      <c r="BC90" s="256" t="str" cm="1">
        <f t="array" ref="BC90">LOOKUP(1,1/([1]Planilha1!$A$2:$A$29621=$G$8)/([1]Planilha1!$E$2:$E$29621=$X$43)/([1]Planilha1!$F$2:$F$29621=$AC$43),([1]Planilha1!$CU$2:$CU$29620))</f>
        <v>1150</v>
      </c>
      <c r="BD90" s="258">
        <v>16</v>
      </c>
      <c r="BE90" s="262" t="str">
        <f t="shared" si="9"/>
        <v>Water, Potable (62.6 Gal)</v>
      </c>
      <c r="BF90" s="256" t="str">
        <f>IFERROR(IF(VLOOKUP(BD90,$AW$85:$BC$112,6,FALSE)=0,0,VLOOKUP(BD90,$AW$85:$BC$112,6,FALSE)),0)</f>
        <v>236,4</v>
      </c>
      <c r="BG90" s="261" t="str">
        <f t="shared" si="10"/>
        <v>1150</v>
      </c>
    </row>
    <row r="91" spans="1:59" s="119" customFormat="1" ht="12.6" customHeight="1" thickBot="1" x14ac:dyDescent="0.3">
      <c r="A91" s="247">
        <v>23</v>
      </c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2"/>
      <c r="R91" s="266">
        <v>0</v>
      </c>
      <c r="S91" s="267"/>
      <c r="T91" s="267"/>
      <c r="U91" s="268"/>
      <c r="V91" s="266">
        <v>0</v>
      </c>
      <c r="W91" s="267"/>
      <c r="X91" s="267"/>
      <c r="Y91" s="268"/>
      <c r="Z91" s="253">
        <f t="shared" si="7"/>
        <v>0</v>
      </c>
      <c r="AA91" s="254"/>
      <c r="AB91" s="254"/>
      <c r="AC91" s="254"/>
      <c r="AD91" s="255"/>
      <c r="AT91" s="256" t="b">
        <f t="shared" si="8"/>
        <v>1</v>
      </c>
      <c r="AU91" s="256"/>
      <c r="AV91" s="256"/>
      <c r="AW91" s="256">
        <v>17</v>
      </c>
      <c r="AX91" s="256">
        <v>1</v>
      </c>
      <c r="AY91" s="256">
        <v>7</v>
      </c>
      <c r="AZ91" s="256">
        <f>IF(AT91=TRUE,COUNTIF($AT$85:AT91,TRUE),0)</f>
        <v>7</v>
      </c>
      <c r="BA91" s="256" t="str" cm="1">
        <f t="array" ref="BA91">LOOKUP(1,1/([1]Planilha1!$A$2:$A$29621=$G$8)/([1]Planilha1!$E$2:$E$29621=$X$43)/([1]Planilha1!$F$2:$F$29621=$AC$43),([1]Planilha1!$BS$2:$BS$29620))</f>
        <v/>
      </c>
      <c r="BB91" s="256" t="str" cm="1">
        <f t="array" ref="BB91">LOOKUP(1,1/([1]Planilha1!$A$2:$A$29621=$G$8)/([1]Planilha1!$E$2:$E$29621=$X$43)/([1]Planilha1!$F$2:$F$29621=$AC$43),([1]Planilha1!$CH$2:$CH$29620))</f>
        <v/>
      </c>
      <c r="BC91" s="256" t="str" cm="1">
        <f t="array" ref="BC91">LOOKUP(1,1/([1]Planilha1!$A$2:$A$29621=$G$8)/([1]Planilha1!$E$2:$E$29621=$X$43)/([1]Planilha1!$F$2:$F$29621=$AC$43),([1]Planilha1!$CV$2:$CV$29620))</f>
        <v/>
      </c>
      <c r="BD91" s="258">
        <v>17</v>
      </c>
      <c r="BE91" s="262" t="str">
        <f t="shared" si="9"/>
        <v/>
      </c>
      <c r="BF91" s="256" t="str">
        <f t="shared" ref="BF91:BF108" si="11">IFERROR(IF(VLOOKUP(BD91,$AW$85:$BC$112,6,FALSE)=0,0,VLOOKUP(BD91,$AW$85:$BC$112,6,FALSE)),0)</f>
        <v/>
      </c>
      <c r="BG91" s="261" t="str">
        <f>IFERROR(IF(VLOOKUP(BD91,$AW$85:$BC$98,7,FALSE)=0,0,VLOOKUP(BD91,$AW$85:$BC$98,7,FALSE)),0)</f>
        <v/>
      </c>
    </row>
    <row r="92" spans="1:59" s="119" customFormat="1" ht="15" customHeight="1" thickBot="1" x14ac:dyDescent="0.3">
      <c r="A92" s="234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4">
        <f>SUM(R70:U91)</f>
        <v>1.2</v>
      </c>
      <c r="S92" s="275"/>
      <c r="T92" s="275"/>
      <c r="U92" s="276"/>
      <c r="V92" s="274">
        <f>Z92/R92</f>
        <v>542.16666666666674</v>
      </c>
      <c r="W92" s="275"/>
      <c r="X92" s="275"/>
      <c r="Y92" s="275"/>
      <c r="Z92" s="274">
        <f>SUM(Z70:AC91)</f>
        <v>650.6</v>
      </c>
      <c r="AA92" s="275"/>
      <c r="AB92" s="275"/>
      <c r="AC92" s="275"/>
      <c r="AD92" s="276"/>
      <c r="AT92" s="256" t="b">
        <f t="shared" si="8"/>
        <v>1</v>
      </c>
      <c r="AU92" s="256"/>
      <c r="AV92" s="256"/>
      <c r="AW92" s="256">
        <v>18</v>
      </c>
      <c r="AX92" s="256">
        <v>1</v>
      </c>
      <c r="AY92" s="256">
        <v>8</v>
      </c>
      <c r="AZ92" s="256">
        <f>IF(AT92=TRUE,COUNTIF($AT$85:AT92,TRUE),0)</f>
        <v>8</v>
      </c>
      <c r="BA92" s="256" t="str" cm="1">
        <f t="array" ref="BA92">LOOKUP(1,1/([1]Planilha1!$A$2:$A$29621=$G$8)/([1]Planilha1!$E$2:$E$29621=$X$43)/([1]Planilha1!$F$2:$F$29621=$AC$43),([1]Planilha1!$BT$2:$BT$29620))</f>
        <v/>
      </c>
      <c r="BB92" s="256" t="str" cm="1">
        <f t="array" ref="BB92">LOOKUP(1,1/([1]Planilha1!$A$2:$A$29621=$G$8)/([1]Planilha1!$E$2:$E$29621=$X$43)/([1]Planilha1!$F$2:$F$29621=$AC$43),([1]Planilha1!$CI$2:$CI$29620))</f>
        <v/>
      </c>
      <c r="BC92" s="256" t="str" cm="1">
        <f t="array" ref="BC92">LOOKUP(1,1/([1]Planilha1!$A$2:$A$29621=$G$8)/([1]Planilha1!$E$2:$E$29621=$X$43)/([1]Planilha1!$F$2:$F$29621=$AC$43),([1]Planilha1!$CW$2:$CW$29620))</f>
        <v/>
      </c>
      <c r="BD92" s="258">
        <v>18</v>
      </c>
      <c r="BE92" s="262" t="str">
        <f t="shared" si="9"/>
        <v/>
      </c>
      <c r="BF92" s="256" t="str">
        <f t="shared" si="11"/>
        <v/>
      </c>
      <c r="BG92" s="261" t="str">
        <f t="shared" ref="BG92:BG103" si="12">IFERROR(IF(VLOOKUP(BD92,$AW$85:$BC$98,7,FALSE)=0,0,VLOOKUP(BD92,$AW$85:$BC$98,7,FALSE)),0)</f>
        <v/>
      </c>
    </row>
    <row r="93" spans="1:59" s="119" customFormat="1" ht="6" customHeight="1" thickBot="1" x14ac:dyDescent="0.3">
      <c r="A93" s="233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8"/>
      <c r="O93" s="278"/>
      <c r="P93" s="278"/>
      <c r="Q93" s="278"/>
      <c r="R93" s="279"/>
      <c r="S93" s="280"/>
      <c r="T93" s="280"/>
      <c r="U93" s="280"/>
      <c r="V93" s="280"/>
      <c r="W93" s="279"/>
      <c r="X93" s="280"/>
      <c r="Y93" s="280"/>
      <c r="Z93" s="280"/>
      <c r="AA93" s="280"/>
      <c r="AB93" s="280"/>
      <c r="AC93" s="280"/>
      <c r="AD93" s="281"/>
      <c r="AT93" s="256" t="b">
        <f t="shared" si="8"/>
        <v>1</v>
      </c>
      <c r="AU93" s="256"/>
      <c r="AV93" s="256"/>
      <c r="AW93" s="256">
        <v>19</v>
      </c>
      <c r="AX93" s="256">
        <v>1</v>
      </c>
      <c r="AY93" s="256">
        <v>9</v>
      </c>
      <c r="AZ93" s="256">
        <f>IF(AT93=TRUE,COUNTIF($AT$85:AT93,TRUE),0)</f>
        <v>9</v>
      </c>
      <c r="BA93" s="256" t="str" cm="1">
        <f t="array" ref="BA93">LOOKUP(1,1/([1]Planilha1!$A$2:$A$29621=$G$8)/([1]Planilha1!$E$2:$E$29621=$X$43)/([1]Planilha1!$F$2:$F$29621=$AC$43),([1]Planilha1!$BU$2:$BU$29620))</f>
        <v/>
      </c>
      <c r="BB93" s="256" t="str" cm="1">
        <f t="array" ref="BB93">LOOKUP(1,1/([1]Planilha1!$A$2:$A$29621=$G$8)/([1]Planilha1!$E$2:$E$29621=$X$43)/([1]Planilha1!$F$2:$F$29621=$AC$43),([1]Planilha1!$CJ$2:$CJ$29620))</f>
        <v/>
      </c>
      <c r="BC93" s="256" t="str" cm="1">
        <f t="array" ref="BC93">LOOKUP(1,1/([1]Planilha1!$A$2:$A$29621=$G$8)/([1]Planilha1!$E$2:$E$29621=$X$43)/([1]Planilha1!$F$2:$F$29621=$AC$43),([1]Planilha1!$CX$2:$CX$29620))</f>
        <v/>
      </c>
      <c r="BD93" s="258">
        <v>19</v>
      </c>
      <c r="BE93" s="262" t="str">
        <f t="shared" si="9"/>
        <v/>
      </c>
      <c r="BF93" s="256" t="str">
        <f t="shared" si="11"/>
        <v/>
      </c>
      <c r="BG93" s="261" t="str">
        <f t="shared" si="12"/>
        <v/>
      </c>
    </row>
    <row r="94" spans="1:59" s="119" customFormat="1" ht="14.1" customHeight="1" thickBot="1" x14ac:dyDescent="0.3">
      <c r="A94" s="21" t="s">
        <v>51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82" t="s">
        <v>42</v>
      </c>
      <c r="S94" s="283"/>
      <c r="T94" s="283"/>
      <c r="U94" s="284"/>
      <c r="V94" s="283" t="s">
        <v>43</v>
      </c>
      <c r="W94" s="283"/>
      <c r="X94" s="283"/>
      <c r="Y94" s="283"/>
      <c r="Z94" s="282" t="s">
        <v>44</v>
      </c>
      <c r="AA94" s="283"/>
      <c r="AB94" s="283"/>
      <c r="AC94" s="283"/>
      <c r="AD94" s="284"/>
      <c r="AT94" s="256" t="b">
        <f t="shared" si="8"/>
        <v>1</v>
      </c>
      <c r="AU94" s="256"/>
      <c r="AV94" s="256"/>
      <c r="AW94" s="256">
        <v>110</v>
      </c>
      <c r="AX94" s="256">
        <v>1</v>
      </c>
      <c r="AY94" s="256">
        <v>10</v>
      </c>
      <c r="AZ94" s="256">
        <f>IF(AT94=TRUE,COUNTIF($AT$85:AT94,TRUE),0)</f>
        <v>10</v>
      </c>
      <c r="BA94" s="256" t="str" cm="1">
        <f t="array" ref="BA94">LOOKUP(1,1/([1]Planilha1!$A$2:$A$29621=$G$8)/([1]Planilha1!$E$2:$E$29621=$X$43)/([1]Planilha1!$F$2:$F$29621=$AC$43),([1]Planilha1!$BV$2:$BV$29620))</f>
        <v/>
      </c>
      <c r="BB94" s="256" t="str" cm="1">
        <f t="array" ref="BB94">LOOKUP(1,1/([1]Planilha1!$A$2:$A$29621=$G$8)/([1]Planilha1!$E$2:$E$29621=$X$43)/([1]Planilha1!$F$2:$F$29621=$AC$43),([1]Planilha1!$CK$2:$CK$29620))</f>
        <v/>
      </c>
      <c r="BC94" s="256" t="str" cm="1">
        <f t="array" ref="BC94">LOOKUP(1,1/([1]Planilha1!$A$2:$A$29621=$G$8)/([1]Planilha1!$E$2:$E$29621=$X$43)/([1]Planilha1!$F$2:$F$29621=$AC$43),([1]Planilha1!$CY$2:$CY$29620))</f>
        <v/>
      </c>
      <c r="BD94" s="258">
        <v>110</v>
      </c>
      <c r="BE94" s="262" t="str">
        <f t="shared" si="9"/>
        <v/>
      </c>
      <c r="BF94" s="256" t="str">
        <f t="shared" si="11"/>
        <v/>
      </c>
      <c r="BG94" s="261" t="str">
        <f t="shared" si="12"/>
        <v/>
      </c>
    </row>
    <row r="95" spans="1:59" s="119" customFormat="1" ht="12.6" customHeight="1" thickBot="1" x14ac:dyDescent="0.3">
      <c r="A95" s="247">
        <v>1</v>
      </c>
      <c r="B95" s="248" t="str">
        <f t="shared" ref="B95:B126" si="13">BE85</f>
        <v/>
      </c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50">
        <f t="shared" ref="R95:R126" si="14">IF(BF85="",0,BF85*1)</f>
        <v>0</v>
      </c>
      <c r="S95" s="251"/>
      <c r="T95" s="251"/>
      <c r="U95" s="285"/>
      <c r="V95" s="286">
        <f t="shared" ref="V95:V126" si="15">IF(AND(R95=0, B95&lt;&gt;0), 0, BG85*1)</f>
        <v>0</v>
      </c>
      <c r="W95" s="251"/>
      <c r="X95" s="251"/>
      <c r="Y95" s="252"/>
      <c r="Z95" s="287">
        <v>6190</v>
      </c>
      <c r="AA95" s="288"/>
      <c r="AB95" s="288"/>
      <c r="AC95" s="288"/>
      <c r="AD95" s="289"/>
      <c r="AI95" s="290"/>
      <c r="AJ95" s="290"/>
      <c r="AK95" s="290"/>
      <c r="AO95" s="136"/>
      <c r="AT95" s="256" t="b">
        <f t="shared" si="8"/>
        <v>1</v>
      </c>
      <c r="AU95" s="256"/>
      <c r="AV95" s="256"/>
      <c r="AW95" s="256">
        <v>111</v>
      </c>
      <c r="AX95" s="256">
        <v>1</v>
      </c>
      <c r="AY95" s="256">
        <v>11</v>
      </c>
      <c r="AZ95" s="256">
        <f>IF(AT95=TRUE,COUNTIF($AT$85:AT95,TRUE),0)</f>
        <v>11</v>
      </c>
      <c r="BA95" s="256" t="str" cm="1">
        <f t="array" ref="BA95">LOOKUP(1,1/([1]Planilha1!$A$2:$A$29621=$G$8)/([1]Planilha1!$E$2:$E$29621=$X$43)/([1]Planilha1!$F$2:$F$29621=$AC$43),([1]Planilha1!$BW$2:$BW$29620))</f>
        <v/>
      </c>
      <c r="BB95" s="256" t="str" cm="1">
        <f t="array" ref="BB95">LOOKUP(1,1/([1]Planilha1!$A$2:$A$29621=$G$8)/([1]Planilha1!$E$2:$E$29621=$X$43)/([1]Planilha1!$F$2:$F$29621=$AC$43),([1]Planilha1!$CL$2:$CL$29620))</f>
        <v/>
      </c>
      <c r="BC95" s="256" t="str" cm="1">
        <f t="array" ref="BC95">LOOKUP(1,1/([1]Planilha1!$A$2:$A$29621=$G$8)/([1]Planilha1!$E$2:$E$29621=$X$43)/([1]Planilha1!$F$2:$F$29621=$AC$43),([1]Planilha1!$CZ$2:$CZ$29620))</f>
        <v/>
      </c>
      <c r="BD95" s="258">
        <v>111</v>
      </c>
      <c r="BE95" s="262" t="str">
        <f t="shared" si="9"/>
        <v/>
      </c>
      <c r="BF95" s="256" t="str">
        <f t="shared" si="11"/>
        <v/>
      </c>
      <c r="BG95" s="261" t="str">
        <f t="shared" si="12"/>
        <v/>
      </c>
    </row>
    <row r="96" spans="1:59" s="119" customFormat="1" ht="12.6" customHeight="1" thickBot="1" x14ac:dyDescent="0.3">
      <c r="A96" s="247">
        <v>2</v>
      </c>
      <c r="B96" s="248" t="str">
        <f t="shared" si="13"/>
        <v>Flaps 0 - 40° (Up when weighed)</v>
      </c>
      <c r="C96" s="248"/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66">
        <f t="shared" si="14"/>
        <v>0</v>
      </c>
      <c r="S96" s="267"/>
      <c r="T96" s="267"/>
      <c r="U96" s="291"/>
      <c r="V96" s="286">
        <f t="shared" si="15"/>
        <v>0</v>
      </c>
      <c r="W96" s="251"/>
      <c r="X96" s="251"/>
      <c r="Y96" s="252"/>
      <c r="Z96" s="253">
        <f t="shared" ref="Z96:Z126" si="16">R96*V96</f>
        <v>0</v>
      </c>
      <c r="AA96" s="254"/>
      <c r="AB96" s="254"/>
      <c r="AC96" s="254"/>
      <c r="AD96" s="255"/>
      <c r="AI96" s="290"/>
      <c r="AJ96" s="290"/>
      <c r="AK96" s="290"/>
      <c r="AT96" s="256" t="b">
        <f t="shared" si="8"/>
        <v>1</v>
      </c>
      <c r="AU96" s="256"/>
      <c r="AV96" s="256"/>
      <c r="AW96" s="256">
        <v>112</v>
      </c>
      <c r="AX96" s="256">
        <v>1</v>
      </c>
      <c r="AY96" s="256">
        <v>12</v>
      </c>
      <c r="AZ96" s="256">
        <f>IF(AT96=TRUE,COUNTIF($AT$85:AT96,TRUE),0)</f>
        <v>12</v>
      </c>
      <c r="BA96" s="256" t="str" cm="1">
        <f t="array" ref="BA96">LOOKUP(1,1/([1]Planilha1!$A$2:$A$29621=$G$8)/([1]Planilha1!$E$2:$E$29621=$X$43)/([1]Planilha1!$F$2:$F$29621=$AC$43),([1]Planilha1!$BX$2:$BX$29620))</f>
        <v/>
      </c>
      <c r="BB96" s="256" t="str" cm="1">
        <f t="array" ref="BB96">LOOKUP(1,1/([1]Planilha1!$A$2:$A$29621=$G$8)/([1]Planilha1!$E$2:$E$29621=$X$43)/([1]Planilha1!$F$2:$F$29621=$AC$43),([1]Planilha1!$CM$2:$CM$29620))</f>
        <v/>
      </c>
      <c r="BC96" s="256" t="str" cm="1">
        <f t="array" ref="BC96">LOOKUP(1,1/([1]Planilha1!$A$2:$A$29621=$G$8)/([1]Planilha1!$E$2:$E$29621=$X$43)/([1]Planilha1!$F$2:$F$29621=$AC$43),([1]Planilha1!$DA$2:$DA$29620))</f>
        <v/>
      </c>
      <c r="BD96" s="258">
        <v>112</v>
      </c>
      <c r="BE96" s="262" t="str">
        <f t="shared" si="9"/>
        <v/>
      </c>
      <c r="BF96" s="256" t="str">
        <f t="shared" si="11"/>
        <v/>
      </c>
      <c r="BG96" s="261" t="str">
        <f t="shared" si="12"/>
        <v/>
      </c>
    </row>
    <row r="97" spans="1:122" s="119" customFormat="1" ht="12.6" customHeight="1" thickBot="1" x14ac:dyDescent="0.3">
      <c r="A97" s="247">
        <v>3</v>
      </c>
      <c r="B97" s="248" t="str">
        <f t="shared" si="13"/>
        <v>Fuel, Drain, Unusable (5.6 Gal)</v>
      </c>
      <c r="C97" s="248"/>
      <c r="D97" s="248"/>
      <c r="E97" s="248"/>
      <c r="F97" s="248"/>
      <c r="G97" s="248"/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66">
        <f t="shared" si="14"/>
        <v>17.3</v>
      </c>
      <c r="S97" s="267"/>
      <c r="T97" s="267"/>
      <c r="U97" s="291"/>
      <c r="V97" s="286">
        <f t="shared" si="15"/>
        <v>646</v>
      </c>
      <c r="W97" s="251"/>
      <c r="X97" s="251"/>
      <c r="Y97" s="252"/>
      <c r="Z97" s="253">
        <f t="shared" si="16"/>
        <v>11175.800000000001</v>
      </c>
      <c r="AA97" s="254"/>
      <c r="AB97" s="254"/>
      <c r="AC97" s="254"/>
      <c r="AD97" s="255"/>
      <c r="AT97" s="256" t="b">
        <f t="shared" si="8"/>
        <v>1</v>
      </c>
      <c r="AU97" s="256"/>
      <c r="AV97" s="256"/>
      <c r="AW97" s="256">
        <v>113</v>
      </c>
      <c r="AX97" s="256">
        <v>1</v>
      </c>
      <c r="AY97" s="256">
        <v>13</v>
      </c>
      <c r="AZ97" s="256">
        <f>IF(AT97=TRUE,COUNTIF($AT$85:AT97,TRUE),0)</f>
        <v>13</v>
      </c>
      <c r="BA97" s="256" t="str" cm="1">
        <f t="array" ref="BA97">LOOKUP(1,1/([1]Planilha1!$A$2:$A$29621=$G$8)/([1]Planilha1!$E$2:$E$29621=$X$43)/([1]Planilha1!$F$2:$F$29621=$AC$43),([1]Planilha1!$BY$2:$BY$29620))</f>
        <v/>
      </c>
      <c r="BB97" s="256" t="str" cm="1">
        <f t="array" ref="BB97">LOOKUP(1,1/([1]Planilha1!$A$2:$A$29621=$G$8)/([1]Planilha1!$E$2:$E$29621=$X$43)/([1]Planilha1!$F$2:$F$29621=$AC$43),([1]Planilha1!$CN$2:$CN$29620))</f>
        <v/>
      </c>
      <c r="BC97" s="256" t="str" cm="1">
        <f t="array" ref="BC97">LOOKUP(1,1/([1]Planilha1!$A$2:$A$29621=$G$8)/([1]Planilha1!$E$2:$E$29621=$X$43)/([1]Planilha1!$F$2:$F$29621=$AC$43),([1]Planilha1!$DB$2:$DB$29620))</f>
        <v/>
      </c>
      <c r="BD97" s="258">
        <v>113</v>
      </c>
      <c r="BE97" s="262" t="str">
        <f t="shared" si="9"/>
        <v/>
      </c>
      <c r="BF97" s="256" t="str">
        <f t="shared" si="11"/>
        <v/>
      </c>
      <c r="BG97" s="261" t="str">
        <f t="shared" si="12"/>
        <v/>
      </c>
    </row>
    <row r="98" spans="1:122" s="119" customFormat="1" ht="12.6" customHeight="1" thickBot="1" x14ac:dyDescent="0.3">
      <c r="A98" s="247">
        <v>4</v>
      </c>
      <c r="B98" s="248" t="str">
        <f t="shared" si="13"/>
        <v>Lavatory Dry Supplies</v>
      </c>
      <c r="C98" s="248"/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66">
        <f t="shared" si="14"/>
        <v>4</v>
      </c>
      <c r="S98" s="267"/>
      <c r="T98" s="267"/>
      <c r="U98" s="291"/>
      <c r="V98" s="286">
        <f t="shared" si="15"/>
        <v>1145</v>
      </c>
      <c r="W98" s="251"/>
      <c r="X98" s="251"/>
      <c r="Y98" s="252"/>
      <c r="Z98" s="253">
        <f t="shared" si="16"/>
        <v>4580</v>
      </c>
      <c r="AA98" s="254"/>
      <c r="AB98" s="254"/>
      <c r="AC98" s="254"/>
      <c r="AD98" s="255"/>
      <c r="AT98" s="256" t="b">
        <f t="shared" si="8"/>
        <v>1</v>
      </c>
      <c r="AU98" s="256"/>
      <c r="AV98" s="256"/>
      <c r="AW98" s="256">
        <v>114</v>
      </c>
      <c r="AX98" s="256">
        <v>1</v>
      </c>
      <c r="AY98" s="256">
        <v>14</v>
      </c>
      <c r="AZ98" s="256">
        <f>IF(AT98=TRUE,COUNTIF($AT$85:AT98,TRUE),0)</f>
        <v>14</v>
      </c>
      <c r="BA98" s="256" t="str" cm="1">
        <f t="array" ref="BA98">LOOKUP(1,1/([1]Planilha1!$A$2:$A$29621=$G$8)/([1]Planilha1!$E$2:$E$29621=$X$43)/([1]Planilha1!$F$2:$F$29621=$AC$43),([1]Planilha1!$BZ$2:$BZ$29620))</f>
        <v/>
      </c>
      <c r="BB98" s="256" t="str" cm="1">
        <f t="array" ref="BB98">LOOKUP(1,1/([1]Planilha1!$A$2:$A$29621=$G$8)/([1]Planilha1!$E$2:$E$29621=$X$43)/([1]Planilha1!$F$2:$F$29621=$AC$43),([1]Planilha1!$CO$2:$CO$29620))</f>
        <v/>
      </c>
      <c r="BC98" s="256" t="str" cm="1">
        <f t="array" ref="BC98">LOOKUP(1,1/([1]Planilha1!$A$2:$A$29621=$G$8)/([1]Planilha1!$E$2:$E$29621=$X$43)/([1]Planilha1!$F$2:$F$29621=$AC$43),([1]Planilha1!$DC$2:$DC$29620))</f>
        <v/>
      </c>
      <c r="BD98" s="258">
        <v>114</v>
      </c>
      <c r="BE98" s="269" t="str">
        <f t="shared" ref="BE98:BE108" si="17">IFERROR(IF(VLOOKUP($BD98,$AW$85:$BC$112,5,FALSE)=0,"",VLOOKUP($BD98,$AW$85:$BC$112,5,FALSE)),"")</f>
        <v/>
      </c>
      <c r="BF98" s="256" t="str">
        <f t="shared" si="11"/>
        <v/>
      </c>
      <c r="BG98" s="261" t="str">
        <f t="shared" ref="BG98:BG108" si="18">IFERROR(IF(VLOOKUP(BD98,$AW$85:$BC$112,7,FALSE)=0,0,VLOOKUP(BD98,$AW$85:$BC$112,7,FALSE)),0)</f>
        <v/>
      </c>
    </row>
    <row r="99" spans="1:122" s="119" customFormat="1" ht="12.6" customHeight="1" thickBot="1" x14ac:dyDescent="0.3">
      <c r="A99" s="247">
        <v>5</v>
      </c>
      <c r="B99" s="248" t="str">
        <f t="shared" si="13"/>
        <v>Lavatory Pre-charge Fluid (6.0 Gal)</v>
      </c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66">
        <f t="shared" si="14"/>
        <v>22.7</v>
      </c>
      <c r="S99" s="267"/>
      <c r="T99" s="267"/>
      <c r="U99" s="291"/>
      <c r="V99" s="286">
        <f t="shared" si="15"/>
        <v>1112</v>
      </c>
      <c r="W99" s="251"/>
      <c r="X99" s="251"/>
      <c r="Y99" s="252"/>
      <c r="Z99" s="253">
        <f t="shared" si="16"/>
        <v>25242.399999999998</v>
      </c>
      <c r="AA99" s="254"/>
      <c r="AB99" s="254"/>
      <c r="AC99" s="254"/>
      <c r="AD99" s="255"/>
      <c r="AT99" s="256" t="b">
        <f t="shared" si="8"/>
        <v>1</v>
      </c>
      <c r="AU99" s="256"/>
      <c r="AV99" s="256"/>
      <c r="AW99" s="119">
        <v>115</v>
      </c>
      <c r="AX99" s="256">
        <v>1</v>
      </c>
      <c r="AY99" s="119">
        <v>15</v>
      </c>
      <c r="AZ99" s="256">
        <f>IF(AT99=TRUE,COUNTIF($AT$85:AT99,TRUE),0)</f>
        <v>15</v>
      </c>
      <c r="BA99" s="256" t="str" cm="1">
        <f t="array" ref="BA99">LOOKUP(1,1/([1]Planilha1!$A$2:$A$29621=$G$8)/([1]Planilha1!$E$2:$E$29621=$X$43)/([1]Planilha1!$F$2:$F$29621=$AC$43),([1]Planilha1!$CA$2:$CA$29620))</f>
        <v/>
      </c>
      <c r="BB99" s="256" t="str" cm="1">
        <f t="array" ref="BB99">LOOKUP(1,1/([1]Planilha1!$A$2:$A$29621=$G$8)/([1]Planilha1!$E$2:$E$29621=$X$43)/([1]Planilha1!$F$2:$F$29621=$AC$43),([1]Planilha1!$FU$2:$FU$29620))</f>
        <v/>
      </c>
      <c r="BC99" s="256" t="str" cm="1">
        <f t="array" ref="BC99">LOOKUP(1,1/([1]Planilha1!$A$2:$A$29621=$G$8)/([1]Planilha1!$E$2:$E$29621=$X$43)/([1]Planilha1!$F$2:$F$29621=$AC$43),([1]Planilha1!$GE$2:$GE$29620))</f>
        <v/>
      </c>
      <c r="BD99" s="119">
        <v>115</v>
      </c>
      <c r="BE99" s="269" t="str">
        <f t="shared" si="17"/>
        <v/>
      </c>
      <c r="BF99" s="256" t="str">
        <f t="shared" si="11"/>
        <v/>
      </c>
      <c r="BG99" s="261" t="str">
        <f t="shared" si="18"/>
        <v/>
      </c>
    </row>
    <row r="100" spans="1:122" s="119" customFormat="1" ht="12.6" customHeight="1" thickBot="1" x14ac:dyDescent="0.3">
      <c r="A100" s="247">
        <v>6</v>
      </c>
      <c r="B100" s="248" t="str">
        <f t="shared" si="13"/>
        <v>Water, Potable (62.6 Gal)</v>
      </c>
      <c r="C100" s="248"/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66">
        <f t="shared" si="14"/>
        <v>236.4</v>
      </c>
      <c r="S100" s="267"/>
      <c r="T100" s="267"/>
      <c r="U100" s="291"/>
      <c r="V100" s="286">
        <f t="shared" si="15"/>
        <v>1150</v>
      </c>
      <c r="W100" s="251"/>
      <c r="X100" s="251"/>
      <c r="Y100" s="252"/>
      <c r="Z100" s="253">
        <f t="shared" si="16"/>
        <v>271860</v>
      </c>
      <c r="AA100" s="254"/>
      <c r="AB100" s="254"/>
      <c r="AC100" s="254"/>
      <c r="AD100" s="255"/>
      <c r="AT100" s="256" t="b">
        <f t="shared" si="8"/>
        <v>1</v>
      </c>
      <c r="AU100" s="256"/>
      <c r="AV100" s="256"/>
      <c r="AW100" s="119">
        <v>116</v>
      </c>
      <c r="AX100" s="256">
        <v>1</v>
      </c>
      <c r="AY100" s="119">
        <v>15</v>
      </c>
      <c r="AZ100" s="256">
        <f>IF(AT100=TRUE,COUNTIF($AT$85:AT100,TRUE),0)</f>
        <v>16</v>
      </c>
      <c r="BA100" s="256" t="str" cm="1">
        <f t="array" ref="BA100">LOOKUP(1,1/([1]Planilha1!$A$2:$A$29621=$G$8)/([1]Planilha1!$E$2:$E$29621=$X$43)/([1]Planilha1!$F$2:$F$29621=$AC$43),([1]Planilha1!$FL$2:$FL$29620))</f>
        <v/>
      </c>
      <c r="BB100" s="256" t="str" cm="1">
        <f t="array" ref="BB100">LOOKUP(1,1/([1]Planilha1!$A$2:$A$29621=$G$8)/([1]Planilha1!$E$2:$E$29621=$X$43)/([1]Planilha1!$F$2:$F$29621=$AC$43),([1]Planilha1!$FV$2:$FV$29620))</f>
        <v/>
      </c>
      <c r="BC100" s="256" t="str" cm="1">
        <f t="array" ref="BC100">LOOKUP(1,1/([1]Planilha1!$A$2:$A$29621=$G$8)/([1]Planilha1!$E$2:$E$29621=$X$43)/([1]Planilha1!$F$2:$F$29621=$AC$43),([1]Planilha1!$GF$2:$GF$29620))</f>
        <v/>
      </c>
      <c r="BD100" s="258">
        <v>116</v>
      </c>
      <c r="BE100" s="269" t="str">
        <f t="shared" si="17"/>
        <v/>
      </c>
      <c r="BF100" s="256" t="str">
        <f t="shared" si="11"/>
        <v/>
      </c>
      <c r="BG100" s="261" t="str">
        <f t="shared" si="18"/>
        <v/>
      </c>
    </row>
    <row r="101" spans="1:122" s="119" customFormat="1" ht="12.6" customHeight="1" thickBot="1" x14ac:dyDescent="0.3">
      <c r="A101" s="265">
        <v>7</v>
      </c>
      <c r="B101" s="248" t="str">
        <f t="shared" si="13"/>
        <v/>
      </c>
      <c r="C101" s="248"/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66">
        <f t="shared" si="14"/>
        <v>0</v>
      </c>
      <c r="S101" s="267"/>
      <c r="T101" s="267"/>
      <c r="U101" s="291"/>
      <c r="V101" s="286">
        <f t="shared" si="15"/>
        <v>0</v>
      </c>
      <c r="W101" s="251"/>
      <c r="X101" s="251"/>
      <c r="Y101" s="252"/>
      <c r="Z101" s="253">
        <f t="shared" si="16"/>
        <v>0</v>
      </c>
      <c r="AA101" s="254"/>
      <c r="AB101" s="254"/>
      <c r="AC101" s="254"/>
      <c r="AD101" s="255"/>
      <c r="AT101" s="256" t="b">
        <f t="shared" si="8"/>
        <v>1</v>
      </c>
      <c r="AU101" s="256"/>
      <c r="AV101" s="256"/>
      <c r="AW101" s="256">
        <v>117</v>
      </c>
      <c r="AX101" s="256">
        <v>1</v>
      </c>
      <c r="AY101" s="119">
        <v>16</v>
      </c>
      <c r="AZ101" s="256">
        <f>IF(AT101=TRUE,COUNTIF($AT$85:AT101,TRUE),0)</f>
        <v>17</v>
      </c>
      <c r="BA101" s="256" t="str" cm="1">
        <f t="array" ref="BA101">LOOKUP(1,1/([1]Planilha1!$A$2:$A$29621=$G$8)/([1]Planilha1!$E$2:$E$29621=$X$43)/([1]Planilha1!$F$2:$F$29621=$AC$43),([1]Planilha1!$FM$2:$FM$29620))</f>
        <v/>
      </c>
      <c r="BB101" s="256" t="str" cm="1">
        <f t="array" ref="BB101">LOOKUP(1,1/([1]Planilha1!$A$2:$A$29621=$G$8)/([1]Planilha1!$E$2:$E$29621=$X$43)/([1]Planilha1!$F$2:$F$29621=$AC$43),([1]Planilha1!$FW$2:$FW$29620))</f>
        <v/>
      </c>
      <c r="BC101" s="256" t="str" cm="1">
        <f t="array" ref="BC101">LOOKUP(1,1/([1]Planilha1!$A$2:$A$29621=$G$8)/([1]Planilha1!$E$2:$E$29621=$X$43)/([1]Planilha1!$F$2:$F$29621=$AC$43),([1]Planilha1!$GG$2:$GG$29620))</f>
        <v/>
      </c>
      <c r="BD101" s="119">
        <v>117</v>
      </c>
      <c r="BE101" s="269" t="str">
        <f t="shared" si="17"/>
        <v/>
      </c>
      <c r="BF101" s="256" t="str">
        <f t="shared" si="11"/>
        <v/>
      </c>
      <c r="BG101" s="261" t="str">
        <f t="shared" si="18"/>
        <v/>
      </c>
      <c r="DR101" s="119">
        <v>0</v>
      </c>
    </row>
    <row r="102" spans="1:122" s="119" customFormat="1" ht="12.6" customHeight="1" thickBot="1" x14ac:dyDescent="0.3">
      <c r="A102" s="247">
        <v>8</v>
      </c>
      <c r="B102" s="248" t="str">
        <f t="shared" si="13"/>
        <v/>
      </c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66">
        <f t="shared" si="14"/>
        <v>0</v>
      </c>
      <c r="S102" s="267"/>
      <c r="T102" s="267"/>
      <c r="U102" s="291"/>
      <c r="V102" s="286">
        <f t="shared" si="15"/>
        <v>0</v>
      </c>
      <c r="W102" s="251"/>
      <c r="X102" s="251"/>
      <c r="Y102" s="252"/>
      <c r="Z102" s="253">
        <f t="shared" si="16"/>
        <v>0</v>
      </c>
      <c r="AA102" s="254"/>
      <c r="AB102" s="254"/>
      <c r="AC102" s="254"/>
      <c r="AD102" s="255"/>
      <c r="AT102" s="256" t="b">
        <f t="shared" si="8"/>
        <v>1</v>
      </c>
      <c r="AU102" s="256"/>
      <c r="AV102" s="256"/>
      <c r="AW102" s="119">
        <v>118</v>
      </c>
      <c r="AX102" s="256">
        <v>1</v>
      </c>
      <c r="AY102" s="119">
        <v>17</v>
      </c>
      <c r="AZ102" s="256">
        <f>IF(AT102=TRUE,COUNTIF($AT$85:AT102,TRUE),0)</f>
        <v>18</v>
      </c>
      <c r="BA102" s="256" t="str" cm="1">
        <f t="array" ref="BA102">LOOKUP(1,1/([1]Planilha1!$A$2:$A$29621=$G$8)/([1]Planilha1!$E$2:$E$29621=$X$43)/([1]Planilha1!$F$2:$F$29621=$AC$43),([1]Planilha1!$FN$2:$FN$29620))</f>
        <v/>
      </c>
      <c r="BB102" s="256" t="str" cm="1">
        <f t="array" ref="BB102">LOOKUP(1,1/([1]Planilha1!$A$2:$A$29621=$G$8)/([1]Planilha1!$E$2:$E$29621=$X$43)/([1]Planilha1!$F$2:$F$29621=$AC$43),([1]Planilha1!$FX$2:$FX$29620))</f>
        <v/>
      </c>
      <c r="BC102" s="256" t="str" cm="1">
        <f t="array" ref="BC102">LOOKUP(1,1/([1]Planilha1!$A$2:$A$29621=$G$8)/([1]Planilha1!$E$2:$E$29621=$X$43)/([1]Planilha1!$F$2:$F$29621=$AC$43),([1]Planilha1!$GH$2:$GH$29620))</f>
        <v/>
      </c>
      <c r="BD102" s="258">
        <v>118</v>
      </c>
      <c r="BE102" s="269" t="str">
        <f t="shared" si="17"/>
        <v/>
      </c>
      <c r="BF102" s="256" t="str">
        <f t="shared" si="11"/>
        <v/>
      </c>
      <c r="BG102" s="261" t="str">
        <f t="shared" si="18"/>
        <v/>
      </c>
    </row>
    <row r="103" spans="1:122" s="119" customFormat="1" ht="12.6" customHeight="1" thickBot="1" x14ac:dyDescent="0.3">
      <c r="A103" s="247">
        <v>9</v>
      </c>
      <c r="B103" s="248" t="str">
        <f t="shared" si="13"/>
        <v/>
      </c>
      <c r="C103" s="248"/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66">
        <f t="shared" si="14"/>
        <v>0</v>
      </c>
      <c r="S103" s="267"/>
      <c r="T103" s="267"/>
      <c r="U103" s="291"/>
      <c r="V103" s="286">
        <f t="shared" si="15"/>
        <v>0</v>
      </c>
      <c r="W103" s="251"/>
      <c r="X103" s="251"/>
      <c r="Y103" s="252"/>
      <c r="Z103" s="253">
        <f t="shared" si="16"/>
        <v>0</v>
      </c>
      <c r="AA103" s="254"/>
      <c r="AB103" s="254"/>
      <c r="AC103" s="254"/>
      <c r="AD103" s="255"/>
      <c r="AT103" s="256" t="b">
        <f t="shared" si="8"/>
        <v>1</v>
      </c>
      <c r="AU103" s="256"/>
      <c r="AV103" s="256"/>
      <c r="AW103" s="119">
        <v>119</v>
      </c>
      <c r="AX103" s="256">
        <v>1</v>
      </c>
      <c r="AY103" s="119">
        <v>18</v>
      </c>
      <c r="AZ103" s="256">
        <f>IF(AT103=TRUE,COUNTIF($AT$85:AT103,TRUE),0)</f>
        <v>19</v>
      </c>
      <c r="BA103" s="256" t="str" cm="1">
        <f t="array" ref="BA103">LOOKUP(1,1/([1]Planilha1!$A$2:$A$29621=$G$8)/([1]Planilha1!$E$2:$E$29621=$X$43)/([1]Planilha1!$F$2:$F$29621=$AC$43),([1]Planilha1!$FO$2:$FO$29620))</f>
        <v/>
      </c>
      <c r="BB103" s="256" t="str" cm="1">
        <f t="array" ref="BB103">LOOKUP(1,1/([1]Planilha1!$A$2:$A$29621=$G$8)/([1]Planilha1!$E$2:$E$29621=$X$43)/([1]Planilha1!$F$2:$F$29621=$AC$43),([1]Planilha1!$FY$2:$FY$29620))</f>
        <v/>
      </c>
      <c r="BC103" s="256" t="str" cm="1">
        <f t="array" ref="BC103">LOOKUP(1,1/([1]Planilha1!$A$2:$A$29621=$G$8)/([1]Planilha1!$E$2:$E$29621=$X$43)/([1]Planilha1!$F$2:$F$29621=$AC$43),([1]Planilha1!$GI$2:$GI$29620))</f>
        <v/>
      </c>
      <c r="BD103" s="119">
        <v>119</v>
      </c>
      <c r="BE103" s="269" t="str">
        <f t="shared" si="17"/>
        <v/>
      </c>
      <c r="BF103" s="256" t="str">
        <f t="shared" si="11"/>
        <v/>
      </c>
      <c r="BG103" s="261" t="str">
        <f t="shared" si="18"/>
        <v/>
      </c>
    </row>
    <row r="104" spans="1:122" s="119" customFormat="1" ht="12.6" customHeight="1" thickBot="1" x14ac:dyDescent="0.3">
      <c r="A104" s="247">
        <v>10</v>
      </c>
      <c r="B104" s="248" t="str">
        <f t="shared" si="13"/>
        <v/>
      </c>
      <c r="C104" s="248"/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66">
        <f t="shared" si="14"/>
        <v>0</v>
      </c>
      <c r="S104" s="267"/>
      <c r="T104" s="267"/>
      <c r="U104" s="291"/>
      <c r="V104" s="286">
        <f t="shared" si="15"/>
        <v>0</v>
      </c>
      <c r="W104" s="251"/>
      <c r="X104" s="251"/>
      <c r="Y104" s="252"/>
      <c r="Z104" s="253">
        <f t="shared" si="16"/>
        <v>0</v>
      </c>
      <c r="AA104" s="254"/>
      <c r="AB104" s="254"/>
      <c r="AC104" s="254"/>
      <c r="AD104" s="255"/>
      <c r="AT104" s="256" t="b">
        <f t="shared" si="8"/>
        <v>1</v>
      </c>
      <c r="AU104" s="256"/>
      <c r="AV104" s="256"/>
      <c r="AW104" s="256">
        <v>120</v>
      </c>
      <c r="AX104" s="256">
        <v>1</v>
      </c>
      <c r="AY104" s="119">
        <v>19</v>
      </c>
      <c r="AZ104" s="256">
        <f>IF(AT104=TRUE,COUNTIF($AT$85:AT104,TRUE),0)</f>
        <v>20</v>
      </c>
      <c r="BA104" s="256" t="str" cm="1">
        <f t="array" ref="BA104">LOOKUP(1,1/([1]Planilha1!$A$2:$A$29621=$G$8)/([1]Planilha1!$E$2:$E$29621=$X$43)/([1]Planilha1!$F$2:$F$29621=$AC$43),([1]Planilha1!$FP$2:$FP$29620))</f>
        <v/>
      </c>
      <c r="BB104" s="256" t="str" cm="1">
        <f t="array" ref="BB104">LOOKUP(1,1/([1]Planilha1!$A$2:$A$29621=$G$8)/([1]Planilha1!$E$2:$E$29621=$X$43)/([1]Planilha1!$F$2:$F$29621=$AC$43),([1]Planilha1!$FZ$2:$FZ$29620))</f>
        <v/>
      </c>
      <c r="BC104" s="256" t="str" cm="1">
        <f t="array" ref="BC104">LOOKUP(1,1/([1]Planilha1!$A$2:$A$29621=$G$8)/([1]Planilha1!$E$2:$E$29621=$X$43)/([1]Planilha1!$F$2:$F$29621=$AC$43),([1]Planilha1!$GJ$2:$GJ$29620))</f>
        <v/>
      </c>
      <c r="BD104" s="258">
        <v>120</v>
      </c>
      <c r="BE104" s="269" t="str">
        <f t="shared" si="17"/>
        <v/>
      </c>
      <c r="BF104" s="256" t="str">
        <f t="shared" si="11"/>
        <v/>
      </c>
      <c r="BG104" s="261" t="str">
        <f t="shared" si="18"/>
        <v/>
      </c>
    </row>
    <row r="105" spans="1:122" s="119" customFormat="1" ht="12.6" customHeight="1" thickBot="1" x14ac:dyDescent="0.3">
      <c r="A105" s="247">
        <v>11</v>
      </c>
      <c r="B105" s="248" t="str">
        <f t="shared" si="13"/>
        <v/>
      </c>
      <c r="C105" s="248"/>
      <c r="D105" s="248"/>
      <c r="E105" s="248"/>
      <c r="F105" s="248"/>
      <c r="G105" s="248"/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66">
        <f t="shared" si="14"/>
        <v>0</v>
      </c>
      <c r="S105" s="267"/>
      <c r="T105" s="267"/>
      <c r="U105" s="291"/>
      <c r="V105" s="286">
        <f t="shared" si="15"/>
        <v>0</v>
      </c>
      <c r="W105" s="251"/>
      <c r="X105" s="251"/>
      <c r="Y105" s="252"/>
      <c r="Z105" s="253">
        <f t="shared" si="16"/>
        <v>0</v>
      </c>
      <c r="AA105" s="254"/>
      <c r="AB105" s="254"/>
      <c r="AC105" s="254"/>
      <c r="AD105" s="255"/>
      <c r="AT105" s="256" t="b">
        <f t="shared" si="8"/>
        <v>1</v>
      </c>
      <c r="AU105" s="256"/>
      <c r="AV105" s="256"/>
      <c r="AW105" s="119">
        <v>121</v>
      </c>
      <c r="AX105" s="256">
        <v>1</v>
      </c>
      <c r="AY105" s="119">
        <v>20</v>
      </c>
      <c r="AZ105" s="256">
        <f>IF(AT105=TRUE,COUNTIF($AT$85:AT105,TRUE),0)</f>
        <v>21</v>
      </c>
      <c r="BA105" s="256" t="str" cm="1">
        <f t="array" ref="BA105">LOOKUP(1,1/([1]Planilha1!$A$2:$A$29621=$G$8)/([1]Planilha1!$E$2:$E$29621=$X$43)/([1]Planilha1!$F$2:$F$29621=$AC$43),([1]Planilha1!$FQ$2:$FQ$29620))</f>
        <v/>
      </c>
      <c r="BB105" s="256" t="str" cm="1">
        <f t="array" ref="BB105">LOOKUP(1,1/([1]Planilha1!$A$2:$A$29621=$G$8)/([1]Planilha1!$E$2:$E$29621=$X$43)/([1]Planilha1!$F$2:$F$29621=$AC$43),([1]Planilha1!$GA$2:$GA$29620))</f>
        <v/>
      </c>
      <c r="BC105" s="256" t="str" cm="1">
        <f t="array" ref="BC105">LOOKUP(1,1/([1]Planilha1!$A$2:$A$29621=$G$8)/([1]Planilha1!$E$2:$E$29621=$X$43)/([1]Planilha1!$F$2:$F$29621=$AC$43),([1]Planilha1!$GK$2:$GK$29620))</f>
        <v/>
      </c>
      <c r="BD105" s="119">
        <v>121</v>
      </c>
      <c r="BE105" s="269" t="str">
        <f t="shared" si="17"/>
        <v/>
      </c>
      <c r="BF105" s="256" t="str">
        <f t="shared" si="11"/>
        <v/>
      </c>
      <c r="BG105" s="261" t="str">
        <f t="shared" si="18"/>
        <v/>
      </c>
    </row>
    <row r="106" spans="1:122" s="119" customFormat="1" ht="12.6" customHeight="1" thickBot="1" x14ac:dyDescent="0.3">
      <c r="A106" s="247">
        <v>12</v>
      </c>
      <c r="B106" s="248" t="str">
        <f t="shared" si="13"/>
        <v/>
      </c>
      <c r="C106" s="248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66">
        <f t="shared" si="14"/>
        <v>0</v>
      </c>
      <c r="S106" s="267"/>
      <c r="T106" s="267"/>
      <c r="U106" s="291"/>
      <c r="V106" s="286">
        <f t="shared" si="15"/>
        <v>0</v>
      </c>
      <c r="W106" s="251"/>
      <c r="X106" s="251"/>
      <c r="Y106" s="252"/>
      <c r="Z106" s="253">
        <f t="shared" si="16"/>
        <v>0</v>
      </c>
      <c r="AA106" s="254"/>
      <c r="AB106" s="254"/>
      <c r="AC106" s="254"/>
      <c r="AD106" s="255"/>
      <c r="AT106" s="256" t="b">
        <f t="shared" si="8"/>
        <v>1</v>
      </c>
      <c r="AU106" s="256"/>
      <c r="AV106" s="256"/>
      <c r="AW106" s="119">
        <v>122</v>
      </c>
      <c r="AX106" s="256">
        <v>1</v>
      </c>
      <c r="AY106" s="119">
        <v>21</v>
      </c>
      <c r="AZ106" s="256">
        <f>IF(AT106=TRUE,COUNTIF($AT$85:AT106,TRUE),0)</f>
        <v>22</v>
      </c>
      <c r="BA106" s="256" t="str" cm="1">
        <f t="array" ref="BA106">LOOKUP(1,1/([1]Planilha1!$A$2:$A$29621=$G$8)/([1]Planilha1!$E$2:$E$29621=$X$43)/([1]Planilha1!$F$2:$F$29621=$AC$43),([1]Planilha1!$FR$2:$FR$29620))</f>
        <v/>
      </c>
      <c r="BB106" s="256" t="str" cm="1">
        <f t="array" ref="BB106">LOOKUP(1,1/([1]Planilha1!$A$2:$A$29621=$G$8)/([1]Planilha1!$E$2:$E$29621=$X$43)/([1]Planilha1!$F$2:$F$29621=$AC$43),([1]Planilha1!$GB$2:$GB$29620))</f>
        <v/>
      </c>
      <c r="BC106" s="256" t="str" cm="1">
        <f t="array" ref="BC106">LOOKUP(1,1/([1]Planilha1!$A$2:$A$29621=$G$8)/([1]Planilha1!$E$2:$E$29621=$X$43)/([1]Planilha1!$F$2:$F$29621=$AC$43),([1]Planilha1!$GL$2:$GL$29620))</f>
        <v/>
      </c>
      <c r="BD106" s="258">
        <v>122</v>
      </c>
      <c r="BE106" s="269" t="str">
        <f t="shared" si="17"/>
        <v/>
      </c>
      <c r="BF106" s="256" t="str">
        <f t="shared" si="11"/>
        <v/>
      </c>
      <c r="BG106" s="261" t="str">
        <f t="shared" si="18"/>
        <v/>
      </c>
    </row>
    <row r="107" spans="1:122" s="119" customFormat="1" ht="12.6" customHeight="1" thickBot="1" x14ac:dyDescent="0.3">
      <c r="A107" s="247">
        <v>13</v>
      </c>
      <c r="B107" s="248" t="str">
        <f t="shared" si="13"/>
        <v/>
      </c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66">
        <f t="shared" si="14"/>
        <v>0</v>
      </c>
      <c r="S107" s="267"/>
      <c r="T107" s="267"/>
      <c r="U107" s="291"/>
      <c r="V107" s="286">
        <f t="shared" si="15"/>
        <v>0</v>
      </c>
      <c r="W107" s="251"/>
      <c r="X107" s="251"/>
      <c r="Y107" s="252"/>
      <c r="Z107" s="253">
        <f t="shared" si="16"/>
        <v>0</v>
      </c>
      <c r="AA107" s="254"/>
      <c r="AB107" s="254"/>
      <c r="AC107" s="254"/>
      <c r="AD107" s="255"/>
      <c r="AT107" s="256" t="b">
        <f t="shared" si="8"/>
        <v>1</v>
      </c>
      <c r="AU107" s="256"/>
      <c r="AV107" s="256"/>
      <c r="AW107" s="256">
        <v>123</v>
      </c>
      <c r="AX107" s="256">
        <v>1</v>
      </c>
      <c r="AY107" s="119">
        <v>22</v>
      </c>
      <c r="AZ107" s="256">
        <f>IF(AT107=TRUE,COUNTIF($AT$85:AT107,TRUE),0)</f>
        <v>23</v>
      </c>
      <c r="BA107" s="256" t="str" cm="1">
        <f t="array" ref="BA107">LOOKUP(1,1/([1]Planilha1!$A$2:$A$29621=$G$8)/([1]Planilha1!$E$2:$E$29621=$X$43)/([1]Planilha1!$F$2:$F$29621=$AC$43),([1]Planilha1!$FS$2:$FS$29620))</f>
        <v/>
      </c>
      <c r="BB107" s="256" t="str" cm="1">
        <f t="array" ref="BB107">LOOKUP(1,1/([1]Planilha1!$A$2:$A$29621=$G$8)/([1]Planilha1!$E$2:$E$29621=$X$43)/([1]Planilha1!$F$2:$F$29621=$AC$43),([1]Planilha1!$GC$2:$GC$29620))</f>
        <v/>
      </c>
      <c r="BC107" s="256" t="str" cm="1">
        <f t="array" ref="BC107">LOOKUP(1,1/([1]Planilha1!$A$2:$A$29621=$G$8)/([1]Planilha1!$E$2:$E$29621=$X$43)/([1]Planilha1!$F$2:$F$29621=$AC$43),([1]Planilha1!$GM$2:$GM$29620))</f>
        <v/>
      </c>
      <c r="BD107" s="119">
        <v>123</v>
      </c>
      <c r="BE107" s="269" t="str">
        <f t="shared" si="17"/>
        <v/>
      </c>
      <c r="BF107" s="256" t="str">
        <f t="shared" si="11"/>
        <v/>
      </c>
      <c r="BG107" s="261" t="str">
        <f t="shared" si="18"/>
        <v/>
      </c>
    </row>
    <row r="108" spans="1:122" s="119" customFormat="1" ht="12.6" customHeight="1" thickBot="1" x14ac:dyDescent="0.3">
      <c r="A108" s="247">
        <v>14</v>
      </c>
      <c r="B108" s="248" t="str">
        <f t="shared" si="13"/>
        <v/>
      </c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66">
        <f t="shared" si="14"/>
        <v>0</v>
      </c>
      <c r="S108" s="267"/>
      <c r="T108" s="267"/>
      <c r="U108" s="291"/>
      <c r="V108" s="286">
        <f t="shared" si="15"/>
        <v>0</v>
      </c>
      <c r="W108" s="251"/>
      <c r="X108" s="251"/>
      <c r="Y108" s="252"/>
      <c r="Z108" s="253">
        <f t="shared" si="16"/>
        <v>0</v>
      </c>
      <c r="AA108" s="254"/>
      <c r="AB108" s="254"/>
      <c r="AC108" s="254"/>
      <c r="AD108" s="255"/>
      <c r="AT108" s="256" t="b">
        <f t="shared" si="8"/>
        <v>1</v>
      </c>
      <c r="AU108" s="256"/>
      <c r="AV108" s="256"/>
      <c r="AW108" s="119">
        <v>124</v>
      </c>
      <c r="AX108" s="256">
        <v>1</v>
      </c>
      <c r="AY108" s="119">
        <v>23</v>
      </c>
      <c r="AZ108" s="256">
        <f>IF(AT108=TRUE,COUNTIF($AT$85:AT108,TRUE),0)</f>
        <v>24</v>
      </c>
      <c r="BA108" s="256" t="str" cm="1">
        <f t="array" ref="BA108">LOOKUP(1,1/([1]Planilha1!$A$2:$A$29621=$G$8)/([1]Planilha1!$E$2:$E$29621=$X$43)/([1]Planilha1!$F$2:$F$29621=$AC$43),([1]Planilha1!$FT$2:$FT$29620))</f>
        <v/>
      </c>
      <c r="BB108" s="256" t="str" cm="1">
        <f t="array" ref="BB108">LOOKUP(1,1/([1]Planilha1!$A$2:$A$29621=$G$8)/([1]Planilha1!$E$2:$E$29621=$X$43)/([1]Planilha1!$F$2:$F$29621=$AC$43),([1]Planilha1!$GD$2:$GD$29620))</f>
        <v/>
      </c>
      <c r="BC108" s="256" t="str" cm="1">
        <f t="array" ref="BC108">LOOKUP(1,1/([1]Planilha1!$A$2:$A$29621=$G$8)/([1]Planilha1!$E$2:$E$29621=$X$43)/([1]Planilha1!$F$2:$F$29621=$AC$43),([1]Planilha1!$GN$2:$GN$29620))</f>
        <v/>
      </c>
      <c r="BD108" s="258">
        <v>124</v>
      </c>
      <c r="BE108" s="269" t="str">
        <f t="shared" si="17"/>
        <v/>
      </c>
      <c r="BF108" s="256" t="str">
        <f t="shared" si="11"/>
        <v/>
      </c>
      <c r="BG108" s="261" t="str">
        <f t="shared" si="18"/>
        <v/>
      </c>
    </row>
    <row r="109" spans="1:122" s="119" customFormat="1" ht="12.6" customHeight="1" thickBot="1" x14ac:dyDescent="0.3">
      <c r="A109" s="247">
        <v>15</v>
      </c>
      <c r="B109" s="248" t="str">
        <f t="shared" si="13"/>
        <v/>
      </c>
      <c r="C109" s="248"/>
      <c r="D109" s="248"/>
      <c r="E109" s="248"/>
      <c r="F109" s="248"/>
      <c r="G109" s="248"/>
      <c r="H109" s="248"/>
      <c r="I109" s="248"/>
      <c r="J109" s="248"/>
      <c r="K109" s="248"/>
      <c r="L109" s="248"/>
      <c r="M109" s="248"/>
      <c r="N109" s="248"/>
      <c r="O109" s="248"/>
      <c r="P109" s="248"/>
      <c r="Q109" s="248"/>
      <c r="R109" s="266">
        <f t="shared" si="14"/>
        <v>0</v>
      </c>
      <c r="S109" s="267"/>
      <c r="T109" s="267"/>
      <c r="U109" s="291"/>
      <c r="V109" s="253">
        <f t="shared" si="15"/>
        <v>0</v>
      </c>
      <c r="W109" s="254"/>
      <c r="X109" s="254"/>
      <c r="Y109" s="255"/>
      <c r="Z109" s="253">
        <f t="shared" si="16"/>
        <v>0</v>
      </c>
      <c r="AA109" s="254"/>
      <c r="AB109" s="254"/>
      <c r="AC109" s="254"/>
      <c r="AD109" s="255"/>
      <c r="AT109" s="256"/>
      <c r="AU109" s="256"/>
      <c r="AV109" s="256"/>
      <c r="AX109" s="256"/>
      <c r="AZ109" s="256"/>
      <c r="BA109" s="256"/>
      <c r="BB109" s="256"/>
      <c r="BC109" s="256"/>
      <c r="BE109" s="269"/>
      <c r="BF109" s="256"/>
      <c r="BG109" s="261"/>
    </row>
    <row r="110" spans="1:122" s="119" customFormat="1" ht="12.6" customHeight="1" thickBot="1" x14ac:dyDescent="0.3">
      <c r="A110" s="247">
        <v>16</v>
      </c>
      <c r="B110" s="248" t="str">
        <f t="shared" si="13"/>
        <v/>
      </c>
      <c r="C110" s="248"/>
      <c r="D110" s="248"/>
      <c r="E110" s="248"/>
      <c r="F110" s="248"/>
      <c r="G110" s="248"/>
      <c r="H110" s="248"/>
      <c r="I110" s="248"/>
      <c r="J110" s="248"/>
      <c r="K110" s="248"/>
      <c r="L110" s="248"/>
      <c r="M110" s="248"/>
      <c r="N110" s="248"/>
      <c r="O110" s="248"/>
      <c r="P110" s="248"/>
      <c r="Q110" s="248"/>
      <c r="R110" s="266">
        <f t="shared" si="14"/>
        <v>0</v>
      </c>
      <c r="S110" s="267"/>
      <c r="T110" s="267"/>
      <c r="U110" s="291"/>
      <c r="V110" s="253">
        <f t="shared" si="15"/>
        <v>0</v>
      </c>
      <c r="W110" s="254"/>
      <c r="X110" s="254"/>
      <c r="Y110" s="255"/>
      <c r="Z110" s="253">
        <f t="shared" si="16"/>
        <v>0</v>
      </c>
      <c r="AA110" s="254"/>
      <c r="AB110" s="254"/>
      <c r="AC110" s="254"/>
      <c r="AD110" s="255"/>
      <c r="AT110" s="256"/>
      <c r="AU110" s="256"/>
      <c r="AV110" s="256"/>
      <c r="AW110" s="258"/>
      <c r="AX110" s="256"/>
      <c r="AZ110" s="256"/>
      <c r="BA110" s="256"/>
      <c r="BB110" s="256"/>
      <c r="BC110" s="256"/>
      <c r="BD110" s="258"/>
      <c r="BE110" s="269"/>
      <c r="BF110" s="256"/>
      <c r="BG110" s="261"/>
    </row>
    <row r="111" spans="1:122" s="119" customFormat="1" ht="12.6" customHeight="1" thickBot="1" x14ac:dyDescent="0.3">
      <c r="A111" s="247">
        <v>17</v>
      </c>
      <c r="B111" s="248" t="str">
        <f t="shared" si="13"/>
        <v/>
      </c>
      <c r="C111" s="248"/>
      <c r="D111" s="248"/>
      <c r="E111" s="248"/>
      <c r="F111" s="248"/>
      <c r="G111" s="248"/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66">
        <f t="shared" si="14"/>
        <v>0</v>
      </c>
      <c r="S111" s="267"/>
      <c r="T111" s="267"/>
      <c r="U111" s="291"/>
      <c r="V111" s="253">
        <f t="shared" si="15"/>
        <v>0</v>
      </c>
      <c r="W111" s="254"/>
      <c r="X111" s="254"/>
      <c r="Y111" s="255"/>
      <c r="Z111" s="253">
        <f t="shared" si="16"/>
        <v>0</v>
      </c>
      <c r="AA111" s="254"/>
      <c r="AB111" s="254"/>
      <c r="AC111" s="254"/>
      <c r="AD111" s="255"/>
      <c r="AT111" s="256"/>
      <c r="AU111" s="256"/>
      <c r="AV111" s="256"/>
      <c r="AX111" s="256"/>
      <c r="AZ111" s="256"/>
      <c r="BA111" s="256"/>
      <c r="BB111" s="256"/>
      <c r="BC111" s="256"/>
      <c r="BE111" s="269"/>
      <c r="BF111" s="256"/>
      <c r="BG111" s="261"/>
    </row>
    <row r="112" spans="1:122" s="119" customFormat="1" ht="12.6" customHeight="1" thickBot="1" x14ac:dyDescent="0.3">
      <c r="A112" s="247">
        <v>18</v>
      </c>
      <c r="B112" s="248" t="str">
        <f t="shared" si="13"/>
        <v/>
      </c>
      <c r="C112" s="248"/>
      <c r="D112" s="248"/>
      <c r="E112" s="248"/>
      <c r="F112" s="248"/>
      <c r="G112" s="248"/>
      <c r="H112" s="248"/>
      <c r="I112" s="248"/>
      <c r="J112" s="248"/>
      <c r="K112" s="248"/>
      <c r="L112" s="248"/>
      <c r="M112" s="248"/>
      <c r="N112" s="248"/>
      <c r="O112" s="248"/>
      <c r="P112" s="248"/>
      <c r="Q112" s="248"/>
      <c r="R112" s="266">
        <f t="shared" si="14"/>
        <v>0</v>
      </c>
      <c r="S112" s="267"/>
      <c r="T112" s="267"/>
      <c r="U112" s="291"/>
      <c r="V112" s="253">
        <f t="shared" si="15"/>
        <v>0</v>
      </c>
      <c r="W112" s="254"/>
      <c r="X112" s="254"/>
      <c r="Y112" s="255"/>
      <c r="Z112" s="253">
        <f t="shared" si="16"/>
        <v>0</v>
      </c>
      <c r="AA112" s="254"/>
      <c r="AB112" s="254"/>
      <c r="AC112" s="254"/>
      <c r="AD112" s="255"/>
      <c r="AT112" s="256"/>
      <c r="AU112" s="256"/>
      <c r="AV112" s="256"/>
      <c r="AW112" s="258"/>
      <c r="AX112" s="256"/>
      <c r="AZ112" s="256"/>
      <c r="BA112" s="256"/>
      <c r="BB112" s="256"/>
      <c r="BC112" s="256"/>
      <c r="BD112" s="258"/>
      <c r="BE112" s="269"/>
      <c r="BF112" s="256"/>
      <c r="BG112" s="261"/>
    </row>
    <row r="113" spans="1:122" s="119" customFormat="1" ht="12.6" customHeight="1" x14ac:dyDescent="0.25">
      <c r="A113" s="247">
        <v>19</v>
      </c>
      <c r="B113" s="248" t="str">
        <f t="shared" si="13"/>
        <v/>
      </c>
      <c r="C113" s="248"/>
      <c r="D113" s="248"/>
      <c r="E113" s="248"/>
      <c r="F113" s="248"/>
      <c r="G113" s="248"/>
      <c r="H113" s="248"/>
      <c r="I113" s="248"/>
      <c r="J113" s="248"/>
      <c r="K113" s="248"/>
      <c r="L113" s="248"/>
      <c r="M113" s="248"/>
      <c r="N113" s="248"/>
      <c r="O113" s="248"/>
      <c r="P113" s="248"/>
      <c r="Q113" s="248"/>
      <c r="R113" s="266">
        <f t="shared" si="14"/>
        <v>0</v>
      </c>
      <c r="S113" s="267"/>
      <c r="T113" s="267"/>
      <c r="U113" s="291"/>
      <c r="V113" s="253">
        <f t="shared" si="15"/>
        <v>0</v>
      </c>
      <c r="W113" s="254"/>
      <c r="X113" s="254"/>
      <c r="Y113" s="255"/>
      <c r="Z113" s="253">
        <f t="shared" si="16"/>
        <v>0</v>
      </c>
      <c r="AA113" s="254"/>
      <c r="AB113" s="254"/>
      <c r="AC113" s="254"/>
      <c r="AD113" s="255"/>
      <c r="AT113" s="256"/>
    </row>
    <row r="114" spans="1:122" s="119" customFormat="1" ht="12.6" customHeight="1" x14ac:dyDescent="0.25">
      <c r="A114" s="247">
        <v>20</v>
      </c>
      <c r="B114" s="248" t="str">
        <f t="shared" si="13"/>
        <v/>
      </c>
      <c r="C114" s="248"/>
      <c r="D114" s="248"/>
      <c r="E114" s="248"/>
      <c r="F114" s="248"/>
      <c r="G114" s="248"/>
      <c r="H114" s="248"/>
      <c r="I114" s="248"/>
      <c r="J114" s="248"/>
      <c r="K114" s="248"/>
      <c r="L114" s="248"/>
      <c r="M114" s="248"/>
      <c r="N114" s="248"/>
      <c r="O114" s="248"/>
      <c r="P114" s="248"/>
      <c r="Q114" s="248"/>
      <c r="R114" s="266">
        <f t="shared" si="14"/>
        <v>0</v>
      </c>
      <c r="S114" s="267"/>
      <c r="T114" s="267"/>
      <c r="U114" s="291"/>
      <c r="V114" s="253">
        <f t="shared" si="15"/>
        <v>0</v>
      </c>
      <c r="W114" s="254"/>
      <c r="X114" s="254"/>
      <c r="Y114" s="255"/>
      <c r="Z114" s="253">
        <f t="shared" si="16"/>
        <v>0</v>
      </c>
      <c r="AA114" s="254"/>
      <c r="AB114" s="254"/>
      <c r="AC114" s="254"/>
      <c r="AD114" s="255"/>
    </row>
    <row r="115" spans="1:122" s="119" customFormat="1" ht="12.6" customHeight="1" x14ac:dyDescent="0.25">
      <c r="A115" s="247">
        <v>21</v>
      </c>
      <c r="B115" s="248" t="str">
        <f t="shared" si="13"/>
        <v/>
      </c>
      <c r="C115" s="248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  <c r="O115" s="248"/>
      <c r="P115" s="248"/>
      <c r="Q115" s="248"/>
      <c r="R115" s="266">
        <f t="shared" si="14"/>
        <v>0</v>
      </c>
      <c r="S115" s="267"/>
      <c r="T115" s="267"/>
      <c r="U115" s="291"/>
      <c r="V115" s="253">
        <f t="shared" si="15"/>
        <v>0</v>
      </c>
      <c r="W115" s="254"/>
      <c r="X115" s="254"/>
      <c r="Y115" s="255"/>
      <c r="Z115" s="253">
        <f t="shared" si="16"/>
        <v>0</v>
      </c>
      <c r="AA115" s="254"/>
      <c r="AB115" s="254"/>
      <c r="AC115" s="254"/>
      <c r="AD115" s="255"/>
    </row>
    <row r="116" spans="1:122" s="119" customFormat="1" ht="12.6" customHeight="1" x14ac:dyDescent="0.25">
      <c r="A116" s="247">
        <v>22</v>
      </c>
      <c r="B116" s="248" t="str">
        <f t="shared" si="13"/>
        <v/>
      </c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66">
        <f t="shared" si="14"/>
        <v>0</v>
      </c>
      <c r="S116" s="267"/>
      <c r="T116" s="267"/>
      <c r="U116" s="291"/>
      <c r="V116" s="253">
        <f t="shared" si="15"/>
        <v>0</v>
      </c>
      <c r="W116" s="254"/>
      <c r="X116" s="254"/>
      <c r="Y116" s="255"/>
      <c r="Z116" s="253">
        <f t="shared" si="16"/>
        <v>0</v>
      </c>
      <c r="AA116" s="254"/>
      <c r="AB116" s="254"/>
      <c r="AC116" s="254"/>
      <c r="AD116" s="255"/>
    </row>
    <row r="117" spans="1:122" s="119" customFormat="1" ht="12.6" customHeight="1" x14ac:dyDescent="0.25">
      <c r="A117" s="247">
        <v>23</v>
      </c>
      <c r="B117" s="248" t="str">
        <f t="shared" si="13"/>
        <v/>
      </c>
      <c r="C117" s="248"/>
      <c r="D117" s="248"/>
      <c r="E117" s="248"/>
      <c r="F117" s="248"/>
      <c r="G117" s="248"/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66">
        <f t="shared" si="14"/>
        <v>0</v>
      </c>
      <c r="S117" s="267"/>
      <c r="T117" s="267"/>
      <c r="U117" s="291"/>
      <c r="V117" s="253">
        <f t="shared" si="15"/>
        <v>0</v>
      </c>
      <c r="W117" s="254"/>
      <c r="X117" s="254"/>
      <c r="Y117" s="255"/>
      <c r="Z117" s="253">
        <f t="shared" si="16"/>
        <v>0</v>
      </c>
      <c r="AA117" s="254"/>
      <c r="AB117" s="254"/>
      <c r="AC117" s="254"/>
      <c r="AD117" s="255"/>
    </row>
    <row r="118" spans="1:122" s="119" customFormat="1" ht="12.6" customHeight="1" x14ac:dyDescent="0.25">
      <c r="A118" s="247">
        <v>24</v>
      </c>
      <c r="B118" s="248" t="str">
        <f t="shared" si="13"/>
        <v/>
      </c>
      <c r="C118" s="248"/>
      <c r="D118" s="248"/>
      <c r="E118" s="248"/>
      <c r="F118" s="248"/>
      <c r="G118" s="248"/>
      <c r="H118" s="248"/>
      <c r="I118" s="248"/>
      <c r="J118" s="248"/>
      <c r="K118" s="248"/>
      <c r="L118" s="248"/>
      <c r="M118" s="248"/>
      <c r="N118" s="248"/>
      <c r="O118" s="248"/>
      <c r="P118" s="248"/>
      <c r="Q118" s="248"/>
      <c r="R118" s="266">
        <f t="shared" si="14"/>
        <v>0</v>
      </c>
      <c r="S118" s="267"/>
      <c r="T118" s="267"/>
      <c r="U118" s="291"/>
      <c r="V118" s="253">
        <f t="shared" si="15"/>
        <v>0</v>
      </c>
      <c r="W118" s="254"/>
      <c r="X118" s="254"/>
      <c r="Y118" s="255"/>
      <c r="Z118" s="253">
        <f t="shared" si="16"/>
        <v>0</v>
      </c>
      <c r="AA118" s="254"/>
      <c r="AB118" s="254"/>
      <c r="AC118" s="254"/>
      <c r="AD118" s="255"/>
      <c r="DR118" s="119">
        <v>0</v>
      </c>
    </row>
    <row r="119" spans="1:122" s="119" customFormat="1" ht="12.6" customHeight="1" x14ac:dyDescent="0.25">
      <c r="A119" s="247">
        <v>25</v>
      </c>
      <c r="B119" s="248">
        <f t="shared" si="13"/>
        <v>0</v>
      </c>
      <c r="C119" s="248"/>
      <c r="D119" s="248"/>
      <c r="E119" s="248"/>
      <c r="F119" s="248"/>
      <c r="G119" s="248"/>
      <c r="H119" s="248"/>
      <c r="I119" s="248"/>
      <c r="J119" s="248"/>
      <c r="K119" s="248"/>
      <c r="L119" s="248"/>
      <c r="M119" s="248"/>
      <c r="N119" s="248"/>
      <c r="O119" s="248"/>
      <c r="P119" s="248"/>
      <c r="Q119" s="248"/>
      <c r="R119" s="266">
        <f t="shared" si="14"/>
        <v>0</v>
      </c>
      <c r="S119" s="267"/>
      <c r="T119" s="267"/>
      <c r="U119" s="291"/>
      <c r="V119" s="253">
        <f t="shared" si="15"/>
        <v>0</v>
      </c>
      <c r="W119" s="254"/>
      <c r="X119" s="254"/>
      <c r="Y119" s="255"/>
      <c r="Z119" s="253">
        <f t="shared" si="16"/>
        <v>0</v>
      </c>
      <c r="AA119" s="254"/>
      <c r="AB119" s="254"/>
      <c r="AC119" s="254"/>
      <c r="AD119" s="255"/>
    </row>
    <row r="120" spans="1:122" s="119" customFormat="1" ht="12.6" customHeight="1" x14ac:dyDescent="0.25">
      <c r="A120" s="247">
        <v>26</v>
      </c>
      <c r="B120" s="248">
        <f t="shared" si="13"/>
        <v>0</v>
      </c>
      <c r="C120" s="248"/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  <c r="N120" s="248"/>
      <c r="O120" s="248"/>
      <c r="P120" s="248"/>
      <c r="Q120" s="248"/>
      <c r="R120" s="266">
        <f t="shared" si="14"/>
        <v>0</v>
      </c>
      <c r="S120" s="267"/>
      <c r="T120" s="267"/>
      <c r="U120" s="291"/>
      <c r="V120" s="253">
        <f t="shared" si="15"/>
        <v>0</v>
      </c>
      <c r="W120" s="254"/>
      <c r="X120" s="254"/>
      <c r="Y120" s="255"/>
      <c r="Z120" s="253">
        <f t="shared" si="16"/>
        <v>0</v>
      </c>
      <c r="AA120" s="254"/>
      <c r="AB120" s="254"/>
      <c r="AC120" s="254"/>
      <c r="AD120" s="255"/>
    </row>
    <row r="121" spans="1:122" s="119" customFormat="1" ht="12.6" customHeight="1" x14ac:dyDescent="0.25">
      <c r="A121" s="247">
        <v>27</v>
      </c>
      <c r="B121" s="248">
        <f t="shared" si="13"/>
        <v>0</v>
      </c>
      <c r="C121" s="248"/>
      <c r="D121" s="248"/>
      <c r="E121" s="248"/>
      <c r="F121" s="248"/>
      <c r="G121" s="248"/>
      <c r="H121" s="248"/>
      <c r="I121" s="248"/>
      <c r="J121" s="248"/>
      <c r="K121" s="248"/>
      <c r="L121" s="248"/>
      <c r="M121" s="248"/>
      <c r="N121" s="248"/>
      <c r="O121" s="248"/>
      <c r="P121" s="248"/>
      <c r="Q121" s="248"/>
      <c r="R121" s="266">
        <f t="shared" si="14"/>
        <v>0</v>
      </c>
      <c r="S121" s="267"/>
      <c r="T121" s="267"/>
      <c r="U121" s="291"/>
      <c r="V121" s="253">
        <f t="shared" si="15"/>
        <v>0</v>
      </c>
      <c r="W121" s="254"/>
      <c r="X121" s="254"/>
      <c r="Y121" s="255"/>
      <c r="Z121" s="253">
        <f t="shared" si="16"/>
        <v>0</v>
      </c>
      <c r="AA121" s="254"/>
      <c r="AB121" s="254"/>
      <c r="AC121" s="254"/>
      <c r="AD121" s="255"/>
      <c r="DR121" s="119">
        <v>0</v>
      </c>
    </row>
    <row r="122" spans="1:122" s="119" customFormat="1" ht="12.6" customHeight="1" x14ac:dyDescent="0.2">
      <c r="A122" s="247">
        <v>28</v>
      </c>
      <c r="B122" s="248">
        <f t="shared" si="13"/>
        <v>0</v>
      </c>
      <c r="C122" s="248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66">
        <f t="shared" si="14"/>
        <v>0</v>
      </c>
      <c r="S122" s="267"/>
      <c r="T122" s="267"/>
      <c r="U122" s="291"/>
      <c r="V122" s="253">
        <f t="shared" si="15"/>
        <v>0</v>
      </c>
      <c r="W122" s="254"/>
      <c r="X122" s="254"/>
      <c r="Y122" s="255"/>
      <c r="Z122" s="253">
        <f t="shared" si="16"/>
        <v>0</v>
      </c>
      <c r="AA122" s="254"/>
      <c r="AB122" s="254"/>
      <c r="AC122" s="254"/>
      <c r="AD122" s="255"/>
      <c r="AZ122" s="292"/>
      <c r="BA122" s="292"/>
      <c r="BE122" s="119" t="str">
        <f>VLOOKUP(BG127,$AZ$126:$BC$135,4,TRUE)</f>
        <v/>
      </c>
    </row>
    <row r="123" spans="1:122" s="119" customFormat="1" ht="12.6" customHeight="1" x14ac:dyDescent="0.2">
      <c r="A123" s="247">
        <v>29</v>
      </c>
      <c r="B123" s="248">
        <f t="shared" si="13"/>
        <v>0</v>
      </c>
      <c r="C123" s="248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  <c r="O123" s="248"/>
      <c r="P123" s="248"/>
      <c r="Q123" s="248"/>
      <c r="R123" s="266">
        <f t="shared" si="14"/>
        <v>0</v>
      </c>
      <c r="S123" s="267"/>
      <c r="T123" s="267"/>
      <c r="U123" s="291"/>
      <c r="V123" s="253">
        <f t="shared" si="15"/>
        <v>0</v>
      </c>
      <c r="W123" s="254"/>
      <c r="X123" s="254"/>
      <c r="Y123" s="255"/>
      <c r="Z123" s="253">
        <f t="shared" si="16"/>
        <v>0</v>
      </c>
      <c r="AA123" s="254"/>
      <c r="AB123" s="254"/>
      <c r="AC123" s="254"/>
      <c r="AD123" s="255"/>
      <c r="AZ123" s="292"/>
      <c r="BA123" s="292"/>
    </row>
    <row r="124" spans="1:122" s="119" customFormat="1" ht="12.6" customHeight="1" x14ac:dyDescent="0.2">
      <c r="A124" s="247">
        <v>30</v>
      </c>
      <c r="B124" s="248">
        <f t="shared" si="13"/>
        <v>0</v>
      </c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66">
        <f t="shared" si="14"/>
        <v>0</v>
      </c>
      <c r="S124" s="267"/>
      <c r="T124" s="267"/>
      <c r="U124" s="291"/>
      <c r="V124" s="253">
        <f t="shared" si="15"/>
        <v>0</v>
      </c>
      <c r="W124" s="254"/>
      <c r="X124" s="254"/>
      <c r="Y124" s="255"/>
      <c r="Z124" s="253">
        <f t="shared" si="16"/>
        <v>0</v>
      </c>
      <c r="AA124" s="254"/>
      <c r="AB124" s="254"/>
      <c r="AC124" s="254"/>
      <c r="AD124" s="255"/>
      <c r="AZ124" s="292"/>
      <c r="BA124" s="292"/>
    </row>
    <row r="125" spans="1:122" s="119" customFormat="1" ht="12.6" customHeight="1" x14ac:dyDescent="0.2">
      <c r="A125" s="247">
        <v>31</v>
      </c>
      <c r="B125" s="248">
        <f t="shared" si="13"/>
        <v>0</v>
      </c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66">
        <f t="shared" si="14"/>
        <v>0</v>
      </c>
      <c r="S125" s="267"/>
      <c r="T125" s="267"/>
      <c r="U125" s="291"/>
      <c r="V125" s="253">
        <f t="shared" si="15"/>
        <v>0</v>
      </c>
      <c r="W125" s="254"/>
      <c r="X125" s="254"/>
      <c r="Y125" s="255"/>
      <c r="Z125" s="253">
        <f t="shared" si="16"/>
        <v>0</v>
      </c>
      <c r="AA125" s="254"/>
      <c r="AB125" s="254"/>
      <c r="AC125" s="254"/>
      <c r="AD125" s="255"/>
      <c r="AZ125" s="292"/>
      <c r="BA125" s="292"/>
    </row>
    <row r="126" spans="1:122" s="119" customFormat="1" ht="12.6" customHeight="1" thickBot="1" x14ac:dyDescent="0.25">
      <c r="A126" s="247">
        <v>32</v>
      </c>
      <c r="B126" s="248">
        <f t="shared" si="13"/>
        <v>0</v>
      </c>
      <c r="C126" s="248"/>
      <c r="D126" s="248"/>
      <c r="E126" s="248"/>
      <c r="F126" s="248"/>
      <c r="G126" s="248"/>
      <c r="H126" s="248"/>
      <c r="I126" s="248"/>
      <c r="J126" s="248"/>
      <c r="K126" s="248"/>
      <c r="L126" s="248"/>
      <c r="M126" s="248"/>
      <c r="N126" s="248"/>
      <c r="O126" s="248"/>
      <c r="P126" s="248"/>
      <c r="Q126" s="248"/>
      <c r="R126" s="293">
        <f t="shared" si="14"/>
        <v>0</v>
      </c>
      <c r="S126" s="294"/>
      <c r="T126" s="294"/>
      <c r="U126" s="295"/>
      <c r="V126" s="296">
        <f t="shared" si="15"/>
        <v>0</v>
      </c>
      <c r="W126" s="297"/>
      <c r="X126" s="297"/>
      <c r="Y126" s="298"/>
      <c r="Z126" s="299">
        <f t="shared" si="16"/>
        <v>0</v>
      </c>
      <c r="AA126" s="300"/>
      <c r="AB126" s="300"/>
      <c r="AC126" s="300"/>
      <c r="AD126" s="301"/>
      <c r="AZ126" s="292">
        <v>11</v>
      </c>
      <c r="BA126" s="292">
        <v>1</v>
      </c>
      <c r="BB126" s="119" t="b">
        <f>ISTEXT(BC126)</f>
        <v>1</v>
      </c>
      <c r="BC126" s="119" t="str" cm="1">
        <f t="array" ref="BC126">LOOKUP(1,1/([1]Planilha1!$A$2:$A$29621=$G$8)/([1]Planilha1!$E$2:$E$29621=$X$43)/([1]Planilha1!$F$2:$F$29621=$AC$43),([1]Planilha1!$DD$2:$DD$29620))</f>
        <v/>
      </c>
      <c r="BG126" s="119">
        <v>11</v>
      </c>
      <c r="BH126" s="119" t="str">
        <f t="shared" ref="BH126:BH135" si="19">IFERROR(IF(VLOOKUP(BG126,$AZ$126:$BC$135,4,FALSE)=0,"",VLOOKUP(BG126,$AZ$126:$BC$135,4,FALSE)),"")</f>
        <v/>
      </c>
    </row>
    <row r="127" spans="1:122" s="119" customFormat="1" ht="15" customHeight="1" thickBot="1" x14ac:dyDescent="0.25">
      <c r="A127" s="234"/>
      <c r="B127" s="302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303"/>
      <c r="R127" s="274">
        <f>SUM(R95:U126)</f>
        <v>280.39999999999998</v>
      </c>
      <c r="S127" s="275"/>
      <c r="T127" s="275"/>
      <c r="U127" s="276"/>
      <c r="V127" s="275">
        <f>Z127/R127</f>
        <v>1137.8323823109845</v>
      </c>
      <c r="W127" s="275"/>
      <c r="X127" s="275"/>
      <c r="Y127" s="275"/>
      <c r="Z127" s="274">
        <f>SUM(Z95:AC126)</f>
        <v>319048.2</v>
      </c>
      <c r="AA127" s="275"/>
      <c r="AB127" s="275"/>
      <c r="AC127" s="275"/>
      <c r="AD127" s="276"/>
      <c r="AZ127" s="292">
        <v>12</v>
      </c>
      <c r="BA127" s="292">
        <v>2</v>
      </c>
      <c r="BB127" s="119" t="b">
        <f>ISTEXT(BC127)</f>
        <v>1</v>
      </c>
      <c r="BC127" s="119" t="str" cm="1">
        <f t="array" ref="BC127">LOOKUP(1,1/([1]Planilha1!$A$2:$A$29621=$G$8)/([1]Planilha1!$E$2:$E$29621=$X$43)/([1]Planilha1!$F$2:$F$29621=$AC$43),([1]Planilha1!$DE$2:$DE$29620))</f>
        <v/>
      </c>
      <c r="BG127" s="119">
        <v>12</v>
      </c>
      <c r="BH127" s="119" t="str">
        <f>IFERROR(IF(VLOOKUP(BG127,$AZ$126:$BC$135,4,FALSE)=0,"",VLOOKUP(BG127,$AZ$126:$BC$135,4,FALSE)),"")</f>
        <v/>
      </c>
      <c r="DR127" s="119">
        <v>0</v>
      </c>
    </row>
    <row r="128" spans="1:122" s="119" customFormat="1" ht="16.5" customHeight="1" thickBot="1" x14ac:dyDescent="0.25">
      <c r="AZ128" s="292">
        <v>13</v>
      </c>
      <c r="BA128" s="292">
        <v>3</v>
      </c>
      <c r="BB128" s="119" t="b">
        <f t="shared" ref="BB128:BB129" si="20">ISTEXT(BC128)</f>
        <v>1</v>
      </c>
      <c r="BC128" s="119" t="str" cm="1">
        <f t="array" ref="BC128">LOOKUP(1,1/([1]Planilha1!$A$2:$A$29621=$G$8)/([1]Planilha1!$E$2:$E$29621=$X$43)/([1]Planilha1!$F$2:$F$29621=$AC$43),([1]Planilha1!$DF$2:$DF$29620))</f>
        <v/>
      </c>
      <c r="BG128" s="119">
        <v>13</v>
      </c>
      <c r="BH128" s="119" t="str">
        <f t="shared" ref="BH128:BH137" si="21">IFERROR(IF(VLOOKUP(BG128,$AZ$126:$BC$135,4,FALSE)=0,"",VLOOKUP(BG128,$AZ$126:$BC$135,4,FALSE)),"")</f>
        <v/>
      </c>
    </row>
    <row r="129" spans="1:61" s="119" customFormat="1" ht="17.850000000000001" customHeight="1" thickBot="1" x14ac:dyDescent="0.25">
      <c r="A129" s="304" t="s">
        <v>67</v>
      </c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5"/>
      <c r="M129" s="305"/>
      <c r="N129" s="306" t="str">
        <f>M67</f>
        <v>GTM</v>
      </c>
      <c r="O129" s="307">
        <f>O65</f>
        <v>6</v>
      </c>
      <c r="P129" s="305"/>
      <c r="Q129" s="305"/>
      <c r="R129" s="305"/>
      <c r="S129" s="305" t="s">
        <v>68</v>
      </c>
      <c r="T129" s="305"/>
      <c r="U129" s="305"/>
      <c r="V129" s="305" t="s">
        <v>61</v>
      </c>
      <c r="W129" s="308">
        <f>W65</f>
        <v>0</v>
      </c>
      <c r="X129" s="305"/>
      <c r="Y129" s="305"/>
      <c r="Z129" s="305"/>
      <c r="AA129" s="309" t="s">
        <v>74</v>
      </c>
      <c r="AB129" s="309"/>
      <c r="AC129" s="309"/>
      <c r="AD129" s="310"/>
      <c r="AZ129" s="292">
        <v>14</v>
      </c>
      <c r="BA129" s="292">
        <v>4</v>
      </c>
      <c r="BB129" s="119" t="b">
        <f t="shared" si="20"/>
        <v>0</v>
      </c>
      <c r="BC129" s="119" cm="1">
        <f t="array" ref="BC129">LOOKUP(1,1/([1]Planilha1!$A$2:$A$29621=$G$8)/([1]Planilha1!$E$2:$E$29621=$X$43)/([1]Planilha1!$F$2:$F$29621=$AC$43),([1]Planilha1!$DG$2:$DG$29620))</f>
        <v>0</v>
      </c>
      <c r="BG129" s="119">
        <v>14</v>
      </c>
      <c r="BH129" s="119" t="str">
        <f t="shared" si="21"/>
        <v/>
      </c>
    </row>
    <row r="130" spans="1:61" ht="12.6" customHeight="1" x14ac:dyDescent="0.2">
      <c r="AZ130" s="292" t="str">
        <f t="shared" ref="AZ130:AZ135" si="22">IF(BB130=TRUE,1&amp;BA130,"")</f>
        <v/>
      </c>
      <c r="BA130" s="292">
        <v>5</v>
      </c>
      <c r="BB130" s="119"/>
      <c r="BC130" s="119" t="str" cm="1">
        <f t="array" ref="BC130">LOOKUP(1,1/([1]Planilha1!$A$2:$A$29621=$G$8)/([1]Planilha1!$E$2:$E$29621=$X$43)/([1]Planilha1!$F$2:$F$29621=$AC$43),([1]Planilha1!$DH$2:$DH$29620))</f>
        <v/>
      </c>
      <c r="BD130" s="119"/>
      <c r="BE130" s="119"/>
      <c r="BF130" s="119"/>
      <c r="BG130" s="119">
        <v>15</v>
      </c>
      <c r="BH130" s="119" t="str">
        <f t="shared" si="21"/>
        <v/>
      </c>
      <c r="BI130" s="119"/>
    </row>
    <row r="131" spans="1:61" ht="12.6" customHeight="1" x14ac:dyDescent="0.2">
      <c r="AZ131" s="292" t="str">
        <f t="shared" si="22"/>
        <v/>
      </c>
      <c r="BA131" s="292">
        <v>6</v>
      </c>
      <c r="BB131" s="119"/>
      <c r="BC131" s="119" cm="1">
        <f t="array" ref="BC131">LOOKUP(1,1/([1]Planilha1!$A$2:$A$29621=$G$8)/([1]Planilha1!$E$2:$E$29621=$X$43)/([1]Planilha1!$F$2:$F$29621=$AC$43),([1]Planilha1!$DI$2:$DI$29620))</f>
        <v>0</v>
      </c>
      <c r="BD131" s="119"/>
      <c r="BE131" s="119"/>
      <c r="BF131" s="119"/>
      <c r="BG131" s="119">
        <v>16</v>
      </c>
      <c r="BH131" s="119" t="str">
        <f t="shared" si="21"/>
        <v/>
      </c>
      <c r="BI131" s="119"/>
    </row>
    <row r="132" spans="1:61" ht="12.6" customHeight="1" x14ac:dyDescent="0.2">
      <c r="AZ132" s="292" t="str">
        <f t="shared" si="22"/>
        <v/>
      </c>
      <c r="BA132" s="292">
        <v>7</v>
      </c>
      <c r="BB132" s="119"/>
      <c r="BC132" s="119" cm="1">
        <f t="array" ref="BC132">LOOKUP(1,1/([1]Planilha1!$A$2:$A$29621=$G$8)/([1]Planilha1!$E$2:$E$29621=$X$43)/([1]Planilha1!$F$2:$F$29621=$AC$43),([1]Planilha1!$DJ$2:$DJ$29620))</f>
        <v>0</v>
      </c>
      <c r="BD132" s="119"/>
      <c r="BE132" s="119"/>
      <c r="BF132" s="119"/>
      <c r="BG132" s="119">
        <v>17</v>
      </c>
      <c r="BH132" s="119" t="str">
        <f t="shared" si="21"/>
        <v/>
      </c>
      <c r="BI132" s="119"/>
    </row>
    <row r="133" spans="1:61" ht="12.6" customHeight="1" x14ac:dyDescent="0.2">
      <c r="AZ133" s="292" t="str">
        <f t="shared" si="22"/>
        <v/>
      </c>
      <c r="BA133" s="292">
        <v>8</v>
      </c>
      <c r="BB133" s="119"/>
      <c r="BC133" s="119" cm="1">
        <f t="array" ref="BC133">LOOKUP(1,1/([1]Planilha1!$A$2:$A$29621=$G$8)/([1]Planilha1!$E$2:$E$29621=$X$43)/([1]Planilha1!$F$2:$F$29621=$AC$43),([1]Planilha1!$DK$2:$DK$29620))</f>
        <v>0</v>
      </c>
      <c r="BD133" s="119"/>
      <c r="BE133" s="119"/>
      <c r="BF133" s="119"/>
      <c r="BG133" s="119">
        <v>18</v>
      </c>
      <c r="BH133" s="119" t="str">
        <f t="shared" si="21"/>
        <v/>
      </c>
      <c r="BI133" s="119"/>
    </row>
    <row r="134" spans="1:61" ht="12.6" customHeight="1" x14ac:dyDescent="0.2">
      <c r="AZ134" s="292" t="str">
        <f t="shared" si="22"/>
        <v/>
      </c>
      <c r="BA134" s="292">
        <v>9</v>
      </c>
      <c r="BB134" s="119"/>
      <c r="BC134" s="119" cm="1">
        <f t="array" ref="BC134">LOOKUP(1,1/([1]Planilha1!$A$2:$A$29621=$G$8)/([1]Planilha1!$E$2:$E$29621=$X$43)/([1]Planilha1!$F$2:$F$29621=$AC$43),([1]Planilha1!$DL$2:$DL$29620))</f>
        <v>0</v>
      </c>
      <c r="BD134" s="119"/>
      <c r="BE134" s="119"/>
      <c r="BF134" s="119"/>
      <c r="BG134" s="119">
        <v>19</v>
      </c>
      <c r="BH134" s="119" t="str">
        <f t="shared" si="21"/>
        <v/>
      </c>
      <c r="BI134" s="119"/>
    </row>
    <row r="135" spans="1:61" ht="12.6" customHeight="1" x14ac:dyDescent="0.2">
      <c r="AZ135" s="292" t="str">
        <f t="shared" si="22"/>
        <v/>
      </c>
      <c r="BA135" s="292">
        <v>10</v>
      </c>
      <c r="BB135" s="119"/>
      <c r="BC135" s="119" cm="1">
        <f t="array" ref="BC135">LOOKUP(1,1/([1]Planilha1!$A$2:$A$29621=$G$8)/([1]Planilha1!$E$2:$E$29621=$X$43)/([1]Planilha1!$F$2:$F$29621=$AC$43),([1]Planilha1!$DM$2:$DM$29620))</f>
        <v>0</v>
      </c>
      <c r="BD135" s="119"/>
      <c r="BE135" s="119"/>
      <c r="BF135" s="119"/>
      <c r="BG135" s="119">
        <v>20</v>
      </c>
      <c r="BH135" s="119" t="str">
        <f t="shared" si="21"/>
        <v/>
      </c>
      <c r="BI135" s="119"/>
    </row>
    <row r="136" spans="1:61" ht="12.6" customHeight="1" x14ac:dyDescent="0.2">
      <c r="AZ136" s="292"/>
      <c r="BA136" s="292"/>
    </row>
    <row r="150" spans="1:30" s="312" customFormat="1" ht="12.75" x14ac:dyDescent="0.2">
      <c r="A150" s="311"/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  <c r="Z150" s="311"/>
      <c r="AA150" s="311"/>
      <c r="AB150" s="311"/>
      <c r="AC150" s="311"/>
      <c r="AD150" s="311"/>
    </row>
  </sheetData>
  <dataConsolidate link="1"/>
  <mergeCells count="352">
    <mergeCell ref="B127:Q127"/>
    <mergeCell ref="R127:U127"/>
    <mergeCell ref="V127:Y127"/>
    <mergeCell ref="Z127:AD127"/>
    <mergeCell ref="AA129:AD129"/>
    <mergeCell ref="B125:Q125"/>
    <mergeCell ref="R125:U125"/>
    <mergeCell ref="V125:Y125"/>
    <mergeCell ref="Z125:AD125"/>
    <mergeCell ref="B126:Q126"/>
    <mergeCell ref="R126:U126"/>
    <mergeCell ref="V126:Y126"/>
    <mergeCell ref="Z126:AD126"/>
    <mergeCell ref="B123:Q123"/>
    <mergeCell ref="R123:U123"/>
    <mergeCell ref="V123:Y123"/>
    <mergeCell ref="Z123:AD123"/>
    <mergeCell ref="B124:Q124"/>
    <mergeCell ref="R124:U124"/>
    <mergeCell ref="V124:Y124"/>
    <mergeCell ref="Z124:AD124"/>
    <mergeCell ref="B121:Q121"/>
    <mergeCell ref="R121:U121"/>
    <mergeCell ref="V121:Y121"/>
    <mergeCell ref="Z121:AD121"/>
    <mergeCell ref="B122:Q122"/>
    <mergeCell ref="R122:U122"/>
    <mergeCell ref="V122:Y122"/>
    <mergeCell ref="Z122:AD122"/>
    <mergeCell ref="B119:Q119"/>
    <mergeCell ref="R119:U119"/>
    <mergeCell ref="V119:Y119"/>
    <mergeCell ref="Z119:AD119"/>
    <mergeCell ref="B120:Q120"/>
    <mergeCell ref="R120:U120"/>
    <mergeCell ref="V120:Y120"/>
    <mergeCell ref="Z120:AD120"/>
    <mergeCell ref="B117:Q117"/>
    <mergeCell ref="R117:U117"/>
    <mergeCell ref="V117:Y117"/>
    <mergeCell ref="Z117:AD117"/>
    <mergeCell ref="B118:Q118"/>
    <mergeCell ref="R118:U118"/>
    <mergeCell ref="V118:Y118"/>
    <mergeCell ref="Z118:AD118"/>
    <mergeCell ref="B115:Q115"/>
    <mergeCell ref="R115:U115"/>
    <mergeCell ref="V115:Y115"/>
    <mergeCell ref="Z115:AD115"/>
    <mergeCell ref="B116:Q116"/>
    <mergeCell ref="R116:U116"/>
    <mergeCell ref="V116:Y116"/>
    <mergeCell ref="Z116:AD116"/>
    <mergeCell ref="B113:Q113"/>
    <mergeCell ref="R113:U113"/>
    <mergeCell ref="V113:Y113"/>
    <mergeCell ref="Z113:AD113"/>
    <mergeCell ref="B114:Q114"/>
    <mergeCell ref="R114:U114"/>
    <mergeCell ref="V114:Y114"/>
    <mergeCell ref="Z114:AD114"/>
    <mergeCell ref="B111:Q111"/>
    <mergeCell ref="R111:U111"/>
    <mergeCell ref="V111:Y111"/>
    <mergeCell ref="Z111:AD111"/>
    <mergeCell ref="B112:Q112"/>
    <mergeCell ref="R112:U112"/>
    <mergeCell ref="V112:Y112"/>
    <mergeCell ref="Z112:AD112"/>
    <mergeCell ref="B109:Q109"/>
    <mergeCell ref="R109:U109"/>
    <mergeCell ref="V109:Y109"/>
    <mergeCell ref="Z109:AD109"/>
    <mergeCell ref="B110:Q110"/>
    <mergeCell ref="R110:U110"/>
    <mergeCell ref="V110:Y110"/>
    <mergeCell ref="Z110:AD110"/>
    <mergeCell ref="B107:Q107"/>
    <mergeCell ref="R107:U107"/>
    <mergeCell ref="V107:Y107"/>
    <mergeCell ref="Z107:AD107"/>
    <mergeCell ref="B108:Q108"/>
    <mergeCell ref="R108:U108"/>
    <mergeCell ref="V108:Y108"/>
    <mergeCell ref="Z108:AD108"/>
    <mergeCell ref="B105:Q105"/>
    <mergeCell ref="R105:U105"/>
    <mergeCell ref="V105:Y105"/>
    <mergeCell ref="Z105:AD105"/>
    <mergeCell ref="B106:Q106"/>
    <mergeCell ref="R106:U106"/>
    <mergeCell ref="V106:Y106"/>
    <mergeCell ref="Z106:AD106"/>
    <mergeCell ref="B103:Q103"/>
    <mergeCell ref="R103:U103"/>
    <mergeCell ref="V103:Y103"/>
    <mergeCell ref="Z103:AD103"/>
    <mergeCell ref="B104:Q104"/>
    <mergeCell ref="R104:U104"/>
    <mergeCell ref="V104:Y104"/>
    <mergeCell ref="Z104:AD104"/>
    <mergeCell ref="B101:Q101"/>
    <mergeCell ref="R101:U101"/>
    <mergeCell ref="V101:Y101"/>
    <mergeCell ref="Z101:AD101"/>
    <mergeCell ref="B102:Q102"/>
    <mergeCell ref="R102:U102"/>
    <mergeCell ref="V102:Y102"/>
    <mergeCell ref="Z102:AD102"/>
    <mergeCell ref="B99:Q99"/>
    <mergeCell ref="R99:U99"/>
    <mergeCell ref="V99:Y99"/>
    <mergeCell ref="Z99:AD99"/>
    <mergeCell ref="B100:Q100"/>
    <mergeCell ref="R100:U100"/>
    <mergeCell ref="V100:Y100"/>
    <mergeCell ref="Z100:AD100"/>
    <mergeCell ref="B97:Q97"/>
    <mergeCell ref="R97:U97"/>
    <mergeCell ref="V97:Y97"/>
    <mergeCell ref="Z97:AD97"/>
    <mergeCell ref="B98:Q98"/>
    <mergeCell ref="R98:U98"/>
    <mergeCell ref="V98:Y98"/>
    <mergeCell ref="Z98:AD98"/>
    <mergeCell ref="B95:Q95"/>
    <mergeCell ref="R95:U95"/>
    <mergeCell ref="V95:Y95"/>
    <mergeCell ref="Z95:AD95"/>
    <mergeCell ref="B96:Q96"/>
    <mergeCell ref="R96:U96"/>
    <mergeCell ref="V96:Y96"/>
    <mergeCell ref="Z96:AD96"/>
    <mergeCell ref="B93:M93"/>
    <mergeCell ref="N93:Q93"/>
    <mergeCell ref="S93:V93"/>
    <mergeCell ref="X93:AC93"/>
    <mergeCell ref="A94:Q94"/>
    <mergeCell ref="R94:U94"/>
    <mergeCell ref="V94:Y94"/>
    <mergeCell ref="Z94:AD94"/>
    <mergeCell ref="B91:Q91"/>
    <mergeCell ref="R91:U91"/>
    <mergeCell ref="V91:Y91"/>
    <mergeCell ref="Z91:AD91"/>
    <mergeCell ref="B92:Q92"/>
    <mergeCell ref="R92:U92"/>
    <mergeCell ref="V92:Y92"/>
    <mergeCell ref="Z92:AD92"/>
    <mergeCell ref="B89:Q89"/>
    <mergeCell ref="R89:U89"/>
    <mergeCell ref="V89:Y89"/>
    <mergeCell ref="Z89:AD89"/>
    <mergeCell ref="B90:Q90"/>
    <mergeCell ref="R90:U90"/>
    <mergeCell ref="V90:Y90"/>
    <mergeCell ref="Z90:AD90"/>
    <mergeCell ref="B87:Q87"/>
    <mergeCell ref="R87:U87"/>
    <mergeCell ref="V87:Y87"/>
    <mergeCell ref="Z87:AD87"/>
    <mergeCell ref="B88:Q88"/>
    <mergeCell ref="R88:U88"/>
    <mergeCell ref="V88:Y88"/>
    <mergeCell ref="Z88:AD88"/>
    <mergeCell ref="B85:Q85"/>
    <mergeCell ref="R85:U85"/>
    <mergeCell ref="V85:Y85"/>
    <mergeCell ref="Z85:AD85"/>
    <mergeCell ref="B86:Q86"/>
    <mergeCell ref="R86:U86"/>
    <mergeCell ref="V86:Y86"/>
    <mergeCell ref="Z86:AD86"/>
    <mergeCell ref="B83:Q83"/>
    <mergeCell ref="R83:U83"/>
    <mergeCell ref="V83:Y83"/>
    <mergeCell ref="Z83:AD83"/>
    <mergeCell ref="B84:Q84"/>
    <mergeCell ref="R84:U84"/>
    <mergeCell ref="V84:Y84"/>
    <mergeCell ref="Z84:AD84"/>
    <mergeCell ref="B81:Q81"/>
    <mergeCell ref="R81:U81"/>
    <mergeCell ref="V81:Y81"/>
    <mergeCell ref="Z81:AD81"/>
    <mergeCell ref="B82:Q82"/>
    <mergeCell ref="R82:U82"/>
    <mergeCell ref="V82:Y82"/>
    <mergeCell ref="Z82:AD82"/>
    <mergeCell ref="B79:Q79"/>
    <mergeCell ref="R79:U79"/>
    <mergeCell ref="V79:Y79"/>
    <mergeCell ref="Z79:AD79"/>
    <mergeCell ref="B80:Q80"/>
    <mergeCell ref="R80:U80"/>
    <mergeCell ref="V80:Y80"/>
    <mergeCell ref="Z80:AD80"/>
    <mergeCell ref="B77:Q77"/>
    <mergeCell ref="R77:U77"/>
    <mergeCell ref="V77:Y77"/>
    <mergeCell ref="Z77:AD77"/>
    <mergeCell ref="B78:Q78"/>
    <mergeCell ref="R78:U78"/>
    <mergeCell ref="V78:Y78"/>
    <mergeCell ref="Z78:AD78"/>
    <mergeCell ref="B75:Q75"/>
    <mergeCell ref="R75:U75"/>
    <mergeCell ref="V75:Y75"/>
    <mergeCell ref="Z75:AD75"/>
    <mergeCell ref="B76:Q76"/>
    <mergeCell ref="R76:U76"/>
    <mergeCell ref="V76:Y76"/>
    <mergeCell ref="Z76:AD76"/>
    <mergeCell ref="B73:Q73"/>
    <mergeCell ref="R73:U73"/>
    <mergeCell ref="V73:Y73"/>
    <mergeCell ref="Z73:AD73"/>
    <mergeCell ref="B74:Q74"/>
    <mergeCell ref="R74:U74"/>
    <mergeCell ref="V74:Y74"/>
    <mergeCell ref="Z74:AD74"/>
    <mergeCell ref="B71:Q71"/>
    <mergeCell ref="R71:U71"/>
    <mergeCell ref="V71:Y71"/>
    <mergeCell ref="Z71:AD71"/>
    <mergeCell ref="B72:Q72"/>
    <mergeCell ref="R72:U72"/>
    <mergeCell ref="V72:Y72"/>
    <mergeCell ref="Z72:AD72"/>
    <mergeCell ref="A69:Q69"/>
    <mergeCell ref="R69:U69"/>
    <mergeCell ref="V69:Y69"/>
    <mergeCell ref="Z69:AD69"/>
    <mergeCell ref="B70:Q70"/>
    <mergeCell ref="R70:U70"/>
    <mergeCell ref="V70:Y70"/>
    <mergeCell ref="Z70:AD70"/>
    <mergeCell ref="A50:O53"/>
    <mergeCell ref="P50:AD53"/>
    <mergeCell ref="AA65:AD65"/>
    <mergeCell ref="O67:P67"/>
    <mergeCell ref="W67:Z67"/>
    <mergeCell ref="AA67:AD67"/>
    <mergeCell ref="AA43:AB44"/>
    <mergeCell ref="AC43:AD44"/>
    <mergeCell ref="J44:K45"/>
    <mergeCell ref="L44:N45"/>
    <mergeCell ref="D45:H46"/>
    <mergeCell ref="P45:AD47"/>
    <mergeCell ref="A43:C46"/>
    <mergeCell ref="D43:H44"/>
    <mergeCell ref="I43:I46"/>
    <mergeCell ref="P43:U44"/>
    <mergeCell ref="V43:W44"/>
    <mergeCell ref="X43:Z44"/>
    <mergeCell ref="A39:M39"/>
    <mergeCell ref="N39:AD39"/>
    <mergeCell ref="A40:M40"/>
    <mergeCell ref="N40:Q40"/>
    <mergeCell ref="S40:V40"/>
    <mergeCell ref="X40:AC40"/>
    <mergeCell ref="A37:M37"/>
    <mergeCell ref="N37:R37"/>
    <mergeCell ref="S37:W37"/>
    <mergeCell ref="X37:AD37"/>
    <mergeCell ref="A38:M38"/>
    <mergeCell ref="N38:R38"/>
    <mergeCell ref="S38:W38"/>
    <mergeCell ref="X38:AD38"/>
    <mergeCell ref="A35:M35"/>
    <mergeCell ref="N35:R35"/>
    <mergeCell ref="S35:W35"/>
    <mergeCell ref="X35:AD35"/>
    <mergeCell ref="A36:M36"/>
    <mergeCell ref="N36:R36"/>
    <mergeCell ref="S36:W36"/>
    <mergeCell ref="X36:AD36"/>
    <mergeCell ref="A33:M33"/>
    <mergeCell ref="N33:R33"/>
    <mergeCell ref="S33:W33"/>
    <mergeCell ref="X33:AD33"/>
    <mergeCell ref="A34:M34"/>
    <mergeCell ref="N34:R34"/>
    <mergeCell ref="S34:W34"/>
    <mergeCell ref="X34:AD34"/>
    <mergeCell ref="A31:M31"/>
    <mergeCell ref="N31:R31"/>
    <mergeCell ref="S31:W31"/>
    <mergeCell ref="X31:AD31"/>
    <mergeCell ref="A32:M32"/>
    <mergeCell ref="N32:R32"/>
    <mergeCell ref="S32:W32"/>
    <mergeCell ref="X32:AD32"/>
    <mergeCell ref="W26:Z26"/>
    <mergeCell ref="AA26:AD26"/>
    <mergeCell ref="P27:R27"/>
    <mergeCell ref="S27:V27"/>
    <mergeCell ref="A30:M30"/>
    <mergeCell ref="N30:R30"/>
    <mergeCell ref="S30:W30"/>
    <mergeCell ref="X30:AD30"/>
    <mergeCell ref="P24:R24"/>
    <mergeCell ref="S24:V24"/>
    <mergeCell ref="W24:Z24"/>
    <mergeCell ref="AA24:AC24"/>
    <mergeCell ref="P25:R25"/>
    <mergeCell ref="S25:V25"/>
    <mergeCell ref="P20:V20"/>
    <mergeCell ref="W20:AD20"/>
    <mergeCell ref="P22:R22"/>
    <mergeCell ref="S22:V22"/>
    <mergeCell ref="W22:Z22"/>
    <mergeCell ref="AA22:AC22"/>
    <mergeCell ref="P16:W16"/>
    <mergeCell ref="X16:Z16"/>
    <mergeCell ref="P17:W17"/>
    <mergeCell ref="X17:Z17"/>
    <mergeCell ref="P19:V19"/>
    <mergeCell ref="W19:AD19"/>
    <mergeCell ref="A13:F13"/>
    <mergeCell ref="G13:O13"/>
    <mergeCell ref="P13:AD13"/>
    <mergeCell ref="A14:F14"/>
    <mergeCell ref="G14:O14"/>
    <mergeCell ref="P14:W14"/>
    <mergeCell ref="X14:Z14"/>
    <mergeCell ref="AA14:AD17"/>
    <mergeCell ref="P15:W15"/>
    <mergeCell ref="X15:Z15"/>
    <mergeCell ref="A11:F11"/>
    <mergeCell ref="G11:O11"/>
    <mergeCell ref="P11:U11"/>
    <mergeCell ref="V11:AD11"/>
    <mergeCell ref="A12:F12"/>
    <mergeCell ref="G12:O12"/>
    <mergeCell ref="P12:U12"/>
    <mergeCell ref="V12:AD12"/>
    <mergeCell ref="A9:F9"/>
    <mergeCell ref="G9:O9"/>
    <mergeCell ref="P9:U9"/>
    <mergeCell ref="V9:AD9"/>
    <mergeCell ref="A10:F10"/>
    <mergeCell ref="G10:O10"/>
    <mergeCell ref="P10:U10"/>
    <mergeCell ref="V10:AD10"/>
    <mergeCell ref="G1:AD5"/>
    <mergeCell ref="A7:O7"/>
    <mergeCell ref="P7:AD7"/>
    <mergeCell ref="A8:F8"/>
    <mergeCell ref="G8:O8"/>
    <mergeCell ref="P8:U8"/>
    <mergeCell ref="V8:AD8"/>
  </mergeCells>
  <pageMargins left="0.78740157480314965" right="0.39370078740157483" top="0.39370078740157483" bottom="0.39370078740157483" header="0.51181102362204722" footer="0.51181102362204722"/>
  <pageSetup paperSize="9" scale="88" fitToHeight="2" orientation="portrait" r:id="rId1"/>
  <headerFooter alignWithMargins="0"/>
  <rowBreaks count="1" manualBreakCount="1">
    <brk id="65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Ficha de pesagem -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Victor Campos Luz</dc:creator>
  <cp:lastModifiedBy>Raul Victor Campos Luz</cp:lastModifiedBy>
  <dcterms:created xsi:type="dcterms:W3CDTF">2026-10-01T11:30:25Z</dcterms:created>
  <dcterms:modified xsi:type="dcterms:W3CDTF">2026-10-01T11:31:21Z</dcterms:modified>
</cp:coreProperties>
</file>